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8FB82BED-0944-4607-AC81-E3CA0277DD89}" xr6:coauthVersionLast="47" xr6:coauthVersionMax="47" xr10:uidLastSave="{00000000-0000-0000-0000-000000000000}"/>
  <bookViews>
    <workbookView xWindow="-120" yWindow="-120" windowWidth="29040" windowHeight="15720" activeTab="2" xr2:uid="{E6E4C7D1-E780-4FA1-B8FF-60F1C49D2116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" i="3" l="1"/>
  <c r="R18" i="3"/>
  <c r="R26" i="3"/>
  <c r="R34" i="3"/>
  <c r="R42" i="3"/>
  <c r="R50" i="3"/>
  <c r="R58" i="3"/>
  <c r="R66" i="3"/>
  <c r="R74" i="3"/>
  <c r="R82" i="3"/>
  <c r="R90" i="3"/>
  <c r="R130" i="3"/>
  <c r="R194" i="3"/>
  <c r="R258" i="3"/>
  <c r="R322" i="3"/>
  <c r="R386" i="3"/>
  <c r="R450" i="3"/>
  <c r="R514" i="3"/>
  <c r="R578" i="3"/>
  <c r="C16" i="3"/>
  <c r="O587" i="3"/>
  <c r="D35" i="3"/>
  <c r="D36" i="3"/>
  <c r="D37" i="3"/>
  <c r="D38" i="3"/>
  <c r="D39" i="3"/>
  <c r="D40" i="3"/>
  <c r="D41" i="3"/>
  <c r="D34" i="3"/>
  <c r="P3" i="3"/>
  <c r="R3" i="3" s="1"/>
  <c r="P4" i="3"/>
  <c r="P5" i="3"/>
  <c r="P6" i="3"/>
  <c r="Q6" i="3" s="1"/>
  <c r="P7" i="3"/>
  <c r="Q7" i="3" s="1"/>
  <c r="P8" i="3"/>
  <c r="R8" i="3" s="1"/>
  <c r="P9" i="3"/>
  <c r="Q9" i="3" s="1"/>
  <c r="P10" i="3"/>
  <c r="P11" i="3"/>
  <c r="P12" i="3"/>
  <c r="P13" i="3"/>
  <c r="P14" i="3"/>
  <c r="Q14" i="3" s="1"/>
  <c r="P15" i="3"/>
  <c r="Q15" i="3" s="1"/>
  <c r="P16" i="3"/>
  <c r="R16" i="3" s="1"/>
  <c r="P17" i="3"/>
  <c r="Q17" i="3" s="1"/>
  <c r="P18" i="3"/>
  <c r="P19" i="3"/>
  <c r="R19" i="3" s="1"/>
  <c r="P20" i="3"/>
  <c r="P21" i="3"/>
  <c r="P22" i="3"/>
  <c r="Q22" i="3" s="1"/>
  <c r="P23" i="3"/>
  <c r="Q23" i="3" s="1"/>
  <c r="P24" i="3"/>
  <c r="R24" i="3" s="1"/>
  <c r="P25" i="3"/>
  <c r="Q25" i="3" s="1"/>
  <c r="P26" i="3"/>
  <c r="P27" i="3"/>
  <c r="P28" i="3"/>
  <c r="P29" i="3"/>
  <c r="P30" i="3"/>
  <c r="P31" i="3"/>
  <c r="Q31" i="3" s="1"/>
  <c r="P32" i="3"/>
  <c r="R32" i="3" s="1"/>
  <c r="P33" i="3"/>
  <c r="P34" i="3"/>
  <c r="P35" i="3"/>
  <c r="R35" i="3" s="1"/>
  <c r="P36" i="3"/>
  <c r="P37" i="3"/>
  <c r="P38" i="3"/>
  <c r="P39" i="3"/>
  <c r="P40" i="3"/>
  <c r="R40" i="3" s="1"/>
  <c r="P41" i="3"/>
  <c r="P42" i="3"/>
  <c r="P43" i="3"/>
  <c r="P44" i="3"/>
  <c r="P45" i="3"/>
  <c r="P46" i="3"/>
  <c r="P47" i="3"/>
  <c r="P48" i="3"/>
  <c r="R48" i="3" s="1"/>
  <c r="P49" i="3"/>
  <c r="P50" i="3"/>
  <c r="P51" i="3"/>
  <c r="P52" i="3"/>
  <c r="P53" i="3"/>
  <c r="P54" i="3"/>
  <c r="P55" i="3"/>
  <c r="P56" i="3"/>
  <c r="R56" i="3" s="1"/>
  <c r="P57" i="3"/>
  <c r="P58" i="3"/>
  <c r="P59" i="3"/>
  <c r="R59" i="3" s="1"/>
  <c r="P60" i="3"/>
  <c r="P61" i="3"/>
  <c r="P62" i="3"/>
  <c r="P63" i="3"/>
  <c r="P64" i="3"/>
  <c r="R64" i="3" s="1"/>
  <c r="P65" i="3"/>
  <c r="P66" i="3"/>
  <c r="P67" i="3"/>
  <c r="P68" i="3"/>
  <c r="P69" i="3"/>
  <c r="P70" i="3"/>
  <c r="P71" i="3"/>
  <c r="P72" i="3"/>
  <c r="R72" i="3" s="1"/>
  <c r="P73" i="3"/>
  <c r="P74" i="3"/>
  <c r="P75" i="3"/>
  <c r="P76" i="3"/>
  <c r="P77" i="3"/>
  <c r="P78" i="3"/>
  <c r="P79" i="3"/>
  <c r="P80" i="3"/>
  <c r="R80" i="3" s="1"/>
  <c r="P81" i="3"/>
  <c r="P82" i="3"/>
  <c r="P83" i="3"/>
  <c r="R83" i="3" s="1"/>
  <c r="P84" i="3"/>
  <c r="P85" i="3"/>
  <c r="P86" i="3"/>
  <c r="P87" i="3"/>
  <c r="P88" i="3"/>
  <c r="R88" i="3" s="1"/>
  <c r="P89" i="3"/>
  <c r="P90" i="3"/>
  <c r="Q90" i="3" s="1"/>
  <c r="P91" i="3"/>
  <c r="R91" i="3" s="1"/>
  <c r="P92" i="3"/>
  <c r="P93" i="3"/>
  <c r="P94" i="3"/>
  <c r="P95" i="3"/>
  <c r="P96" i="3"/>
  <c r="R96" i="3" s="1"/>
  <c r="P97" i="3"/>
  <c r="P98" i="3"/>
  <c r="Q98" i="3" s="1"/>
  <c r="P99" i="3"/>
  <c r="P100" i="3"/>
  <c r="P101" i="3"/>
  <c r="P102" i="3"/>
  <c r="P103" i="3"/>
  <c r="P104" i="3"/>
  <c r="R104" i="3" s="1"/>
  <c r="P105" i="3"/>
  <c r="P106" i="3"/>
  <c r="Q106" i="3" s="1"/>
  <c r="P107" i="3"/>
  <c r="P108" i="3"/>
  <c r="P109" i="3"/>
  <c r="P110" i="3"/>
  <c r="P111" i="3"/>
  <c r="P112" i="3"/>
  <c r="R112" i="3" s="1"/>
  <c r="P113" i="3"/>
  <c r="P114" i="3"/>
  <c r="Q114" i="3" s="1"/>
  <c r="P115" i="3"/>
  <c r="P116" i="3"/>
  <c r="P117" i="3"/>
  <c r="P118" i="3"/>
  <c r="P119" i="3"/>
  <c r="P120" i="3"/>
  <c r="R120" i="3" s="1"/>
  <c r="P121" i="3"/>
  <c r="P122" i="3"/>
  <c r="Q122" i="3" s="1"/>
  <c r="P123" i="3"/>
  <c r="P124" i="3"/>
  <c r="P125" i="3"/>
  <c r="P126" i="3"/>
  <c r="P127" i="3"/>
  <c r="P128" i="3"/>
  <c r="R128" i="3" s="1"/>
  <c r="P129" i="3"/>
  <c r="P130" i="3"/>
  <c r="Q130" i="3" s="1"/>
  <c r="P131" i="3"/>
  <c r="R131" i="3" s="1"/>
  <c r="P132" i="3"/>
  <c r="P133" i="3"/>
  <c r="P134" i="3"/>
  <c r="P135" i="3"/>
  <c r="P136" i="3"/>
  <c r="R136" i="3" s="1"/>
  <c r="P137" i="3"/>
  <c r="P138" i="3"/>
  <c r="Q138" i="3" s="1"/>
  <c r="P139" i="3"/>
  <c r="P140" i="3"/>
  <c r="P141" i="3"/>
  <c r="P142" i="3"/>
  <c r="P143" i="3"/>
  <c r="P144" i="3"/>
  <c r="R144" i="3" s="1"/>
  <c r="P145" i="3"/>
  <c r="P146" i="3"/>
  <c r="Q146" i="3" s="1"/>
  <c r="P147" i="3"/>
  <c r="R147" i="3" s="1"/>
  <c r="P148" i="3"/>
  <c r="P149" i="3"/>
  <c r="P150" i="3"/>
  <c r="P151" i="3"/>
  <c r="P152" i="3"/>
  <c r="R152" i="3" s="1"/>
  <c r="P153" i="3"/>
  <c r="P154" i="3"/>
  <c r="Q154" i="3" s="1"/>
  <c r="P155" i="3"/>
  <c r="P156" i="3"/>
  <c r="P157" i="3"/>
  <c r="P158" i="3"/>
  <c r="P159" i="3"/>
  <c r="P160" i="3"/>
  <c r="R160" i="3" s="1"/>
  <c r="P161" i="3"/>
  <c r="P162" i="3"/>
  <c r="Q162" i="3" s="1"/>
  <c r="P163" i="3"/>
  <c r="P164" i="3"/>
  <c r="P165" i="3"/>
  <c r="P166" i="3"/>
  <c r="P167" i="3"/>
  <c r="P168" i="3"/>
  <c r="R168" i="3" s="1"/>
  <c r="P169" i="3"/>
  <c r="P170" i="3"/>
  <c r="Q170" i="3" s="1"/>
  <c r="P171" i="3"/>
  <c r="R171" i="3" s="1"/>
  <c r="P172" i="3"/>
  <c r="P173" i="3"/>
  <c r="P174" i="3"/>
  <c r="P175" i="3"/>
  <c r="P176" i="3"/>
  <c r="R176" i="3" s="1"/>
  <c r="P177" i="3"/>
  <c r="P178" i="3"/>
  <c r="Q178" i="3" s="1"/>
  <c r="P179" i="3"/>
  <c r="P180" i="3"/>
  <c r="P181" i="3"/>
  <c r="P182" i="3"/>
  <c r="P183" i="3"/>
  <c r="P184" i="3"/>
  <c r="R184" i="3" s="1"/>
  <c r="P185" i="3"/>
  <c r="P186" i="3"/>
  <c r="Q186" i="3" s="1"/>
  <c r="P187" i="3"/>
  <c r="R187" i="3" s="1"/>
  <c r="P188" i="3"/>
  <c r="P189" i="3"/>
  <c r="P190" i="3"/>
  <c r="P191" i="3"/>
  <c r="P192" i="3"/>
  <c r="R192" i="3" s="1"/>
  <c r="P193" i="3"/>
  <c r="P194" i="3"/>
  <c r="Q194" i="3" s="1"/>
  <c r="P195" i="3"/>
  <c r="P196" i="3"/>
  <c r="P197" i="3"/>
  <c r="P198" i="3"/>
  <c r="P199" i="3"/>
  <c r="P200" i="3"/>
  <c r="R200" i="3" s="1"/>
  <c r="P201" i="3"/>
  <c r="P202" i="3"/>
  <c r="Q202" i="3" s="1"/>
  <c r="P203" i="3"/>
  <c r="P204" i="3"/>
  <c r="P205" i="3"/>
  <c r="P206" i="3"/>
  <c r="P207" i="3"/>
  <c r="P208" i="3"/>
  <c r="R208" i="3" s="1"/>
  <c r="P209" i="3"/>
  <c r="P210" i="3"/>
  <c r="Q210" i="3" s="1"/>
  <c r="P211" i="3"/>
  <c r="P212" i="3"/>
  <c r="P213" i="3"/>
  <c r="P214" i="3"/>
  <c r="P215" i="3"/>
  <c r="P216" i="3"/>
  <c r="R216" i="3" s="1"/>
  <c r="P217" i="3"/>
  <c r="P218" i="3"/>
  <c r="Q218" i="3" s="1"/>
  <c r="P219" i="3"/>
  <c r="R219" i="3" s="1"/>
  <c r="P220" i="3"/>
  <c r="P221" i="3"/>
  <c r="P222" i="3"/>
  <c r="P223" i="3"/>
  <c r="P224" i="3"/>
  <c r="R224" i="3" s="1"/>
  <c r="P225" i="3"/>
  <c r="P226" i="3"/>
  <c r="Q226" i="3" s="1"/>
  <c r="P227" i="3"/>
  <c r="P228" i="3"/>
  <c r="P229" i="3"/>
  <c r="P230" i="3"/>
  <c r="P231" i="3"/>
  <c r="P232" i="3"/>
  <c r="R232" i="3" s="1"/>
  <c r="P233" i="3"/>
  <c r="P234" i="3"/>
  <c r="Q234" i="3" s="1"/>
  <c r="P235" i="3"/>
  <c r="P236" i="3"/>
  <c r="P237" i="3"/>
  <c r="Q237" i="3" s="1"/>
  <c r="P238" i="3"/>
  <c r="P239" i="3"/>
  <c r="P240" i="3"/>
  <c r="R240" i="3" s="1"/>
  <c r="P241" i="3"/>
  <c r="P242" i="3"/>
  <c r="Q242" i="3" s="1"/>
  <c r="P243" i="3"/>
  <c r="P244" i="3"/>
  <c r="P245" i="3"/>
  <c r="P246" i="3"/>
  <c r="P247" i="3"/>
  <c r="P248" i="3"/>
  <c r="R248" i="3" s="1"/>
  <c r="P249" i="3"/>
  <c r="P250" i="3"/>
  <c r="Q250" i="3" s="1"/>
  <c r="P251" i="3"/>
  <c r="P252" i="3"/>
  <c r="P253" i="3"/>
  <c r="P254" i="3"/>
  <c r="P255" i="3"/>
  <c r="P256" i="3"/>
  <c r="R256" i="3" s="1"/>
  <c r="P257" i="3"/>
  <c r="P258" i="3"/>
  <c r="Q258" i="3" s="1"/>
  <c r="P259" i="3"/>
  <c r="R259" i="3" s="1"/>
  <c r="P260" i="3"/>
  <c r="P261" i="3"/>
  <c r="P262" i="3"/>
  <c r="P263" i="3"/>
  <c r="P264" i="3"/>
  <c r="R264" i="3" s="1"/>
  <c r="P265" i="3"/>
  <c r="P266" i="3"/>
  <c r="Q266" i="3" s="1"/>
  <c r="P267" i="3"/>
  <c r="P268" i="3"/>
  <c r="P269" i="3"/>
  <c r="P270" i="3"/>
  <c r="P271" i="3"/>
  <c r="P272" i="3"/>
  <c r="R272" i="3" s="1"/>
  <c r="P273" i="3"/>
  <c r="P274" i="3"/>
  <c r="Q274" i="3" s="1"/>
  <c r="P275" i="3"/>
  <c r="R275" i="3" s="1"/>
  <c r="P276" i="3"/>
  <c r="P277" i="3"/>
  <c r="P278" i="3"/>
  <c r="P279" i="3"/>
  <c r="P280" i="3"/>
  <c r="R280" i="3" s="1"/>
  <c r="P281" i="3"/>
  <c r="P282" i="3"/>
  <c r="Q282" i="3" s="1"/>
  <c r="P283" i="3"/>
  <c r="P284" i="3"/>
  <c r="P285" i="3"/>
  <c r="P286" i="3"/>
  <c r="P287" i="3"/>
  <c r="P288" i="3"/>
  <c r="P289" i="3"/>
  <c r="P290" i="3"/>
  <c r="Q290" i="3" s="1"/>
  <c r="P291" i="3"/>
  <c r="P292" i="3"/>
  <c r="P293" i="3"/>
  <c r="P294" i="3"/>
  <c r="P295" i="3"/>
  <c r="P296" i="3"/>
  <c r="P297" i="3"/>
  <c r="P298" i="3"/>
  <c r="Q298" i="3" s="1"/>
  <c r="P299" i="3"/>
  <c r="P300" i="3"/>
  <c r="P301" i="3"/>
  <c r="P302" i="3"/>
  <c r="P303" i="3"/>
  <c r="P304" i="3"/>
  <c r="P305" i="3"/>
  <c r="P306" i="3"/>
  <c r="Q306" i="3" s="1"/>
  <c r="P307" i="3"/>
  <c r="R307" i="3" s="1"/>
  <c r="P308" i="3"/>
  <c r="P309" i="3"/>
  <c r="P310" i="3"/>
  <c r="P311" i="3"/>
  <c r="P312" i="3"/>
  <c r="P313" i="3"/>
  <c r="P314" i="3"/>
  <c r="Q314" i="3" s="1"/>
  <c r="P315" i="3"/>
  <c r="P316" i="3"/>
  <c r="P317" i="3"/>
  <c r="P318" i="3"/>
  <c r="P319" i="3"/>
  <c r="P320" i="3"/>
  <c r="P321" i="3"/>
  <c r="P322" i="3"/>
  <c r="Q322" i="3" s="1"/>
  <c r="P323" i="3"/>
  <c r="P324" i="3"/>
  <c r="P325" i="3"/>
  <c r="P326" i="3"/>
  <c r="P327" i="3"/>
  <c r="P328" i="3"/>
  <c r="P329" i="3"/>
  <c r="P330" i="3"/>
  <c r="Q330" i="3" s="1"/>
  <c r="P331" i="3"/>
  <c r="P332" i="3"/>
  <c r="P333" i="3"/>
  <c r="P334" i="3"/>
  <c r="P335" i="3"/>
  <c r="P336" i="3"/>
  <c r="P337" i="3"/>
  <c r="P338" i="3"/>
  <c r="Q338" i="3" s="1"/>
  <c r="P339" i="3"/>
  <c r="P340" i="3"/>
  <c r="P341" i="3"/>
  <c r="P342" i="3"/>
  <c r="P343" i="3"/>
  <c r="P344" i="3"/>
  <c r="P345" i="3"/>
  <c r="P346" i="3"/>
  <c r="Q346" i="3" s="1"/>
  <c r="P347" i="3"/>
  <c r="R347" i="3" s="1"/>
  <c r="P348" i="3"/>
  <c r="P349" i="3"/>
  <c r="P350" i="3"/>
  <c r="P351" i="3"/>
  <c r="P352" i="3"/>
  <c r="P353" i="3"/>
  <c r="P354" i="3"/>
  <c r="Q354" i="3" s="1"/>
  <c r="P355" i="3"/>
  <c r="R355" i="3" s="1"/>
  <c r="P356" i="3"/>
  <c r="P357" i="3"/>
  <c r="P358" i="3"/>
  <c r="P359" i="3"/>
  <c r="P360" i="3"/>
  <c r="P361" i="3"/>
  <c r="P362" i="3"/>
  <c r="Q362" i="3" s="1"/>
  <c r="P363" i="3"/>
  <c r="P364" i="3"/>
  <c r="P365" i="3"/>
  <c r="P366" i="3"/>
  <c r="P367" i="3"/>
  <c r="P368" i="3"/>
  <c r="P369" i="3"/>
  <c r="P370" i="3"/>
  <c r="Q370" i="3" s="1"/>
  <c r="P371" i="3"/>
  <c r="R371" i="3" s="1"/>
  <c r="P372" i="3"/>
  <c r="P373" i="3"/>
  <c r="P374" i="3"/>
  <c r="P375" i="3"/>
  <c r="P376" i="3"/>
  <c r="P377" i="3"/>
  <c r="P378" i="3"/>
  <c r="Q378" i="3" s="1"/>
  <c r="P379" i="3"/>
  <c r="P380" i="3"/>
  <c r="P381" i="3"/>
  <c r="P382" i="3"/>
  <c r="P383" i="3"/>
  <c r="P384" i="3"/>
  <c r="P385" i="3"/>
  <c r="P386" i="3"/>
  <c r="Q386" i="3" s="1"/>
  <c r="P387" i="3"/>
  <c r="P388" i="3"/>
  <c r="P389" i="3"/>
  <c r="P390" i="3"/>
  <c r="P391" i="3"/>
  <c r="P392" i="3"/>
  <c r="P393" i="3"/>
  <c r="P394" i="3"/>
  <c r="Q394" i="3" s="1"/>
  <c r="P395" i="3"/>
  <c r="R395" i="3" s="1"/>
  <c r="P396" i="3"/>
  <c r="P397" i="3"/>
  <c r="P398" i="3"/>
  <c r="P399" i="3"/>
  <c r="P400" i="3"/>
  <c r="P401" i="3"/>
  <c r="P402" i="3"/>
  <c r="Q402" i="3" s="1"/>
  <c r="P403" i="3"/>
  <c r="P404" i="3"/>
  <c r="P405" i="3"/>
  <c r="P406" i="3"/>
  <c r="P407" i="3"/>
  <c r="P408" i="3"/>
  <c r="P409" i="3"/>
  <c r="P410" i="3"/>
  <c r="Q410" i="3" s="1"/>
  <c r="P411" i="3"/>
  <c r="R411" i="3" s="1"/>
  <c r="P412" i="3"/>
  <c r="P413" i="3"/>
  <c r="P414" i="3"/>
  <c r="P415" i="3"/>
  <c r="P416" i="3"/>
  <c r="P417" i="3"/>
  <c r="P418" i="3"/>
  <c r="Q418" i="3" s="1"/>
  <c r="P419" i="3"/>
  <c r="P420" i="3"/>
  <c r="P421" i="3"/>
  <c r="P422" i="3"/>
  <c r="P423" i="3"/>
  <c r="P424" i="3"/>
  <c r="P425" i="3"/>
  <c r="P426" i="3"/>
  <c r="Q426" i="3" s="1"/>
  <c r="P427" i="3"/>
  <c r="P428" i="3"/>
  <c r="P429" i="3"/>
  <c r="P430" i="3"/>
  <c r="P431" i="3"/>
  <c r="P432" i="3"/>
  <c r="P433" i="3"/>
  <c r="P434" i="3"/>
  <c r="Q434" i="3" s="1"/>
  <c r="P435" i="3"/>
  <c r="R435" i="3" s="1"/>
  <c r="P436" i="3"/>
  <c r="P437" i="3"/>
  <c r="P438" i="3"/>
  <c r="P439" i="3"/>
  <c r="P440" i="3"/>
  <c r="P441" i="3"/>
  <c r="P442" i="3"/>
  <c r="Q442" i="3" s="1"/>
  <c r="P443" i="3"/>
  <c r="P444" i="3"/>
  <c r="P445" i="3"/>
  <c r="P446" i="3"/>
  <c r="P447" i="3"/>
  <c r="P448" i="3"/>
  <c r="P449" i="3"/>
  <c r="P450" i="3"/>
  <c r="Q450" i="3" s="1"/>
  <c r="P451" i="3"/>
  <c r="R451" i="3" s="1"/>
  <c r="P452" i="3"/>
  <c r="P453" i="3"/>
  <c r="P454" i="3"/>
  <c r="P455" i="3"/>
  <c r="P456" i="3"/>
  <c r="P457" i="3"/>
  <c r="P458" i="3"/>
  <c r="Q458" i="3" s="1"/>
  <c r="P459" i="3"/>
  <c r="P460" i="3"/>
  <c r="P461" i="3"/>
  <c r="P462" i="3"/>
  <c r="P463" i="3"/>
  <c r="P464" i="3"/>
  <c r="P465" i="3"/>
  <c r="P466" i="3"/>
  <c r="Q466" i="3" s="1"/>
  <c r="P467" i="3"/>
  <c r="R467" i="3" s="1"/>
  <c r="P468" i="3"/>
  <c r="P469" i="3"/>
  <c r="P470" i="3"/>
  <c r="P471" i="3"/>
  <c r="P472" i="3"/>
  <c r="P473" i="3"/>
  <c r="P474" i="3"/>
  <c r="Q474" i="3" s="1"/>
  <c r="P475" i="3"/>
  <c r="P476" i="3"/>
  <c r="P477" i="3"/>
  <c r="P478" i="3"/>
  <c r="P479" i="3"/>
  <c r="P480" i="3"/>
  <c r="P481" i="3"/>
  <c r="P482" i="3"/>
  <c r="Q482" i="3" s="1"/>
  <c r="P483" i="3"/>
  <c r="P484" i="3"/>
  <c r="P485" i="3"/>
  <c r="P486" i="3"/>
  <c r="P487" i="3"/>
  <c r="P488" i="3"/>
  <c r="P489" i="3"/>
  <c r="P490" i="3"/>
  <c r="Q490" i="3" s="1"/>
  <c r="P491" i="3"/>
  <c r="P492" i="3"/>
  <c r="P493" i="3"/>
  <c r="P494" i="3"/>
  <c r="P495" i="3"/>
  <c r="P496" i="3"/>
  <c r="P497" i="3"/>
  <c r="P498" i="3"/>
  <c r="Q498" i="3" s="1"/>
  <c r="P499" i="3"/>
  <c r="R499" i="3" s="1"/>
  <c r="P500" i="3"/>
  <c r="P501" i="3"/>
  <c r="P502" i="3"/>
  <c r="P503" i="3"/>
  <c r="P504" i="3"/>
  <c r="P505" i="3"/>
  <c r="P506" i="3"/>
  <c r="Q506" i="3" s="1"/>
  <c r="P507" i="3"/>
  <c r="P508" i="3"/>
  <c r="P509" i="3"/>
  <c r="P510" i="3"/>
  <c r="P511" i="3"/>
  <c r="P512" i="3"/>
  <c r="P513" i="3"/>
  <c r="P514" i="3"/>
  <c r="Q514" i="3" s="1"/>
  <c r="P515" i="3"/>
  <c r="P516" i="3"/>
  <c r="P517" i="3"/>
  <c r="P518" i="3"/>
  <c r="P519" i="3"/>
  <c r="P520" i="3"/>
  <c r="P521" i="3"/>
  <c r="P522" i="3"/>
  <c r="Q522" i="3" s="1"/>
  <c r="P523" i="3"/>
  <c r="P524" i="3"/>
  <c r="P525" i="3"/>
  <c r="P526" i="3"/>
  <c r="P527" i="3"/>
  <c r="P528" i="3"/>
  <c r="P529" i="3"/>
  <c r="P530" i="3"/>
  <c r="Q530" i="3" s="1"/>
  <c r="P531" i="3"/>
  <c r="P532" i="3"/>
  <c r="P533" i="3"/>
  <c r="P534" i="3"/>
  <c r="P535" i="3"/>
  <c r="P536" i="3"/>
  <c r="P537" i="3"/>
  <c r="P538" i="3"/>
  <c r="Q538" i="3" s="1"/>
  <c r="P539" i="3"/>
  <c r="P540" i="3"/>
  <c r="P541" i="3"/>
  <c r="P542" i="3"/>
  <c r="P543" i="3"/>
  <c r="P544" i="3"/>
  <c r="P545" i="3"/>
  <c r="P546" i="3"/>
  <c r="Q546" i="3" s="1"/>
  <c r="P547" i="3"/>
  <c r="R547" i="3" s="1"/>
  <c r="P548" i="3"/>
  <c r="P549" i="3"/>
  <c r="P550" i="3"/>
  <c r="P551" i="3"/>
  <c r="P552" i="3"/>
  <c r="P553" i="3"/>
  <c r="P554" i="3"/>
  <c r="Q554" i="3" s="1"/>
  <c r="P555" i="3"/>
  <c r="P556" i="3"/>
  <c r="P557" i="3"/>
  <c r="P558" i="3"/>
  <c r="P559" i="3"/>
  <c r="P560" i="3"/>
  <c r="P561" i="3"/>
  <c r="P562" i="3"/>
  <c r="Q562" i="3" s="1"/>
  <c r="P563" i="3"/>
  <c r="P564" i="3"/>
  <c r="P565" i="3"/>
  <c r="P566" i="3"/>
  <c r="P567" i="3"/>
  <c r="P568" i="3"/>
  <c r="P569" i="3"/>
  <c r="P570" i="3"/>
  <c r="Q570" i="3" s="1"/>
  <c r="P571" i="3"/>
  <c r="P572" i="3"/>
  <c r="P573" i="3"/>
  <c r="P574" i="3"/>
  <c r="P575" i="3"/>
  <c r="P576" i="3"/>
  <c r="P577" i="3"/>
  <c r="P578" i="3"/>
  <c r="Q578" i="3" s="1"/>
  <c r="P579" i="3"/>
  <c r="P580" i="3"/>
  <c r="P581" i="3"/>
  <c r="P582" i="3"/>
  <c r="P583" i="3"/>
  <c r="P584" i="3"/>
  <c r="P585" i="3"/>
  <c r="P586" i="3"/>
  <c r="Q586" i="3" s="1"/>
  <c r="P587" i="3"/>
  <c r="R587" i="3" s="1"/>
  <c r="P588" i="3"/>
  <c r="P589" i="3"/>
  <c r="P590" i="3"/>
  <c r="P591" i="3"/>
  <c r="P592" i="3"/>
  <c r="P593" i="3"/>
  <c r="P594" i="3"/>
  <c r="Q594" i="3" s="1"/>
  <c r="P595" i="3"/>
  <c r="R595" i="3" s="1"/>
  <c r="P596" i="3"/>
  <c r="P597" i="3"/>
  <c r="P598" i="3"/>
  <c r="P599" i="3"/>
  <c r="P600" i="3"/>
  <c r="P601" i="3"/>
  <c r="P602" i="3"/>
  <c r="Q602" i="3" s="1"/>
  <c r="Q587" i="3"/>
  <c r="Q12" i="3"/>
  <c r="Q20" i="3"/>
  <c r="Q28" i="3"/>
  <c r="Q36" i="3"/>
  <c r="Q44" i="3"/>
  <c r="Q60" i="3"/>
  <c r="Q67" i="3"/>
  <c r="Q68" i="3"/>
  <c r="Q76" i="3"/>
  <c r="Q108" i="3"/>
  <c r="Q116" i="3"/>
  <c r="Q196" i="3"/>
  <c r="Q212" i="3"/>
  <c r="Q236" i="3"/>
  <c r="Q244" i="3"/>
  <c r="Q294" i="3"/>
  <c r="Q324" i="3"/>
  <c r="Q350" i="3"/>
  <c r="Q356" i="3"/>
  <c r="Q444" i="3"/>
  <c r="Q484" i="3"/>
  <c r="Q532" i="3"/>
  <c r="Q548" i="3"/>
  <c r="C49" i="3"/>
  <c r="C47" i="3"/>
  <c r="C15" i="3"/>
  <c r="B15" i="3"/>
  <c r="O312" i="3"/>
  <c r="O328" i="3"/>
  <c r="O330" i="3"/>
  <c r="O336" i="3"/>
  <c r="O352" i="3"/>
  <c r="O360" i="3"/>
  <c r="O362" i="3"/>
  <c r="O368" i="3"/>
  <c r="O384" i="3"/>
  <c r="O392" i="3"/>
  <c r="O394" i="3"/>
  <c r="O400" i="3"/>
  <c r="O416" i="3"/>
  <c r="O424" i="3"/>
  <c r="O426" i="3"/>
  <c r="O432" i="3"/>
  <c r="O448" i="3"/>
  <c r="O456" i="3"/>
  <c r="O458" i="3"/>
  <c r="O464" i="3"/>
  <c r="O480" i="3"/>
  <c r="O488" i="3"/>
  <c r="O490" i="3"/>
  <c r="O496" i="3"/>
  <c r="O512" i="3"/>
  <c r="O520" i="3"/>
  <c r="O522" i="3"/>
  <c r="O528" i="3"/>
  <c r="O544" i="3"/>
  <c r="O552" i="3"/>
  <c r="O554" i="3"/>
  <c r="O560" i="3"/>
  <c r="O576" i="3"/>
  <c r="O584" i="3"/>
  <c r="O586" i="3"/>
  <c r="O592" i="3"/>
  <c r="L2" i="3"/>
  <c r="M2" i="3" s="1"/>
  <c r="N2" i="3" s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3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J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D27" i="3"/>
  <c r="B27" i="3"/>
  <c r="C26" i="3"/>
  <c r="D20" i="3"/>
  <c r="B20" i="3"/>
  <c r="D30" i="3"/>
  <c r="B30" i="3"/>
  <c r="D29" i="3"/>
  <c r="B29" i="3"/>
  <c r="C24" i="3"/>
  <c r="C17" i="3"/>
  <c r="D16" i="3"/>
  <c r="C44" i="3" s="1"/>
  <c r="O47" i="3" s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2" i="2"/>
  <c r="D13" i="2"/>
  <c r="G83" i="2"/>
  <c r="K83" i="2" s="1"/>
  <c r="G107" i="2"/>
  <c r="K107" i="2" s="1"/>
  <c r="G131" i="2"/>
  <c r="K131" i="2" s="1"/>
  <c r="G147" i="2"/>
  <c r="K147" i="2" s="1"/>
  <c r="G171" i="2"/>
  <c r="K171" i="2" s="1"/>
  <c r="G195" i="2"/>
  <c r="K195" i="2" s="1"/>
  <c r="G211" i="2"/>
  <c r="K211" i="2" s="1"/>
  <c r="G235" i="2"/>
  <c r="K235" i="2" s="1"/>
  <c r="G259" i="2"/>
  <c r="K259" i="2" s="1"/>
  <c r="G275" i="2"/>
  <c r="K275" i="2" s="1"/>
  <c r="G299" i="2"/>
  <c r="K299" i="2" s="1"/>
  <c r="G323" i="2"/>
  <c r="K323" i="2" s="1"/>
  <c r="G339" i="2"/>
  <c r="K339" i="2" s="1"/>
  <c r="G363" i="2"/>
  <c r="K363" i="2" s="1"/>
  <c r="G387" i="2"/>
  <c r="K387" i="2" s="1"/>
  <c r="G403" i="2"/>
  <c r="K403" i="2" s="1"/>
  <c r="G427" i="2"/>
  <c r="K427" i="2" s="1"/>
  <c r="G451" i="2"/>
  <c r="K451" i="2" s="1"/>
  <c r="G467" i="2"/>
  <c r="K467" i="2" s="1"/>
  <c r="G491" i="2"/>
  <c r="K491" i="2" s="1"/>
  <c r="G515" i="2"/>
  <c r="K515" i="2" s="1"/>
  <c r="G531" i="2"/>
  <c r="K531" i="2" s="1"/>
  <c r="G555" i="2"/>
  <c r="K555" i="2" s="1"/>
  <c r="G579" i="2"/>
  <c r="K579" i="2" s="1"/>
  <c r="G595" i="2"/>
  <c r="K595" i="2" s="1"/>
  <c r="F3" i="2"/>
  <c r="F9" i="2"/>
  <c r="F10" i="2"/>
  <c r="F11" i="2"/>
  <c r="F17" i="2"/>
  <c r="F18" i="2"/>
  <c r="F19" i="2"/>
  <c r="F25" i="2"/>
  <c r="F26" i="2"/>
  <c r="F27" i="2"/>
  <c r="F33" i="2"/>
  <c r="F34" i="2"/>
  <c r="F35" i="2"/>
  <c r="F41" i="2"/>
  <c r="F42" i="2"/>
  <c r="F43" i="2"/>
  <c r="F49" i="2"/>
  <c r="F50" i="2"/>
  <c r="F51" i="2"/>
  <c r="F57" i="2"/>
  <c r="F58" i="2"/>
  <c r="F59" i="2"/>
  <c r="F65" i="2"/>
  <c r="F66" i="2"/>
  <c r="F67" i="2"/>
  <c r="F73" i="2"/>
  <c r="F74" i="2"/>
  <c r="F75" i="2"/>
  <c r="F81" i="2"/>
  <c r="F82" i="2"/>
  <c r="F83" i="2"/>
  <c r="J83" i="2" s="1"/>
  <c r="F89" i="2"/>
  <c r="F90" i="2"/>
  <c r="F91" i="2"/>
  <c r="J91" i="2" s="1"/>
  <c r="F97" i="2"/>
  <c r="F98" i="2"/>
  <c r="F99" i="2"/>
  <c r="J99" i="2" s="1"/>
  <c r="F105" i="2"/>
  <c r="F106" i="2"/>
  <c r="F107" i="2"/>
  <c r="J107" i="2" s="1"/>
  <c r="F113" i="2"/>
  <c r="F114" i="2"/>
  <c r="F115" i="2"/>
  <c r="J115" i="2" s="1"/>
  <c r="F121" i="2"/>
  <c r="F122" i="2"/>
  <c r="F123" i="2"/>
  <c r="J123" i="2" s="1"/>
  <c r="F129" i="2"/>
  <c r="F130" i="2"/>
  <c r="F131" i="2"/>
  <c r="J131" i="2" s="1"/>
  <c r="F137" i="2"/>
  <c r="F138" i="2"/>
  <c r="F139" i="2"/>
  <c r="J139" i="2" s="1"/>
  <c r="F145" i="2"/>
  <c r="F146" i="2"/>
  <c r="F147" i="2"/>
  <c r="J147" i="2" s="1"/>
  <c r="F153" i="2"/>
  <c r="F154" i="2"/>
  <c r="F155" i="2"/>
  <c r="J155" i="2" s="1"/>
  <c r="F161" i="2"/>
  <c r="F162" i="2"/>
  <c r="F163" i="2"/>
  <c r="J163" i="2" s="1"/>
  <c r="F169" i="2"/>
  <c r="F170" i="2"/>
  <c r="F171" i="2"/>
  <c r="J171" i="2" s="1"/>
  <c r="F177" i="2"/>
  <c r="F178" i="2"/>
  <c r="F179" i="2"/>
  <c r="J179" i="2" s="1"/>
  <c r="F185" i="2"/>
  <c r="F186" i="2"/>
  <c r="F187" i="2"/>
  <c r="J187" i="2" s="1"/>
  <c r="F193" i="2"/>
  <c r="F194" i="2"/>
  <c r="F195" i="2"/>
  <c r="J195" i="2" s="1"/>
  <c r="F201" i="2"/>
  <c r="F202" i="2"/>
  <c r="F203" i="2"/>
  <c r="J203" i="2" s="1"/>
  <c r="F209" i="2"/>
  <c r="F210" i="2"/>
  <c r="F211" i="2"/>
  <c r="J211" i="2" s="1"/>
  <c r="F217" i="2"/>
  <c r="F218" i="2"/>
  <c r="F219" i="2"/>
  <c r="J219" i="2" s="1"/>
  <c r="F225" i="2"/>
  <c r="F226" i="2"/>
  <c r="F227" i="2"/>
  <c r="J227" i="2" s="1"/>
  <c r="F233" i="2"/>
  <c r="F234" i="2"/>
  <c r="F235" i="2"/>
  <c r="J235" i="2" s="1"/>
  <c r="F241" i="2"/>
  <c r="F242" i="2"/>
  <c r="F243" i="2"/>
  <c r="J243" i="2" s="1"/>
  <c r="F249" i="2"/>
  <c r="F250" i="2"/>
  <c r="F251" i="2"/>
  <c r="J251" i="2" s="1"/>
  <c r="F257" i="2"/>
  <c r="F258" i="2"/>
  <c r="F259" i="2"/>
  <c r="J259" i="2" s="1"/>
  <c r="F265" i="2"/>
  <c r="F266" i="2"/>
  <c r="F267" i="2"/>
  <c r="J267" i="2" s="1"/>
  <c r="F273" i="2"/>
  <c r="F274" i="2"/>
  <c r="F275" i="2"/>
  <c r="J275" i="2" s="1"/>
  <c r="F281" i="2"/>
  <c r="F282" i="2"/>
  <c r="F283" i="2"/>
  <c r="J283" i="2" s="1"/>
  <c r="F289" i="2"/>
  <c r="F290" i="2"/>
  <c r="F291" i="2"/>
  <c r="J291" i="2" s="1"/>
  <c r="F297" i="2"/>
  <c r="F298" i="2"/>
  <c r="F299" i="2"/>
  <c r="J299" i="2" s="1"/>
  <c r="F305" i="2"/>
  <c r="F306" i="2"/>
  <c r="F307" i="2"/>
  <c r="J307" i="2" s="1"/>
  <c r="F313" i="2"/>
  <c r="F314" i="2"/>
  <c r="F315" i="2"/>
  <c r="J315" i="2" s="1"/>
  <c r="F321" i="2"/>
  <c r="F322" i="2"/>
  <c r="F323" i="2"/>
  <c r="J323" i="2" s="1"/>
  <c r="F329" i="2"/>
  <c r="F330" i="2"/>
  <c r="F331" i="2"/>
  <c r="J331" i="2" s="1"/>
  <c r="F337" i="2"/>
  <c r="F338" i="2"/>
  <c r="F339" i="2"/>
  <c r="J339" i="2" s="1"/>
  <c r="F345" i="2"/>
  <c r="F346" i="2"/>
  <c r="F347" i="2"/>
  <c r="J347" i="2" s="1"/>
  <c r="F353" i="2"/>
  <c r="F354" i="2"/>
  <c r="F355" i="2"/>
  <c r="J355" i="2" s="1"/>
  <c r="F361" i="2"/>
  <c r="F362" i="2"/>
  <c r="F363" i="2"/>
  <c r="J363" i="2" s="1"/>
  <c r="F369" i="2"/>
  <c r="F370" i="2"/>
  <c r="F371" i="2"/>
  <c r="J371" i="2" s="1"/>
  <c r="F377" i="2"/>
  <c r="F378" i="2"/>
  <c r="F379" i="2"/>
  <c r="J379" i="2" s="1"/>
  <c r="F385" i="2"/>
  <c r="F386" i="2"/>
  <c r="F387" i="2"/>
  <c r="J387" i="2" s="1"/>
  <c r="F393" i="2"/>
  <c r="F394" i="2"/>
  <c r="F395" i="2"/>
  <c r="J395" i="2" s="1"/>
  <c r="F401" i="2"/>
  <c r="F402" i="2"/>
  <c r="F403" i="2"/>
  <c r="J403" i="2" s="1"/>
  <c r="F409" i="2"/>
  <c r="F410" i="2"/>
  <c r="F411" i="2"/>
  <c r="J411" i="2" s="1"/>
  <c r="F417" i="2"/>
  <c r="F418" i="2"/>
  <c r="F419" i="2"/>
  <c r="J419" i="2" s="1"/>
  <c r="F425" i="2"/>
  <c r="F426" i="2"/>
  <c r="F427" i="2"/>
  <c r="J427" i="2" s="1"/>
  <c r="F433" i="2"/>
  <c r="F434" i="2"/>
  <c r="F435" i="2"/>
  <c r="J435" i="2" s="1"/>
  <c r="F441" i="2"/>
  <c r="F442" i="2"/>
  <c r="F443" i="2"/>
  <c r="J443" i="2" s="1"/>
  <c r="F449" i="2"/>
  <c r="F450" i="2"/>
  <c r="F451" i="2"/>
  <c r="J451" i="2" s="1"/>
  <c r="F457" i="2"/>
  <c r="F458" i="2"/>
  <c r="F459" i="2"/>
  <c r="J459" i="2" s="1"/>
  <c r="F465" i="2"/>
  <c r="F466" i="2"/>
  <c r="F467" i="2"/>
  <c r="J467" i="2" s="1"/>
  <c r="F473" i="2"/>
  <c r="F474" i="2"/>
  <c r="F475" i="2"/>
  <c r="J475" i="2" s="1"/>
  <c r="F481" i="2"/>
  <c r="F482" i="2"/>
  <c r="F483" i="2"/>
  <c r="J483" i="2" s="1"/>
  <c r="F489" i="2"/>
  <c r="F490" i="2"/>
  <c r="F491" i="2"/>
  <c r="J491" i="2" s="1"/>
  <c r="F497" i="2"/>
  <c r="F498" i="2"/>
  <c r="F499" i="2"/>
  <c r="J499" i="2" s="1"/>
  <c r="F505" i="2"/>
  <c r="F506" i="2"/>
  <c r="F507" i="2"/>
  <c r="J507" i="2" s="1"/>
  <c r="F513" i="2"/>
  <c r="F514" i="2"/>
  <c r="F515" i="2"/>
  <c r="J515" i="2" s="1"/>
  <c r="F521" i="2"/>
  <c r="F522" i="2"/>
  <c r="F523" i="2"/>
  <c r="J523" i="2" s="1"/>
  <c r="F529" i="2"/>
  <c r="F530" i="2"/>
  <c r="F531" i="2"/>
  <c r="J531" i="2" s="1"/>
  <c r="F537" i="2"/>
  <c r="F538" i="2"/>
  <c r="F539" i="2"/>
  <c r="J539" i="2" s="1"/>
  <c r="F545" i="2"/>
  <c r="F546" i="2"/>
  <c r="F547" i="2"/>
  <c r="J547" i="2" s="1"/>
  <c r="F553" i="2"/>
  <c r="F554" i="2"/>
  <c r="F555" i="2"/>
  <c r="J555" i="2" s="1"/>
  <c r="F561" i="2"/>
  <c r="F562" i="2"/>
  <c r="F563" i="2"/>
  <c r="J563" i="2" s="1"/>
  <c r="F569" i="2"/>
  <c r="F570" i="2"/>
  <c r="F571" i="2"/>
  <c r="J571" i="2" s="1"/>
  <c r="F577" i="2"/>
  <c r="F578" i="2"/>
  <c r="F579" i="2"/>
  <c r="J579" i="2" s="1"/>
  <c r="F585" i="2"/>
  <c r="F586" i="2"/>
  <c r="F587" i="2"/>
  <c r="J587" i="2" s="1"/>
  <c r="F593" i="2"/>
  <c r="F594" i="2"/>
  <c r="F595" i="2"/>
  <c r="J595" i="2" s="1"/>
  <c r="F601" i="2"/>
  <c r="F602" i="2"/>
  <c r="F2" i="2"/>
  <c r="J2" i="2" s="1"/>
  <c r="E2" i="2" a="1"/>
  <c r="E2" i="2" s="1"/>
  <c r="F3" i="1"/>
  <c r="H3" i="1" s="1"/>
  <c r="I3" i="1" s="1"/>
  <c r="F4" i="1"/>
  <c r="H4" i="1" s="1"/>
  <c r="I4" i="1" s="1"/>
  <c r="F5" i="1"/>
  <c r="H5" i="1" s="1"/>
  <c r="I5" i="1" s="1"/>
  <c r="F6" i="1"/>
  <c r="C6" i="1" s="1"/>
  <c r="F7" i="1"/>
  <c r="H7" i="1" s="1"/>
  <c r="I7" i="1" s="1"/>
  <c r="F8" i="1"/>
  <c r="F9" i="1"/>
  <c r="F10" i="1"/>
  <c r="H10" i="1" s="1"/>
  <c r="I10" i="1" s="1"/>
  <c r="F11" i="1"/>
  <c r="H11" i="1" s="1"/>
  <c r="L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F17" i="1"/>
  <c r="F18" i="1"/>
  <c r="H18" i="1" s="1"/>
  <c r="I18" i="1" s="1"/>
  <c r="F19" i="1"/>
  <c r="H19" i="1" s="1"/>
  <c r="L19" i="1" s="1"/>
  <c r="F20" i="1"/>
  <c r="H20" i="1" s="1"/>
  <c r="L20" i="1" s="1"/>
  <c r="F21" i="1"/>
  <c r="H21" i="1" s="1"/>
  <c r="I21" i="1" s="1"/>
  <c r="F22" i="1"/>
  <c r="H22" i="1" s="1"/>
  <c r="I22" i="1" s="1"/>
  <c r="F23" i="1"/>
  <c r="H23" i="1" s="1"/>
  <c r="I23" i="1" s="1"/>
  <c r="F24" i="1"/>
  <c r="F25" i="1"/>
  <c r="F26" i="1"/>
  <c r="F27" i="1"/>
  <c r="H27" i="1" s="1"/>
  <c r="L27" i="1" s="1"/>
  <c r="F28" i="1"/>
  <c r="H28" i="1" s="1"/>
  <c r="L28" i="1" s="1"/>
  <c r="F29" i="1"/>
  <c r="H29" i="1" s="1"/>
  <c r="I29" i="1" s="1"/>
  <c r="F30" i="1"/>
  <c r="H30" i="1" s="1"/>
  <c r="I30" i="1" s="1"/>
  <c r="F31" i="1"/>
  <c r="H31" i="1" s="1"/>
  <c r="I31" i="1" s="1"/>
  <c r="F32" i="1"/>
  <c r="H32" i="1" s="1"/>
  <c r="I32" i="1" s="1"/>
  <c r="F33" i="1"/>
  <c r="F34" i="1"/>
  <c r="H34" i="1" s="1"/>
  <c r="I34" i="1" s="1"/>
  <c r="F35" i="1"/>
  <c r="H35" i="1" s="1"/>
  <c r="L35" i="1" s="1"/>
  <c r="F36" i="1"/>
  <c r="H36" i="1" s="1"/>
  <c r="I36" i="1" s="1"/>
  <c r="F37" i="1"/>
  <c r="H37" i="1" s="1"/>
  <c r="I37" i="1" s="1"/>
  <c r="F38" i="1"/>
  <c r="H38" i="1" s="1"/>
  <c r="I38" i="1" s="1"/>
  <c r="F39" i="1"/>
  <c r="H39" i="1" s="1"/>
  <c r="I39" i="1" s="1"/>
  <c r="F40" i="1"/>
  <c r="H40" i="1" s="1"/>
  <c r="I40" i="1" s="1"/>
  <c r="F41" i="1"/>
  <c r="F42" i="1"/>
  <c r="H42" i="1" s="1"/>
  <c r="I42" i="1" s="1"/>
  <c r="F43" i="1"/>
  <c r="H43" i="1" s="1"/>
  <c r="L43" i="1" s="1"/>
  <c r="F44" i="1"/>
  <c r="H44" i="1" s="1"/>
  <c r="I44" i="1" s="1"/>
  <c r="F45" i="1"/>
  <c r="H45" i="1" s="1"/>
  <c r="I45" i="1" s="1"/>
  <c r="F46" i="1"/>
  <c r="F47" i="1"/>
  <c r="H47" i="1" s="1"/>
  <c r="I47" i="1" s="1"/>
  <c r="F48" i="1"/>
  <c r="H48" i="1" s="1"/>
  <c r="I48" i="1" s="1"/>
  <c r="F49" i="1"/>
  <c r="F50" i="1"/>
  <c r="H50" i="1" s="1"/>
  <c r="I50" i="1" s="1"/>
  <c r="F51" i="1"/>
  <c r="H51" i="1" s="1"/>
  <c r="L51" i="1" s="1"/>
  <c r="F52" i="1"/>
  <c r="H52" i="1" s="1"/>
  <c r="I52" i="1" s="1"/>
  <c r="F53" i="1"/>
  <c r="H53" i="1" s="1"/>
  <c r="I53" i="1" s="1"/>
  <c r="F54" i="1"/>
  <c r="H54" i="1" s="1"/>
  <c r="I54" i="1" s="1"/>
  <c r="F55" i="1"/>
  <c r="H55" i="1" s="1"/>
  <c r="I55" i="1" s="1"/>
  <c r="F56" i="1"/>
  <c r="H56" i="1" s="1"/>
  <c r="I56" i="1" s="1"/>
  <c r="F57" i="1"/>
  <c r="F58" i="1"/>
  <c r="H58" i="1" s="1"/>
  <c r="I58" i="1" s="1"/>
  <c r="F59" i="1"/>
  <c r="H59" i="1" s="1"/>
  <c r="L59" i="1" s="1"/>
  <c r="F60" i="1"/>
  <c r="H60" i="1" s="1"/>
  <c r="I60" i="1" s="1"/>
  <c r="F61" i="1"/>
  <c r="H61" i="1" s="1"/>
  <c r="I61" i="1" s="1"/>
  <c r="F62" i="1"/>
  <c r="H62" i="1" s="1"/>
  <c r="I62" i="1" s="1"/>
  <c r="F63" i="1"/>
  <c r="H63" i="1" s="1"/>
  <c r="I63" i="1" s="1"/>
  <c r="F64" i="1"/>
  <c r="H64" i="1" s="1"/>
  <c r="I64" i="1" s="1"/>
  <c r="F65" i="1"/>
  <c r="F66" i="1"/>
  <c r="H66" i="1" s="1"/>
  <c r="I66" i="1" s="1"/>
  <c r="F67" i="1"/>
  <c r="H67" i="1" s="1"/>
  <c r="L67" i="1" s="1"/>
  <c r="M67" i="1" s="1"/>
  <c r="N67" i="1" s="1"/>
  <c r="O67" i="1" s="1"/>
  <c r="F68" i="1"/>
  <c r="H68" i="1" s="1"/>
  <c r="I68" i="1" s="1"/>
  <c r="F69" i="1"/>
  <c r="H69" i="1" s="1"/>
  <c r="I69" i="1" s="1"/>
  <c r="F70" i="1"/>
  <c r="H70" i="1" s="1"/>
  <c r="I70" i="1" s="1"/>
  <c r="F71" i="1"/>
  <c r="H71" i="1" s="1"/>
  <c r="I71" i="1" s="1"/>
  <c r="F72" i="1"/>
  <c r="H72" i="1" s="1"/>
  <c r="I72" i="1" s="1"/>
  <c r="F73" i="1"/>
  <c r="F74" i="1"/>
  <c r="H74" i="1" s="1"/>
  <c r="I74" i="1" s="1"/>
  <c r="F75" i="1"/>
  <c r="H75" i="1" s="1"/>
  <c r="I75" i="1" s="1"/>
  <c r="F76" i="1"/>
  <c r="H76" i="1" s="1"/>
  <c r="I76" i="1" s="1"/>
  <c r="F77" i="1"/>
  <c r="H77" i="1" s="1"/>
  <c r="I77" i="1" s="1"/>
  <c r="F78" i="1"/>
  <c r="H78" i="1" s="1"/>
  <c r="I78" i="1" s="1"/>
  <c r="F79" i="1"/>
  <c r="H79" i="1" s="1"/>
  <c r="I79" i="1" s="1"/>
  <c r="F80" i="1"/>
  <c r="H80" i="1" s="1"/>
  <c r="I80" i="1" s="1"/>
  <c r="F81" i="1"/>
  <c r="F82" i="1"/>
  <c r="H82" i="1" s="1"/>
  <c r="I82" i="1" s="1"/>
  <c r="F83" i="1"/>
  <c r="H83" i="1" s="1"/>
  <c r="L83" i="1" s="1"/>
  <c r="F84" i="1"/>
  <c r="H84" i="1" s="1"/>
  <c r="I84" i="1" s="1"/>
  <c r="F85" i="1"/>
  <c r="H85" i="1" s="1"/>
  <c r="I85" i="1" s="1"/>
  <c r="F86" i="1"/>
  <c r="H86" i="1" s="1"/>
  <c r="I86" i="1" s="1"/>
  <c r="F87" i="1"/>
  <c r="H87" i="1" s="1"/>
  <c r="I87" i="1" s="1"/>
  <c r="F88" i="1"/>
  <c r="H88" i="1" s="1"/>
  <c r="I88" i="1" s="1"/>
  <c r="F89" i="1"/>
  <c r="F90" i="1"/>
  <c r="F91" i="1"/>
  <c r="H91" i="1" s="1"/>
  <c r="L91" i="1" s="1"/>
  <c r="F92" i="1"/>
  <c r="H92" i="1" s="1"/>
  <c r="I92" i="1" s="1"/>
  <c r="F93" i="1"/>
  <c r="H93" i="1" s="1"/>
  <c r="I93" i="1" s="1"/>
  <c r="F94" i="1"/>
  <c r="H94" i="1" s="1"/>
  <c r="I94" i="1" s="1"/>
  <c r="F95" i="1"/>
  <c r="H95" i="1" s="1"/>
  <c r="I95" i="1" s="1"/>
  <c r="F96" i="1"/>
  <c r="H96" i="1" s="1"/>
  <c r="I96" i="1" s="1"/>
  <c r="F97" i="1"/>
  <c r="F98" i="1"/>
  <c r="H98" i="1" s="1"/>
  <c r="I98" i="1" s="1"/>
  <c r="F99" i="1"/>
  <c r="H99" i="1" s="1"/>
  <c r="I99" i="1" s="1"/>
  <c r="F100" i="1"/>
  <c r="H100" i="1" s="1"/>
  <c r="I100" i="1" s="1"/>
  <c r="F101" i="1"/>
  <c r="H101" i="1" s="1"/>
  <c r="I101" i="1" s="1"/>
  <c r="F102" i="1"/>
  <c r="H102" i="1" s="1"/>
  <c r="I102" i="1" s="1"/>
  <c r="F103" i="1"/>
  <c r="H103" i="1" s="1"/>
  <c r="I103" i="1" s="1"/>
  <c r="F104" i="1"/>
  <c r="H104" i="1" s="1"/>
  <c r="I104" i="1" s="1"/>
  <c r="F105" i="1"/>
  <c r="F106" i="1"/>
  <c r="H106" i="1" s="1"/>
  <c r="I106" i="1" s="1"/>
  <c r="F107" i="1"/>
  <c r="H107" i="1" s="1"/>
  <c r="L107" i="1" s="1"/>
  <c r="F108" i="1"/>
  <c r="H108" i="1" s="1"/>
  <c r="I108" i="1" s="1"/>
  <c r="F109" i="1"/>
  <c r="H109" i="1" s="1"/>
  <c r="I109" i="1" s="1"/>
  <c r="F110" i="1"/>
  <c r="H110" i="1" s="1"/>
  <c r="I110" i="1" s="1"/>
  <c r="F111" i="1"/>
  <c r="H111" i="1" s="1"/>
  <c r="I111" i="1" s="1"/>
  <c r="F112" i="1"/>
  <c r="H112" i="1" s="1"/>
  <c r="I112" i="1" s="1"/>
  <c r="F113" i="1"/>
  <c r="F114" i="1"/>
  <c r="H114" i="1" s="1"/>
  <c r="I114" i="1" s="1"/>
  <c r="F115" i="1"/>
  <c r="H115" i="1" s="1"/>
  <c r="L115" i="1" s="1"/>
  <c r="F116" i="1"/>
  <c r="H116" i="1" s="1"/>
  <c r="L116" i="1" s="1"/>
  <c r="F117" i="1"/>
  <c r="H117" i="1" s="1"/>
  <c r="I117" i="1" s="1"/>
  <c r="F118" i="1"/>
  <c r="H118" i="1" s="1"/>
  <c r="I118" i="1" s="1"/>
  <c r="F119" i="1"/>
  <c r="H119" i="1" s="1"/>
  <c r="I119" i="1" s="1"/>
  <c r="F120" i="1"/>
  <c r="H120" i="1" s="1"/>
  <c r="I120" i="1" s="1"/>
  <c r="F121" i="1"/>
  <c r="F122" i="1"/>
  <c r="H122" i="1" s="1"/>
  <c r="I122" i="1" s="1"/>
  <c r="F123" i="1"/>
  <c r="H123" i="1" s="1"/>
  <c r="L123" i="1" s="1"/>
  <c r="F124" i="1"/>
  <c r="H124" i="1" s="1"/>
  <c r="L124" i="1" s="1"/>
  <c r="F125" i="1"/>
  <c r="H125" i="1" s="1"/>
  <c r="I125" i="1" s="1"/>
  <c r="F126" i="1"/>
  <c r="H126" i="1" s="1"/>
  <c r="I126" i="1" s="1"/>
  <c r="F127" i="1"/>
  <c r="H127" i="1" s="1"/>
  <c r="I127" i="1" s="1"/>
  <c r="F128" i="1"/>
  <c r="H128" i="1" s="1"/>
  <c r="I128" i="1" s="1"/>
  <c r="F129" i="1"/>
  <c r="F130" i="1"/>
  <c r="H130" i="1" s="1"/>
  <c r="I130" i="1" s="1"/>
  <c r="F131" i="1"/>
  <c r="H131" i="1" s="1"/>
  <c r="I131" i="1" s="1"/>
  <c r="F132" i="1"/>
  <c r="H132" i="1" s="1"/>
  <c r="I132" i="1" s="1"/>
  <c r="F133" i="1"/>
  <c r="H133" i="1" s="1"/>
  <c r="I133" i="1" s="1"/>
  <c r="F134" i="1"/>
  <c r="H134" i="1" s="1"/>
  <c r="I134" i="1" s="1"/>
  <c r="F135" i="1"/>
  <c r="H135" i="1" s="1"/>
  <c r="I135" i="1" s="1"/>
  <c r="F136" i="1"/>
  <c r="H136" i="1" s="1"/>
  <c r="I136" i="1" s="1"/>
  <c r="F137" i="1"/>
  <c r="F138" i="1"/>
  <c r="H138" i="1" s="1"/>
  <c r="I138" i="1" s="1"/>
  <c r="F139" i="1"/>
  <c r="H139" i="1" s="1"/>
  <c r="L139" i="1" s="1"/>
  <c r="M139" i="1" s="1"/>
  <c r="N139" i="1" s="1"/>
  <c r="O139" i="1" s="1"/>
  <c r="F140" i="1"/>
  <c r="H140" i="1" s="1"/>
  <c r="L140" i="1" s="1"/>
  <c r="F141" i="1"/>
  <c r="H141" i="1" s="1"/>
  <c r="I141" i="1" s="1"/>
  <c r="F142" i="1"/>
  <c r="H142" i="1" s="1"/>
  <c r="I142" i="1" s="1"/>
  <c r="F143" i="1"/>
  <c r="H143" i="1" s="1"/>
  <c r="I143" i="1" s="1"/>
  <c r="F144" i="1"/>
  <c r="H144" i="1" s="1"/>
  <c r="I144" i="1" s="1"/>
  <c r="F145" i="1"/>
  <c r="F146" i="1"/>
  <c r="H146" i="1" s="1"/>
  <c r="I146" i="1" s="1"/>
  <c r="F147" i="1"/>
  <c r="H147" i="1" s="1"/>
  <c r="I147" i="1" s="1"/>
  <c r="F148" i="1"/>
  <c r="H148" i="1" s="1"/>
  <c r="L148" i="1" s="1"/>
  <c r="F149" i="1"/>
  <c r="H149" i="1" s="1"/>
  <c r="I149" i="1" s="1"/>
  <c r="F150" i="1"/>
  <c r="H150" i="1" s="1"/>
  <c r="I150" i="1" s="1"/>
  <c r="F151" i="1"/>
  <c r="H151" i="1" s="1"/>
  <c r="I151" i="1" s="1"/>
  <c r="F152" i="1"/>
  <c r="H152" i="1" s="1"/>
  <c r="I152" i="1" s="1"/>
  <c r="F153" i="1"/>
  <c r="F154" i="1"/>
  <c r="F155" i="1"/>
  <c r="H155" i="1" s="1"/>
  <c r="I155" i="1" s="1"/>
  <c r="F156" i="1"/>
  <c r="H156" i="1" s="1"/>
  <c r="L156" i="1" s="1"/>
  <c r="F157" i="1"/>
  <c r="H157" i="1" s="1"/>
  <c r="I157" i="1" s="1"/>
  <c r="F158" i="1"/>
  <c r="H158" i="1" s="1"/>
  <c r="I158" i="1" s="1"/>
  <c r="F159" i="1"/>
  <c r="H159" i="1" s="1"/>
  <c r="I159" i="1" s="1"/>
  <c r="F160" i="1"/>
  <c r="H160" i="1" s="1"/>
  <c r="I160" i="1" s="1"/>
  <c r="F161" i="1"/>
  <c r="F162" i="1"/>
  <c r="H162" i="1" s="1"/>
  <c r="I162" i="1" s="1"/>
  <c r="F163" i="1"/>
  <c r="H163" i="1" s="1"/>
  <c r="I163" i="1" s="1"/>
  <c r="F164" i="1"/>
  <c r="H164" i="1" s="1"/>
  <c r="I164" i="1" s="1"/>
  <c r="F165" i="1"/>
  <c r="H165" i="1" s="1"/>
  <c r="I165" i="1" s="1"/>
  <c r="F166" i="1"/>
  <c r="H166" i="1" s="1"/>
  <c r="I166" i="1" s="1"/>
  <c r="F167" i="1"/>
  <c r="H167" i="1" s="1"/>
  <c r="I167" i="1" s="1"/>
  <c r="F168" i="1"/>
  <c r="H168" i="1" s="1"/>
  <c r="I168" i="1" s="1"/>
  <c r="F169" i="1"/>
  <c r="F170" i="1"/>
  <c r="H170" i="1" s="1"/>
  <c r="I170" i="1" s="1"/>
  <c r="F171" i="1"/>
  <c r="H171" i="1" s="1"/>
  <c r="I171" i="1" s="1"/>
  <c r="F172" i="1"/>
  <c r="H172" i="1" s="1"/>
  <c r="I172" i="1" s="1"/>
  <c r="F173" i="1"/>
  <c r="H173" i="1" s="1"/>
  <c r="I173" i="1" s="1"/>
  <c r="F174" i="1"/>
  <c r="H174" i="1" s="1"/>
  <c r="I174" i="1" s="1"/>
  <c r="F175" i="1"/>
  <c r="H175" i="1" s="1"/>
  <c r="I175" i="1" s="1"/>
  <c r="F176" i="1"/>
  <c r="H176" i="1" s="1"/>
  <c r="I176" i="1" s="1"/>
  <c r="F177" i="1"/>
  <c r="F178" i="1"/>
  <c r="H178" i="1" s="1"/>
  <c r="I178" i="1" s="1"/>
  <c r="F179" i="1"/>
  <c r="H179" i="1" s="1"/>
  <c r="I179" i="1" s="1"/>
  <c r="F180" i="1"/>
  <c r="H180" i="1" s="1"/>
  <c r="L180" i="1" s="1"/>
  <c r="F181" i="1"/>
  <c r="H181" i="1" s="1"/>
  <c r="I181" i="1" s="1"/>
  <c r="F182" i="1"/>
  <c r="H182" i="1" s="1"/>
  <c r="I182" i="1" s="1"/>
  <c r="F183" i="1"/>
  <c r="H183" i="1" s="1"/>
  <c r="I183" i="1" s="1"/>
  <c r="F184" i="1"/>
  <c r="H184" i="1" s="1"/>
  <c r="I184" i="1" s="1"/>
  <c r="F185" i="1"/>
  <c r="F186" i="1"/>
  <c r="H186" i="1" s="1"/>
  <c r="I186" i="1" s="1"/>
  <c r="F187" i="1"/>
  <c r="H187" i="1" s="1"/>
  <c r="I187" i="1" s="1"/>
  <c r="F188" i="1"/>
  <c r="H188" i="1" s="1"/>
  <c r="L188" i="1" s="1"/>
  <c r="F189" i="1"/>
  <c r="H189" i="1" s="1"/>
  <c r="I189" i="1" s="1"/>
  <c r="F190" i="1"/>
  <c r="H190" i="1" s="1"/>
  <c r="I190" i="1" s="1"/>
  <c r="F191" i="1"/>
  <c r="H191" i="1" s="1"/>
  <c r="I191" i="1" s="1"/>
  <c r="F192" i="1"/>
  <c r="H192" i="1" s="1"/>
  <c r="I192" i="1" s="1"/>
  <c r="F193" i="1"/>
  <c r="F194" i="1"/>
  <c r="H194" i="1" s="1"/>
  <c r="I194" i="1" s="1"/>
  <c r="F195" i="1"/>
  <c r="H195" i="1" s="1"/>
  <c r="I195" i="1" s="1"/>
  <c r="F196" i="1"/>
  <c r="H196" i="1" s="1"/>
  <c r="I196" i="1" s="1"/>
  <c r="F197" i="1"/>
  <c r="H197" i="1" s="1"/>
  <c r="I197" i="1" s="1"/>
  <c r="F198" i="1"/>
  <c r="H198" i="1" s="1"/>
  <c r="I198" i="1" s="1"/>
  <c r="F199" i="1"/>
  <c r="H199" i="1" s="1"/>
  <c r="I199" i="1" s="1"/>
  <c r="F200" i="1"/>
  <c r="H200" i="1" s="1"/>
  <c r="I200" i="1" s="1"/>
  <c r="F201" i="1"/>
  <c r="F202" i="1"/>
  <c r="H202" i="1" s="1"/>
  <c r="I202" i="1" s="1"/>
  <c r="F203" i="1"/>
  <c r="H203" i="1" s="1"/>
  <c r="L203" i="1" s="1"/>
  <c r="F204" i="1"/>
  <c r="H204" i="1" s="1"/>
  <c r="I204" i="1" s="1"/>
  <c r="F205" i="1"/>
  <c r="H205" i="1" s="1"/>
  <c r="I205" i="1" s="1"/>
  <c r="F206" i="1"/>
  <c r="H206" i="1" s="1"/>
  <c r="I206" i="1" s="1"/>
  <c r="F207" i="1"/>
  <c r="H207" i="1" s="1"/>
  <c r="I207" i="1" s="1"/>
  <c r="F208" i="1"/>
  <c r="H208" i="1" s="1"/>
  <c r="I208" i="1" s="1"/>
  <c r="F209" i="1"/>
  <c r="F210" i="1"/>
  <c r="H210" i="1" s="1"/>
  <c r="I210" i="1" s="1"/>
  <c r="F211" i="1"/>
  <c r="H211" i="1" s="1"/>
  <c r="L211" i="1" s="1"/>
  <c r="M211" i="1" s="1"/>
  <c r="N211" i="1" s="1"/>
  <c r="O211" i="1" s="1"/>
  <c r="F212" i="1"/>
  <c r="H212" i="1" s="1"/>
  <c r="I212" i="1" s="1"/>
  <c r="F213" i="1"/>
  <c r="H213" i="1" s="1"/>
  <c r="I213" i="1" s="1"/>
  <c r="F214" i="1"/>
  <c r="H214" i="1" s="1"/>
  <c r="I214" i="1" s="1"/>
  <c r="F215" i="1"/>
  <c r="H215" i="1" s="1"/>
  <c r="I215" i="1" s="1"/>
  <c r="F216" i="1"/>
  <c r="H216" i="1" s="1"/>
  <c r="I216" i="1" s="1"/>
  <c r="F217" i="1"/>
  <c r="F218" i="1"/>
  <c r="F219" i="1"/>
  <c r="H219" i="1" s="1"/>
  <c r="L219" i="1" s="1"/>
  <c r="M219" i="1" s="1"/>
  <c r="N219" i="1" s="1"/>
  <c r="O219" i="1" s="1"/>
  <c r="F220" i="1"/>
  <c r="H220" i="1" s="1"/>
  <c r="I220" i="1" s="1"/>
  <c r="F221" i="1"/>
  <c r="H221" i="1" s="1"/>
  <c r="I221" i="1" s="1"/>
  <c r="F222" i="1"/>
  <c r="H222" i="1" s="1"/>
  <c r="I222" i="1" s="1"/>
  <c r="F223" i="1"/>
  <c r="H223" i="1" s="1"/>
  <c r="I223" i="1" s="1"/>
  <c r="F224" i="1"/>
  <c r="H224" i="1" s="1"/>
  <c r="I224" i="1" s="1"/>
  <c r="F225" i="1"/>
  <c r="F226" i="1"/>
  <c r="H226" i="1" s="1"/>
  <c r="I226" i="1" s="1"/>
  <c r="F227" i="1"/>
  <c r="H227" i="1" s="1"/>
  <c r="I227" i="1" s="1"/>
  <c r="F228" i="1"/>
  <c r="H228" i="1" s="1"/>
  <c r="I228" i="1" s="1"/>
  <c r="F229" i="1"/>
  <c r="H229" i="1" s="1"/>
  <c r="I229" i="1" s="1"/>
  <c r="F230" i="1"/>
  <c r="H230" i="1" s="1"/>
  <c r="I230" i="1" s="1"/>
  <c r="F231" i="1"/>
  <c r="H231" i="1" s="1"/>
  <c r="I231" i="1" s="1"/>
  <c r="F232" i="1"/>
  <c r="H232" i="1" s="1"/>
  <c r="I232" i="1" s="1"/>
  <c r="F233" i="1"/>
  <c r="F234" i="1"/>
  <c r="H234" i="1" s="1"/>
  <c r="I234" i="1" s="1"/>
  <c r="F235" i="1"/>
  <c r="H235" i="1" s="1"/>
  <c r="I235" i="1" s="1"/>
  <c r="F236" i="1"/>
  <c r="H236" i="1" s="1"/>
  <c r="I236" i="1" s="1"/>
  <c r="F237" i="1"/>
  <c r="H237" i="1" s="1"/>
  <c r="I237" i="1" s="1"/>
  <c r="F238" i="1"/>
  <c r="H238" i="1" s="1"/>
  <c r="I238" i="1" s="1"/>
  <c r="F239" i="1"/>
  <c r="H239" i="1" s="1"/>
  <c r="I239" i="1" s="1"/>
  <c r="F240" i="1"/>
  <c r="H240" i="1" s="1"/>
  <c r="I240" i="1" s="1"/>
  <c r="F241" i="1"/>
  <c r="F242" i="1"/>
  <c r="H242" i="1" s="1"/>
  <c r="I242" i="1" s="1"/>
  <c r="F243" i="1"/>
  <c r="H243" i="1" s="1"/>
  <c r="I243" i="1" s="1"/>
  <c r="F244" i="1"/>
  <c r="H244" i="1" s="1"/>
  <c r="I244" i="1" s="1"/>
  <c r="F245" i="1"/>
  <c r="H245" i="1" s="1"/>
  <c r="I245" i="1" s="1"/>
  <c r="F246" i="1"/>
  <c r="H246" i="1" s="1"/>
  <c r="I246" i="1" s="1"/>
  <c r="F247" i="1"/>
  <c r="H247" i="1" s="1"/>
  <c r="I247" i="1" s="1"/>
  <c r="F248" i="1"/>
  <c r="H248" i="1" s="1"/>
  <c r="I248" i="1" s="1"/>
  <c r="F249" i="1"/>
  <c r="F250" i="1"/>
  <c r="H250" i="1" s="1"/>
  <c r="I250" i="1" s="1"/>
  <c r="F251" i="1"/>
  <c r="H251" i="1" s="1"/>
  <c r="I251" i="1" s="1"/>
  <c r="F252" i="1"/>
  <c r="H252" i="1" s="1"/>
  <c r="I252" i="1" s="1"/>
  <c r="F253" i="1"/>
  <c r="H253" i="1" s="1"/>
  <c r="I253" i="1" s="1"/>
  <c r="F254" i="1"/>
  <c r="H254" i="1" s="1"/>
  <c r="I254" i="1" s="1"/>
  <c r="F255" i="1"/>
  <c r="H255" i="1" s="1"/>
  <c r="I255" i="1" s="1"/>
  <c r="F256" i="1"/>
  <c r="H256" i="1" s="1"/>
  <c r="I256" i="1" s="1"/>
  <c r="F257" i="1"/>
  <c r="F258" i="1"/>
  <c r="H258" i="1" s="1"/>
  <c r="I258" i="1" s="1"/>
  <c r="F259" i="1"/>
  <c r="H259" i="1" s="1"/>
  <c r="I259" i="1" s="1"/>
  <c r="F260" i="1"/>
  <c r="H260" i="1" s="1"/>
  <c r="I260" i="1" s="1"/>
  <c r="F261" i="1"/>
  <c r="H261" i="1" s="1"/>
  <c r="I261" i="1" s="1"/>
  <c r="F262" i="1"/>
  <c r="H262" i="1" s="1"/>
  <c r="I262" i="1" s="1"/>
  <c r="F263" i="1"/>
  <c r="H263" i="1" s="1"/>
  <c r="I263" i="1" s="1"/>
  <c r="F264" i="1"/>
  <c r="H264" i="1" s="1"/>
  <c r="I264" i="1" s="1"/>
  <c r="F265" i="1"/>
  <c r="F266" i="1"/>
  <c r="H266" i="1" s="1"/>
  <c r="I266" i="1" s="1"/>
  <c r="F267" i="1"/>
  <c r="H267" i="1" s="1"/>
  <c r="I267" i="1" s="1"/>
  <c r="F268" i="1"/>
  <c r="H268" i="1" s="1"/>
  <c r="I268" i="1" s="1"/>
  <c r="F269" i="1"/>
  <c r="H269" i="1" s="1"/>
  <c r="I269" i="1" s="1"/>
  <c r="F270" i="1"/>
  <c r="H270" i="1" s="1"/>
  <c r="I270" i="1" s="1"/>
  <c r="F271" i="1"/>
  <c r="H271" i="1" s="1"/>
  <c r="I271" i="1" s="1"/>
  <c r="F272" i="1"/>
  <c r="H272" i="1" s="1"/>
  <c r="I272" i="1" s="1"/>
  <c r="F273" i="1"/>
  <c r="F274" i="1"/>
  <c r="H274" i="1" s="1"/>
  <c r="I274" i="1" s="1"/>
  <c r="F275" i="1"/>
  <c r="H275" i="1" s="1"/>
  <c r="L275" i="1" s="1"/>
  <c r="F276" i="1"/>
  <c r="H276" i="1" s="1"/>
  <c r="L276" i="1" s="1"/>
  <c r="F277" i="1"/>
  <c r="H277" i="1" s="1"/>
  <c r="I277" i="1" s="1"/>
  <c r="F278" i="1"/>
  <c r="H278" i="1" s="1"/>
  <c r="I278" i="1" s="1"/>
  <c r="F279" i="1"/>
  <c r="H279" i="1" s="1"/>
  <c r="I279" i="1" s="1"/>
  <c r="F280" i="1"/>
  <c r="H280" i="1" s="1"/>
  <c r="I280" i="1" s="1"/>
  <c r="F281" i="1"/>
  <c r="F282" i="1"/>
  <c r="F283" i="1"/>
  <c r="H283" i="1" s="1"/>
  <c r="L283" i="1" s="1"/>
  <c r="F284" i="1"/>
  <c r="H284" i="1" s="1"/>
  <c r="L284" i="1" s="1"/>
  <c r="F285" i="1"/>
  <c r="H285" i="1" s="1"/>
  <c r="I285" i="1" s="1"/>
  <c r="F286" i="1"/>
  <c r="H286" i="1" s="1"/>
  <c r="I286" i="1" s="1"/>
  <c r="F287" i="1"/>
  <c r="H287" i="1" s="1"/>
  <c r="I287" i="1" s="1"/>
  <c r="F288" i="1"/>
  <c r="H288" i="1" s="1"/>
  <c r="I288" i="1" s="1"/>
  <c r="F289" i="1"/>
  <c r="F290" i="1"/>
  <c r="H290" i="1" s="1"/>
  <c r="I290" i="1" s="1"/>
  <c r="F291" i="1"/>
  <c r="H291" i="1" s="1"/>
  <c r="L291" i="1" s="1"/>
  <c r="F292" i="1"/>
  <c r="H292" i="1" s="1"/>
  <c r="I292" i="1" s="1"/>
  <c r="F293" i="1"/>
  <c r="H293" i="1" s="1"/>
  <c r="I293" i="1" s="1"/>
  <c r="F294" i="1"/>
  <c r="H294" i="1" s="1"/>
  <c r="I294" i="1" s="1"/>
  <c r="F295" i="1"/>
  <c r="H295" i="1" s="1"/>
  <c r="I295" i="1" s="1"/>
  <c r="F296" i="1"/>
  <c r="H296" i="1" s="1"/>
  <c r="I296" i="1" s="1"/>
  <c r="F297" i="1"/>
  <c r="F298" i="1"/>
  <c r="H298" i="1" s="1"/>
  <c r="I298" i="1" s="1"/>
  <c r="F299" i="1"/>
  <c r="H299" i="1" s="1"/>
  <c r="L299" i="1" s="1"/>
  <c r="F300" i="1"/>
  <c r="H300" i="1" s="1"/>
  <c r="I300" i="1" s="1"/>
  <c r="F301" i="1"/>
  <c r="H301" i="1" s="1"/>
  <c r="I301" i="1" s="1"/>
  <c r="F302" i="1"/>
  <c r="H302" i="1" s="1"/>
  <c r="I302" i="1" s="1"/>
  <c r="F303" i="1"/>
  <c r="H303" i="1" s="1"/>
  <c r="I303" i="1" s="1"/>
  <c r="F304" i="1"/>
  <c r="H304" i="1" s="1"/>
  <c r="I304" i="1" s="1"/>
  <c r="F305" i="1"/>
  <c r="F306" i="1"/>
  <c r="H306" i="1" s="1"/>
  <c r="I306" i="1" s="1"/>
  <c r="F307" i="1"/>
  <c r="H307" i="1" s="1"/>
  <c r="L307" i="1" s="1"/>
  <c r="F308" i="1"/>
  <c r="H308" i="1" s="1"/>
  <c r="L308" i="1" s="1"/>
  <c r="F309" i="1"/>
  <c r="H309" i="1" s="1"/>
  <c r="I309" i="1" s="1"/>
  <c r="F310" i="1"/>
  <c r="H310" i="1" s="1"/>
  <c r="I310" i="1" s="1"/>
  <c r="F311" i="1"/>
  <c r="H311" i="1" s="1"/>
  <c r="I311" i="1" s="1"/>
  <c r="F312" i="1"/>
  <c r="H312" i="1" s="1"/>
  <c r="I312" i="1" s="1"/>
  <c r="F313" i="1"/>
  <c r="F314" i="1"/>
  <c r="H314" i="1" s="1"/>
  <c r="I314" i="1" s="1"/>
  <c r="F315" i="1"/>
  <c r="H315" i="1" s="1"/>
  <c r="L315" i="1" s="1"/>
  <c r="F316" i="1"/>
  <c r="H316" i="1" s="1"/>
  <c r="I316" i="1" s="1"/>
  <c r="F317" i="1"/>
  <c r="H317" i="1" s="1"/>
  <c r="I317" i="1" s="1"/>
  <c r="F318" i="1"/>
  <c r="H318" i="1" s="1"/>
  <c r="I318" i="1" s="1"/>
  <c r="F319" i="1"/>
  <c r="H319" i="1" s="1"/>
  <c r="I319" i="1" s="1"/>
  <c r="F320" i="1"/>
  <c r="H320" i="1" s="1"/>
  <c r="I320" i="1" s="1"/>
  <c r="F321" i="1"/>
  <c r="F322" i="1"/>
  <c r="H322" i="1" s="1"/>
  <c r="I322" i="1" s="1"/>
  <c r="F323" i="1"/>
  <c r="H323" i="1" s="1"/>
  <c r="L323" i="1" s="1"/>
  <c r="F324" i="1"/>
  <c r="H324" i="1" s="1"/>
  <c r="I324" i="1" s="1"/>
  <c r="F325" i="1"/>
  <c r="H325" i="1" s="1"/>
  <c r="I325" i="1" s="1"/>
  <c r="F326" i="1"/>
  <c r="H326" i="1" s="1"/>
  <c r="I326" i="1" s="1"/>
  <c r="F327" i="1"/>
  <c r="H327" i="1" s="1"/>
  <c r="I327" i="1" s="1"/>
  <c r="F328" i="1"/>
  <c r="H328" i="1" s="1"/>
  <c r="I328" i="1" s="1"/>
  <c r="F329" i="1"/>
  <c r="F330" i="1"/>
  <c r="H330" i="1" s="1"/>
  <c r="I330" i="1" s="1"/>
  <c r="F331" i="1"/>
  <c r="H331" i="1" s="1"/>
  <c r="I331" i="1" s="1"/>
  <c r="F332" i="1"/>
  <c r="H332" i="1" s="1"/>
  <c r="I332" i="1" s="1"/>
  <c r="F333" i="1"/>
  <c r="H333" i="1" s="1"/>
  <c r="I333" i="1" s="1"/>
  <c r="F334" i="1"/>
  <c r="H334" i="1" s="1"/>
  <c r="I334" i="1" s="1"/>
  <c r="F335" i="1"/>
  <c r="H335" i="1" s="1"/>
  <c r="I335" i="1" s="1"/>
  <c r="F336" i="1"/>
  <c r="H336" i="1" s="1"/>
  <c r="I336" i="1" s="1"/>
  <c r="F337" i="1"/>
  <c r="F338" i="1"/>
  <c r="H338" i="1" s="1"/>
  <c r="I338" i="1" s="1"/>
  <c r="F339" i="1"/>
  <c r="H339" i="1" s="1"/>
  <c r="L339" i="1" s="1"/>
  <c r="F340" i="1"/>
  <c r="H340" i="1" s="1"/>
  <c r="I340" i="1" s="1"/>
  <c r="F341" i="1"/>
  <c r="H341" i="1" s="1"/>
  <c r="I341" i="1" s="1"/>
  <c r="F342" i="1"/>
  <c r="H342" i="1" s="1"/>
  <c r="I342" i="1" s="1"/>
  <c r="F343" i="1"/>
  <c r="H343" i="1" s="1"/>
  <c r="I343" i="1" s="1"/>
  <c r="F344" i="1"/>
  <c r="H344" i="1" s="1"/>
  <c r="I344" i="1" s="1"/>
  <c r="F345" i="1"/>
  <c r="F346" i="1"/>
  <c r="F347" i="1"/>
  <c r="H347" i="1" s="1"/>
  <c r="L347" i="1" s="1"/>
  <c r="F348" i="1"/>
  <c r="H348" i="1" s="1"/>
  <c r="L348" i="1" s="1"/>
  <c r="F349" i="1"/>
  <c r="H349" i="1" s="1"/>
  <c r="I349" i="1" s="1"/>
  <c r="F350" i="1"/>
  <c r="H350" i="1" s="1"/>
  <c r="I350" i="1" s="1"/>
  <c r="F351" i="1"/>
  <c r="H351" i="1" s="1"/>
  <c r="I351" i="1" s="1"/>
  <c r="F352" i="1"/>
  <c r="H352" i="1" s="1"/>
  <c r="I352" i="1" s="1"/>
  <c r="F353" i="1"/>
  <c r="F354" i="1"/>
  <c r="H354" i="1" s="1"/>
  <c r="I354" i="1" s="1"/>
  <c r="F355" i="1"/>
  <c r="H355" i="1" s="1"/>
  <c r="L355" i="1" s="1"/>
  <c r="F356" i="1"/>
  <c r="H356" i="1" s="1"/>
  <c r="I356" i="1" s="1"/>
  <c r="F357" i="1"/>
  <c r="H357" i="1" s="1"/>
  <c r="I357" i="1" s="1"/>
  <c r="F358" i="1"/>
  <c r="H358" i="1" s="1"/>
  <c r="I358" i="1" s="1"/>
  <c r="F359" i="1"/>
  <c r="H359" i="1" s="1"/>
  <c r="I359" i="1" s="1"/>
  <c r="F360" i="1"/>
  <c r="H360" i="1" s="1"/>
  <c r="I360" i="1" s="1"/>
  <c r="F361" i="1"/>
  <c r="F362" i="1"/>
  <c r="H362" i="1" s="1"/>
  <c r="I362" i="1" s="1"/>
  <c r="F363" i="1"/>
  <c r="H363" i="1" s="1"/>
  <c r="L363" i="1" s="1"/>
  <c r="F364" i="1"/>
  <c r="H364" i="1" s="1"/>
  <c r="I364" i="1" s="1"/>
  <c r="F365" i="1"/>
  <c r="H365" i="1" s="1"/>
  <c r="I365" i="1" s="1"/>
  <c r="F366" i="1"/>
  <c r="H366" i="1" s="1"/>
  <c r="I366" i="1" s="1"/>
  <c r="F367" i="1"/>
  <c r="H367" i="1" s="1"/>
  <c r="I367" i="1" s="1"/>
  <c r="F368" i="1"/>
  <c r="H368" i="1" s="1"/>
  <c r="I368" i="1" s="1"/>
  <c r="F369" i="1"/>
  <c r="F370" i="1"/>
  <c r="H370" i="1" s="1"/>
  <c r="I370" i="1" s="1"/>
  <c r="F371" i="1"/>
  <c r="H371" i="1" s="1"/>
  <c r="L371" i="1" s="1"/>
  <c r="F372" i="1"/>
  <c r="H372" i="1" s="1"/>
  <c r="I372" i="1" s="1"/>
  <c r="F373" i="1"/>
  <c r="H373" i="1" s="1"/>
  <c r="I373" i="1" s="1"/>
  <c r="F374" i="1"/>
  <c r="H374" i="1" s="1"/>
  <c r="I374" i="1" s="1"/>
  <c r="F375" i="1"/>
  <c r="H375" i="1" s="1"/>
  <c r="I375" i="1" s="1"/>
  <c r="F376" i="1"/>
  <c r="H376" i="1" s="1"/>
  <c r="I376" i="1" s="1"/>
  <c r="F377" i="1"/>
  <c r="F378" i="1"/>
  <c r="H378" i="1" s="1"/>
  <c r="I378" i="1" s="1"/>
  <c r="F379" i="1"/>
  <c r="H379" i="1" s="1"/>
  <c r="I379" i="1" s="1"/>
  <c r="F380" i="1"/>
  <c r="H380" i="1" s="1"/>
  <c r="I380" i="1" s="1"/>
  <c r="F381" i="1"/>
  <c r="H381" i="1" s="1"/>
  <c r="I381" i="1" s="1"/>
  <c r="F382" i="1"/>
  <c r="H382" i="1" s="1"/>
  <c r="I382" i="1" s="1"/>
  <c r="F383" i="1"/>
  <c r="H383" i="1" s="1"/>
  <c r="I383" i="1" s="1"/>
  <c r="F384" i="1"/>
  <c r="H384" i="1" s="1"/>
  <c r="I384" i="1" s="1"/>
  <c r="F385" i="1"/>
  <c r="F386" i="1"/>
  <c r="H386" i="1" s="1"/>
  <c r="I386" i="1" s="1"/>
  <c r="F387" i="1"/>
  <c r="H387" i="1" s="1"/>
  <c r="I387" i="1" s="1"/>
  <c r="F388" i="1"/>
  <c r="H388" i="1" s="1"/>
  <c r="I388" i="1" s="1"/>
  <c r="F389" i="1"/>
  <c r="H389" i="1" s="1"/>
  <c r="I389" i="1" s="1"/>
  <c r="F390" i="1"/>
  <c r="H390" i="1" s="1"/>
  <c r="I390" i="1" s="1"/>
  <c r="F391" i="1"/>
  <c r="H391" i="1" s="1"/>
  <c r="I391" i="1" s="1"/>
  <c r="F392" i="1"/>
  <c r="H392" i="1" s="1"/>
  <c r="I392" i="1" s="1"/>
  <c r="F393" i="1"/>
  <c r="F394" i="1"/>
  <c r="H394" i="1" s="1"/>
  <c r="I394" i="1" s="1"/>
  <c r="F395" i="1"/>
  <c r="H395" i="1" s="1"/>
  <c r="I395" i="1" s="1"/>
  <c r="F396" i="1"/>
  <c r="H396" i="1" s="1"/>
  <c r="I396" i="1" s="1"/>
  <c r="F397" i="1"/>
  <c r="H397" i="1" s="1"/>
  <c r="I397" i="1" s="1"/>
  <c r="F398" i="1"/>
  <c r="H398" i="1" s="1"/>
  <c r="I398" i="1" s="1"/>
  <c r="F399" i="1"/>
  <c r="H399" i="1" s="1"/>
  <c r="I399" i="1" s="1"/>
  <c r="F400" i="1"/>
  <c r="H400" i="1" s="1"/>
  <c r="I400" i="1" s="1"/>
  <c r="F401" i="1"/>
  <c r="F402" i="1"/>
  <c r="H402" i="1" s="1"/>
  <c r="I402" i="1" s="1"/>
  <c r="F403" i="1"/>
  <c r="H403" i="1" s="1"/>
  <c r="L403" i="1" s="1"/>
  <c r="F404" i="1"/>
  <c r="H404" i="1" s="1"/>
  <c r="I404" i="1" s="1"/>
  <c r="F405" i="1"/>
  <c r="H405" i="1" s="1"/>
  <c r="I405" i="1" s="1"/>
  <c r="F406" i="1"/>
  <c r="H406" i="1" s="1"/>
  <c r="I406" i="1" s="1"/>
  <c r="F407" i="1"/>
  <c r="H407" i="1" s="1"/>
  <c r="I407" i="1" s="1"/>
  <c r="F408" i="1"/>
  <c r="H408" i="1" s="1"/>
  <c r="I408" i="1" s="1"/>
  <c r="F409" i="1"/>
  <c r="F410" i="1"/>
  <c r="F411" i="1"/>
  <c r="H411" i="1" s="1"/>
  <c r="I411" i="1" s="1"/>
  <c r="F412" i="1"/>
  <c r="H412" i="1" s="1"/>
  <c r="L412" i="1" s="1"/>
  <c r="F413" i="1"/>
  <c r="H413" i="1" s="1"/>
  <c r="I413" i="1" s="1"/>
  <c r="F414" i="1"/>
  <c r="H414" i="1" s="1"/>
  <c r="I414" i="1" s="1"/>
  <c r="F415" i="1"/>
  <c r="H415" i="1" s="1"/>
  <c r="I415" i="1" s="1"/>
  <c r="F416" i="1"/>
  <c r="H416" i="1" s="1"/>
  <c r="I416" i="1" s="1"/>
  <c r="F417" i="1"/>
  <c r="F418" i="1"/>
  <c r="H418" i="1" s="1"/>
  <c r="I418" i="1" s="1"/>
  <c r="F419" i="1"/>
  <c r="H419" i="1" s="1"/>
  <c r="I419" i="1" s="1"/>
  <c r="F420" i="1"/>
  <c r="H420" i="1" s="1"/>
  <c r="I420" i="1" s="1"/>
  <c r="F421" i="1"/>
  <c r="H421" i="1" s="1"/>
  <c r="I421" i="1" s="1"/>
  <c r="F422" i="1"/>
  <c r="H422" i="1" s="1"/>
  <c r="I422" i="1" s="1"/>
  <c r="F423" i="1"/>
  <c r="H423" i="1" s="1"/>
  <c r="I423" i="1" s="1"/>
  <c r="F424" i="1"/>
  <c r="H424" i="1" s="1"/>
  <c r="I424" i="1" s="1"/>
  <c r="F425" i="1"/>
  <c r="F426" i="1"/>
  <c r="H426" i="1" s="1"/>
  <c r="I426" i="1" s="1"/>
  <c r="F427" i="1"/>
  <c r="H427" i="1" s="1"/>
  <c r="I427" i="1" s="1"/>
  <c r="F428" i="1"/>
  <c r="H428" i="1" s="1"/>
  <c r="I428" i="1" s="1"/>
  <c r="F429" i="1"/>
  <c r="H429" i="1" s="1"/>
  <c r="I429" i="1" s="1"/>
  <c r="F430" i="1"/>
  <c r="H430" i="1" s="1"/>
  <c r="I430" i="1" s="1"/>
  <c r="F431" i="1"/>
  <c r="H431" i="1" s="1"/>
  <c r="I431" i="1" s="1"/>
  <c r="F432" i="1"/>
  <c r="H432" i="1" s="1"/>
  <c r="I432" i="1" s="1"/>
  <c r="F433" i="1"/>
  <c r="F434" i="1"/>
  <c r="H434" i="1" s="1"/>
  <c r="I434" i="1" s="1"/>
  <c r="F435" i="1"/>
  <c r="H435" i="1" s="1"/>
  <c r="I435" i="1" s="1"/>
  <c r="F436" i="1"/>
  <c r="H436" i="1" s="1"/>
  <c r="I436" i="1" s="1"/>
  <c r="F437" i="1"/>
  <c r="H437" i="1" s="1"/>
  <c r="I437" i="1" s="1"/>
  <c r="F438" i="1"/>
  <c r="H438" i="1" s="1"/>
  <c r="I438" i="1" s="1"/>
  <c r="F439" i="1"/>
  <c r="H439" i="1" s="1"/>
  <c r="I439" i="1" s="1"/>
  <c r="F440" i="1"/>
  <c r="H440" i="1" s="1"/>
  <c r="I440" i="1" s="1"/>
  <c r="F441" i="1"/>
  <c r="F442" i="1"/>
  <c r="H442" i="1" s="1"/>
  <c r="I442" i="1" s="1"/>
  <c r="F443" i="1"/>
  <c r="H443" i="1" s="1"/>
  <c r="I443" i="1" s="1"/>
  <c r="F444" i="1"/>
  <c r="H444" i="1" s="1"/>
  <c r="L444" i="1" s="1"/>
  <c r="F445" i="1"/>
  <c r="H445" i="1" s="1"/>
  <c r="I445" i="1" s="1"/>
  <c r="F446" i="1"/>
  <c r="H446" i="1" s="1"/>
  <c r="I446" i="1" s="1"/>
  <c r="F447" i="1"/>
  <c r="H447" i="1" s="1"/>
  <c r="I447" i="1" s="1"/>
  <c r="F448" i="1"/>
  <c r="H448" i="1" s="1"/>
  <c r="I448" i="1" s="1"/>
  <c r="F449" i="1"/>
  <c r="F450" i="1"/>
  <c r="H450" i="1" s="1"/>
  <c r="I450" i="1" s="1"/>
  <c r="F451" i="1"/>
  <c r="H451" i="1" s="1"/>
  <c r="I451" i="1" s="1"/>
  <c r="F452" i="1"/>
  <c r="H452" i="1" s="1"/>
  <c r="I452" i="1" s="1"/>
  <c r="F453" i="1"/>
  <c r="H453" i="1" s="1"/>
  <c r="I453" i="1" s="1"/>
  <c r="F454" i="1"/>
  <c r="H454" i="1" s="1"/>
  <c r="I454" i="1" s="1"/>
  <c r="F455" i="1"/>
  <c r="H455" i="1" s="1"/>
  <c r="I455" i="1" s="1"/>
  <c r="F456" i="1"/>
  <c r="H456" i="1" s="1"/>
  <c r="I456" i="1" s="1"/>
  <c r="F457" i="1"/>
  <c r="F458" i="1"/>
  <c r="F459" i="1"/>
  <c r="H459" i="1" s="1"/>
  <c r="I459" i="1" s="1"/>
  <c r="F460" i="1"/>
  <c r="H460" i="1" s="1"/>
  <c r="I460" i="1" s="1"/>
  <c r="F461" i="1"/>
  <c r="H461" i="1" s="1"/>
  <c r="I461" i="1" s="1"/>
  <c r="F462" i="1"/>
  <c r="H462" i="1" s="1"/>
  <c r="I462" i="1" s="1"/>
  <c r="F463" i="1"/>
  <c r="H463" i="1" s="1"/>
  <c r="I463" i="1" s="1"/>
  <c r="F464" i="1"/>
  <c r="H464" i="1" s="1"/>
  <c r="I464" i="1" s="1"/>
  <c r="F465" i="1"/>
  <c r="F466" i="1"/>
  <c r="H466" i="1" s="1"/>
  <c r="I466" i="1" s="1"/>
  <c r="F467" i="1"/>
  <c r="H467" i="1" s="1"/>
  <c r="L467" i="1" s="1"/>
  <c r="F468" i="1"/>
  <c r="H468" i="1" s="1"/>
  <c r="L468" i="1" s="1"/>
  <c r="F469" i="1"/>
  <c r="H469" i="1" s="1"/>
  <c r="I469" i="1" s="1"/>
  <c r="F470" i="1"/>
  <c r="H470" i="1" s="1"/>
  <c r="I470" i="1" s="1"/>
  <c r="F471" i="1"/>
  <c r="H471" i="1" s="1"/>
  <c r="I471" i="1" s="1"/>
  <c r="F472" i="1"/>
  <c r="H472" i="1" s="1"/>
  <c r="I472" i="1" s="1"/>
  <c r="F473" i="1"/>
  <c r="F474" i="1"/>
  <c r="F475" i="1"/>
  <c r="H475" i="1" s="1"/>
  <c r="L475" i="1" s="1"/>
  <c r="M475" i="1" s="1"/>
  <c r="N475" i="1" s="1"/>
  <c r="O475" i="1" s="1"/>
  <c r="F476" i="1"/>
  <c r="H476" i="1" s="1"/>
  <c r="I476" i="1" s="1"/>
  <c r="F477" i="1"/>
  <c r="F478" i="1"/>
  <c r="H478" i="1" s="1"/>
  <c r="I478" i="1" s="1"/>
  <c r="F479" i="1"/>
  <c r="H479" i="1" s="1"/>
  <c r="I479" i="1" s="1"/>
  <c r="F480" i="1"/>
  <c r="H480" i="1" s="1"/>
  <c r="I480" i="1" s="1"/>
  <c r="F481" i="1"/>
  <c r="F482" i="1"/>
  <c r="F483" i="1"/>
  <c r="H483" i="1" s="1"/>
  <c r="I483" i="1" s="1"/>
  <c r="F484" i="1"/>
  <c r="H484" i="1" s="1"/>
  <c r="I484" i="1" s="1"/>
  <c r="F485" i="1"/>
  <c r="H485" i="1" s="1"/>
  <c r="I485" i="1" s="1"/>
  <c r="F486" i="1"/>
  <c r="F487" i="1"/>
  <c r="H487" i="1" s="1"/>
  <c r="I487" i="1" s="1"/>
  <c r="F488" i="1"/>
  <c r="H488" i="1" s="1"/>
  <c r="I488" i="1" s="1"/>
  <c r="F489" i="1"/>
  <c r="F490" i="1"/>
  <c r="H490" i="1" s="1"/>
  <c r="I490" i="1" s="1"/>
  <c r="F491" i="1"/>
  <c r="H491" i="1" s="1"/>
  <c r="I491" i="1" s="1"/>
  <c r="F492" i="1"/>
  <c r="H492" i="1" s="1"/>
  <c r="I492" i="1" s="1"/>
  <c r="F493" i="1"/>
  <c r="H493" i="1" s="1"/>
  <c r="I493" i="1" s="1"/>
  <c r="F494" i="1"/>
  <c r="F495" i="1"/>
  <c r="H495" i="1" s="1"/>
  <c r="I495" i="1" s="1"/>
  <c r="F496" i="1"/>
  <c r="H496" i="1" s="1"/>
  <c r="I496" i="1" s="1"/>
  <c r="F497" i="1"/>
  <c r="F498" i="1"/>
  <c r="F499" i="1"/>
  <c r="H499" i="1" s="1"/>
  <c r="I499" i="1" s="1"/>
  <c r="F500" i="1"/>
  <c r="H500" i="1" s="1"/>
  <c r="I500" i="1" s="1"/>
  <c r="F501" i="1"/>
  <c r="H501" i="1" s="1"/>
  <c r="I501" i="1" s="1"/>
  <c r="F502" i="1"/>
  <c r="H502" i="1" s="1"/>
  <c r="I502" i="1" s="1"/>
  <c r="F503" i="1"/>
  <c r="H503" i="1" s="1"/>
  <c r="I503" i="1" s="1"/>
  <c r="F504" i="1"/>
  <c r="H504" i="1" s="1"/>
  <c r="I504" i="1" s="1"/>
  <c r="F505" i="1"/>
  <c r="F506" i="1"/>
  <c r="F507" i="1"/>
  <c r="H507" i="1" s="1"/>
  <c r="I507" i="1" s="1"/>
  <c r="F508" i="1"/>
  <c r="H508" i="1" s="1"/>
  <c r="I508" i="1" s="1"/>
  <c r="F509" i="1"/>
  <c r="F510" i="1"/>
  <c r="F511" i="1"/>
  <c r="H511" i="1" s="1"/>
  <c r="I511" i="1" s="1"/>
  <c r="F512" i="1"/>
  <c r="H512" i="1" s="1"/>
  <c r="I512" i="1" s="1"/>
  <c r="F513" i="1"/>
  <c r="F514" i="1"/>
  <c r="H514" i="1" s="1"/>
  <c r="I514" i="1" s="1"/>
  <c r="F515" i="1"/>
  <c r="H515" i="1" s="1"/>
  <c r="I515" i="1" s="1"/>
  <c r="F516" i="1"/>
  <c r="H516" i="1" s="1"/>
  <c r="I516" i="1" s="1"/>
  <c r="F517" i="1"/>
  <c r="H517" i="1" s="1"/>
  <c r="I517" i="1" s="1"/>
  <c r="F518" i="1"/>
  <c r="F519" i="1"/>
  <c r="H519" i="1" s="1"/>
  <c r="I519" i="1" s="1"/>
  <c r="F520" i="1"/>
  <c r="H520" i="1" s="1"/>
  <c r="I520" i="1" s="1"/>
  <c r="F521" i="1"/>
  <c r="F522" i="1"/>
  <c r="F523" i="1"/>
  <c r="H523" i="1" s="1"/>
  <c r="I523" i="1" s="1"/>
  <c r="F524" i="1"/>
  <c r="H524" i="1" s="1"/>
  <c r="I524" i="1" s="1"/>
  <c r="F525" i="1"/>
  <c r="H525" i="1" s="1"/>
  <c r="I525" i="1" s="1"/>
  <c r="F526" i="1"/>
  <c r="F527" i="1"/>
  <c r="H527" i="1" s="1"/>
  <c r="I527" i="1" s="1"/>
  <c r="F528" i="1"/>
  <c r="H528" i="1" s="1"/>
  <c r="I528" i="1" s="1"/>
  <c r="F529" i="1"/>
  <c r="F530" i="1"/>
  <c r="F531" i="1"/>
  <c r="H531" i="1" s="1"/>
  <c r="I531" i="1" s="1"/>
  <c r="F532" i="1"/>
  <c r="H532" i="1" s="1"/>
  <c r="L532" i="1" s="1"/>
  <c r="F533" i="1"/>
  <c r="H533" i="1" s="1"/>
  <c r="I533" i="1" s="1"/>
  <c r="F534" i="1"/>
  <c r="H534" i="1" s="1"/>
  <c r="I534" i="1" s="1"/>
  <c r="F535" i="1"/>
  <c r="H535" i="1" s="1"/>
  <c r="I535" i="1" s="1"/>
  <c r="F536" i="1"/>
  <c r="H536" i="1" s="1"/>
  <c r="I536" i="1" s="1"/>
  <c r="F537" i="1"/>
  <c r="F538" i="1"/>
  <c r="F539" i="1"/>
  <c r="H539" i="1" s="1"/>
  <c r="I539" i="1" s="1"/>
  <c r="F540" i="1"/>
  <c r="H540" i="1" s="1"/>
  <c r="I540" i="1" s="1"/>
  <c r="F541" i="1"/>
  <c r="H541" i="1" s="1"/>
  <c r="I541" i="1" s="1"/>
  <c r="F542" i="1"/>
  <c r="H542" i="1" s="1"/>
  <c r="I542" i="1" s="1"/>
  <c r="F543" i="1"/>
  <c r="H543" i="1" s="1"/>
  <c r="I543" i="1" s="1"/>
  <c r="F544" i="1"/>
  <c r="H544" i="1" s="1"/>
  <c r="I544" i="1" s="1"/>
  <c r="F545" i="1"/>
  <c r="F546" i="1"/>
  <c r="F547" i="1"/>
  <c r="H547" i="1" s="1"/>
  <c r="I547" i="1" s="1"/>
  <c r="F548" i="1"/>
  <c r="H548" i="1" s="1"/>
  <c r="I548" i="1" s="1"/>
  <c r="F549" i="1"/>
  <c r="H549" i="1" s="1"/>
  <c r="I549" i="1" s="1"/>
  <c r="F550" i="1"/>
  <c r="H550" i="1" s="1"/>
  <c r="I550" i="1" s="1"/>
  <c r="F551" i="1"/>
  <c r="H551" i="1" s="1"/>
  <c r="I551" i="1" s="1"/>
  <c r="F552" i="1"/>
  <c r="H552" i="1" s="1"/>
  <c r="I552" i="1" s="1"/>
  <c r="F553" i="1"/>
  <c r="F554" i="1"/>
  <c r="H554" i="1" s="1"/>
  <c r="I554" i="1" s="1"/>
  <c r="F555" i="1"/>
  <c r="H555" i="1" s="1"/>
  <c r="I555" i="1" s="1"/>
  <c r="F556" i="1"/>
  <c r="H556" i="1" s="1"/>
  <c r="I556" i="1" s="1"/>
  <c r="F557" i="1"/>
  <c r="H557" i="1" s="1"/>
  <c r="I557" i="1" s="1"/>
  <c r="F558" i="1"/>
  <c r="H558" i="1" s="1"/>
  <c r="I558" i="1" s="1"/>
  <c r="F559" i="1"/>
  <c r="H559" i="1" s="1"/>
  <c r="I559" i="1" s="1"/>
  <c r="F560" i="1"/>
  <c r="H560" i="1" s="1"/>
  <c r="I560" i="1" s="1"/>
  <c r="F561" i="1"/>
  <c r="F562" i="1"/>
  <c r="F563" i="1"/>
  <c r="H563" i="1" s="1"/>
  <c r="I563" i="1" s="1"/>
  <c r="F564" i="1"/>
  <c r="H564" i="1" s="1"/>
  <c r="L564" i="1" s="1"/>
  <c r="F565" i="1"/>
  <c r="H565" i="1" s="1"/>
  <c r="I565" i="1" s="1"/>
  <c r="F566" i="1"/>
  <c r="H566" i="1" s="1"/>
  <c r="I566" i="1" s="1"/>
  <c r="F567" i="1"/>
  <c r="H567" i="1" s="1"/>
  <c r="I567" i="1" s="1"/>
  <c r="F568" i="1"/>
  <c r="H568" i="1" s="1"/>
  <c r="I568" i="1" s="1"/>
  <c r="F569" i="1"/>
  <c r="F570" i="1"/>
  <c r="F571" i="1"/>
  <c r="H571" i="1" s="1"/>
  <c r="I571" i="1" s="1"/>
  <c r="F572" i="1"/>
  <c r="H572" i="1" s="1"/>
  <c r="I572" i="1" s="1"/>
  <c r="F573" i="1"/>
  <c r="F574" i="1"/>
  <c r="H574" i="1" s="1"/>
  <c r="I574" i="1" s="1"/>
  <c r="F575" i="1"/>
  <c r="H575" i="1" s="1"/>
  <c r="I575" i="1" s="1"/>
  <c r="F576" i="1"/>
  <c r="H576" i="1" s="1"/>
  <c r="I576" i="1" s="1"/>
  <c r="F577" i="1"/>
  <c r="F578" i="1"/>
  <c r="H578" i="1" s="1"/>
  <c r="I578" i="1" s="1"/>
  <c r="F579" i="1"/>
  <c r="H579" i="1" s="1"/>
  <c r="I579" i="1" s="1"/>
  <c r="F580" i="1"/>
  <c r="H580" i="1" s="1"/>
  <c r="I580" i="1" s="1"/>
  <c r="F581" i="1"/>
  <c r="H581" i="1" s="1"/>
  <c r="I581" i="1" s="1"/>
  <c r="F582" i="1"/>
  <c r="H582" i="1" s="1"/>
  <c r="I582" i="1" s="1"/>
  <c r="F583" i="1"/>
  <c r="H583" i="1" s="1"/>
  <c r="I583" i="1" s="1"/>
  <c r="F584" i="1"/>
  <c r="H584" i="1" s="1"/>
  <c r="I584" i="1" s="1"/>
  <c r="F585" i="1"/>
  <c r="F586" i="1"/>
  <c r="F587" i="1"/>
  <c r="H587" i="1" s="1"/>
  <c r="I587" i="1" s="1"/>
  <c r="F588" i="1"/>
  <c r="H588" i="1" s="1"/>
  <c r="I588" i="1" s="1"/>
  <c r="F589" i="1"/>
  <c r="H589" i="1" s="1"/>
  <c r="I589" i="1" s="1"/>
  <c r="F590" i="1"/>
  <c r="H590" i="1" s="1"/>
  <c r="I590" i="1" s="1"/>
  <c r="F591" i="1"/>
  <c r="H591" i="1" s="1"/>
  <c r="I591" i="1" s="1"/>
  <c r="F592" i="1"/>
  <c r="H592" i="1" s="1"/>
  <c r="I592" i="1" s="1"/>
  <c r="F593" i="1"/>
  <c r="F594" i="1"/>
  <c r="H594" i="1" s="1"/>
  <c r="I594" i="1" s="1"/>
  <c r="F595" i="1"/>
  <c r="H595" i="1" s="1"/>
  <c r="I595" i="1" s="1"/>
  <c r="F596" i="1"/>
  <c r="H596" i="1" s="1"/>
  <c r="L596" i="1" s="1"/>
  <c r="F597" i="1"/>
  <c r="H597" i="1" s="1"/>
  <c r="I597" i="1" s="1"/>
  <c r="F598" i="1"/>
  <c r="F599" i="1"/>
  <c r="H599" i="1" s="1"/>
  <c r="I599" i="1" s="1"/>
  <c r="F600" i="1"/>
  <c r="H600" i="1" s="1"/>
  <c r="I600" i="1" s="1"/>
  <c r="F601" i="1"/>
  <c r="F602" i="1"/>
  <c r="F2" i="1"/>
  <c r="C2" i="1" s="1"/>
  <c r="J258" i="1"/>
  <c r="K258" i="1" s="1"/>
  <c r="J370" i="1"/>
  <c r="K370" i="1" s="1"/>
  <c r="J402" i="1"/>
  <c r="K402" i="1" s="1"/>
  <c r="J530" i="1"/>
  <c r="K530" i="1" s="1"/>
  <c r="G48" i="1"/>
  <c r="J48" i="1" s="1"/>
  <c r="K48" i="1" s="1"/>
  <c r="G77" i="1"/>
  <c r="J77" i="1" s="1"/>
  <c r="K77" i="1" s="1"/>
  <c r="G139" i="1"/>
  <c r="J139" i="1" s="1"/>
  <c r="K139" i="1" s="1"/>
  <c r="G157" i="1"/>
  <c r="J157" i="1" s="1"/>
  <c r="K157" i="1" s="1"/>
  <c r="G183" i="1"/>
  <c r="J183" i="1" s="1"/>
  <c r="K183" i="1" s="1"/>
  <c r="G264" i="1"/>
  <c r="J264" i="1" s="1"/>
  <c r="K264" i="1" s="1"/>
  <c r="G283" i="1"/>
  <c r="J283" i="1" s="1"/>
  <c r="K283" i="1" s="1"/>
  <c r="G347" i="1"/>
  <c r="J347" i="1" s="1"/>
  <c r="K347" i="1" s="1"/>
  <c r="G355" i="1"/>
  <c r="J355" i="1" s="1"/>
  <c r="K355" i="1" s="1"/>
  <c r="G363" i="1"/>
  <c r="J363" i="1" s="1"/>
  <c r="K363" i="1" s="1"/>
  <c r="G406" i="1"/>
  <c r="J406" i="1" s="1"/>
  <c r="K406" i="1" s="1"/>
  <c r="G414" i="1"/>
  <c r="J414" i="1" s="1"/>
  <c r="K414" i="1" s="1"/>
  <c r="G422" i="1"/>
  <c r="J422" i="1" s="1"/>
  <c r="K422" i="1" s="1"/>
  <c r="G467" i="1"/>
  <c r="J467" i="1" s="1"/>
  <c r="K467" i="1" s="1"/>
  <c r="G475" i="1"/>
  <c r="J475" i="1" s="1"/>
  <c r="K475" i="1" s="1"/>
  <c r="G483" i="1"/>
  <c r="J483" i="1" s="1"/>
  <c r="K483" i="1" s="1"/>
  <c r="G526" i="1"/>
  <c r="J526" i="1" s="1"/>
  <c r="K526" i="1" s="1"/>
  <c r="G534" i="1"/>
  <c r="J534" i="1" s="1"/>
  <c r="K534" i="1" s="1"/>
  <c r="G542" i="1"/>
  <c r="J542" i="1" s="1"/>
  <c r="K542" i="1" s="1"/>
  <c r="G587" i="1"/>
  <c r="J587" i="1" s="1"/>
  <c r="K587" i="1" s="1"/>
  <c r="G595" i="1"/>
  <c r="J595" i="1" s="1"/>
  <c r="K595" i="1" s="1"/>
  <c r="G2" i="1"/>
  <c r="J2" i="1" s="1"/>
  <c r="K2" i="1" s="1"/>
  <c r="E3" i="1"/>
  <c r="G3" i="1" s="1"/>
  <c r="J3" i="1" s="1"/>
  <c r="K3" i="1" s="1"/>
  <c r="E4" i="1"/>
  <c r="G4" i="1" s="1"/>
  <c r="J4" i="1" s="1"/>
  <c r="K4" i="1" s="1"/>
  <c r="E5" i="1"/>
  <c r="G5" i="1" s="1"/>
  <c r="J5" i="1" s="1"/>
  <c r="K5" i="1" s="1"/>
  <c r="E6" i="1"/>
  <c r="G6" i="1" s="1"/>
  <c r="J6" i="1" s="1"/>
  <c r="K6" i="1" s="1"/>
  <c r="E7" i="1"/>
  <c r="G7" i="1" s="1"/>
  <c r="J7" i="1" s="1"/>
  <c r="K7" i="1" s="1"/>
  <c r="E8" i="1"/>
  <c r="G8" i="1" s="1"/>
  <c r="J8" i="1" s="1"/>
  <c r="K8" i="1" s="1"/>
  <c r="E9" i="1"/>
  <c r="G9" i="1" s="1"/>
  <c r="J9" i="1" s="1"/>
  <c r="K9" i="1" s="1"/>
  <c r="E10" i="1"/>
  <c r="G10" i="1" s="1"/>
  <c r="J10" i="1" s="1"/>
  <c r="K10" i="1" s="1"/>
  <c r="E11" i="1"/>
  <c r="G11" i="1" s="1"/>
  <c r="J11" i="1" s="1"/>
  <c r="K11" i="1" s="1"/>
  <c r="E12" i="1"/>
  <c r="G12" i="1" s="1"/>
  <c r="J12" i="1" s="1"/>
  <c r="K12" i="1" s="1"/>
  <c r="E13" i="1"/>
  <c r="G13" i="1" s="1"/>
  <c r="J13" i="1" s="1"/>
  <c r="K13" i="1" s="1"/>
  <c r="E14" i="1"/>
  <c r="G14" i="1" s="1"/>
  <c r="J14" i="1" s="1"/>
  <c r="K14" i="1" s="1"/>
  <c r="E15" i="1"/>
  <c r="G15" i="1" s="1"/>
  <c r="J15" i="1" s="1"/>
  <c r="K15" i="1" s="1"/>
  <c r="E16" i="1"/>
  <c r="G16" i="1" s="1"/>
  <c r="J16" i="1" s="1"/>
  <c r="K16" i="1" s="1"/>
  <c r="E17" i="1"/>
  <c r="G17" i="1" s="1"/>
  <c r="J17" i="1" s="1"/>
  <c r="K17" i="1" s="1"/>
  <c r="E18" i="1"/>
  <c r="G18" i="1" s="1"/>
  <c r="J18" i="1" s="1"/>
  <c r="K18" i="1" s="1"/>
  <c r="E19" i="1"/>
  <c r="G19" i="1" s="1"/>
  <c r="J19" i="1" s="1"/>
  <c r="K19" i="1" s="1"/>
  <c r="E20" i="1"/>
  <c r="G20" i="1" s="1"/>
  <c r="J20" i="1" s="1"/>
  <c r="K20" i="1" s="1"/>
  <c r="E21" i="1"/>
  <c r="G21" i="1" s="1"/>
  <c r="J21" i="1" s="1"/>
  <c r="K21" i="1" s="1"/>
  <c r="E22" i="1"/>
  <c r="G22" i="1" s="1"/>
  <c r="J22" i="1" s="1"/>
  <c r="K22" i="1" s="1"/>
  <c r="E23" i="1"/>
  <c r="G23" i="1" s="1"/>
  <c r="J23" i="1" s="1"/>
  <c r="K23" i="1" s="1"/>
  <c r="E24" i="1"/>
  <c r="G24" i="1" s="1"/>
  <c r="J24" i="1" s="1"/>
  <c r="K24" i="1" s="1"/>
  <c r="E25" i="1"/>
  <c r="G25" i="1" s="1"/>
  <c r="J25" i="1" s="1"/>
  <c r="K25" i="1" s="1"/>
  <c r="E26" i="1"/>
  <c r="G26" i="1" s="1"/>
  <c r="J26" i="1" s="1"/>
  <c r="K26" i="1" s="1"/>
  <c r="E27" i="1"/>
  <c r="G27" i="1" s="1"/>
  <c r="J27" i="1" s="1"/>
  <c r="K27" i="1" s="1"/>
  <c r="E28" i="1"/>
  <c r="G28" i="1" s="1"/>
  <c r="J28" i="1" s="1"/>
  <c r="K28" i="1" s="1"/>
  <c r="E29" i="1"/>
  <c r="G29" i="1" s="1"/>
  <c r="J29" i="1" s="1"/>
  <c r="K29" i="1" s="1"/>
  <c r="E30" i="1"/>
  <c r="G30" i="1" s="1"/>
  <c r="J30" i="1" s="1"/>
  <c r="K30" i="1" s="1"/>
  <c r="E31" i="1"/>
  <c r="G31" i="1" s="1"/>
  <c r="J31" i="1" s="1"/>
  <c r="K31" i="1" s="1"/>
  <c r="E32" i="1"/>
  <c r="G32" i="1" s="1"/>
  <c r="J32" i="1" s="1"/>
  <c r="K32" i="1" s="1"/>
  <c r="E33" i="1"/>
  <c r="G33" i="1" s="1"/>
  <c r="J33" i="1" s="1"/>
  <c r="K33" i="1" s="1"/>
  <c r="E34" i="1"/>
  <c r="G34" i="1" s="1"/>
  <c r="J34" i="1" s="1"/>
  <c r="K34" i="1" s="1"/>
  <c r="E35" i="1"/>
  <c r="G35" i="1" s="1"/>
  <c r="J35" i="1" s="1"/>
  <c r="K35" i="1" s="1"/>
  <c r="E36" i="1"/>
  <c r="G36" i="1" s="1"/>
  <c r="J36" i="1" s="1"/>
  <c r="K36" i="1" s="1"/>
  <c r="E37" i="1"/>
  <c r="G37" i="1" s="1"/>
  <c r="J37" i="1" s="1"/>
  <c r="K37" i="1" s="1"/>
  <c r="E38" i="1"/>
  <c r="G38" i="1" s="1"/>
  <c r="J38" i="1" s="1"/>
  <c r="K38" i="1" s="1"/>
  <c r="E39" i="1"/>
  <c r="G39" i="1" s="1"/>
  <c r="J39" i="1" s="1"/>
  <c r="K39" i="1" s="1"/>
  <c r="E40" i="1"/>
  <c r="G40" i="1" s="1"/>
  <c r="J40" i="1" s="1"/>
  <c r="K40" i="1" s="1"/>
  <c r="E41" i="1"/>
  <c r="G41" i="1" s="1"/>
  <c r="J41" i="1" s="1"/>
  <c r="K41" i="1" s="1"/>
  <c r="E42" i="1"/>
  <c r="G42" i="1" s="1"/>
  <c r="J42" i="1" s="1"/>
  <c r="K42" i="1" s="1"/>
  <c r="E43" i="1"/>
  <c r="G43" i="1" s="1"/>
  <c r="J43" i="1" s="1"/>
  <c r="K43" i="1" s="1"/>
  <c r="E44" i="1"/>
  <c r="G44" i="1" s="1"/>
  <c r="J44" i="1" s="1"/>
  <c r="K44" i="1" s="1"/>
  <c r="E45" i="1"/>
  <c r="G45" i="1" s="1"/>
  <c r="J45" i="1" s="1"/>
  <c r="K45" i="1" s="1"/>
  <c r="E46" i="1"/>
  <c r="G46" i="1" s="1"/>
  <c r="J46" i="1" s="1"/>
  <c r="K46" i="1" s="1"/>
  <c r="E47" i="1"/>
  <c r="G47" i="1" s="1"/>
  <c r="J47" i="1" s="1"/>
  <c r="K47" i="1" s="1"/>
  <c r="E48" i="1"/>
  <c r="E49" i="1"/>
  <c r="G49" i="1" s="1"/>
  <c r="J49" i="1" s="1"/>
  <c r="K49" i="1" s="1"/>
  <c r="E50" i="1"/>
  <c r="G50" i="1" s="1"/>
  <c r="J50" i="1" s="1"/>
  <c r="K50" i="1" s="1"/>
  <c r="E51" i="1"/>
  <c r="G51" i="1" s="1"/>
  <c r="J51" i="1" s="1"/>
  <c r="K51" i="1" s="1"/>
  <c r="E52" i="1"/>
  <c r="G52" i="1" s="1"/>
  <c r="J52" i="1" s="1"/>
  <c r="K52" i="1" s="1"/>
  <c r="E53" i="1"/>
  <c r="G53" i="1" s="1"/>
  <c r="J53" i="1" s="1"/>
  <c r="K53" i="1" s="1"/>
  <c r="E54" i="1"/>
  <c r="G54" i="1" s="1"/>
  <c r="J54" i="1" s="1"/>
  <c r="K54" i="1" s="1"/>
  <c r="E55" i="1"/>
  <c r="G55" i="1" s="1"/>
  <c r="J55" i="1" s="1"/>
  <c r="K55" i="1" s="1"/>
  <c r="E56" i="1"/>
  <c r="G56" i="1" s="1"/>
  <c r="J56" i="1" s="1"/>
  <c r="K56" i="1" s="1"/>
  <c r="E57" i="1"/>
  <c r="G57" i="1" s="1"/>
  <c r="J57" i="1" s="1"/>
  <c r="K57" i="1" s="1"/>
  <c r="E58" i="1"/>
  <c r="G58" i="1" s="1"/>
  <c r="J58" i="1" s="1"/>
  <c r="K58" i="1" s="1"/>
  <c r="E59" i="1"/>
  <c r="G59" i="1" s="1"/>
  <c r="J59" i="1" s="1"/>
  <c r="K59" i="1" s="1"/>
  <c r="E60" i="1"/>
  <c r="G60" i="1" s="1"/>
  <c r="J60" i="1" s="1"/>
  <c r="K60" i="1" s="1"/>
  <c r="E61" i="1"/>
  <c r="G61" i="1" s="1"/>
  <c r="J61" i="1" s="1"/>
  <c r="K61" i="1" s="1"/>
  <c r="E62" i="1"/>
  <c r="G62" i="1" s="1"/>
  <c r="J62" i="1" s="1"/>
  <c r="K62" i="1" s="1"/>
  <c r="E63" i="1"/>
  <c r="G63" i="1" s="1"/>
  <c r="J63" i="1" s="1"/>
  <c r="K63" i="1" s="1"/>
  <c r="E64" i="1"/>
  <c r="G64" i="1" s="1"/>
  <c r="J64" i="1" s="1"/>
  <c r="K64" i="1" s="1"/>
  <c r="E65" i="1"/>
  <c r="G65" i="1" s="1"/>
  <c r="J65" i="1" s="1"/>
  <c r="K65" i="1" s="1"/>
  <c r="E66" i="1"/>
  <c r="G66" i="1" s="1"/>
  <c r="J66" i="1" s="1"/>
  <c r="K66" i="1" s="1"/>
  <c r="E67" i="1"/>
  <c r="G67" i="1" s="1"/>
  <c r="J67" i="1" s="1"/>
  <c r="K67" i="1" s="1"/>
  <c r="E68" i="1"/>
  <c r="G68" i="1" s="1"/>
  <c r="J68" i="1" s="1"/>
  <c r="K68" i="1" s="1"/>
  <c r="E69" i="1"/>
  <c r="G69" i="1" s="1"/>
  <c r="J69" i="1" s="1"/>
  <c r="K69" i="1" s="1"/>
  <c r="E70" i="1"/>
  <c r="G70" i="1" s="1"/>
  <c r="J70" i="1" s="1"/>
  <c r="K70" i="1" s="1"/>
  <c r="E71" i="1"/>
  <c r="G71" i="1" s="1"/>
  <c r="J71" i="1" s="1"/>
  <c r="K71" i="1" s="1"/>
  <c r="E72" i="1"/>
  <c r="G72" i="1" s="1"/>
  <c r="J72" i="1" s="1"/>
  <c r="K72" i="1" s="1"/>
  <c r="E73" i="1"/>
  <c r="G73" i="1" s="1"/>
  <c r="J73" i="1" s="1"/>
  <c r="K73" i="1" s="1"/>
  <c r="E74" i="1"/>
  <c r="G74" i="1" s="1"/>
  <c r="J74" i="1" s="1"/>
  <c r="K74" i="1" s="1"/>
  <c r="E75" i="1"/>
  <c r="G75" i="1" s="1"/>
  <c r="J75" i="1" s="1"/>
  <c r="K75" i="1" s="1"/>
  <c r="E76" i="1"/>
  <c r="G76" i="1" s="1"/>
  <c r="J76" i="1" s="1"/>
  <c r="K76" i="1" s="1"/>
  <c r="E77" i="1"/>
  <c r="E78" i="1"/>
  <c r="G78" i="1" s="1"/>
  <c r="J78" i="1" s="1"/>
  <c r="K78" i="1" s="1"/>
  <c r="E79" i="1"/>
  <c r="G79" i="1" s="1"/>
  <c r="J79" i="1" s="1"/>
  <c r="K79" i="1" s="1"/>
  <c r="E80" i="1"/>
  <c r="G80" i="1" s="1"/>
  <c r="J80" i="1" s="1"/>
  <c r="K80" i="1" s="1"/>
  <c r="E81" i="1"/>
  <c r="G81" i="1" s="1"/>
  <c r="J81" i="1" s="1"/>
  <c r="K81" i="1" s="1"/>
  <c r="E82" i="1"/>
  <c r="G82" i="1" s="1"/>
  <c r="J82" i="1" s="1"/>
  <c r="K82" i="1" s="1"/>
  <c r="E83" i="1"/>
  <c r="G83" i="1" s="1"/>
  <c r="J83" i="1" s="1"/>
  <c r="K83" i="1" s="1"/>
  <c r="E84" i="1"/>
  <c r="G84" i="1" s="1"/>
  <c r="J84" i="1" s="1"/>
  <c r="K84" i="1" s="1"/>
  <c r="E85" i="1"/>
  <c r="G85" i="1" s="1"/>
  <c r="J85" i="1" s="1"/>
  <c r="K85" i="1" s="1"/>
  <c r="E86" i="1"/>
  <c r="G86" i="1" s="1"/>
  <c r="J86" i="1" s="1"/>
  <c r="K86" i="1" s="1"/>
  <c r="E87" i="1"/>
  <c r="G87" i="1" s="1"/>
  <c r="J87" i="1" s="1"/>
  <c r="K87" i="1" s="1"/>
  <c r="E88" i="1"/>
  <c r="G88" i="1" s="1"/>
  <c r="J88" i="1" s="1"/>
  <c r="K88" i="1" s="1"/>
  <c r="E89" i="1"/>
  <c r="G89" i="1" s="1"/>
  <c r="J89" i="1" s="1"/>
  <c r="K89" i="1" s="1"/>
  <c r="E90" i="1"/>
  <c r="G90" i="1" s="1"/>
  <c r="J90" i="1" s="1"/>
  <c r="K90" i="1" s="1"/>
  <c r="E91" i="1"/>
  <c r="G91" i="1" s="1"/>
  <c r="J91" i="1" s="1"/>
  <c r="K91" i="1" s="1"/>
  <c r="E92" i="1"/>
  <c r="G92" i="1" s="1"/>
  <c r="J92" i="1" s="1"/>
  <c r="K92" i="1" s="1"/>
  <c r="E93" i="1"/>
  <c r="G93" i="1" s="1"/>
  <c r="J93" i="1" s="1"/>
  <c r="K93" i="1" s="1"/>
  <c r="E94" i="1"/>
  <c r="G94" i="1" s="1"/>
  <c r="J94" i="1" s="1"/>
  <c r="K94" i="1" s="1"/>
  <c r="E95" i="1"/>
  <c r="G95" i="1" s="1"/>
  <c r="J95" i="1" s="1"/>
  <c r="K95" i="1" s="1"/>
  <c r="E96" i="1"/>
  <c r="G96" i="1" s="1"/>
  <c r="J96" i="1" s="1"/>
  <c r="K96" i="1" s="1"/>
  <c r="E97" i="1"/>
  <c r="G97" i="1" s="1"/>
  <c r="J97" i="1" s="1"/>
  <c r="K97" i="1" s="1"/>
  <c r="E98" i="1"/>
  <c r="G98" i="1" s="1"/>
  <c r="J98" i="1" s="1"/>
  <c r="K98" i="1" s="1"/>
  <c r="E99" i="1"/>
  <c r="G99" i="1" s="1"/>
  <c r="J99" i="1" s="1"/>
  <c r="K99" i="1" s="1"/>
  <c r="E100" i="1"/>
  <c r="G100" i="1" s="1"/>
  <c r="J100" i="1" s="1"/>
  <c r="K100" i="1" s="1"/>
  <c r="E101" i="1"/>
  <c r="G101" i="1" s="1"/>
  <c r="J101" i="1" s="1"/>
  <c r="K101" i="1" s="1"/>
  <c r="E102" i="1"/>
  <c r="G102" i="1" s="1"/>
  <c r="J102" i="1" s="1"/>
  <c r="K102" i="1" s="1"/>
  <c r="E103" i="1"/>
  <c r="G103" i="1" s="1"/>
  <c r="J103" i="1" s="1"/>
  <c r="K103" i="1" s="1"/>
  <c r="E104" i="1"/>
  <c r="G104" i="1" s="1"/>
  <c r="J104" i="1" s="1"/>
  <c r="K104" i="1" s="1"/>
  <c r="E105" i="1"/>
  <c r="G105" i="1" s="1"/>
  <c r="J105" i="1" s="1"/>
  <c r="K105" i="1" s="1"/>
  <c r="E106" i="1"/>
  <c r="G106" i="1" s="1"/>
  <c r="J106" i="1" s="1"/>
  <c r="K106" i="1" s="1"/>
  <c r="E107" i="1"/>
  <c r="G107" i="1" s="1"/>
  <c r="J107" i="1" s="1"/>
  <c r="K107" i="1" s="1"/>
  <c r="E108" i="1"/>
  <c r="G108" i="1" s="1"/>
  <c r="J108" i="1" s="1"/>
  <c r="K108" i="1" s="1"/>
  <c r="E109" i="1"/>
  <c r="G109" i="1" s="1"/>
  <c r="J109" i="1" s="1"/>
  <c r="K109" i="1" s="1"/>
  <c r="E110" i="1"/>
  <c r="G110" i="1" s="1"/>
  <c r="J110" i="1" s="1"/>
  <c r="K110" i="1" s="1"/>
  <c r="E111" i="1"/>
  <c r="G111" i="1" s="1"/>
  <c r="J111" i="1" s="1"/>
  <c r="K111" i="1" s="1"/>
  <c r="E112" i="1"/>
  <c r="G112" i="1" s="1"/>
  <c r="J112" i="1" s="1"/>
  <c r="K112" i="1" s="1"/>
  <c r="E113" i="1"/>
  <c r="G113" i="1" s="1"/>
  <c r="J113" i="1" s="1"/>
  <c r="K113" i="1" s="1"/>
  <c r="E114" i="1"/>
  <c r="G114" i="1" s="1"/>
  <c r="J114" i="1" s="1"/>
  <c r="K114" i="1" s="1"/>
  <c r="E115" i="1"/>
  <c r="G115" i="1" s="1"/>
  <c r="J115" i="1" s="1"/>
  <c r="K115" i="1" s="1"/>
  <c r="E116" i="1"/>
  <c r="G116" i="1" s="1"/>
  <c r="J116" i="1" s="1"/>
  <c r="K116" i="1" s="1"/>
  <c r="E117" i="1"/>
  <c r="G117" i="1" s="1"/>
  <c r="J117" i="1" s="1"/>
  <c r="K117" i="1" s="1"/>
  <c r="E118" i="1"/>
  <c r="G118" i="1" s="1"/>
  <c r="J118" i="1" s="1"/>
  <c r="K118" i="1" s="1"/>
  <c r="E119" i="1"/>
  <c r="G119" i="1" s="1"/>
  <c r="J119" i="1" s="1"/>
  <c r="K119" i="1" s="1"/>
  <c r="E120" i="1"/>
  <c r="G120" i="1" s="1"/>
  <c r="J120" i="1" s="1"/>
  <c r="K120" i="1" s="1"/>
  <c r="E121" i="1"/>
  <c r="G121" i="1" s="1"/>
  <c r="J121" i="1" s="1"/>
  <c r="K121" i="1" s="1"/>
  <c r="E122" i="1"/>
  <c r="G122" i="1" s="1"/>
  <c r="J122" i="1" s="1"/>
  <c r="K122" i="1" s="1"/>
  <c r="E123" i="1"/>
  <c r="G123" i="1" s="1"/>
  <c r="J123" i="1" s="1"/>
  <c r="K123" i="1" s="1"/>
  <c r="E124" i="1"/>
  <c r="G124" i="1" s="1"/>
  <c r="J124" i="1" s="1"/>
  <c r="K124" i="1" s="1"/>
  <c r="E125" i="1"/>
  <c r="G125" i="1" s="1"/>
  <c r="J125" i="1" s="1"/>
  <c r="K125" i="1" s="1"/>
  <c r="E126" i="1"/>
  <c r="G126" i="1" s="1"/>
  <c r="J126" i="1" s="1"/>
  <c r="K126" i="1" s="1"/>
  <c r="E127" i="1"/>
  <c r="G127" i="1" s="1"/>
  <c r="J127" i="1" s="1"/>
  <c r="K127" i="1" s="1"/>
  <c r="E128" i="1"/>
  <c r="G128" i="1" s="1"/>
  <c r="J128" i="1" s="1"/>
  <c r="K128" i="1" s="1"/>
  <c r="E129" i="1"/>
  <c r="G129" i="1" s="1"/>
  <c r="J129" i="1" s="1"/>
  <c r="K129" i="1" s="1"/>
  <c r="E130" i="1"/>
  <c r="G130" i="1" s="1"/>
  <c r="J130" i="1" s="1"/>
  <c r="K130" i="1" s="1"/>
  <c r="E131" i="1"/>
  <c r="G131" i="1" s="1"/>
  <c r="J131" i="1" s="1"/>
  <c r="K131" i="1" s="1"/>
  <c r="E132" i="1"/>
  <c r="G132" i="1" s="1"/>
  <c r="J132" i="1" s="1"/>
  <c r="K132" i="1" s="1"/>
  <c r="E133" i="1"/>
  <c r="G133" i="1" s="1"/>
  <c r="J133" i="1" s="1"/>
  <c r="K133" i="1" s="1"/>
  <c r="E134" i="1"/>
  <c r="G134" i="1" s="1"/>
  <c r="J134" i="1" s="1"/>
  <c r="K134" i="1" s="1"/>
  <c r="E135" i="1"/>
  <c r="G135" i="1" s="1"/>
  <c r="J135" i="1" s="1"/>
  <c r="K135" i="1" s="1"/>
  <c r="E136" i="1"/>
  <c r="G136" i="1" s="1"/>
  <c r="J136" i="1" s="1"/>
  <c r="K136" i="1" s="1"/>
  <c r="E137" i="1"/>
  <c r="G137" i="1" s="1"/>
  <c r="J137" i="1" s="1"/>
  <c r="K137" i="1" s="1"/>
  <c r="E138" i="1"/>
  <c r="G138" i="1" s="1"/>
  <c r="J138" i="1" s="1"/>
  <c r="K138" i="1" s="1"/>
  <c r="E139" i="1"/>
  <c r="E140" i="1"/>
  <c r="G140" i="1" s="1"/>
  <c r="J140" i="1" s="1"/>
  <c r="K140" i="1" s="1"/>
  <c r="E141" i="1"/>
  <c r="G141" i="1" s="1"/>
  <c r="J141" i="1" s="1"/>
  <c r="K141" i="1" s="1"/>
  <c r="E142" i="1"/>
  <c r="G142" i="1" s="1"/>
  <c r="J142" i="1" s="1"/>
  <c r="K142" i="1" s="1"/>
  <c r="E143" i="1"/>
  <c r="G143" i="1" s="1"/>
  <c r="J143" i="1" s="1"/>
  <c r="K143" i="1" s="1"/>
  <c r="E144" i="1"/>
  <c r="G144" i="1" s="1"/>
  <c r="J144" i="1" s="1"/>
  <c r="K144" i="1" s="1"/>
  <c r="E145" i="1"/>
  <c r="G145" i="1" s="1"/>
  <c r="J145" i="1" s="1"/>
  <c r="K145" i="1" s="1"/>
  <c r="E146" i="1"/>
  <c r="G146" i="1" s="1"/>
  <c r="J146" i="1" s="1"/>
  <c r="K146" i="1" s="1"/>
  <c r="E147" i="1"/>
  <c r="G147" i="1" s="1"/>
  <c r="J147" i="1" s="1"/>
  <c r="K147" i="1" s="1"/>
  <c r="E148" i="1"/>
  <c r="G148" i="1" s="1"/>
  <c r="J148" i="1" s="1"/>
  <c r="K148" i="1" s="1"/>
  <c r="E149" i="1"/>
  <c r="G149" i="1" s="1"/>
  <c r="J149" i="1" s="1"/>
  <c r="K149" i="1" s="1"/>
  <c r="E150" i="1"/>
  <c r="G150" i="1" s="1"/>
  <c r="J150" i="1" s="1"/>
  <c r="K150" i="1" s="1"/>
  <c r="E151" i="1"/>
  <c r="G151" i="1" s="1"/>
  <c r="J151" i="1" s="1"/>
  <c r="K151" i="1" s="1"/>
  <c r="E152" i="1"/>
  <c r="G152" i="1" s="1"/>
  <c r="J152" i="1" s="1"/>
  <c r="K152" i="1" s="1"/>
  <c r="E153" i="1"/>
  <c r="G153" i="1" s="1"/>
  <c r="J153" i="1" s="1"/>
  <c r="K153" i="1" s="1"/>
  <c r="E154" i="1"/>
  <c r="G154" i="1" s="1"/>
  <c r="J154" i="1" s="1"/>
  <c r="K154" i="1" s="1"/>
  <c r="E155" i="1"/>
  <c r="G155" i="1" s="1"/>
  <c r="J155" i="1" s="1"/>
  <c r="K155" i="1" s="1"/>
  <c r="E156" i="1"/>
  <c r="G156" i="1" s="1"/>
  <c r="J156" i="1" s="1"/>
  <c r="K156" i="1" s="1"/>
  <c r="E157" i="1"/>
  <c r="E158" i="1"/>
  <c r="G158" i="1" s="1"/>
  <c r="J158" i="1" s="1"/>
  <c r="K158" i="1" s="1"/>
  <c r="E159" i="1"/>
  <c r="G159" i="1" s="1"/>
  <c r="J159" i="1" s="1"/>
  <c r="K159" i="1" s="1"/>
  <c r="E160" i="1"/>
  <c r="G160" i="1" s="1"/>
  <c r="J160" i="1" s="1"/>
  <c r="K160" i="1" s="1"/>
  <c r="E161" i="1"/>
  <c r="G161" i="1" s="1"/>
  <c r="J161" i="1" s="1"/>
  <c r="K161" i="1" s="1"/>
  <c r="E162" i="1"/>
  <c r="G162" i="1" s="1"/>
  <c r="J162" i="1" s="1"/>
  <c r="K162" i="1" s="1"/>
  <c r="E163" i="1"/>
  <c r="G163" i="1" s="1"/>
  <c r="J163" i="1" s="1"/>
  <c r="K163" i="1" s="1"/>
  <c r="E164" i="1"/>
  <c r="G164" i="1" s="1"/>
  <c r="J164" i="1" s="1"/>
  <c r="K164" i="1" s="1"/>
  <c r="E165" i="1"/>
  <c r="G165" i="1" s="1"/>
  <c r="J165" i="1" s="1"/>
  <c r="K165" i="1" s="1"/>
  <c r="E166" i="1"/>
  <c r="G166" i="1" s="1"/>
  <c r="J166" i="1" s="1"/>
  <c r="K166" i="1" s="1"/>
  <c r="E167" i="1"/>
  <c r="G167" i="1" s="1"/>
  <c r="J167" i="1" s="1"/>
  <c r="K167" i="1" s="1"/>
  <c r="E168" i="1"/>
  <c r="G168" i="1" s="1"/>
  <c r="J168" i="1" s="1"/>
  <c r="K168" i="1" s="1"/>
  <c r="E169" i="1"/>
  <c r="G169" i="1" s="1"/>
  <c r="J169" i="1" s="1"/>
  <c r="K169" i="1" s="1"/>
  <c r="E170" i="1"/>
  <c r="G170" i="1" s="1"/>
  <c r="J170" i="1" s="1"/>
  <c r="K170" i="1" s="1"/>
  <c r="E171" i="1"/>
  <c r="G171" i="1" s="1"/>
  <c r="J171" i="1" s="1"/>
  <c r="K171" i="1" s="1"/>
  <c r="E172" i="1"/>
  <c r="G172" i="1" s="1"/>
  <c r="J172" i="1" s="1"/>
  <c r="K172" i="1" s="1"/>
  <c r="E173" i="1"/>
  <c r="G173" i="1" s="1"/>
  <c r="J173" i="1" s="1"/>
  <c r="K173" i="1" s="1"/>
  <c r="E174" i="1"/>
  <c r="G174" i="1" s="1"/>
  <c r="J174" i="1" s="1"/>
  <c r="K174" i="1" s="1"/>
  <c r="E175" i="1"/>
  <c r="G175" i="1" s="1"/>
  <c r="J175" i="1" s="1"/>
  <c r="K175" i="1" s="1"/>
  <c r="E176" i="1"/>
  <c r="G176" i="1" s="1"/>
  <c r="J176" i="1" s="1"/>
  <c r="K176" i="1" s="1"/>
  <c r="E177" i="1"/>
  <c r="G177" i="1" s="1"/>
  <c r="J177" i="1" s="1"/>
  <c r="K177" i="1" s="1"/>
  <c r="E178" i="1"/>
  <c r="G178" i="1" s="1"/>
  <c r="J178" i="1" s="1"/>
  <c r="K178" i="1" s="1"/>
  <c r="E179" i="1"/>
  <c r="G179" i="1" s="1"/>
  <c r="J179" i="1" s="1"/>
  <c r="K179" i="1" s="1"/>
  <c r="E180" i="1"/>
  <c r="G180" i="1" s="1"/>
  <c r="J180" i="1" s="1"/>
  <c r="K180" i="1" s="1"/>
  <c r="E181" i="1"/>
  <c r="G181" i="1" s="1"/>
  <c r="J181" i="1" s="1"/>
  <c r="K181" i="1" s="1"/>
  <c r="E182" i="1"/>
  <c r="G182" i="1" s="1"/>
  <c r="J182" i="1" s="1"/>
  <c r="K182" i="1" s="1"/>
  <c r="E183" i="1"/>
  <c r="E184" i="1"/>
  <c r="G184" i="1" s="1"/>
  <c r="J184" i="1" s="1"/>
  <c r="K184" i="1" s="1"/>
  <c r="E185" i="1"/>
  <c r="G185" i="1" s="1"/>
  <c r="J185" i="1" s="1"/>
  <c r="K185" i="1" s="1"/>
  <c r="E186" i="1"/>
  <c r="G186" i="1" s="1"/>
  <c r="J186" i="1" s="1"/>
  <c r="K186" i="1" s="1"/>
  <c r="E187" i="1"/>
  <c r="G187" i="1" s="1"/>
  <c r="J187" i="1" s="1"/>
  <c r="K187" i="1" s="1"/>
  <c r="E188" i="1"/>
  <c r="G188" i="1" s="1"/>
  <c r="J188" i="1" s="1"/>
  <c r="K188" i="1" s="1"/>
  <c r="E189" i="1"/>
  <c r="G189" i="1" s="1"/>
  <c r="J189" i="1" s="1"/>
  <c r="K189" i="1" s="1"/>
  <c r="E190" i="1"/>
  <c r="G190" i="1" s="1"/>
  <c r="J190" i="1" s="1"/>
  <c r="K190" i="1" s="1"/>
  <c r="E191" i="1"/>
  <c r="G191" i="1" s="1"/>
  <c r="J191" i="1" s="1"/>
  <c r="K191" i="1" s="1"/>
  <c r="E192" i="1"/>
  <c r="G192" i="1" s="1"/>
  <c r="J192" i="1" s="1"/>
  <c r="K192" i="1" s="1"/>
  <c r="E193" i="1"/>
  <c r="G193" i="1" s="1"/>
  <c r="J193" i="1" s="1"/>
  <c r="K193" i="1" s="1"/>
  <c r="E194" i="1"/>
  <c r="G194" i="1" s="1"/>
  <c r="J194" i="1" s="1"/>
  <c r="K194" i="1" s="1"/>
  <c r="E195" i="1"/>
  <c r="G195" i="1" s="1"/>
  <c r="J195" i="1" s="1"/>
  <c r="K195" i="1" s="1"/>
  <c r="E196" i="1"/>
  <c r="G196" i="1" s="1"/>
  <c r="J196" i="1" s="1"/>
  <c r="K196" i="1" s="1"/>
  <c r="E197" i="1"/>
  <c r="G197" i="1" s="1"/>
  <c r="J197" i="1" s="1"/>
  <c r="K197" i="1" s="1"/>
  <c r="E198" i="1"/>
  <c r="G198" i="1" s="1"/>
  <c r="J198" i="1" s="1"/>
  <c r="K198" i="1" s="1"/>
  <c r="E199" i="1"/>
  <c r="G199" i="1" s="1"/>
  <c r="J199" i="1" s="1"/>
  <c r="K199" i="1" s="1"/>
  <c r="E200" i="1"/>
  <c r="G200" i="1" s="1"/>
  <c r="J200" i="1" s="1"/>
  <c r="K200" i="1" s="1"/>
  <c r="E201" i="1"/>
  <c r="G201" i="1" s="1"/>
  <c r="J201" i="1" s="1"/>
  <c r="K201" i="1" s="1"/>
  <c r="E202" i="1"/>
  <c r="G202" i="1" s="1"/>
  <c r="J202" i="1" s="1"/>
  <c r="K202" i="1" s="1"/>
  <c r="E203" i="1"/>
  <c r="G203" i="1" s="1"/>
  <c r="J203" i="1" s="1"/>
  <c r="K203" i="1" s="1"/>
  <c r="E204" i="1"/>
  <c r="G204" i="1" s="1"/>
  <c r="J204" i="1" s="1"/>
  <c r="K204" i="1" s="1"/>
  <c r="E205" i="1"/>
  <c r="G205" i="1" s="1"/>
  <c r="J205" i="1" s="1"/>
  <c r="K205" i="1" s="1"/>
  <c r="E206" i="1"/>
  <c r="G206" i="1" s="1"/>
  <c r="J206" i="1" s="1"/>
  <c r="K206" i="1" s="1"/>
  <c r="E207" i="1"/>
  <c r="G207" i="1" s="1"/>
  <c r="J207" i="1" s="1"/>
  <c r="K207" i="1" s="1"/>
  <c r="E208" i="1"/>
  <c r="G208" i="1" s="1"/>
  <c r="J208" i="1" s="1"/>
  <c r="K208" i="1" s="1"/>
  <c r="E209" i="1"/>
  <c r="G209" i="1" s="1"/>
  <c r="J209" i="1" s="1"/>
  <c r="K209" i="1" s="1"/>
  <c r="E210" i="1"/>
  <c r="G210" i="1" s="1"/>
  <c r="J210" i="1" s="1"/>
  <c r="K210" i="1" s="1"/>
  <c r="E211" i="1"/>
  <c r="G211" i="1" s="1"/>
  <c r="J211" i="1" s="1"/>
  <c r="K211" i="1" s="1"/>
  <c r="E212" i="1"/>
  <c r="G212" i="1" s="1"/>
  <c r="J212" i="1" s="1"/>
  <c r="K212" i="1" s="1"/>
  <c r="E213" i="1"/>
  <c r="G213" i="1" s="1"/>
  <c r="J213" i="1" s="1"/>
  <c r="K213" i="1" s="1"/>
  <c r="E214" i="1"/>
  <c r="G214" i="1" s="1"/>
  <c r="J214" i="1" s="1"/>
  <c r="K214" i="1" s="1"/>
  <c r="E215" i="1"/>
  <c r="G215" i="1" s="1"/>
  <c r="J215" i="1" s="1"/>
  <c r="K215" i="1" s="1"/>
  <c r="E216" i="1"/>
  <c r="G216" i="1" s="1"/>
  <c r="J216" i="1" s="1"/>
  <c r="K216" i="1" s="1"/>
  <c r="E217" i="1"/>
  <c r="G217" i="1" s="1"/>
  <c r="J217" i="1" s="1"/>
  <c r="K217" i="1" s="1"/>
  <c r="E218" i="1"/>
  <c r="G218" i="1" s="1"/>
  <c r="J218" i="1" s="1"/>
  <c r="K218" i="1" s="1"/>
  <c r="E219" i="1"/>
  <c r="G219" i="1" s="1"/>
  <c r="J219" i="1" s="1"/>
  <c r="K219" i="1" s="1"/>
  <c r="E220" i="1"/>
  <c r="G220" i="1" s="1"/>
  <c r="J220" i="1" s="1"/>
  <c r="K220" i="1" s="1"/>
  <c r="E221" i="1"/>
  <c r="G221" i="1" s="1"/>
  <c r="J221" i="1" s="1"/>
  <c r="K221" i="1" s="1"/>
  <c r="E222" i="1"/>
  <c r="G222" i="1" s="1"/>
  <c r="J222" i="1" s="1"/>
  <c r="K222" i="1" s="1"/>
  <c r="E223" i="1"/>
  <c r="G223" i="1" s="1"/>
  <c r="J223" i="1" s="1"/>
  <c r="K223" i="1" s="1"/>
  <c r="E224" i="1"/>
  <c r="G224" i="1" s="1"/>
  <c r="J224" i="1" s="1"/>
  <c r="K224" i="1" s="1"/>
  <c r="E225" i="1"/>
  <c r="G225" i="1" s="1"/>
  <c r="J225" i="1" s="1"/>
  <c r="K225" i="1" s="1"/>
  <c r="E226" i="1"/>
  <c r="G226" i="1" s="1"/>
  <c r="J226" i="1" s="1"/>
  <c r="K226" i="1" s="1"/>
  <c r="E227" i="1"/>
  <c r="G227" i="1" s="1"/>
  <c r="J227" i="1" s="1"/>
  <c r="K227" i="1" s="1"/>
  <c r="E228" i="1"/>
  <c r="G228" i="1" s="1"/>
  <c r="J228" i="1" s="1"/>
  <c r="K228" i="1" s="1"/>
  <c r="E229" i="1"/>
  <c r="G229" i="1" s="1"/>
  <c r="J229" i="1" s="1"/>
  <c r="K229" i="1" s="1"/>
  <c r="E230" i="1"/>
  <c r="G230" i="1" s="1"/>
  <c r="J230" i="1" s="1"/>
  <c r="K230" i="1" s="1"/>
  <c r="E231" i="1"/>
  <c r="G231" i="1" s="1"/>
  <c r="J231" i="1" s="1"/>
  <c r="K231" i="1" s="1"/>
  <c r="E232" i="1"/>
  <c r="G232" i="1" s="1"/>
  <c r="J232" i="1" s="1"/>
  <c r="K232" i="1" s="1"/>
  <c r="E233" i="1"/>
  <c r="G233" i="1" s="1"/>
  <c r="J233" i="1" s="1"/>
  <c r="K233" i="1" s="1"/>
  <c r="E234" i="1"/>
  <c r="G234" i="1" s="1"/>
  <c r="J234" i="1" s="1"/>
  <c r="K234" i="1" s="1"/>
  <c r="E235" i="1"/>
  <c r="G235" i="1" s="1"/>
  <c r="J235" i="1" s="1"/>
  <c r="K235" i="1" s="1"/>
  <c r="E236" i="1"/>
  <c r="G236" i="1" s="1"/>
  <c r="J236" i="1" s="1"/>
  <c r="K236" i="1" s="1"/>
  <c r="E237" i="1"/>
  <c r="G237" i="1" s="1"/>
  <c r="J237" i="1" s="1"/>
  <c r="K237" i="1" s="1"/>
  <c r="E238" i="1"/>
  <c r="G238" i="1" s="1"/>
  <c r="J238" i="1" s="1"/>
  <c r="K238" i="1" s="1"/>
  <c r="E239" i="1"/>
  <c r="G239" i="1" s="1"/>
  <c r="J239" i="1" s="1"/>
  <c r="K239" i="1" s="1"/>
  <c r="E240" i="1"/>
  <c r="G240" i="1" s="1"/>
  <c r="J240" i="1" s="1"/>
  <c r="K240" i="1" s="1"/>
  <c r="E241" i="1"/>
  <c r="G241" i="1" s="1"/>
  <c r="J241" i="1" s="1"/>
  <c r="K241" i="1" s="1"/>
  <c r="E242" i="1"/>
  <c r="G242" i="1" s="1"/>
  <c r="J242" i="1" s="1"/>
  <c r="K242" i="1" s="1"/>
  <c r="E243" i="1"/>
  <c r="G243" i="1" s="1"/>
  <c r="J243" i="1" s="1"/>
  <c r="K243" i="1" s="1"/>
  <c r="E244" i="1"/>
  <c r="G244" i="1" s="1"/>
  <c r="J244" i="1" s="1"/>
  <c r="K244" i="1" s="1"/>
  <c r="E245" i="1"/>
  <c r="G245" i="1" s="1"/>
  <c r="J245" i="1" s="1"/>
  <c r="K245" i="1" s="1"/>
  <c r="E246" i="1"/>
  <c r="G246" i="1" s="1"/>
  <c r="J246" i="1" s="1"/>
  <c r="K246" i="1" s="1"/>
  <c r="E247" i="1"/>
  <c r="G247" i="1" s="1"/>
  <c r="J247" i="1" s="1"/>
  <c r="K247" i="1" s="1"/>
  <c r="E248" i="1"/>
  <c r="G248" i="1" s="1"/>
  <c r="J248" i="1" s="1"/>
  <c r="K248" i="1" s="1"/>
  <c r="E249" i="1"/>
  <c r="G249" i="1" s="1"/>
  <c r="J249" i="1" s="1"/>
  <c r="K249" i="1" s="1"/>
  <c r="E250" i="1"/>
  <c r="G250" i="1" s="1"/>
  <c r="J250" i="1" s="1"/>
  <c r="K250" i="1" s="1"/>
  <c r="E251" i="1"/>
  <c r="G251" i="1" s="1"/>
  <c r="J251" i="1" s="1"/>
  <c r="K251" i="1" s="1"/>
  <c r="E252" i="1"/>
  <c r="G252" i="1" s="1"/>
  <c r="J252" i="1" s="1"/>
  <c r="K252" i="1" s="1"/>
  <c r="E253" i="1"/>
  <c r="G253" i="1" s="1"/>
  <c r="J253" i="1" s="1"/>
  <c r="K253" i="1" s="1"/>
  <c r="E254" i="1"/>
  <c r="G254" i="1" s="1"/>
  <c r="J254" i="1" s="1"/>
  <c r="K254" i="1" s="1"/>
  <c r="E255" i="1"/>
  <c r="G255" i="1" s="1"/>
  <c r="J255" i="1" s="1"/>
  <c r="K255" i="1" s="1"/>
  <c r="E256" i="1"/>
  <c r="G256" i="1" s="1"/>
  <c r="J256" i="1" s="1"/>
  <c r="K256" i="1" s="1"/>
  <c r="E257" i="1"/>
  <c r="G257" i="1" s="1"/>
  <c r="J257" i="1" s="1"/>
  <c r="K257" i="1" s="1"/>
  <c r="E258" i="1"/>
  <c r="G258" i="1" s="1"/>
  <c r="E259" i="1"/>
  <c r="G259" i="1" s="1"/>
  <c r="J259" i="1" s="1"/>
  <c r="K259" i="1" s="1"/>
  <c r="E260" i="1"/>
  <c r="G260" i="1" s="1"/>
  <c r="J260" i="1" s="1"/>
  <c r="K260" i="1" s="1"/>
  <c r="E261" i="1"/>
  <c r="G261" i="1" s="1"/>
  <c r="J261" i="1" s="1"/>
  <c r="K261" i="1" s="1"/>
  <c r="E262" i="1"/>
  <c r="G262" i="1" s="1"/>
  <c r="J262" i="1" s="1"/>
  <c r="K262" i="1" s="1"/>
  <c r="E263" i="1"/>
  <c r="G263" i="1" s="1"/>
  <c r="J263" i="1" s="1"/>
  <c r="K263" i="1" s="1"/>
  <c r="E264" i="1"/>
  <c r="E265" i="1"/>
  <c r="G265" i="1" s="1"/>
  <c r="J265" i="1" s="1"/>
  <c r="K265" i="1" s="1"/>
  <c r="E266" i="1"/>
  <c r="G266" i="1" s="1"/>
  <c r="J266" i="1" s="1"/>
  <c r="K266" i="1" s="1"/>
  <c r="E267" i="1"/>
  <c r="G267" i="1" s="1"/>
  <c r="J267" i="1" s="1"/>
  <c r="K267" i="1" s="1"/>
  <c r="E268" i="1"/>
  <c r="G268" i="1" s="1"/>
  <c r="J268" i="1" s="1"/>
  <c r="K268" i="1" s="1"/>
  <c r="E269" i="1"/>
  <c r="G269" i="1" s="1"/>
  <c r="J269" i="1" s="1"/>
  <c r="K269" i="1" s="1"/>
  <c r="E270" i="1"/>
  <c r="G270" i="1" s="1"/>
  <c r="J270" i="1" s="1"/>
  <c r="K270" i="1" s="1"/>
  <c r="E271" i="1"/>
  <c r="G271" i="1" s="1"/>
  <c r="J271" i="1" s="1"/>
  <c r="K271" i="1" s="1"/>
  <c r="E272" i="1"/>
  <c r="G272" i="1" s="1"/>
  <c r="J272" i="1" s="1"/>
  <c r="K272" i="1" s="1"/>
  <c r="E273" i="1"/>
  <c r="G273" i="1" s="1"/>
  <c r="J273" i="1" s="1"/>
  <c r="K273" i="1" s="1"/>
  <c r="E274" i="1"/>
  <c r="G274" i="1" s="1"/>
  <c r="J274" i="1" s="1"/>
  <c r="K274" i="1" s="1"/>
  <c r="E275" i="1"/>
  <c r="G275" i="1" s="1"/>
  <c r="J275" i="1" s="1"/>
  <c r="K275" i="1" s="1"/>
  <c r="E276" i="1"/>
  <c r="G276" i="1" s="1"/>
  <c r="J276" i="1" s="1"/>
  <c r="K276" i="1" s="1"/>
  <c r="E277" i="1"/>
  <c r="G277" i="1" s="1"/>
  <c r="J277" i="1" s="1"/>
  <c r="K277" i="1" s="1"/>
  <c r="E278" i="1"/>
  <c r="G278" i="1" s="1"/>
  <c r="J278" i="1" s="1"/>
  <c r="K278" i="1" s="1"/>
  <c r="E279" i="1"/>
  <c r="G279" i="1" s="1"/>
  <c r="J279" i="1" s="1"/>
  <c r="K279" i="1" s="1"/>
  <c r="E280" i="1"/>
  <c r="G280" i="1" s="1"/>
  <c r="J280" i="1" s="1"/>
  <c r="K280" i="1" s="1"/>
  <c r="E281" i="1"/>
  <c r="G281" i="1" s="1"/>
  <c r="J281" i="1" s="1"/>
  <c r="K281" i="1" s="1"/>
  <c r="E282" i="1"/>
  <c r="G282" i="1" s="1"/>
  <c r="J282" i="1" s="1"/>
  <c r="K282" i="1" s="1"/>
  <c r="E283" i="1"/>
  <c r="E284" i="1"/>
  <c r="G284" i="1" s="1"/>
  <c r="J284" i="1" s="1"/>
  <c r="K284" i="1" s="1"/>
  <c r="E285" i="1"/>
  <c r="G285" i="1" s="1"/>
  <c r="J285" i="1" s="1"/>
  <c r="K285" i="1" s="1"/>
  <c r="E286" i="1"/>
  <c r="G286" i="1" s="1"/>
  <c r="J286" i="1" s="1"/>
  <c r="K286" i="1" s="1"/>
  <c r="E287" i="1"/>
  <c r="G287" i="1" s="1"/>
  <c r="J287" i="1" s="1"/>
  <c r="K287" i="1" s="1"/>
  <c r="E288" i="1"/>
  <c r="G288" i="1" s="1"/>
  <c r="J288" i="1" s="1"/>
  <c r="K288" i="1" s="1"/>
  <c r="E289" i="1"/>
  <c r="G289" i="1" s="1"/>
  <c r="J289" i="1" s="1"/>
  <c r="K289" i="1" s="1"/>
  <c r="E290" i="1"/>
  <c r="G290" i="1" s="1"/>
  <c r="J290" i="1" s="1"/>
  <c r="K290" i="1" s="1"/>
  <c r="E291" i="1"/>
  <c r="G291" i="1" s="1"/>
  <c r="J291" i="1" s="1"/>
  <c r="K291" i="1" s="1"/>
  <c r="E292" i="1"/>
  <c r="G292" i="1" s="1"/>
  <c r="J292" i="1" s="1"/>
  <c r="K292" i="1" s="1"/>
  <c r="E293" i="1"/>
  <c r="G293" i="1" s="1"/>
  <c r="J293" i="1" s="1"/>
  <c r="K293" i="1" s="1"/>
  <c r="E294" i="1"/>
  <c r="G294" i="1" s="1"/>
  <c r="J294" i="1" s="1"/>
  <c r="K294" i="1" s="1"/>
  <c r="E295" i="1"/>
  <c r="G295" i="1" s="1"/>
  <c r="J295" i="1" s="1"/>
  <c r="K295" i="1" s="1"/>
  <c r="E296" i="1"/>
  <c r="G296" i="1" s="1"/>
  <c r="J296" i="1" s="1"/>
  <c r="K296" i="1" s="1"/>
  <c r="E297" i="1"/>
  <c r="G297" i="1" s="1"/>
  <c r="J297" i="1" s="1"/>
  <c r="K297" i="1" s="1"/>
  <c r="E298" i="1"/>
  <c r="G298" i="1" s="1"/>
  <c r="J298" i="1" s="1"/>
  <c r="K298" i="1" s="1"/>
  <c r="E299" i="1"/>
  <c r="G299" i="1" s="1"/>
  <c r="J299" i="1" s="1"/>
  <c r="K299" i="1" s="1"/>
  <c r="E300" i="1"/>
  <c r="G300" i="1" s="1"/>
  <c r="J300" i="1" s="1"/>
  <c r="K300" i="1" s="1"/>
  <c r="E301" i="1"/>
  <c r="G301" i="1" s="1"/>
  <c r="J301" i="1" s="1"/>
  <c r="K301" i="1" s="1"/>
  <c r="E302" i="1"/>
  <c r="G302" i="1" s="1"/>
  <c r="J302" i="1" s="1"/>
  <c r="K302" i="1" s="1"/>
  <c r="E303" i="1"/>
  <c r="G303" i="1" s="1"/>
  <c r="J303" i="1" s="1"/>
  <c r="K303" i="1" s="1"/>
  <c r="E304" i="1"/>
  <c r="G304" i="1" s="1"/>
  <c r="J304" i="1" s="1"/>
  <c r="K304" i="1" s="1"/>
  <c r="E305" i="1"/>
  <c r="G305" i="1" s="1"/>
  <c r="J305" i="1" s="1"/>
  <c r="K305" i="1" s="1"/>
  <c r="E306" i="1"/>
  <c r="G306" i="1" s="1"/>
  <c r="J306" i="1" s="1"/>
  <c r="K306" i="1" s="1"/>
  <c r="E307" i="1"/>
  <c r="G307" i="1" s="1"/>
  <c r="J307" i="1" s="1"/>
  <c r="K307" i="1" s="1"/>
  <c r="E308" i="1"/>
  <c r="G308" i="1" s="1"/>
  <c r="J308" i="1" s="1"/>
  <c r="K308" i="1" s="1"/>
  <c r="E309" i="1"/>
  <c r="G309" i="1" s="1"/>
  <c r="J309" i="1" s="1"/>
  <c r="K309" i="1" s="1"/>
  <c r="E310" i="1"/>
  <c r="G310" i="1" s="1"/>
  <c r="J310" i="1" s="1"/>
  <c r="K310" i="1" s="1"/>
  <c r="E311" i="1"/>
  <c r="G311" i="1" s="1"/>
  <c r="J311" i="1" s="1"/>
  <c r="K311" i="1" s="1"/>
  <c r="E312" i="1"/>
  <c r="G312" i="1" s="1"/>
  <c r="J312" i="1" s="1"/>
  <c r="K312" i="1" s="1"/>
  <c r="E313" i="1"/>
  <c r="G313" i="1" s="1"/>
  <c r="J313" i="1" s="1"/>
  <c r="K313" i="1" s="1"/>
  <c r="E314" i="1"/>
  <c r="G314" i="1" s="1"/>
  <c r="J314" i="1" s="1"/>
  <c r="K314" i="1" s="1"/>
  <c r="E315" i="1"/>
  <c r="G315" i="1" s="1"/>
  <c r="J315" i="1" s="1"/>
  <c r="K315" i="1" s="1"/>
  <c r="E316" i="1"/>
  <c r="G316" i="1" s="1"/>
  <c r="J316" i="1" s="1"/>
  <c r="K316" i="1" s="1"/>
  <c r="E317" i="1"/>
  <c r="G317" i="1" s="1"/>
  <c r="J317" i="1" s="1"/>
  <c r="K317" i="1" s="1"/>
  <c r="E318" i="1"/>
  <c r="G318" i="1" s="1"/>
  <c r="J318" i="1" s="1"/>
  <c r="K318" i="1" s="1"/>
  <c r="E319" i="1"/>
  <c r="G319" i="1" s="1"/>
  <c r="J319" i="1" s="1"/>
  <c r="K319" i="1" s="1"/>
  <c r="E320" i="1"/>
  <c r="G320" i="1" s="1"/>
  <c r="J320" i="1" s="1"/>
  <c r="K320" i="1" s="1"/>
  <c r="E321" i="1"/>
  <c r="G321" i="1" s="1"/>
  <c r="J321" i="1" s="1"/>
  <c r="K321" i="1" s="1"/>
  <c r="E322" i="1"/>
  <c r="G322" i="1" s="1"/>
  <c r="J322" i="1" s="1"/>
  <c r="K322" i="1" s="1"/>
  <c r="E323" i="1"/>
  <c r="G323" i="1" s="1"/>
  <c r="J323" i="1" s="1"/>
  <c r="K323" i="1" s="1"/>
  <c r="E324" i="1"/>
  <c r="G324" i="1" s="1"/>
  <c r="J324" i="1" s="1"/>
  <c r="K324" i="1" s="1"/>
  <c r="E325" i="1"/>
  <c r="G325" i="1" s="1"/>
  <c r="J325" i="1" s="1"/>
  <c r="K325" i="1" s="1"/>
  <c r="E326" i="1"/>
  <c r="G326" i="1" s="1"/>
  <c r="J326" i="1" s="1"/>
  <c r="K326" i="1" s="1"/>
  <c r="E327" i="1"/>
  <c r="G327" i="1" s="1"/>
  <c r="J327" i="1" s="1"/>
  <c r="K327" i="1" s="1"/>
  <c r="E328" i="1"/>
  <c r="G328" i="1" s="1"/>
  <c r="J328" i="1" s="1"/>
  <c r="K328" i="1" s="1"/>
  <c r="E329" i="1"/>
  <c r="G329" i="1" s="1"/>
  <c r="J329" i="1" s="1"/>
  <c r="K329" i="1" s="1"/>
  <c r="E330" i="1"/>
  <c r="G330" i="1" s="1"/>
  <c r="J330" i="1" s="1"/>
  <c r="K330" i="1" s="1"/>
  <c r="E331" i="1"/>
  <c r="G331" i="1" s="1"/>
  <c r="J331" i="1" s="1"/>
  <c r="K331" i="1" s="1"/>
  <c r="E332" i="1"/>
  <c r="G332" i="1" s="1"/>
  <c r="J332" i="1" s="1"/>
  <c r="K332" i="1" s="1"/>
  <c r="E333" i="1"/>
  <c r="G333" i="1" s="1"/>
  <c r="J333" i="1" s="1"/>
  <c r="K333" i="1" s="1"/>
  <c r="E334" i="1"/>
  <c r="G334" i="1" s="1"/>
  <c r="J334" i="1" s="1"/>
  <c r="K334" i="1" s="1"/>
  <c r="E335" i="1"/>
  <c r="G335" i="1" s="1"/>
  <c r="J335" i="1" s="1"/>
  <c r="K335" i="1" s="1"/>
  <c r="E336" i="1"/>
  <c r="G336" i="1" s="1"/>
  <c r="J336" i="1" s="1"/>
  <c r="K336" i="1" s="1"/>
  <c r="E337" i="1"/>
  <c r="G337" i="1" s="1"/>
  <c r="J337" i="1" s="1"/>
  <c r="K337" i="1" s="1"/>
  <c r="E338" i="1"/>
  <c r="G338" i="1" s="1"/>
  <c r="J338" i="1" s="1"/>
  <c r="K338" i="1" s="1"/>
  <c r="E339" i="1"/>
  <c r="G339" i="1" s="1"/>
  <c r="J339" i="1" s="1"/>
  <c r="K339" i="1" s="1"/>
  <c r="E340" i="1"/>
  <c r="G340" i="1" s="1"/>
  <c r="J340" i="1" s="1"/>
  <c r="K340" i="1" s="1"/>
  <c r="E341" i="1"/>
  <c r="G341" i="1" s="1"/>
  <c r="J341" i="1" s="1"/>
  <c r="K341" i="1" s="1"/>
  <c r="E342" i="1"/>
  <c r="G342" i="1" s="1"/>
  <c r="J342" i="1" s="1"/>
  <c r="K342" i="1" s="1"/>
  <c r="E343" i="1"/>
  <c r="G343" i="1" s="1"/>
  <c r="J343" i="1" s="1"/>
  <c r="K343" i="1" s="1"/>
  <c r="E344" i="1"/>
  <c r="G344" i="1" s="1"/>
  <c r="J344" i="1" s="1"/>
  <c r="K344" i="1" s="1"/>
  <c r="E345" i="1"/>
  <c r="G345" i="1" s="1"/>
  <c r="J345" i="1" s="1"/>
  <c r="K345" i="1" s="1"/>
  <c r="E346" i="1"/>
  <c r="G346" i="1" s="1"/>
  <c r="J346" i="1" s="1"/>
  <c r="K346" i="1" s="1"/>
  <c r="E347" i="1"/>
  <c r="E348" i="1"/>
  <c r="G348" i="1" s="1"/>
  <c r="J348" i="1" s="1"/>
  <c r="K348" i="1" s="1"/>
  <c r="E349" i="1"/>
  <c r="G349" i="1" s="1"/>
  <c r="J349" i="1" s="1"/>
  <c r="K349" i="1" s="1"/>
  <c r="E350" i="1"/>
  <c r="G350" i="1" s="1"/>
  <c r="J350" i="1" s="1"/>
  <c r="K350" i="1" s="1"/>
  <c r="E351" i="1"/>
  <c r="G351" i="1" s="1"/>
  <c r="J351" i="1" s="1"/>
  <c r="K351" i="1" s="1"/>
  <c r="E352" i="1"/>
  <c r="G352" i="1" s="1"/>
  <c r="J352" i="1" s="1"/>
  <c r="K352" i="1" s="1"/>
  <c r="E353" i="1"/>
  <c r="G353" i="1" s="1"/>
  <c r="J353" i="1" s="1"/>
  <c r="K353" i="1" s="1"/>
  <c r="E354" i="1"/>
  <c r="G354" i="1" s="1"/>
  <c r="J354" i="1" s="1"/>
  <c r="K354" i="1" s="1"/>
  <c r="E355" i="1"/>
  <c r="E356" i="1"/>
  <c r="G356" i="1" s="1"/>
  <c r="J356" i="1" s="1"/>
  <c r="K356" i="1" s="1"/>
  <c r="E357" i="1"/>
  <c r="G357" i="1" s="1"/>
  <c r="J357" i="1" s="1"/>
  <c r="K357" i="1" s="1"/>
  <c r="E358" i="1"/>
  <c r="G358" i="1" s="1"/>
  <c r="J358" i="1" s="1"/>
  <c r="K358" i="1" s="1"/>
  <c r="E359" i="1"/>
  <c r="G359" i="1" s="1"/>
  <c r="J359" i="1" s="1"/>
  <c r="K359" i="1" s="1"/>
  <c r="E360" i="1"/>
  <c r="G360" i="1" s="1"/>
  <c r="J360" i="1" s="1"/>
  <c r="K360" i="1" s="1"/>
  <c r="E361" i="1"/>
  <c r="G361" i="1" s="1"/>
  <c r="J361" i="1" s="1"/>
  <c r="K361" i="1" s="1"/>
  <c r="E362" i="1"/>
  <c r="G362" i="1" s="1"/>
  <c r="J362" i="1" s="1"/>
  <c r="K362" i="1" s="1"/>
  <c r="E363" i="1"/>
  <c r="E364" i="1"/>
  <c r="G364" i="1" s="1"/>
  <c r="J364" i="1" s="1"/>
  <c r="K364" i="1" s="1"/>
  <c r="E365" i="1"/>
  <c r="G365" i="1" s="1"/>
  <c r="J365" i="1" s="1"/>
  <c r="K365" i="1" s="1"/>
  <c r="E366" i="1"/>
  <c r="G366" i="1" s="1"/>
  <c r="J366" i="1" s="1"/>
  <c r="K366" i="1" s="1"/>
  <c r="E367" i="1"/>
  <c r="G367" i="1" s="1"/>
  <c r="J367" i="1" s="1"/>
  <c r="K367" i="1" s="1"/>
  <c r="E368" i="1"/>
  <c r="G368" i="1" s="1"/>
  <c r="J368" i="1" s="1"/>
  <c r="K368" i="1" s="1"/>
  <c r="E369" i="1"/>
  <c r="G369" i="1" s="1"/>
  <c r="J369" i="1" s="1"/>
  <c r="K369" i="1" s="1"/>
  <c r="E370" i="1"/>
  <c r="G370" i="1" s="1"/>
  <c r="E371" i="1"/>
  <c r="G371" i="1" s="1"/>
  <c r="J371" i="1" s="1"/>
  <c r="K371" i="1" s="1"/>
  <c r="E372" i="1"/>
  <c r="G372" i="1" s="1"/>
  <c r="J372" i="1" s="1"/>
  <c r="K372" i="1" s="1"/>
  <c r="E373" i="1"/>
  <c r="G373" i="1" s="1"/>
  <c r="J373" i="1" s="1"/>
  <c r="K373" i="1" s="1"/>
  <c r="E374" i="1"/>
  <c r="G374" i="1" s="1"/>
  <c r="J374" i="1" s="1"/>
  <c r="K374" i="1" s="1"/>
  <c r="E375" i="1"/>
  <c r="G375" i="1" s="1"/>
  <c r="J375" i="1" s="1"/>
  <c r="K375" i="1" s="1"/>
  <c r="E376" i="1"/>
  <c r="G376" i="1" s="1"/>
  <c r="J376" i="1" s="1"/>
  <c r="K376" i="1" s="1"/>
  <c r="E377" i="1"/>
  <c r="G377" i="1" s="1"/>
  <c r="J377" i="1" s="1"/>
  <c r="K377" i="1" s="1"/>
  <c r="E378" i="1"/>
  <c r="G378" i="1" s="1"/>
  <c r="J378" i="1" s="1"/>
  <c r="K378" i="1" s="1"/>
  <c r="E379" i="1"/>
  <c r="G379" i="1" s="1"/>
  <c r="J379" i="1" s="1"/>
  <c r="K379" i="1" s="1"/>
  <c r="E380" i="1"/>
  <c r="G380" i="1" s="1"/>
  <c r="J380" i="1" s="1"/>
  <c r="K380" i="1" s="1"/>
  <c r="E381" i="1"/>
  <c r="G381" i="1" s="1"/>
  <c r="J381" i="1" s="1"/>
  <c r="K381" i="1" s="1"/>
  <c r="E382" i="1"/>
  <c r="G382" i="1" s="1"/>
  <c r="J382" i="1" s="1"/>
  <c r="K382" i="1" s="1"/>
  <c r="E383" i="1"/>
  <c r="G383" i="1" s="1"/>
  <c r="J383" i="1" s="1"/>
  <c r="K383" i="1" s="1"/>
  <c r="E384" i="1"/>
  <c r="G384" i="1" s="1"/>
  <c r="J384" i="1" s="1"/>
  <c r="K384" i="1" s="1"/>
  <c r="E385" i="1"/>
  <c r="G385" i="1" s="1"/>
  <c r="J385" i="1" s="1"/>
  <c r="K385" i="1" s="1"/>
  <c r="E386" i="1"/>
  <c r="G386" i="1" s="1"/>
  <c r="J386" i="1" s="1"/>
  <c r="K386" i="1" s="1"/>
  <c r="E387" i="1"/>
  <c r="G387" i="1" s="1"/>
  <c r="J387" i="1" s="1"/>
  <c r="K387" i="1" s="1"/>
  <c r="E388" i="1"/>
  <c r="G388" i="1" s="1"/>
  <c r="J388" i="1" s="1"/>
  <c r="K388" i="1" s="1"/>
  <c r="E389" i="1"/>
  <c r="G389" i="1" s="1"/>
  <c r="J389" i="1" s="1"/>
  <c r="K389" i="1" s="1"/>
  <c r="E390" i="1"/>
  <c r="G390" i="1" s="1"/>
  <c r="J390" i="1" s="1"/>
  <c r="K390" i="1" s="1"/>
  <c r="E391" i="1"/>
  <c r="G391" i="1" s="1"/>
  <c r="J391" i="1" s="1"/>
  <c r="K391" i="1" s="1"/>
  <c r="E392" i="1"/>
  <c r="G392" i="1" s="1"/>
  <c r="J392" i="1" s="1"/>
  <c r="K392" i="1" s="1"/>
  <c r="E393" i="1"/>
  <c r="G393" i="1" s="1"/>
  <c r="J393" i="1" s="1"/>
  <c r="K393" i="1" s="1"/>
  <c r="E394" i="1"/>
  <c r="G394" i="1" s="1"/>
  <c r="J394" i="1" s="1"/>
  <c r="K394" i="1" s="1"/>
  <c r="E395" i="1"/>
  <c r="G395" i="1" s="1"/>
  <c r="J395" i="1" s="1"/>
  <c r="K395" i="1" s="1"/>
  <c r="E396" i="1"/>
  <c r="G396" i="1" s="1"/>
  <c r="J396" i="1" s="1"/>
  <c r="K396" i="1" s="1"/>
  <c r="E397" i="1"/>
  <c r="G397" i="1" s="1"/>
  <c r="J397" i="1" s="1"/>
  <c r="K397" i="1" s="1"/>
  <c r="E398" i="1"/>
  <c r="G398" i="1" s="1"/>
  <c r="J398" i="1" s="1"/>
  <c r="K398" i="1" s="1"/>
  <c r="E399" i="1"/>
  <c r="G399" i="1" s="1"/>
  <c r="J399" i="1" s="1"/>
  <c r="K399" i="1" s="1"/>
  <c r="E400" i="1"/>
  <c r="G400" i="1" s="1"/>
  <c r="J400" i="1" s="1"/>
  <c r="K400" i="1" s="1"/>
  <c r="E401" i="1"/>
  <c r="G401" i="1" s="1"/>
  <c r="J401" i="1" s="1"/>
  <c r="K401" i="1" s="1"/>
  <c r="E402" i="1"/>
  <c r="G402" i="1" s="1"/>
  <c r="E403" i="1"/>
  <c r="G403" i="1" s="1"/>
  <c r="J403" i="1" s="1"/>
  <c r="K403" i="1" s="1"/>
  <c r="E404" i="1"/>
  <c r="G404" i="1" s="1"/>
  <c r="J404" i="1" s="1"/>
  <c r="K404" i="1" s="1"/>
  <c r="E405" i="1"/>
  <c r="G405" i="1" s="1"/>
  <c r="J405" i="1" s="1"/>
  <c r="K405" i="1" s="1"/>
  <c r="E406" i="1"/>
  <c r="E407" i="1"/>
  <c r="G407" i="1" s="1"/>
  <c r="J407" i="1" s="1"/>
  <c r="K407" i="1" s="1"/>
  <c r="E408" i="1"/>
  <c r="G408" i="1" s="1"/>
  <c r="J408" i="1" s="1"/>
  <c r="K408" i="1" s="1"/>
  <c r="E409" i="1"/>
  <c r="G409" i="1" s="1"/>
  <c r="J409" i="1" s="1"/>
  <c r="K409" i="1" s="1"/>
  <c r="E410" i="1"/>
  <c r="G410" i="1" s="1"/>
  <c r="J410" i="1" s="1"/>
  <c r="K410" i="1" s="1"/>
  <c r="E411" i="1"/>
  <c r="G411" i="1" s="1"/>
  <c r="J411" i="1" s="1"/>
  <c r="K411" i="1" s="1"/>
  <c r="E412" i="1"/>
  <c r="G412" i="1" s="1"/>
  <c r="J412" i="1" s="1"/>
  <c r="K412" i="1" s="1"/>
  <c r="E413" i="1"/>
  <c r="G413" i="1" s="1"/>
  <c r="J413" i="1" s="1"/>
  <c r="K413" i="1" s="1"/>
  <c r="E414" i="1"/>
  <c r="E415" i="1"/>
  <c r="G415" i="1" s="1"/>
  <c r="J415" i="1" s="1"/>
  <c r="K415" i="1" s="1"/>
  <c r="E416" i="1"/>
  <c r="G416" i="1" s="1"/>
  <c r="J416" i="1" s="1"/>
  <c r="K416" i="1" s="1"/>
  <c r="E417" i="1"/>
  <c r="G417" i="1" s="1"/>
  <c r="J417" i="1" s="1"/>
  <c r="K417" i="1" s="1"/>
  <c r="E418" i="1"/>
  <c r="G418" i="1" s="1"/>
  <c r="J418" i="1" s="1"/>
  <c r="K418" i="1" s="1"/>
  <c r="E419" i="1"/>
  <c r="G419" i="1" s="1"/>
  <c r="J419" i="1" s="1"/>
  <c r="K419" i="1" s="1"/>
  <c r="E420" i="1"/>
  <c r="G420" i="1" s="1"/>
  <c r="J420" i="1" s="1"/>
  <c r="K420" i="1" s="1"/>
  <c r="E421" i="1"/>
  <c r="G421" i="1" s="1"/>
  <c r="J421" i="1" s="1"/>
  <c r="K421" i="1" s="1"/>
  <c r="E422" i="1"/>
  <c r="E423" i="1"/>
  <c r="G423" i="1" s="1"/>
  <c r="J423" i="1" s="1"/>
  <c r="K423" i="1" s="1"/>
  <c r="E424" i="1"/>
  <c r="G424" i="1" s="1"/>
  <c r="J424" i="1" s="1"/>
  <c r="K424" i="1" s="1"/>
  <c r="E425" i="1"/>
  <c r="G425" i="1" s="1"/>
  <c r="J425" i="1" s="1"/>
  <c r="K425" i="1" s="1"/>
  <c r="E426" i="1"/>
  <c r="G426" i="1" s="1"/>
  <c r="J426" i="1" s="1"/>
  <c r="K426" i="1" s="1"/>
  <c r="E427" i="1"/>
  <c r="G427" i="1" s="1"/>
  <c r="J427" i="1" s="1"/>
  <c r="K427" i="1" s="1"/>
  <c r="E428" i="1"/>
  <c r="G428" i="1" s="1"/>
  <c r="J428" i="1" s="1"/>
  <c r="K428" i="1" s="1"/>
  <c r="E429" i="1"/>
  <c r="G429" i="1" s="1"/>
  <c r="J429" i="1" s="1"/>
  <c r="K429" i="1" s="1"/>
  <c r="E430" i="1"/>
  <c r="G430" i="1" s="1"/>
  <c r="J430" i="1" s="1"/>
  <c r="K430" i="1" s="1"/>
  <c r="E431" i="1"/>
  <c r="G431" i="1" s="1"/>
  <c r="J431" i="1" s="1"/>
  <c r="K431" i="1" s="1"/>
  <c r="E432" i="1"/>
  <c r="G432" i="1" s="1"/>
  <c r="J432" i="1" s="1"/>
  <c r="K432" i="1" s="1"/>
  <c r="E433" i="1"/>
  <c r="G433" i="1" s="1"/>
  <c r="J433" i="1" s="1"/>
  <c r="K433" i="1" s="1"/>
  <c r="E434" i="1"/>
  <c r="G434" i="1" s="1"/>
  <c r="J434" i="1" s="1"/>
  <c r="K434" i="1" s="1"/>
  <c r="E435" i="1"/>
  <c r="G435" i="1" s="1"/>
  <c r="J435" i="1" s="1"/>
  <c r="K435" i="1" s="1"/>
  <c r="E436" i="1"/>
  <c r="G436" i="1" s="1"/>
  <c r="J436" i="1" s="1"/>
  <c r="K436" i="1" s="1"/>
  <c r="E437" i="1"/>
  <c r="G437" i="1" s="1"/>
  <c r="J437" i="1" s="1"/>
  <c r="K437" i="1" s="1"/>
  <c r="E438" i="1"/>
  <c r="G438" i="1" s="1"/>
  <c r="J438" i="1" s="1"/>
  <c r="K438" i="1" s="1"/>
  <c r="E439" i="1"/>
  <c r="G439" i="1" s="1"/>
  <c r="J439" i="1" s="1"/>
  <c r="K439" i="1" s="1"/>
  <c r="E440" i="1"/>
  <c r="G440" i="1" s="1"/>
  <c r="J440" i="1" s="1"/>
  <c r="K440" i="1" s="1"/>
  <c r="E441" i="1"/>
  <c r="G441" i="1" s="1"/>
  <c r="J441" i="1" s="1"/>
  <c r="K441" i="1" s="1"/>
  <c r="E442" i="1"/>
  <c r="G442" i="1" s="1"/>
  <c r="J442" i="1" s="1"/>
  <c r="K442" i="1" s="1"/>
  <c r="E443" i="1"/>
  <c r="G443" i="1" s="1"/>
  <c r="J443" i="1" s="1"/>
  <c r="K443" i="1" s="1"/>
  <c r="E444" i="1"/>
  <c r="G444" i="1" s="1"/>
  <c r="J444" i="1" s="1"/>
  <c r="K444" i="1" s="1"/>
  <c r="E445" i="1"/>
  <c r="G445" i="1" s="1"/>
  <c r="J445" i="1" s="1"/>
  <c r="K445" i="1" s="1"/>
  <c r="E446" i="1"/>
  <c r="G446" i="1" s="1"/>
  <c r="J446" i="1" s="1"/>
  <c r="K446" i="1" s="1"/>
  <c r="E447" i="1"/>
  <c r="G447" i="1" s="1"/>
  <c r="J447" i="1" s="1"/>
  <c r="K447" i="1" s="1"/>
  <c r="E448" i="1"/>
  <c r="G448" i="1" s="1"/>
  <c r="J448" i="1" s="1"/>
  <c r="K448" i="1" s="1"/>
  <c r="E449" i="1"/>
  <c r="G449" i="1" s="1"/>
  <c r="J449" i="1" s="1"/>
  <c r="K449" i="1" s="1"/>
  <c r="E450" i="1"/>
  <c r="G450" i="1" s="1"/>
  <c r="J450" i="1" s="1"/>
  <c r="K450" i="1" s="1"/>
  <c r="E451" i="1"/>
  <c r="G451" i="1" s="1"/>
  <c r="J451" i="1" s="1"/>
  <c r="K451" i="1" s="1"/>
  <c r="E452" i="1"/>
  <c r="G452" i="1" s="1"/>
  <c r="J452" i="1" s="1"/>
  <c r="K452" i="1" s="1"/>
  <c r="E453" i="1"/>
  <c r="G453" i="1" s="1"/>
  <c r="J453" i="1" s="1"/>
  <c r="K453" i="1" s="1"/>
  <c r="E454" i="1"/>
  <c r="G454" i="1" s="1"/>
  <c r="J454" i="1" s="1"/>
  <c r="K454" i="1" s="1"/>
  <c r="E455" i="1"/>
  <c r="G455" i="1" s="1"/>
  <c r="J455" i="1" s="1"/>
  <c r="K455" i="1" s="1"/>
  <c r="E456" i="1"/>
  <c r="G456" i="1" s="1"/>
  <c r="J456" i="1" s="1"/>
  <c r="K456" i="1" s="1"/>
  <c r="E457" i="1"/>
  <c r="G457" i="1" s="1"/>
  <c r="J457" i="1" s="1"/>
  <c r="K457" i="1" s="1"/>
  <c r="E458" i="1"/>
  <c r="G458" i="1" s="1"/>
  <c r="J458" i="1" s="1"/>
  <c r="K458" i="1" s="1"/>
  <c r="E459" i="1"/>
  <c r="G459" i="1" s="1"/>
  <c r="J459" i="1" s="1"/>
  <c r="K459" i="1" s="1"/>
  <c r="E460" i="1"/>
  <c r="G460" i="1" s="1"/>
  <c r="J460" i="1" s="1"/>
  <c r="K460" i="1" s="1"/>
  <c r="E461" i="1"/>
  <c r="G461" i="1" s="1"/>
  <c r="J461" i="1" s="1"/>
  <c r="K461" i="1" s="1"/>
  <c r="E462" i="1"/>
  <c r="G462" i="1" s="1"/>
  <c r="J462" i="1" s="1"/>
  <c r="K462" i="1" s="1"/>
  <c r="E463" i="1"/>
  <c r="G463" i="1" s="1"/>
  <c r="J463" i="1" s="1"/>
  <c r="K463" i="1" s="1"/>
  <c r="E464" i="1"/>
  <c r="G464" i="1" s="1"/>
  <c r="J464" i="1" s="1"/>
  <c r="K464" i="1" s="1"/>
  <c r="E465" i="1"/>
  <c r="G465" i="1" s="1"/>
  <c r="J465" i="1" s="1"/>
  <c r="K465" i="1" s="1"/>
  <c r="E466" i="1"/>
  <c r="G466" i="1" s="1"/>
  <c r="J466" i="1" s="1"/>
  <c r="K466" i="1" s="1"/>
  <c r="E467" i="1"/>
  <c r="E468" i="1"/>
  <c r="G468" i="1" s="1"/>
  <c r="J468" i="1" s="1"/>
  <c r="K468" i="1" s="1"/>
  <c r="E469" i="1"/>
  <c r="G469" i="1" s="1"/>
  <c r="J469" i="1" s="1"/>
  <c r="K469" i="1" s="1"/>
  <c r="E470" i="1"/>
  <c r="G470" i="1" s="1"/>
  <c r="J470" i="1" s="1"/>
  <c r="K470" i="1" s="1"/>
  <c r="E471" i="1"/>
  <c r="G471" i="1" s="1"/>
  <c r="J471" i="1" s="1"/>
  <c r="K471" i="1" s="1"/>
  <c r="E472" i="1"/>
  <c r="G472" i="1" s="1"/>
  <c r="J472" i="1" s="1"/>
  <c r="K472" i="1" s="1"/>
  <c r="E473" i="1"/>
  <c r="G473" i="1" s="1"/>
  <c r="J473" i="1" s="1"/>
  <c r="K473" i="1" s="1"/>
  <c r="E474" i="1"/>
  <c r="G474" i="1" s="1"/>
  <c r="J474" i="1" s="1"/>
  <c r="K474" i="1" s="1"/>
  <c r="E475" i="1"/>
  <c r="E476" i="1"/>
  <c r="G476" i="1" s="1"/>
  <c r="J476" i="1" s="1"/>
  <c r="K476" i="1" s="1"/>
  <c r="E477" i="1"/>
  <c r="G477" i="1" s="1"/>
  <c r="J477" i="1" s="1"/>
  <c r="K477" i="1" s="1"/>
  <c r="E478" i="1"/>
  <c r="G478" i="1" s="1"/>
  <c r="J478" i="1" s="1"/>
  <c r="K478" i="1" s="1"/>
  <c r="E479" i="1"/>
  <c r="G479" i="1" s="1"/>
  <c r="J479" i="1" s="1"/>
  <c r="K479" i="1" s="1"/>
  <c r="E480" i="1"/>
  <c r="G480" i="1" s="1"/>
  <c r="J480" i="1" s="1"/>
  <c r="K480" i="1" s="1"/>
  <c r="E481" i="1"/>
  <c r="G481" i="1" s="1"/>
  <c r="J481" i="1" s="1"/>
  <c r="K481" i="1" s="1"/>
  <c r="E482" i="1"/>
  <c r="G482" i="1" s="1"/>
  <c r="J482" i="1" s="1"/>
  <c r="K482" i="1" s="1"/>
  <c r="E483" i="1"/>
  <c r="E484" i="1"/>
  <c r="G484" i="1" s="1"/>
  <c r="J484" i="1" s="1"/>
  <c r="K484" i="1" s="1"/>
  <c r="E485" i="1"/>
  <c r="G485" i="1" s="1"/>
  <c r="J485" i="1" s="1"/>
  <c r="K485" i="1" s="1"/>
  <c r="E486" i="1"/>
  <c r="G486" i="1" s="1"/>
  <c r="J486" i="1" s="1"/>
  <c r="K486" i="1" s="1"/>
  <c r="E487" i="1"/>
  <c r="G487" i="1" s="1"/>
  <c r="J487" i="1" s="1"/>
  <c r="K487" i="1" s="1"/>
  <c r="E488" i="1"/>
  <c r="G488" i="1" s="1"/>
  <c r="J488" i="1" s="1"/>
  <c r="K488" i="1" s="1"/>
  <c r="E489" i="1"/>
  <c r="G489" i="1" s="1"/>
  <c r="J489" i="1" s="1"/>
  <c r="K489" i="1" s="1"/>
  <c r="E490" i="1"/>
  <c r="G490" i="1" s="1"/>
  <c r="J490" i="1" s="1"/>
  <c r="K490" i="1" s="1"/>
  <c r="E491" i="1"/>
  <c r="G491" i="1" s="1"/>
  <c r="J491" i="1" s="1"/>
  <c r="K491" i="1" s="1"/>
  <c r="E492" i="1"/>
  <c r="G492" i="1" s="1"/>
  <c r="J492" i="1" s="1"/>
  <c r="K492" i="1" s="1"/>
  <c r="E493" i="1"/>
  <c r="G493" i="1" s="1"/>
  <c r="J493" i="1" s="1"/>
  <c r="K493" i="1" s="1"/>
  <c r="E494" i="1"/>
  <c r="G494" i="1" s="1"/>
  <c r="J494" i="1" s="1"/>
  <c r="K494" i="1" s="1"/>
  <c r="E495" i="1"/>
  <c r="G495" i="1" s="1"/>
  <c r="J495" i="1" s="1"/>
  <c r="K495" i="1" s="1"/>
  <c r="E496" i="1"/>
  <c r="G496" i="1" s="1"/>
  <c r="J496" i="1" s="1"/>
  <c r="K496" i="1" s="1"/>
  <c r="E497" i="1"/>
  <c r="G497" i="1" s="1"/>
  <c r="J497" i="1" s="1"/>
  <c r="K497" i="1" s="1"/>
  <c r="E498" i="1"/>
  <c r="G498" i="1" s="1"/>
  <c r="J498" i="1" s="1"/>
  <c r="K498" i="1" s="1"/>
  <c r="E499" i="1"/>
  <c r="G499" i="1" s="1"/>
  <c r="J499" i="1" s="1"/>
  <c r="K499" i="1" s="1"/>
  <c r="E500" i="1"/>
  <c r="G500" i="1" s="1"/>
  <c r="J500" i="1" s="1"/>
  <c r="K500" i="1" s="1"/>
  <c r="E501" i="1"/>
  <c r="G501" i="1" s="1"/>
  <c r="J501" i="1" s="1"/>
  <c r="K501" i="1" s="1"/>
  <c r="E502" i="1"/>
  <c r="G502" i="1" s="1"/>
  <c r="J502" i="1" s="1"/>
  <c r="K502" i="1" s="1"/>
  <c r="E503" i="1"/>
  <c r="G503" i="1" s="1"/>
  <c r="J503" i="1" s="1"/>
  <c r="K503" i="1" s="1"/>
  <c r="E504" i="1"/>
  <c r="G504" i="1" s="1"/>
  <c r="J504" i="1" s="1"/>
  <c r="K504" i="1" s="1"/>
  <c r="E505" i="1"/>
  <c r="G505" i="1" s="1"/>
  <c r="J505" i="1" s="1"/>
  <c r="K505" i="1" s="1"/>
  <c r="E506" i="1"/>
  <c r="G506" i="1" s="1"/>
  <c r="J506" i="1" s="1"/>
  <c r="K506" i="1" s="1"/>
  <c r="E507" i="1"/>
  <c r="G507" i="1" s="1"/>
  <c r="J507" i="1" s="1"/>
  <c r="K507" i="1" s="1"/>
  <c r="E508" i="1"/>
  <c r="G508" i="1" s="1"/>
  <c r="J508" i="1" s="1"/>
  <c r="K508" i="1" s="1"/>
  <c r="E509" i="1"/>
  <c r="G509" i="1" s="1"/>
  <c r="J509" i="1" s="1"/>
  <c r="K509" i="1" s="1"/>
  <c r="E510" i="1"/>
  <c r="G510" i="1" s="1"/>
  <c r="J510" i="1" s="1"/>
  <c r="K510" i="1" s="1"/>
  <c r="E511" i="1"/>
  <c r="G511" i="1" s="1"/>
  <c r="J511" i="1" s="1"/>
  <c r="K511" i="1" s="1"/>
  <c r="E512" i="1"/>
  <c r="G512" i="1" s="1"/>
  <c r="J512" i="1" s="1"/>
  <c r="K512" i="1" s="1"/>
  <c r="E513" i="1"/>
  <c r="G513" i="1" s="1"/>
  <c r="J513" i="1" s="1"/>
  <c r="K513" i="1" s="1"/>
  <c r="E514" i="1"/>
  <c r="G514" i="1" s="1"/>
  <c r="J514" i="1" s="1"/>
  <c r="K514" i="1" s="1"/>
  <c r="E515" i="1"/>
  <c r="G515" i="1" s="1"/>
  <c r="J515" i="1" s="1"/>
  <c r="K515" i="1" s="1"/>
  <c r="E516" i="1"/>
  <c r="G516" i="1" s="1"/>
  <c r="J516" i="1" s="1"/>
  <c r="K516" i="1" s="1"/>
  <c r="E517" i="1"/>
  <c r="G517" i="1" s="1"/>
  <c r="J517" i="1" s="1"/>
  <c r="K517" i="1" s="1"/>
  <c r="E518" i="1"/>
  <c r="G518" i="1" s="1"/>
  <c r="J518" i="1" s="1"/>
  <c r="K518" i="1" s="1"/>
  <c r="E519" i="1"/>
  <c r="G519" i="1" s="1"/>
  <c r="J519" i="1" s="1"/>
  <c r="K519" i="1" s="1"/>
  <c r="E520" i="1"/>
  <c r="G520" i="1" s="1"/>
  <c r="J520" i="1" s="1"/>
  <c r="K520" i="1" s="1"/>
  <c r="E521" i="1"/>
  <c r="G521" i="1" s="1"/>
  <c r="J521" i="1" s="1"/>
  <c r="K521" i="1" s="1"/>
  <c r="E522" i="1"/>
  <c r="G522" i="1" s="1"/>
  <c r="J522" i="1" s="1"/>
  <c r="K522" i="1" s="1"/>
  <c r="E523" i="1"/>
  <c r="G523" i="1" s="1"/>
  <c r="J523" i="1" s="1"/>
  <c r="K523" i="1" s="1"/>
  <c r="E524" i="1"/>
  <c r="G524" i="1" s="1"/>
  <c r="J524" i="1" s="1"/>
  <c r="K524" i="1" s="1"/>
  <c r="E525" i="1"/>
  <c r="G525" i="1" s="1"/>
  <c r="J525" i="1" s="1"/>
  <c r="K525" i="1" s="1"/>
  <c r="E526" i="1"/>
  <c r="E527" i="1"/>
  <c r="G527" i="1" s="1"/>
  <c r="J527" i="1" s="1"/>
  <c r="K527" i="1" s="1"/>
  <c r="E528" i="1"/>
  <c r="G528" i="1" s="1"/>
  <c r="J528" i="1" s="1"/>
  <c r="K528" i="1" s="1"/>
  <c r="E529" i="1"/>
  <c r="G529" i="1" s="1"/>
  <c r="J529" i="1" s="1"/>
  <c r="K529" i="1" s="1"/>
  <c r="E530" i="1"/>
  <c r="G530" i="1" s="1"/>
  <c r="E531" i="1"/>
  <c r="G531" i="1" s="1"/>
  <c r="J531" i="1" s="1"/>
  <c r="K531" i="1" s="1"/>
  <c r="E532" i="1"/>
  <c r="G532" i="1" s="1"/>
  <c r="J532" i="1" s="1"/>
  <c r="K532" i="1" s="1"/>
  <c r="E533" i="1"/>
  <c r="G533" i="1" s="1"/>
  <c r="J533" i="1" s="1"/>
  <c r="K533" i="1" s="1"/>
  <c r="E534" i="1"/>
  <c r="E535" i="1"/>
  <c r="G535" i="1" s="1"/>
  <c r="J535" i="1" s="1"/>
  <c r="K535" i="1" s="1"/>
  <c r="E536" i="1"/>
  <c r="G536" i="1" s="1"/>
  <c r="J536" i="1" s="1"/>
  <c r="K536" i="1" s="1"/>
  <c r="E537" i="1"/>
  <c r="G537" i="1" s="1"/>
  <c r="J537" i="1" s="1"/>
  <c r="K537" i="1" s="1"/>
  <c r="E538" i="1"/>
  <c r="G538" i="1" s="1"/>
  <c r="J538" i="1" s="1"/>
  <c r="K538" i="1" s="1"/>
  <c r="E539" i="1"/>
  <c r="G539" i="1" s="1"/>
  <c r="J539" i="1" s="1"/>
  <c r="K539" i="1" s="1"/>
  <c r="E540" i="1"/>
  <c r="G540" i="1" s="1"/>
  <c r="J540" i="1" s="1"/>
  <c r="K540" i="1" s="1"/>
  <c r="E541" i="1"/>
  <c r="G541" i="1" s="1"/>
  <c r="J541" i="1" s="1"/>
  <c r="K541" i="1" s="1"/>
  <c r="E542" i="1"/>
  <c r="E543" i="1"/>
  <c r="G543" i="1" s="1"/>
  <c r="J543" i="1" s="1"/>
  <c r="K543" i="1" s="1"/>
  <c r="E544" i="1"/>
  <c r="G544" i="1" s="1"/>
  <c r="J544" i="1" s="1"/>
  <c r="K544" i="1" s="1"/>
  <c r="E545" i="1"/>
  <c r="G545" i="1" s="1"/>
  <c r="J545" i="1" s="1"/>
  <c r="K545" i="1" s="1"/>
  <c r="E546" i="1"/>
  <c r="G546" i="1" s="1"/>
  <c r="J546" i="1" s="1"/>
  <c r="K546" i="1" s="1"/>
  <c r="E547" i="1"/>
  <c r="G547" i="1" s="1"/>
  <c r="J547" i="1" s="1"/>
  <c r="K547" i="1" s="1"/>
  <c r="E548" i="1"/>
  <c r="G548" i="1" s="1"/>
  <c r="J548" i="1" s="1"/>
  <c r="K548" i="1" s="1"/>
  <c r="E549" i="1"/>
  <c r="G549" i="1" s="1"/>
  <c r="J549" i="1" s="1"/>
  <c r="K549" i="1" s="1"/>
  <c r="E550" i="1"/>
  <c r="G550" i="1" s="1"/>
  <c r="J550" i="1" s="1"/>
  <c r="K550" i="1" s="1"/>
  <c r="E551" i="1"/>
  <c r="G551" i="1" s="1"/>
  <c r="J551" i="1" s="1"/>
  <c r="K551" i="1" s="1"/>
  <c r="E552" i="1"/>
  <c r="G552" i="1" s="1"/>
  <c r="J552" i="1" s="1"/>
  <c r="K552" i="1" s="1"/>
  <c r="E553" i="1"/>
  <c r="G553" i="1" s="1"/>
  <c r="J553" i="1" s="1"/>
  <c r="K553" i="1" s="1"/>
  <c r="E554" i="1"/>
  <c r="G554" i="1" s="1"/>
  <c r="J554" i="1" s="1"/>
  <c r="K554" i="1" s="1"/>
  <c r="E555" i="1"/>
  <c r="G555" i="1" s="1"/>
  <c r="J555" i="1" s="1"/>
  <c r="K555" i="1" s="1"/>
  <c r="E556" i="1"/>
  <c r="G556" i="1" s="1"/>
  <c r="J556" i="1" s="1"/>
  <c r="K556" i="1" s="1"/>
  <c r="E557" i="1"/>
  <c r="G557" i="1" s="1"/>
  <c r="J557" i="1" s="1"/>
  <c r="K557" i="1" s="1"/>
  <c r="E558" i="1"/>
  <c r="G558" i="1" s="1"/>
  <c r="J558" i="1" s="1"/>
  <c r="K558" i="1" s="1"/>
  <c r="E559" i="1"/>
  <c r="G559" i="1" s="1"/>
  <c r="J559" i="1" s="1"/>
  <c r="K559" i="1" s="1"/>
  <c r="E560" i="1"/>
  <c r="G560" i="1" s="1"/>
  <c r="J560" i="1" s="1"/>
  <c r="K560" i="1" s="1"/>
  <c r="E561" i="1"/>
  <c r="G561" i="1" s="1"/>
  <c r="J561" i="1" s="1"/>
  <c r="K561" i="1" s="1"/>
  <c r="E562" i="1"/>
  <c r="G562" i="1" s="1"/>
  <c r="J562" i="1" s="1"/>
  <c r="K562" i="1" s="1"/>
  <c r="E563" i="1"/>
  <c r="G563" i="1" s="1"/>
  <c r="J563" i="1" s="1"/>
  <c r="K563" i="1" s="1"/>
  <c r="E564" i="1"/>
  <c r="G564" i="1" s="1"/>
  <c r="J564" i="1" s="1"/>
  <c r="K564" i="1" s="1"/>
  <c r="E565" i="1"/>
  <c r="G565" i="1" s="1"/>
  <c r="J565" i="1" s="1"/>
  <c r="K565" i="1" s="1"/>
  <c r="E566" i="1"/>
  <c r="G566" i="1" s="1"/>
  <c r="J566" i="1" s="1"/>
  <c r="K566" i="1" s="1"/>
  <c r="E567" i="1"/>
  <c r="G567" i="1" s="1"/>
  <c r="J567" i="1" s="1"/>
  <c r="K567" i="1" s="1"/>
  <c r="E568" i="1"/>
  <c r="G568" i="1" s="1"/>
  <c r="J568" i="1" s="1"/>
  <c r="K568" i="1" s="1"/>
  <c r="E569" i="1"/>
  <c r="G569" i="1" s="1"/>
  <c r="J569" i="1" s="1"/>
  <c r="K569" i="1" s="1"/>
  <c r="E570" i="1"/>
  <c r="G570" i="1" s="1"/>
  <c r="J570" i="1" s="1"/>
  <c r="K570" i="1" s="1"/>
  <c r="E571" i="1"/>
  <c r="G571" i="1" s="1"/>
  <c r="J571" i="1" s="1"/>
  <c r="K571" i="1" s="1"/>
  <c r="E572" i="1"/>
  <c r="G572" i="1" s="1"/>
  <c r="J572" i="1" s="1"/>
  <c r="K572" i="1" s="1"/>
  <c r="E573" i="1"/>
  <c r="G573" i="1" s="1"/>
  <c r="J573" i="1" s="1"/>
  <c r="K573" i="1" s="1"/>
  <c r="E574" i="1"/>
  <c r="G574" i="1" s="1"/>
  <c r="J574" i="1" s="1"/>
  <c r="K574" i="1" s="1"/>
  <c r="E575" i="1"/>
  <c r="G575" i="1" s="1"/>
  <c r="J575" i="1" s="1"/>
  <c r="K575" i="1" s="1"/>
  <c r="E576" i="1"/>
  <c r="G576" i="1" s="1"/>
  <c r="J576" i="1" s="1"/>
  <c r="K576" i="1" s="1"/>
  <c r="E577" i="1"/>
  <c r="G577" i="1" s="1"/>
  <c r="J577" i="1" s="1"/>
  <c r="K577" i="1" s="1"/>
  <c r="E578" i="1"/>
  <c r="G578" i="1" s="1"/>
  <c r="J578" i="1" s="1"/>
  <c r="K578" i="1" s="1"/>
  <c r="E579" i="1"/>
  <c r="G579" i="1" s="1"/>
  <c r="J579" i="1" s="1"/>
  <c r="K579" i="1" s="1"/>
  <c r="E580" i="1"/>
  <c r="G580" i="1" s="1"/>
  <c r="J580" i="1" s="1"/>
  <c r="K580" i="1" s="1"/>
  <c r="E581" i="1"/>
  <c r="G581" i="1" s="1"/>
  <c r="J581" i="1" s="1"/>
  <c r="K581" i="1" s="1"/>
  <c r="E582" i="1"/>
  <c r="G582" i="1" s="1"/>
  <c r="J582" i="1" s="1"/>
  <c r="K582" i="1" s="1"/>
  <c r="E583" i="1"/>
  <c r="G583" i="1" s="1"/>
  <c r="J583" i="1" s="1"/>
  <c r="K583" i="1" s="1"/>
  <c r="E584" i="1"/>
  <c r="G584" i="1" s="1"/>
  <c r="J584" i="1" s="1"/>
  <c r="K584" i="1" s="1"/>
  <c r="E585" i="1"/>
  <c r="G585" i="1" s="1"/>
  <c r="J585" i="1" s="1"/>
  <c r="K585" i="1" s="1"/>
  <c r="E586" i="1"/>
  <c r="G586" i="1" s="1"/>
  <c r="J586" i="1" s="1"/>
  <c r="K586" i="1" s="1"/>
  <c r="E587" i="1"/>
  <c r="E588" i="1"/>
  <c r="G588" i="1" s="1"/>
  <c r="J588" i="1" s="1"/>
  <c r="K588" i="1" s="1"/>
  <c r="E589" i="1"/>
  <c r="G589" i="1" s="1"/>
  <c r="J589" i="1" s="1"/>
  <c r="K589" i="1" s="1"/>
  <c r="E590" i="1"/>
  <c r="G590" i="1" s="1"/>
  <c r="J590" i="1" s="1"/>
  <c r="K590" i="1" s="1"/>
  <c r="E591" i="1"/>
  <c r="G591" i="1" s="1"/>
  <c r="J591" i="1" s="1"/>
  <c r="K591" i="1" s="1"/>
  <c r="E592" i="1"/>
  <c r="G592" i="1" s="1"/>
  <c r="J592" i="1" s="1"/>
  <c r="K592" i="1" s="1"/>
  <c r="E593" i="1"/>
  <c r="G593" i="1" s="1"/>
  <c r="J593" i="1" s="1"/>
  <c r="K593" i="1" s="1"/>
  <c r="E594" i="1"/>
  <c r="G594" i="1" s="1"/>
  <c r="J594" i="1" s="1"/>
  <c r="K594" i="1" s="1"/>
  <c r="E595" i="1"/>
  <c r="E596" i="1"/>
  <c r="G596" i="1" s="1"/>
  <c r="J596" i="1" s="1"/>
  <c r="K596" i="1" s="1"/>
  <c r="E597" i="1"/>
  <c r="G597" i="1" s="1"/>
  <c r="J597" i="1" s="1"/>
  <c r="K597" i="1" s="1"/>
  <c r="E598" i="1"/>
  <c r="G598" i="1" s="1"/>
  <c r="J598" i="1" s="1"/>
  <c r="K598" i="1" s="1"/>
  <c r="E599" i="1"/>
  <c r="G599" i="1" s="1"/>
  <c r="J599" i="1" s="1"/>
  <c r="K599" i="1" s="1"/>
  <c r="E600" i="1"/>
  <c r="G600" i="1" s="1"/>
  <c r="J600" i="1" s="1"/>
  <c r="K600" i="1" s="1"/>
  <c r="E601" i="1"/>
  <c r="G601" i="1" s="1"/>
  <c r="J601" i="1" s="1"/>
  <c r="K601" i="1" s="1"/>
  <c r="E602" i="1"/>
  <c r="G602" i="1" s="1"/>
  <c r="J602" i="1" s="1"/>
  <c r="K602" i="1" s="1"/>
  <c r="E2" i="1"/>
  <c r="R597" i="3" l="1"/>
  <c r="S597" i="3" s="1"/>
  <c r="T597" i="3" s="1"/>
  <c r="R541" i="3"/>
  <c r="S541" i="3" s="1"/>
  <c r="T541" i="3" s="1"/>
  <c r="R485" i="3"/>
  <c r="S485" i="3" s="1"/>
  <c r="T485" i="3" s="1"/>
  <c r="R421" i="3"/>
  <c r="S421" i="3" s="1"/>
  <c r="T421" i="3" s="1"/>
  <c r="R365" i="3"/>
  <c r="S365" i="3" s="1"/>
  <c r="T365" i="3" s="1"/>
  <c r="R309" i="3"/>
  <c r="S309" i="3" s="1"/>
  <c r="T309" i="3" s="1"/>
  <c r="R253" i="3"/>
  <c r="S253" i="3" s="1"/>
  <c r="T253" i="3" s="1"/>
  <c r="R197" i="3"/>
  <c r="S197" i="3" s="1"/>
  <c r="T197" i="3" s="1"/>
  <c r="R157" i="3"/>
  <c r="S157" i="3" s="1"/>
  <c r="T157" i="3" s="1"/>
  <c r="R109" i="3"/>
  <c r="S109" i="3" s="1"/>
  <c r="T109" i="3" s="1"/>
  <c r="R596" i="3"/>
  <c r="S596" i="3" s="1"/>
  <c r="T596" i="3" s="1"/>
  <c r="Q588" i="3"/>
  <c r="R588" i="3"/>
  <c r="S588" i="3" s="1"/>
  <c r="T588" i="3" s="1"/>
  <c r="Q580" i="3"/>
  <c r="R580" i="3"/>
  <c r="Q572" i="3"/>
  <c r="R572" i="3"/>
  <c r="R564" i="3"/>
  <c r="S564" i="3" s="1"/>
  <c r="T564" i="3" s="1"/>
  <c r="Q556" i="3"/>
  <c r="R556" i="3"/>
  <c r="S556" i="3" s="1"/>
  <c r="T556" i="3" s="1"/>
  <c r="S548" i="3"/>
  <c r="T548" i="3" s="1"/>
  <c r="R548" i="3"/>
  <c r="Q540" i="3"/>
  <c r="R540" i="3"/>
  <c r="R532" i="3"/>
  <c r="S532" i="3" s="1"/>
  <c r="T532" i="3" s="1"/>
  <c r="Q524" i="3"/>
  <c r="R524" i="3"/>
  <c r="S524" i="3" s="1"/>
  <c r="T524" i="3" s="1"/>
  <c r="Q516" i="3"/>
  <c r="R516" i="3"/>
  <c r="Q508" i="3"/>
  <c r="R508" i="3"/>
  <c r="R500" i="3"/>
  <c r="S500" i="3" s="1"/>
  <c r="T500" i="3" s="1"/>
  <c r="Q492" i="3"/>
  <c r="R492" i="3"/>
  <c r="S492" i="3" s="1"/>
  <c r="T492" i="3" s="1"/>
  <c r="S484" i="3"/>
  <c r="T484" i="3" s="1"/>
  <c r="R484" i="3"/>
  <c r="Q476" i="3"/>
  <c r="R476" i="3"/>
  <c r="Q468" i="3"/>
  <c r="R468" i="3"/>
  <c r="Q460" i="3"/>
  <c r="R460" i="3"/>
  <c r="S460" i="3" s="1"/>
  <c r="T460" i="3" s="1"/>
  <c r="S452" i="3"/>
  <c r="T452" i="3" s="1"/>
  <c r="R452" i="3"/>
  <c r="R444" i="3"/>
  <c r="S444" i="3" s="1"/>
  <c r="T444" i="3" s="1"/>
  <c r="Q436" i="3"/>
  <c r="R436" i="3"/>
  <c r="R428" i="3"/>
  <c r="S428" i="3" s="1"/>
  <c r="T428" i="3" s="1"/>
  <c r="Q420" i="3"/>
  <c r="R420" i="3"/>
  <c r="R412" i="3"/>
  <c r="S412" i="3" s="1"/>
  <c r="T412" i="3" s="1"/>
  <c r="Q404" i="3"/>
  <c r="R404" i="3"/>
  <c r="Q396" i="3"/>
  <c r="R396" i="3"/>
  <c r="S396" i="3" s="1"/>
  <c r="T396" i="3" s="1"/>
  <c r="S388" i="3"/>
  <c r="T388" i="3" s="1"/>
  <c r="R388" i="3"/>
  <c r="Q380" i="3"/>
  <c r="R380" i="3"/>
  <c r="S372" i="3"/>
  <c r="T372" i="3" s="1"/>
  <c r="R372" i="3"/>
  <c r="Q364" i="3"/>
  <c r="R364" i="3"/>
  <c r="S364" i="3" s="1"/>
  <c r="T364" i="3" s="1"/>
  <c r="S356" i="3"/>
  <c r="T356" i="3" s="1"/>
  <c r="R356" i="3"/>
  <c r="R348" i="3"/>
  <c r="S348" i="3" s="1"/>
  <c r="T348" i="3" s="1"/>
  <c r="Q340" i="3"/>
  <c r="R340" i="3"/>
  <c r="Q332" i="3"/>
  <c r="R332" i="3"/>
  <c r="S332" i="3" s="1"/>
  <c r="T332" i="3" s="1"/>
  <c r="S324" i="3"/>
  <c r="T324" i="3" s="1"/>
  <c r="R324" i="3"/>
  <c r="Q316" i="3"/>
  <c r="R316" i="3"/>
  <c r="Q308" i="3"/>
  <c r="R308" i="3"/>
  <c r="Q300" i="3"/>
  <c r="R300" i="3"/>
  <c r="S292" i="3"/>
  <c r="T292" i="3" s="1"/>
  <c r="R292" i="3"/>
  <c r="Q284" i="3"/>
  <c r="R284" i="3"/>
  <c r="Q276" i="3"/>
  <c r="R276" i="3"/>
  <c r="R268" i="3"/>
  <c r="S268" i="3" s="1"/>
  <c r="T268" i="3" s="1"/>
  <c r="Q260" i="3"/>
  <c r="R260" i="3"/>
  <c r="R252" i="3"/>
  <c r="S252" i="3" s="1"/>
  <c r="T252" i="3" s="1"/>
  <c r="S244" i="3"/>
  <c r="T244" i="3" s="1"/>
  <c r="R244" i="3"/>
  <c r="R236" i="3"/>
  <c r="S236" i="3" s="1"/>
  <c r="T236" i="3" s="1"/>
  <c r="Q228" i="3"/>
  <c r="R228" i="3"/>
  <c r="R220" i="3"/>
  <c r="S220" i="3" s="1"/>
  <c r="T220" i="3" s="1"/>
  <c r="S212" i="3"/>
  <c r="T212" i="3" s="1"/>
  <c r="R212" i="3"/>
  <c r="Q204" i="3"/>
  <c r="R204" i="3"/>
  <c r="S204" i="3" s="1"/>
  <c r="T204" i="3" s="1"/>
  <c r="S196" i="3"/>
  <c r="T196" i="3" s="1"/>
  <c r="R196" i="3"/>
  <c r="Q188" i="3"/>
  <c r="R188" i="3"/>
  <c r="Q180" i="3"/>
  <c r="R180" i="3"/>
  <c r="Q172" i="3"/>
  <c r="R172" i="3"/>
  <c r="S164" i="3"/>
  <c r="T164" i="3" s="1"/>
  <c r="R164" i="3"/>
  <c r="Q156" i="3"/>
  <c r="R156" i="3"/>
  <c r="Q148" i="3"/>
  <c r="R148" i="3"/>
  <c r="R140" i="3"/>
  <c r="S140" i="3" s="1"/>
  <c r="T140" i="3" s="1"/>
  <c r="Q132" i="3"/>
  <c r="R132" i="3"/>
  <c r="R124" i="3"/>
  <c r="S124" i="3" s="1"/>
  <c r="T124" i="3" s="1"/>
  <c r="S116" i="3"/>
  <c r="T116" i="3" s="1"/>
  <c r="R116" i="3"/>
  <c r="R108" i="3"/>
  <c r="S108" i="3" s="1"/>
  <c r="T108" i="3" s="1"/>
  <c r="Q100" i="3"/>
  <c r="R100" i="3"/>
  <c r="R92" i="3"/>
  <c r="S92" i="3" s="1"/>
  <c r="T92" i="3" s="1"/>
  <c r="S84" i="3"/>
  <c r="T84" i="3" s="1"/>
  <c r="R84" i="3"/>
  <c r="R570" i="3"/>
  <c r="R506" i="3"/>
  <c r="R442" i="3"/>
  <c r="R378" i="3"/>
  <c r="R314" i="3"/>
  <c r="R250" i="3"/>
  <c r="R186" i="3"/>
  <c r="R122" i="3"/>
  <c r="R565" i="3"/>
  <c r="S565" i="3" s="1"/>
  <c r="T565" i="3" s="1"/>
  <c r="S509" i="3"/>
  <c r="T509" i="3" s="1"/>
  <c r="R509" i="3"/>
  <c r="S445" i="3"/>
  <c r="T445" i="3" s="1"/>
  <c r="R445" i="3"/>
  <c r="S397" i="3"/>
  <c r="T397" i="3" s="1"/>
  <c r="R397" i="3"/>
  <c r="R333" i="3"/>
  <c r="S333" i="3" s="1"/>
  <c r="T333" i="3" s="1"/>
  <c r="S269" i="3"/>
  <c r="T269" i="3" s="1"/>
  <c r="R269" i="3"/>
  <c r="S221" i="3"/>
  <c r="T221" i="3" s="1"/>
  <c r="R221" i="3"/>
  <c r="S141" i="3"/>
  <c r="T141" i="3" s="1"/>
  <c r="R141" i="3"/>
  <c r="R125" i="3"/>
  <c r="S125" i="3" s="1"/>
  <c r="T125" i="3" s="1"/>
  <c r="S579" i="3"/>
  <c r="T579" i="3" s="1"/>
  <c r="R579" i="3"/>
  <c r="S571" i="3"/>
  <c r="T571" i="3" s="1"/>
  <c r="R571" i="3"/>
  <c r="S563" i="3"/>
  <c r="T563" i="3" s="1"/>
  <c r="R563" i="3"/>
  <c r="R555" i="3"/>
  <c r="S555" i="3" s="1"/>
  <c r="T555" i="3" s="1"/>
  <c r="S539" i="3"/>
  <c r="T539" i="3" s="1"/>
  <c r="R539" i="3"/>
  <c r="S531" i="3"/>
  <c r="T531" i="3" s="1"/>
  <c r="R531" i="3"/>
  <c r="S523" i="3"/>
  <c r="T523" i="3" s="1"/>
  <c r="R523" i="3"/>
  <c r="R515" i="3"/>
  <c r="S515" i="3" s="1"/>
  <c r="T515" i="3" s="1"/>
  <c r="S507" i="3"/>
  <c r="T507" i="3" s="1"/>
  <c r="R507" i="3"/>
  <c r="S491" i="3"/>
  <c r="T491" i="3" s="1"/>
  <c r="R491" i="3"/>
  <c r="S483" i="3"/>
  <c r="T483" i="3" s="1"/>
  <c r="R483" i="3"/>
  <c r="R475" i="3"/>
  <c r="S475" i="3" s="1"/>
  <c r="T475" i="3" s="1"/>
  <c r="S459" i="3"/>
  <c r="T459" i="3" s="1"/>
  <c r="R459" i="3"/>
  <c r="S443" i="3"/>
  <c r="T443" i="3" s="1"/>
  <c r="R443" i="3"/>
  <c r="S427" i="3"/>
  <c r="T427" i="3" s="1"/>
  <c r="R427" i="3"/>
  <c r="R419" i="3"/>
  <c r="S419" i="3" s="1"/>
  <c r="T419" i="3" s="1"/>
  <c r="S403" i="3"/>
  <c r="T403" i="3" s="1"/>
  <c r="R403" i="3"/>
  <c r="S387" i="3"/>
  <c r="T387" i="3" s="1"/>
  <c r="R387" i="3"/>
  <c r="S379" i="3"/>
  <c r="T379" i="3" s="1"/>
  <c r="R379" i="3"/>
  <c r="R363" i="3"/>
  <c r="S363" i="3" s="1"/>
  <c r="T363" i="3" s="1"/>
  <c r="S339" i="3"/>
  <c r="T339" i="3" s="1"/>
  <c r="R339" i="3"/>
  <c r="S331" i="3"/>
  <c r="T331" i="3" s="1"/>
  <c r="R331" i="3"/>
  <c r="S323" i="3"/>
  <c r="T323" i="3" s="1"/>
  <c r="R323" i="3"/>
  <c r="R315" i="3"/>
  <c r="S315" i="3" s="1"/>
  <c r="T315" i="3" s="1"/>
  <c r="S299" i="3"/>
  <c r="T299" i="3" s="1"/>
  <c r="R299" i="3"/>
  <c r="S291" i="3"/>
  <c r="T291" i="3" s="1"/>
  <c r="R291" i="3"/>
  <c r="S283" i="3"/>
  <c r="T283" i="3" s="1"/>
  <c r="R283" i="3"/>
  <c r="R267" i="3"/>
  <c r="S267" i="3" s="1"/>
  <c r="T267" i="3" s="1"/>
  <c r="S251" i="3"/>
  <c r="T251" i="3" s="1"/>
  <c r="R251" i="3"/>
  <c r="S243" i="3"/>
  <c r="T243" i="3" s="1"/>
  <c r="R243" i="3"/>
  <c r="S235" i="3"/>
  <c r="T235" i="3" s="1"/>
  <c r="R235" i="3"/>
  <c r="R227" i="3"/>
  <c r="S227" i="3" s="1"/>
  <c r="T227" i="3" s="1"/>
  <c r="S211" i="3"/>
  <c r="T211" i="3" s="1"/>
  <c r="R211" i="3"/>
  <c r="S203" i="3"/>
  <c r="T203" i="3" s="1"/>
  <c r="R203" i="3"/>
  <c r="S195" i="3"/>
  <c r="T195" i="3" s="1"/>
  <c r="R195" i="3"/>
  <c r="R179" i="3"/>
  <c r="S179" i="3" s="1"/>
  <c r="T179" i="3" s="1"/>
  <c r="S163" i="3"/>
  <c r="T163" i="3" s="1"/>
  <c r="R163" i="3"/>
  <c r="S155" i="3"/>
  <c r="T155" i="3" s="1"/>
  <c r="R155" i="3"/>
  <c r="S139" i="3"/>
  <c r="T139" i="3" s="1"/>
  <c r="R139" i="3"/>
  <c r="R123" i="3"/>
  <c r="S123" i="3" s="1"/>
  <c r="T123" i="3" s="1"/>
  <c r="S115" i="3"/>
  <c r="T115" i="3" s="1"/>
  <c r="R115" i="3"/>
  <c r="S107" i="3"/>
  <c r="T107" i="3" s="1"/>
  <c r="R107" i="3"/>
  <c r="S99" i="3"/>
  <c r="T99" i="3" s="1"/>
  <c r="R99" i="3"/>
  <c r="R562" i="3"/>
  <c r="R498" i="3"/>
  <c r="S498" i="3" s="1"/>
  <c r="T498" i="3" s="1"/>
  <c r="R434" i="3"/>
  <c r="R370" i="3"/>
  <c r="R306" i="3"/>
  <c r="R242" i="3"/>
  <c r="R178" i="3"/>
  <c r="R114" i="3"/>
  <c r="R581" i="3"/>
  <c r="S581" i="3" s="1"/>
  <c r="T581" i="3" s="1"/>
  <c r="S525" i="3"/>
  <c r="T525" i="3" s="1"/>
  <c r="R525" i="3"/>
  <c r="S477" i="3"/>
  <c r="T477" i="3" s="1"/>
  <c r="R477" i="3"/>
  <c r="S429" i="3"/>
  <c r="T429" i="3" s="1"/>
  <c r="R429" i="3"/>
  <c r="R381" i="3"/>
  <c r="S381" i="3" s="1"/>
  <c r="T381" i="3" s="1"/>
  <c r="S341" i="3"/>
  <c r="T341" i="3" s="1"/>
  <c r="R341" i="3"/>
  <c r="S293" i="3"/>
  <c r="T293" i="3" s="1"/>
  <c r="R293" i="3"/>
  <c r="S245" i="3"/>
  <c r="T245" i="3" s="1"/>
  <c r="R245" i="3"/>
  <c r="R189" i="3"/>
  <c r="S189" i="3" s="1"/>
  <c r="T189" i="3" s="1"/>
  <c r="S133" i="3"/>
  <c r="T133" i="3" s="1"/>
  <c r="R133" i="3"/>
  <c r="R554" i="3"/>
  <c r="R490" i="3"/>
  <c r="R426" i="3"/>
  <c r="R362" i="3"/>
  <c r="R298" i="3"/>
  <c r="R234" i="3"/>
  <c r="S234" i="3" s="1"/>
  <c r="T234" i="3" s="1"/>
  <c r="R170" i="3"/>
  <c r="R106" i="3"/>
  <c r="S549" i="3"/>
  <c r="T549" i="3" s="1"/>
  <c r="R549" i="3"/>
  <c r="S493" i="3"/>
  <c r="T493" i="3" s="1"/>
  <c r="R493" i="3"/>
  <c r="R437" i="3"/>
  <c r="S437" i="3" s="1"/>
  <c r="T437" i="3" s="1"/>
  <c r="S373" i="3"/>
  <c r="T373" i="3" s="1"/>
  <c r="R373" i="3"/>
  <c r="S317" i="3"/>
  <c r="T317" i="3" s="1"/>
  <c r="R317" i="3"/>
  <c r="S261" i="3"/>
  <c r="T261" i="3" s="1"/>
  <c r="R261" i="3"/>
  <c r="R205" i="3"/>
  <c r="S205" i="3" s="1"/>
  <c r="T205" i="3" s="1"/>
  <c r="S181" i="3"/>
  <c r="T181" i="3" s="1"/>
  <c r="R181" i="3"/>
  <c r="S93" i="3"/>
  <c r="T93" i="3" s="1"/>
  <c r="R93" i="3"/>
  <c r="Q601" i="3"/>
  <c r="R601" i="3"/>
  <c r="Q593" i="3"/>
  <c r="R593" i="3"/>
  <c r="S593" i="3" s="1"/>
  <c r="T593" i="3" s="1"/>
  <c r="Q585" i="3"/>
  <c r="R585" i="3"/>
  <c r="Q577" i="3"/>
  <c r="R577" i="3"/>
  <c r="Q569" i="3"/>
  <c r="R569" i="3"/>
  <c r="Q561" i="3"/>
  <c r="R561" i="3"/>
  <c r="Q553" i="3"/>
  <c r="R553" i="3"/>
  <c r="Q545" i="3"/>
  <c r="R545" i="3"/>
  <c r="Q537" i="3"/>
  <c r="R537" i="3"/>
  <c r="Q529" i="3"/>
  <c r="R529" i="3"/>
  <c r="S529" i="3" s="1"/>
  <c r="T529" i="3" s="1"/>
  <c r="Q521" i="3"/>
  <c r="R521" i="3"/>
  <c r="Q513" i="3"/>
  <c r="R513" i="3"/>
  <c r="Q505" i="3"/>
  <c r="R505" i="3"/>
  <c r="Q497" i="3"/>
  <c r="R497" i="3"/>
  <c r="Q489" i="3"/>
  <c r="R489" i="3"/>
  <c r="Q481" i="3"/>
  <c r="R481" i="3"/>
  <c r="Q473" i="3"/>
  <c r="R473" i="3"/>
  <c r="Q465" i="3"/>
  <c r="R465" i="3"/>
  <c r="S465" i="3" s="1"/>
  <c r="T465" i="3" s="1"/>
  <c r="Q457" i="3"/>
  <c r="R457" i="3"/>
  <c r="Q449" i="3"/>
  <c r="R449" i="3"/>
  <c r="Q441" i="3"/>
  <c r="R441" i="3"/>
  <c r="Q433" i="3"/>
  <c r="R433" i="3"/>
  <c r="Q425" i="3"/>
  <c r="R425" i="3"/>
  <c r="Q417" i="3"/>
  <c r="R417" i="3"/>
  <c r="Q409" i="3"/>
  <c r="R409" i="3"/>
  <c r="Q401" i="3"/>
  <c r="R401" i="3"/>
  <c r="S401" i="3" s="1"/>
  <c r="T401" i="3" s="1"/>
  <c r="Q393" i="3"/>
  <c r="R393" i="3"/>
  <c r="Q385" i="3"/>
  <c r="R385" i="3"/>
  <c r="Q377" i="3"/>
  <c r="R377" i="3"/>
  <c r="Q369" i="3"/>
  <c r="R369" i="3"/>
  <c r="Q361" i="3"/>
  <c r="R361" i="3"/>
  <c r="Q353" i="3"/>
  <c r="R353" i="3"/>
  <c r="Q345" i="3"/>
  <c r="R345" i="3"/>
  <c r="Q337" i="3"/>
  <c r="R337" i="3"/>
  <c r="S337" i="3" s="1"/>
  <c r="T337" i="3" s="1"/>
  <c r="Q329" i="3"/>
  <c r="R329" i="3"/>
  <c r="Q321" i="3"/>
  <c r="R321" i="3"/>
  <c r="Q313" i="3"/>
  <c r="R313" i="3"/>
  <c r="Q305" i="3"/>
  <c r="R305" i="3"/>
  <c r="Q297" i="3"/>
  <c r="R297" i="3"/>
  <c r="Q289" i="3"/>
  <c r="R289" i="3"/>
  <c r="Q281" i="3"/>
  <c r="R281" i="3"/>
  <c r="Q273" i="3"/>
  <c r="R273" i="3"/>
  <c r="S273" i="3" s="1"/>
  <c r="T273" i="3" s="1"/>
  <c r="Q265" i="3"/>
  <c r="R265" i="3"/>
  <c r="Q257" i="3"/>
  <c r="R257" i="3"/>
  <c r="Q249" i="3"/>
  <c r="R249" i="3"/>
  <c r="Q241" i="3"/>
  <c r="R241" i="3"/>
  <c r="Q233" i="3"/>
  <c r="R233" i="3"/>
  <c r="Q225" i="3"/>
  <c r="R225" i="3"/>
  <c r="Q217" i="3"/>
  <c r="R217" i="3"/>
  <c r="Q209" i="3"/>
  <c r="R209" i="3"/>
  <c r="S209" i="3" s="1"/>
  <c r="T209" i="3" s="1"/>
  <c r="Q201" i="3"/>
  <c r="R201" i="3"/>
  <c r="Q193" i="3"/>
  <c r="R193" i="3"/>
  <c r="Q185" i="3"/>
  <c r="R185" i="3"/>
  <c r="Q177" i="3"/>
  <c r="R177" i="3"/>
  <c r="Q169" i="3"/>
  <c r="R169" i="3"/>
  <c r="Q161" i="3"/>
  <c r="R161" i="3"/>
  <c r="Q153" i="3"/>
  <c r="R153" i="3"/>
  <c r="Q145" i="3"/>
  <c r="R145" i="3"/>
  <c r="S145" i="3" s="1"/>
  <c r="T145" i="3" s="1"/>
  <c r="Q137" i="3"/>
  <c r="R137" i="3"/>
  <c r="Q129" i="3"/>
  <c r="R129" i="3"/>
  <c r="Q121" i="3"/>
  <c r="R121" i="3"/>
  <c r="Q113" i="3"/>
  <c r="R113" i="3"/>
  <c r="Q105" i="3"/>
  <c r="R105" i="3"/>
  <c r="Q97" i="3"/>
  <c r="R97" i="3"/>
  <c r="Q89" i="3"/>
  <c r="R89" i="3"/>
  <c r="Q81" i="3"/>
  <c r="R81" i="3"/>
  <c r="S81" i="3" s="1"/>
  <c r="T81" i="3" s="1"/>
  <c r="Q73" i="3"/>
  <c r="R73" i="3"/>
  <c r="Q65" i="3"/>
  <c r="R65" i="3"/>
  <c r="Q57" i="3"/>
  <c r="R57" i="3"/>
  <c r="Q49" i="3"/>
  <c r="R49" i="3"/>
  <c r="Q41" i="3"/>
  <c r="R41" i="3"/>
  <c r="Q33" i="3"/>
  <c r="R33" i="3"/>
  <c r="R546" i="3"/>
  <c r="R482" i="3"/>
  <c r="R418" i="3"/>
  <c r="R354" i="3"/>
  <c r="S354" i="3" s="1"/>
  <c r="T354" i="3" s="1"/>
  <c r="R290" i="3"/>
  <c r="R226" i="3"/>
  <c r="R162" i="3"/>
  <c r="R98" i="3"/>
  <c r="S589" i="3"/>
  <c r="T589" i="3" s="1"/>
  <c r="R589" i="3"/>
  <c r="R533" i="3"/>
  <c r="S533" i="3" s="1"/>
  <c r="T533" i="3" s="1"/>
  <c r="S469" i="3"/>
  <c r="T469" i="3" s="1"/>
  <c r="R469" i="3"/>
  <c r="S405" i="3"/>
  <c r="T405" i="3" s="1"/>
  <c r="R405" i="3"/>
  <c r="S325" i="3"/>
  <c r="T325" i="3" s="1"/>
  <c r="R325" i="3"/>
  <c r="R285" i="3"/>
  <c r="S285" i="3" s="1"/>
  <c r="T285" i="3" s="1"/>
  <c r="S229" i="3"/>
  <c r="T229" i="3" s="1"/>
  <c r="R229" i="3"/>
  <c r="S165" i="3"/>
  <c r="T165" i="3" s="1"/>
  <c r="R165" i="3"/>
  <c r="S117" i="3"/>
  <c r="T117" i="3" s="1"/>
  <c r="R117" i="3"/>
  <c r="Q600" i="3"/>
  <c r="R600" i="3"/>
  <c r="S600" i="3" s="1"/>
  <c r="T600" i="3" s="1"/>
  <c r="Q592" i="3"/>
  <c r="R592" i="3"/>
  <c r="Q584" i="3"/>
  <c r="R584" i="3"/>
  <c r="Q576" i="3"/>
  <c r="R576" i="3"/>
  <c r="Q568" i="3"/>
  <c r="R568" i="3"/>
  <c r="S568" i="3" s="1"/>
  <c r="T568" i="3" s="1"/>
  <c r="Q560" i="3"/>
  <c r="R560" i="3"/>
  <c r="Q552" i="3"/>
  <c r="R552" i="3"/>
  <c r="Q544" i="3"/>
  <c r="R544" i="3"/>
  <c r="Q536" i="3"/>
  <c r="R536" i="3"/>
  <c r="S536" i="3" s="1"/>
  <c r="T536" i="3" s="1"/>
  <c r="Q528" i="3"/>
  <c r="R528" i="3"/>
  <c r="Q520" i="3"/>
  <c r="R520" i="3"/>
  <c r="Q512" i="3"/>
  <c r="R512" i="3"/>
  <c r="Q504" i="3"/>
  <c r="R504" i="3"/>
  <c r="S504" i="3" s="1"/>
  <c r="T504" i="3" s="1"/>
  <c r="Q496" i="3"/>
  <c r="R496" i="3"/>
  <c r="Q488" i="3"/>
  <c r="R488" i="3"/>
  <c r="Q480" i="3"/>
  <c r="R480" i="3"/>
  <c r="Q472" i="3"/>
  <c r="R472" i="3"/>
  <c r="S472" i="3" s="1"/>
  <c r="T472" i="3" s="1"/>
  <c r="Q464" i="3"/>
  <c r="R464" i="3"/>
  <c r="Q456" i="3"/>
  <c r="R456" i="3"/>
  <c r="Q448" i="3"/>
  <c r="R448" i="3"/>
  <c r="Q440" i="3"/>
  <c r="R440" i="3"/>
  <c r="S440" i="3" s="1"/>
  <c r="T440" i="3" s="1"/>
  <c r="Q432" i="3"/>
  <c r="R432" i="3"/>
  <c r="Q424" i="3"/>
  <c r="R424" i="3"/>
  <c r="Q416" i="3"/>
  <c r="R416" i="3"/>
  <c r="Q408" i="3"/>
  <c r="R408" i="3"/>
  <c r="S408" i="3" s="1"/>
  <c r="T408" i="3" s="1"/>
  <c r="Q400" i="3"/>
  <c r="R400" i="3"/>
  <c r="Q392" i="3"/>
  <c r="R392" i="3"/>
  <c r="Q384" i="3"/>
  <c r="R384" i="3"/>
  <c r="Q376" i="3"/>
  <c r="R376" i="3"/>
  <c r="S376" i="3" s="1"/>
  <c r="T376" i="3" s="1"/>
  <c r="Q368" i="3"/>
  <c r="R368" i="3"/>
  <c r="Q360" i="3"/>
  <c r="R360" i="3"/>
  <c r="Q352" i="3"/>
  <c r="R352" i="3"/>
  <c r="Q344" i="3"/>
  <c r="R344" i="3"/>
  <c r="S344" i="3" s="1"/>
  <c r="T344" i="3" s="1"/>
  <c r="Q336" i="3"/>
  <c r="R336" i="3"/>
  <c r="Q328" i="3"/>
  <c r="R328" i="3"/>
  <c r="Q320" i="3"/>
  <c r="R320" i="3"/>
  <c r="Q312" i="3"/>
  <c r="R312" i="3"/>
  <c r="S312" i="3" s="1"/>
  <c r="T312" i="3" s="1"/>
  <c r="Q304" i="3"/>
  <c r="R304" i="3"/>
  <c r="Q296" i="3"/>
  <c r="R296" i="3"/>
  <c r="Q288" i="3"/>
  <c r="R288" i="3"/>
  <c r="R602" i="3"/>
  <c r="R538" i="3"/>
  <c r="S538" i="3" s="1"/>
  <c r="T538" i="3" s="1"/>
  <c r="R474" i="3"/>
  <c r="R410" i="3"/>
  <c r="R346" i="3"/>
  <c r="R282" i="3"/>
  <c r="R218" i="3"/>
  <c r="R154" i="3"/>
  <c r="R557" i="3"/>
  <c r="S557" i="3" s="1"/>
  <c r="T557" i="3" s="1"/>
  <c r="S501" i="3"/>
  <c r="T501" i="3" s="1"/>
  <c r="R501" i="3"/>
  <c r="S453" i="3"/>
  <c r="T453" i="3" s="1"/>
  <c r="R453" i="3"/>
  <c r="S413" i="3"/>
  <c r="T413" i="3" s="1"/>
  <c r="R413" i="3"/>
  <c r="R357" i="3"/>
  <c r="S357" i="3" s="1"/>
  <c r="T357" i="3" s="1"/>
  <c r="S301" i="3"/>
  <c r="T301" i="3" s="1"/>
  <c r="R301" i="3"/>
  <c r="S237" i="3"/>
  <c r="T237" i="3" s="1"/>
  <c r="R237" i="3"/>
  <c r="S149" i="3"/>
  <c r="T149" i="3" s="1"/>
  <c r="R149" i="3"/>
  <c r="R85" i="3"/>
  <c r="S85" i="3" s="1"/>
  <c r="T85" i="3" s="1"/>
  <c r="Q599" i="3"/>
  <c r="R599" i="3"/>
  <c r="Q591" i="3"/>
  <c r="R591" i="3"/>
  <c r="Q583" i="3"/>
  <c r="R583" i="3"/>
  <c r="Q575" i="3"/>
  <c r="R575" i="3"/>
  <c r="S575" i="3" s="1"/>
  <c r="T575" i="3" s="1"/>
  <c r="Q567" i="3"/>
  <c r="R567" i="3"/>
  <c r="Q559" i="3"/>
  <c r="R559" i="3"/>
  <c r="Q551" i="3"/>
  <c r="R551" i="3"/>
  <c r="Q543" i="3"/>
  <c r="R543" i="3"/>
  <c r="S543" i="3" s="1"/>
  <c r="T543" i="3" s="1"/>
  <c r="Q535" i="3"/>
  <c r="R535" i="3"/>
  <c r="Q527" i="3"/>
  <c r="R527" i="3"/>
  <c r="Q519" i="3"/>
  <c r="R519" i="3"/>
  <c r="Q511" i="3"/>
  <c r="R511" i="3"/>
  <c r="S511" i="3" s="1"/>
  <c r="T511" i="3" s="1"/>
  <c r="Q503" i="3"/>
  <c r="R503" i="3"/>
  <c r="Q495" i="3"/>
  <c r="R495" i="3"/>
  <c r="Q487" i="3"/>
  <c r="R487" i="3"/>
  <c r="Q479" i="3"/>
  <c r="R479" i="3"/>
  <c r="S479" i="3" s="1"/>
  <c r="T479" i="3" s="1"/>
  <c r="Q471" i="3"/>
  <c r="R471" i="3"/>
  <c r="Q463" i="3"/>
  <c r="R463" i="3"/>
  <c r="Q455" i="3"/>
  <c r="R455" i="3"/>
  <c r="Q447" i="3"/>
  <c r="R447" i="3"/>
  <c r="S447" i="3" s="1"/>
  <c r="T447" i="3" s="1"/>
  <c r="Q439" i="3"/>
  <c r="R439" i="3"/>
  <c r="Q431" i="3"/>
  <c r="R431" i="3"/>
  <c r="Q423" i="3"/>
  <c r="R423" i="3"/>
  <c r="Q415" i="3"/>
  <c r="R415" i="3"/>
  <c r="S415" i="3" s="1"/>
  <c r="T415" i="3" s="1"/>
  <c r="Q407" i="3"/>
  <c r="R407" i="3"/>
  <c r="Q399" i="3"/>
  <c r="R399" i="3"/>
  <c r="Q391" i="3"/>
  <c r="R391" i="3"/>
  <c r="Q383" i="3"/>
  <c r="R383" i="3"/>
  <c r="S383" i="3" s="1"/>
  <c r="T383" i="3" s="1"/>
  <c r="Q375" i="3"/>
  <c r="R375" i="3"/>
  <c r="Q367" i="3"/>
  <c r="R367" i="3"/>
  <c r="Q359" i="3"/>
  <c r="R359" i="3"/>
  <c r="Q351" i="3"/>
  <c r="R351" i="3"/>
  <c r="S351" i="3" s="1"/>
  <c r="T351" i="3" s="1"/>
  <c r="Q343" i="3"/>
  <c r="R343" i="3"/>
  <c r="Q335" i="3"/>
  <c r="R335" i="3"/>
  <c r="Q327" i="3"/>
  <c r="R327" i="3"/>
  <c r="Q319" i="3"/>
  <c r="R319" i="3"/>
  <c r="S319" i="3" s="1"/>
  <c r="T319" i="3" s="1"/>
  <c r="Q311" i="3"/>
  <c r="R311" i="3"/>
  <c r="Q303" i="3"/>
  <c r="R303" i="3"/>
  <c r="Q295" i="3"/>
  <c r="R295" i="3"/>
  <c r="Q287" i="3"/>
  <c r="R287" i="3"/>
  <c r="S287" i="3" s="1"/>
  <c r="T287" i="3" s="1"/>
  <c r="Q279" i="3"/>
  <c r="R279" i="3"/>
  <c r="Q271" i="3"/>
  <c r="R271" i="3"/>
  <c r="Q263" i="3"/>
  <c r="R263" i="3"/>
  <c r="Q255" i="3"/>
  <c r="R255" i="3"/>
  <c r="S255" i="3" s="1"/>
  <c r="T255" i="3" s="1"/>
  <c r="Q247" i="3"/>
  <c r="R247" i="3"/>
  <c r="Q239" i="3"/>
  <c r="R239" i="3"/>
  <c r="Q231" i="3"/>
  <c r="R231" i="3"/>
  <c r="Q223" i="3"/>
  <c r="R223" i="3"/>
  <c r="S223" i="3" s="1"/>
  <c r="T223" i="3" s="1"/>
  <c r="Q215" i="3"/>
  <c r="R215" i="3"/>
  <c r="Q207" i="3"/>
  <c r="R207" i="3"/>
  <c r="Q199" i="3"/>
  <c r="R199" i="3"/>
  <c r="Q191" i="3"/>
  <c r="R191" i="3"/>
  <c r="S191" i="3" s="1"/>
  <c r="T191" i="3" s="1"/>
  <c r="Q183" i="3"/>
  <c r="R183" i="3"/>
  <c r="Q175" i="3"/>
  <c r="R175" i="3"/>
  <c r="Q167" i="3"/>
  <c r="R167" i="3"/>
  <c r="Q159" i="3"/>
  <c r="R159" i="3"/>
  <c r="S159" i="3" s="1"/>
  <c r="T159" i="3" s="1"/>
  <c r="Q151" i="3"/>
  <c r="R151" i="3"/>
  <c r="Q143" i="3"/>
  <c r="R143" i="3"/>
  <c r="Q135" i="3"/>
  <c r="R135" i="3"/>
  <c r="Q127" i="3"/>
  <c r="R127" i="3"/>
  <c r="S127" i="3" s="1"/>
  <c r="T127" i="3" s="1"/>
  <c r="Q119" i="3"/>
  <c r="R119" i="3"/>
  <c r="Q111" i="3"/>
  <c r="R111" i="3"/>
  <c r="Q103" i="3"/>
  <c r="R103" i="3"/>
  <c r="Q95" i="3"/>
  <c r="R95" i="3"/>
  <c r="S95" i="3" s="1"/>
  <c r="T95" i="3" s="1"/>
  <c r="Q87" i="3"/>
  <c r="R87" i="3"/>
  <c r="Q79" i="3"/>
  <c r="R79" i="3"/>
  <c r="Q71" i="3"/>
  <c r="R71" i="3"/>
  <c r="Q63" i="3"/>
  <c r="R63" i="3"/>
  <c r="S63" i="3" s="1"/>
  <c r="T63" i="3" s="1"/>
  <c r="Q55" i="3"/>
  <c r="R55" i="3"/>
  <c r="Q47" i="3"/>
  <c r="R47" i="3"/>
  <c r="Q39" i="3"/>
  <c r="R39" i="3"/>
  <c r="R594" i="3"/>
  <c r="R530" i="3"/>
  <c r="S530" i="3" s="1"/>
  <c r="T530" i="3" s="1"/>
  <c r="R466" i="3"/>
  <c r="R402" i="3"/>
  <c r="R338" i="3"/>
  <c r="R274" i="3"/>
  <c r="R210" i="3"/>
  <c r="R146" i="3"/>
  <c r="R573" i="3"/>
  <c r="S573" i="3" s="1"/>
  <c r="T573" i="3" s="1"/>
  <c r="S517" i="3"/>
  <c r="T517" i="3" s="1"/>
  <c r="R517" i="3"/>
  <c r="S461" i="3"/>
  <c r="T461" i="3" s="1"/>
  <c r="R461" i="3"/>
  <c r="S389" i="3"/>
  <c r="T389" i="3" s="1"/>
  <c r="R389" i="3"/>
  <c r="R349" i="3"/>
  <c r="S349" i="3" s="1"/>
  <c r="T349" i="3" s="1"/>
  <c r="S277" i="3"/>
  <c r="T277" i="3" s="1"/>
  <c r="R277" i="3"/>
  <c r="S213" i="3"/>
  <c r="T213" i="3" s="1"/>
  <c r="R213" i="3"/>
  <c r="S173" i="3"/>
  <c r="T173" i="3" s="1"/>
  <c r="R173" i="3"/>
  <c r="R101" i="3"/>
  <c r="S101" i="3" s="1"/>
  <c r="T101" i="3" s="1"/>
  <c r="Q598" i="3"/>
  <c r="R598" i="3"/>
  <c r="Q590" i="3"/>
  <c r="R590" i="3"/>
  <c r="Q582" i="3"/>
  <c r="R582" i="3"/>
  <c r="Q574" i="3"/>
  <c r="R574" i="3"/>
  <c r="S574" i="3" s="1"/>
  <c r="T574" i="3" s="1"/>
  <c r="Q566" i="3"/>
  <c r="R566" i="3"/>
  <c r="Q558" i="3"/>
  <c r="R558" i="3"/>
  <c r="Q550" i="3"/>
  <c r="R550" i="3"/>
  <c r="Q542" i="3"/>
  <c r="R542" i="3"/>
  <c r="Q534" i="3"/>
  <c r="R534" i="3"/>
  <c r="Q526" i="3"/>
  <c r="R526" i="3"/>
  <c r="Q518" i="3"/>
  <c r="R518" i="3"/>
  <c r="Q510" i="3"/>
  <c r="R510" i="3"/>
  <c r="S510" i="3" s="1"/>
  <c r="T510" i="3" s="1"/>
  <c r="Q502" i="3"/>
  <c r="R502" i="3"/>
  <c r="Q494" i="3"/>
  <c r="R494" i="3"/>
  <c r="Q486" i="3"/>
  <c r="R486" i="3"/>
  <c r="Q478" i="3"/>
  <c r="R478" i="3"/>
  <c r="Q470" i="3"/>
  <c r="R470" i="3"/>
  <c r="Q462" i="3"/>
  <c r="R462" i="3"/>
  <c r="Q454" i="3"/>
  <c r="R454" i="3"/>
  <c r="Q446" i="3"/>
  <c r="R446" i="3"/>
  <c r="S446" i="3" s="1"/>
  <c r="T446" i="3" s="1"/>
  <c r="Q438" i="3"/>
  <c r="R438" i="3"/>
  <c r="Q430" i="3"/>
  <c r="R430" i="3"/>
  <c r="Q422" i="3"/>
  <c r="R422" i="3"/>
  <c r="Q414" i="3"/>
  <c r="R414" i="3"/>
  <c r="Q406" i="3"/>
  <c r="R406" i="3"/>
  <c r="Q398" i="3"/>
  <c r="R398" i="3"/>
  <c r="Q390" i="3"/>
  <c r="R390" i="3"/>
  <c r="Q382" i="3"/>
  <c r="R382" i="3"/>
  <c r="S382" i="3" s="1"/>
  <c r="T382" i="3" s="1"/>
  <c r="Q374" i="3"/>
  <c r="R374" i="3"/>
  <c r="Q366" i="3"/>
  <c r="R366" i="3"/>
  <c r="Q358" i="3"/>
  <c r="R358" i="3"/>
  <c r="R350" i="3"/>
  <c r="S350" i="3" s="1"/>
  <c r="T350" i="3" s="1"/>
  <c r="Q342" i="3"/>
  <c r="R342" i="3"/>
  <c r="Q334" i="3"/>
  <c r="R334" i="3"/>
  <c r="Q326" i="3"/>
  <c r="R326" i="3"/>
  <c r="Q318" i="3"/>
  <c r="R318" i="3"/>
  <c r="S318" i="3" s="1"/>
  <c r="T318" i="3" s="1"/>
  <c r="Q310" i="3"/>
  <c r="R310" i="3"/>
  <c r="Q302" i="3"/>
  <c r="R302" i="3"/>
  <c r="S294" i="3"/>
  <c r="T294" i="3" s="1"/>
  <c r="R294" i="3"/>
  <c r="Q286" i="3"/>
  <c r="R286" i="3"/>
  <c r="S286" i="3" s="1"/>
  <c r="T286" i="3" s="1"/>
  <c r="Q278" i="3"/>
  <c r="R278" i="3"/>
  <c r="Q270" i="3"/>
  <c r="R270" i="3"/>
  <c r="Q262" i="3"/>
  <c r="R262" i="3"/>
  <c r="Q254" i="3"/>
  <c r="R254" i="3"/>
  <c r="S254" i="3" s="1"/>
  <c r="T254" i="3" s="1"/>
  <c r="Q246" i="3"/>
  <c r="R246" i="3"/>
  <c r="Q238" i="3"/>
  <c r="R238" i="3"/>
  <c r="Q230" i="3"/>
  <c r="R230" i="3"/>
  <c r="Q222" i="3"/>
  <c r="R222" i="3"/>
  <c r="S222" i="3" s="1"/>
  <c r="T222" i="3" s="1"/>
  <c r="Q214" i="3"/>
  <c r="R214" i="3"/>
  <c r="Q206" i="3"/>
  <c r="R206" i="3"/>
  <c r="Q198" i="3"/>
  <c r="R198" i="3"/>
  <c r="Q190" i="3"/>
  <c r="R190" i="3"/>
  <c r="S190" i="3" s="1"/>
  <c r="T190" i="3" s="1"/>
  <c r="Q182" i="3"/>
  <c r="R182" i="3"/>
  <c r="Q174" i="3"/>
  <c r="R174" i="3"/>
  <c r="Q166" i="3"/>
  <c r="R166" i="3"/>
  <c r="Q158" i="3"/>
  <c r="R158" i="3"/>
  <c r="S158" i="3" s="1"/>
  <c r="T158" i="3" s="1"/>
  <c r="Q150" i="3"/>
  <c r="R150" i="3"/>
  <c r="Q142" i="3"/>
  <c r="R142" i="3"/>
  <c r="Q134" i="3"/>
  <c r="R134" i="3"/>
  <c r="Q126" i="3"/>
  <c r="R126" i="3"/>
  <c r="S126" i="3" s="1"/>
  <c r="T126" i="3" s="1"/>
  <c r="Q118" i="3"/>
  <c r="R118" i="3"/>
  <c r="Q110" i="3"/>
  <c r="R110" i="3"/>
  <c r="Q102" i="3"/>
  <c r="R102" i="3"/>
  <c r="Q94" i="3"/>
  <c r="R94" i="3"/>
  <c r="S94" i="3" s="1"/>
  <c r="T94" i="3" s="1"/>
  <c r="Q86" i="3"/>
  <c r="R86" i="3"/>
  <c r="Q78" i="3"/>
  <c r="R78" i="3"/>
  <c r="Q70" i="3"/>
  <c r="R70" i="3"/>
  <c r="Q62" i="3"/>
  <c r="R62" i="3"/>
  <c r="S62" i="3" s="1"/>
  <c r="T62" i="3" s="1"/>
  <c r="Q54" i="3"/>
  <c r="R54" i="3"/>
  <c r="Q46" i="3"/>
  <c r="R46" i="3"/>
  <c r="Q38" i="3"/>
  <c r="R38" i="3"/>
  <c r="Q30" i="3"/>
  <c r="R30" i="3"/>
  <c r="S30" i="3" s="1"/>
  <c r="T30" i="3" s="1"/>
  <c r="R586" i="3"/>
  <c r="R522" i="3"/>
  <c r="R458" i="3"/>
  <c r="R394" i="3"/>
  <c r="R330" i="3"/>
  <c r="R266" i="3"/>
  <c r="R202" i="3"/>
  <c r="R138" i="3"/>
  <c r="S138" i="3" s="1"/>
  <c r="T138" i="3" s="1"/>
  <c r="R25" i="3"/>
  <c r="R17" i="3"/>
  <c r="R9" i="3"/>
  <c r="S69" i="3"/>
  <c r="T69" i="3" s="1"/>
  <c r="S45" i="3"/>
  <c r="T45" i="3" s="1"/>
  <c r="S37" i="3"/>
  <c r="T37" i="3" s="1"/>
  <c r="S21" i="3"/>
  <c r="T21" i="3" s="1"/>
  <c r="S5" i="3"/>
  <c r="T5" i="3" s="1"/>
  <c r="R31" i="3"/>
  <c r="R23" i="3"/>
  <c r="R15" i="3"/>
  <c r="S15" i="3" s="1"/>
  <c r="T15" i="3" s="1"/>
  <c r="R7" i="3"/>
  <c r="S52" i="3"/>
  <c r="T52" i="3" s="1"/>
  <c r="S36" i="3"/>
  <c r="T36" i="3" s="1"/>
  <c r="S28" i="3"/>
  <c r="T28" i="3" s="1"/>
  <c r="S20" i="3"/>
  <c r="T20" i="3" s="1"/>
  <c r="R22" i="3"/>
  <c r="R14" i="3"/>
  <c r="R6" i="3"/>
  <c r="S67" i="3"/>
  <c r="T67" i="3" s="1"/>
  <c r="S51" i="3"/>
  <c r="T51" i="3" s="1"/>
  <c r="S11" i="3"/>
  <c r="T11" i="3" s="1"/>
  <c r="R77" i="3"/>
  <c r="S77" i="3" s="1"/>
  <c r="T77" i="3" s="1"/>
  <c r="R69" i="3"/>
  <c r="R61" i="3"/>
  <c r="S61" i="3" s="1"/>
  <c r="T61" i="3" s="1"/>
  <c r="R53" i="3"/>
  <c r="S53" i="3" s="1"/>
  <c r="T53" i="3" s="1"/>
  <c r="R45" i="3"/>
  <c r="R37" i="3"/>
  <c r="R29" i="3"/>
  <c r="S29" i="3" s="1"/>
  <c r="T29" i="3" s="1"/>
  <c r="R21" i="3"/>
  <c r="R13" i="3"/>
  <c r="S13" i="3" s="1"/>
  <c r="T13" i="3" s="1"/>
  <c r="R5" i="3"/>
  <c r="R76" i="3"/>
  <c r="S76" i="3" s="1"/>
  <c r="T76" i="3" s="1"/>
  <c r="R68" i="3"/>
  <c r="S68" i="3" s="1"/>
  <c r="T68" i="3" s="1"/>
  <c r="R60" i="3"/>
  <c r="S60" i="3" s="1"/>
  <c r="T60" i="3" s="1"/>
  <c r="R52" i="3"/>
  <c r="R44" i="3"/>
  <c r="S44" i="3" s="1"/>
  <c r="T44" i="3" s="1"/>
  <c r="R36" i="3"/>
  <c r="R28" i="3"/>
  <c r="R20" i="3"/>
  <c r="R12" i="3"/>
  <c r="S12" i="3" s="1"/>
  <c r="T12" i="3" s="1"/>
  <c r="R4" i="3"/>
  <c r="S4" i="3" s="1"/>
  <c r="T4" i="3" s="1"/>
  <c r="R75" i="3"/>
  <c r="S75" i="3" s="1"/>
  <c r="T75" i="3" s="1"/>
  <c r="R67" i="3"/>
  <c r="R51" i="3"/>
  <c r="R43" i="3"/>
  <c r="S43" i="3" s="1"/>
  <c r="T43" i="3" s="1"/>
  <c r="R27" i="3"/>
  <c r="S27" i="3" s="1"/>
  <c r="T27" i="3" s="1"/>
  <c r="R11" i="3"/>
  <c r="Q85" i="3"/>
  <c r="Q21" i="3"/>
  <c r="Q596" i="3"/>
  <c r="Q189" i="3"/>
  <c r="Q133" i="3"/>
  <c r="Q261" i="3"/>
  <c r="Q525" i="3"/>
  <c r="Q109" i="3"/>
  <c r="Q564" i="3"/>
  <c r="Q500" i="3"/>
  <c r="Q549" i="3"/>
  <c r="Q227" i="3"/>
  <c r="Q507" i="3"/>
  <c r="Q123" i="3"/>
  <c r="Q331" i="3"/>
  <c r="Q555" i="3"/>
  <c r="Q493" i="3"/>
  <c r="Q213" i="3"/>
  <c r="Q491" i="3"/>
  <c r="Q267" i="3"/>
  <c r="Q539" i="3"/>
  <c r="Q419" i="3"/>
  <c r="Q179" i="3"/>
  <c r="S587" i="3"/>
  <c r="T587" i="3" s="1"/>
  <c r="Q579" i="3"/>
  <c r="Q403" i="3"/>
  <c r="Q163" i="3"/>
  <c r="Q571" i="3"/>
  <c r="Q531" i="3"/>
  <c r="Q483" i="3"/>
  <c r="Q387" i="3"/>
  <c r="Q323" i="3"/>
  <c r="Q251" i="3"/>
  <c r="Q155" i="3"/>
  <c r="Q107" i="3"/>
  <c r="Q51" i="3"/>
  <c r="Q475" i="3"/>
  <c r="Q379" i="3"/>
  <c r="Q315" i="3"/>
  <c r="Q211" i="3"/>
  <c r="Q139" i="3"/>
  <c r="Q99" i="3"/>
  <c r="Q11" i="3"/>
  <c r="Q563" i="3"/>
  <c r="Q515" i="3"/>
  <c r="Q459" i="3"/>
  <c r="Q363" i="3"/>
  <c r="Q299" i="3"/>
  <c r="Q243" i="3"/>
  <c r="Q203" i="3"/>
  <c r="Q43" i="3"/>
  <c r="Q523" i="3"/>
  <c r="S595" i="3"/>
  <c r="T595" i="3" s="1"/>
  <c r="Q595" i="3"/>
  <c r="S547" i="3"/>
  <c r="T547" i="3" s="1"/>
  <c r="Q547" i="3"/>
  <c r="S499" i="3"/>
  <c r="T499" i="3" s="1"/>
  <c r="Q499" i="3"/>
  <c r="S467" i="3"/>
  <c r="T467" i="3" s="1"/>
  <c r="Q467" i="3"/>
  <c r="S451" i="3"/>
  <c r="T451" i="3" s="1"/>
  <c r="Q451" i="3"/>
  <c r="S435" i="3"/>
  <c r="T435" i="3" s="1"/>
  <c r="Q435" i="3"/>
  <c r="S411" i="3"/>
  <c r="T411" i="3" s="1"/>
  <c r="Q411" i="3"/>
  <c r="S395" i="3"/>
  <c r="T395" i="3" s="1"/>
  <c r="Q395" i="3"/>
  <c r="S371" i="3"/>
  <c r="T371" i="3" s="1"/>
  <c r="Q371" i="3"/>
  <c r="S355" i="3"/>
  <c r="T355" i="3" s="1"/>
  <c r="Q355" i="3"/>
  <c r="S347" i="3"/>
  <c r="T347" i="3" s="1"/>
  <c r="Q347" i="3"/>
  <c r="S307" i="3"/>
  <c r="T307" i="3" s="1"/>
  <c r="Q307" i="3"/>
  <c r="S275" i="3"/>
  <c r="T275" i="3" s="1"/>
  <c r="Q275" i="3"/>
  <c r="S259" i="3"/>
  <c r="T259" i="3" s="1"/>
  <c r="Q259" i="3"/>
  <c r="S219" i="3"/>
  <c r="T219" i="3" s="1"/>
  <c r="Q219" i="3"/>
  <c r="S187" i="3"/>
  <c r="T187" i="3" s="1"/>
  <c r="Q187" i="3"/>
  <c r="S171" i="3"/>
  <c r="T171" i="3" s="1"/>
  <c r="Q171" i="3"/>
  <c r="S147" i="3"/>
  <c r="T147" i="3" s="1"/>
  <c r="Q147" i="3"/>
  <c r="S131" i="3"/>
  <c r="T131" i="3" s="1"/>
  <c r="Q131" i="3"/>
  <c r="S91" i="3"/>
  <c r="T91" i="3" s="1"/>
  <c r="Q91" i="3"/>
  <c r="S83" i="3"/>
  <c r="T83" i="3" s="1"/>
  <c r="Q83" i="3"/>
  <c r="S59" i="3"/>
  <c r="T59" i="3" s="1"/>
  <c r="Q59" i="3"/>
  <c r="S35" i="3"/>
  <c r="T35" i="3" s="1"/>
  <c r="Q35" i="3"/>
  <c r="S19" i="3"/>
  <c r="T19" i="3" s="1"/>
  <c r="Q19" i="3"/>
  <c r="S3" i="3"/>
  <c r="T3" i="3" s="1"/>
  <c r="Q3" i="3"/>
  <c r="Q443" i="3"/>
  <c r="Q291" i="3"/>
  <c r="Q195" i="3"/>
  <c r="Q75" i="3"/>
  <c r="Q427" i="3"/>
  <c r="Q339" i="3"/>
  <c r="Q283" i="3"/>
  <c r="Q235" i="3"/>
  <c r="Q115" i="3"/>
  <c r="Q27" i="3"/>
  <c r="Q428" i="3"/>
  <c r="Q388" i="3"/>
  <c r="Q268" i="3"/>
  <c r="Q164" i="3"/>
  <c r="Q124" i="3"/>
  <c r="Q92" i="3"/>
  <c r="Q4" i="3"/>
  <c r="Q348" i="3"/>
  <c r="Q452" i="3"/>
  <c r="Q413" i="3"/>
  <c r="Q372" i="3"/>
  <c r="Q341" i="3"/>
  <c r="Q84" i="3"/>
  <c r="Q52" i="3"/>
  <c r="Q412" i="3"/>
  <c r="Q292" i="3"/>
  <c r="Q252" i="3"/>
  <c r="Q220" i="3"/>
  <c r="Q140" i="3"/>
  <c r="S528" i="3"/>
  <c r="T528" i="3" s="1"/>
  <c r="S400" i="3"/>
  <c r="T400" i="3" s="1"/>
  <c r="S258" i="3"/>
  <c r="T258" i="3" s="1"/>
  <c r="Q573" i="3"/>
  <c r="Q517" i="3"/>
  <c r="Q461" i="3"/>
  <c r="Q437" i="3"/>
  <c r="Q357" i="3"/>
  <c r="Q309" i="3"/>
  <c r="Q285" i="3"/>
  <c r="Q157" i="3"/>
  <c r="Q61" i="3"/>
  <c r="S210" i="3"/>
  <c r="T210" i="3" s="1"/>
  <c r="Q485" i="3"/>
  <c r="Q381" i="3"/>
  <c r="Q333" i="3"/>
  <c r="Q253" i="3"/>
  <c r="Q181" i="3"/>
  <c r="Q125" i="3"/>
  <c r="Q37" i="3"/>
  <c r="S496" i="3"/>
  <c r="T496" i="3" s="1"/>
  <c r="S368" i="3"/>
  <c r="T368" i="3" s="1"/>
  <c r="S202" i="3"/>
  <c r="T202" i="3" s="1"/>
  <c r="Q597" i="3"/>
  <c r="Q565" i="3"/>
  <c r="Q541" i="3"/>
  <c r="Q509" i="3"/>
  <c r="Q453" i="3"/>
  <c r="Q429" i="3"/>
  <c r="Q405" i="3"/>
  <c r="Q301" i="3"/>
  <c r="Q277" i="3"/>
  <c r="Q229" i="3"/>
  <c r="Q205" i="3"/>
  <c r="Q149" i="3"/>
  <c r="Q101" i="3"/>
  <c r="Q77" i="3"/>
  <c r="Q13" i="3"/>
  <c r="S194" i="3"/>
  <c r="T194" i="3" s="1"/>
  <c r="Q373" i="3"/>
  <c r="Q325" i="3"/>
  <c r="Q173" i="3"/>
  <c r="Q53" i="3"/>
  <c r="S592" i="3"/>
  <c r="T592" i="3" s="1"/>
  <c r="S464" i="3"/>
  <c r="T464" i="3" s="1"/>
  <c r="S336" i="3"/>
  <c r="T336" i="3" s="1"/>
  <c r="S146" i="3"/>
  <c r="T146" i="3" s="1"/>
  <c r="Q533" i="3"/>
  <c r="Q501" i="3"/>
  <c r="Q477" i="3"/>
  <c r="Q397" i="3"/>
  <c r="Q349" i="3"/>
  <c r="Q269" i="3"/>
  <c r="Q245" i="3"/>
  <c r="Q221" i="3"/>
  <c r="Q197" i="3"/>
  <c r="Q141" i="3"/>
  <c r="Q117" i="3"/>
  <c r="Q93" i="3"/>
  <c r="Q29" i="3"/>
  <c r="Q589" i="3"/>
  <c r="Q557" i="3"/>
  <c r="Q445" i="3"/>
  <c r="Q421" i="3"/>
  <c r="Q293" i="3"/>
  <c r="Q165" i="3"/>
  <c r="Q69" i="3"/>
  <c r="Q5" i="3"/>
  <c r="S560" i="3"/>
  <c r="T560" i="3" s="1"/>
  <c r="S432" i="3"/>
  <c r="T432" i="3" s="1"/>
  <c r="S304" i="3"/>
  <c r="T304" i="3" s="1"/>
  <c r="S130" i="3"/>
  <c r="T130" i="3" s="1"/>
  <c r="Q581" i="3"/>
  <c r="Q469" i="3"/>
  <c r="Q389" i="3"/>
  <c r="Q365" i="3"/>
  <c r="Q317" i="3"/>
  <c r="Q45" i="3"/>
  <c r="S274" i="3"/>
  <c r="T274" i="3" s="1"/>
  <c r="Q280" i="3"/>
  <c r="S280" i="3"/>
  <c r="T280" i="3" s="1"/>
  <c r="Q272" i="3"/>
  <c r="S272" i="3"/>
  <c r="T272" i="3" s="1"/>
  <c r="Q264" i="3"/>
  <c r="S264" i="3"/>
  <c r="T264" i="3" s="1"/>
  <c r="Q256" i="3"/>
  <c r="S256" i="3"/>
  <c r="T256" i="3" s="1"/>
  <c r="Q248" i="3"/>
  <c r="S248" i="3"/>
  <c r="T248" i="3" s="1"/>
  <c r="Q240" i="3"/>
  <c r="S240" i="3"/>
  <c r="T240" i="3" s="1"/>
  <c r="Q232" i="3"/>
  <c r="S232" i="3"/>
  <c r="T232" i="3" s="1"/>
  <c r="Q224" i="3"/>
  <c r="S224" i="3"/>
  <c r="T224" i="3" s="1"/>
  <c r="Q216" i="3"/>
  <c r="S216" i="3"/>
  <c r="T216" i="3" s="1"/>
  <c r="Q208" i="3"/>
  <c r="S208" i="3"/>
  <c r="T208" i="3" s="1"/>
  <c r="Q200" i="3"/>
  <c r="S200" i="3"/>
  <c r="T200" i="3" s="1"/>
  <c r="Q192" i="3"/>
  <c r="S192" i="3"/>
  <c r="T192" i="3" s="1"/>
  <c r="Q184" i="3"/>
  <c r="S184" i="3"/>
  <c r="T184" i="3" s="1"/>
  <c r="Q176" i="3"/>
  <c r="S176" i="3"/>
  <c r="T176" i="3" s="1"/>
  <c r="Q168" i="3"/>
  <c r="S168" i="3"/>
  <c r="T168" i="3" s="1"/>
  <c r="Q160" i="3"/>
  <c r="S160" i="3"/>
  <c r="T160" i="3" s="1"/>
  <c r="Q152" i="3"/>
  <c r="S152" i="3"/>
  <c r="T152" i="3" s="1"/>
  <c r="Q144" i="3"/>
  <c r="S144" i="3"/>
  <c r="T144" i="3" s="1"/>
  <c r="Q136" i="3"/>
  <c r="S136" i="3"/>
  <c r="T136" i="3" s="1"/>
  <c r="Q128" i="3"/>
  <c r="S128" i="3"/>
  <c r="T128" i="3" s="1"/>
  <c r="Q120" i="3"/>
  <c r="S120" i="3"/>
  <c r="T120" i="3" s="1"/>
  <c r="Q112" i="3"/>
  <c r="S112" i="3"/>
  <c r="T112" i="3" s="1"/>
  <c r="Q104" i="3"/>
  <c r="S104" i="3"/>
  <c r="T104" i="3" s="1"/>
  <c r="Q96" i="3"/>
  <c r="S96" i="3"/>
  <c r="T96" i="3" s="1"/>
  <c r="Q88" i="3"/>
  <c r="S88" i="3"/>
  <c r="T88" i="3" s="1"/>
  <c r="Q80" i="3"/>
  <c r="S80" i="3"/>
  <c r="T80" i="3" s="1"/>
  <c r="Q72" i="3"/>
  <c r="S72" i="3"/>
  <c r="T72" i="3" s="1"/>
  <c r="Q64" i="3"/>
  <c r="S64" i="3"/>
  <c r="T64" i="3" s="1"/>
  <c r="Q56" i="3"/>
  <c r="S56" i="3"/>
  <c r="T56" i="3" s="1"/>
  <c r="Q48" i="3"/>
  <c r="S48" i="3"/>
  <c r="T48" i="3" s="1"/>
  <c r="Q40" i="3"/>
  <c r="S40" i="3"/>
  <c r="T40" i="3" s="1"/>
  <c r="Q32" i="3"/>
  <c r="S32" i="3"/>
  <c r="T32" i="3" s="1"/>
  <c r="Q24" i="3"/>
  <c r="S24" i="3"/>
  <c r="T24" i="3" s="1"/>
  <c r="Q16" i="3"/>
  <c r="S16" i="3"/>
  <c r="T16" i="3" s="1"/>
  <c r="Q8" i="3"/>
  <c r="S8" i="3"/>
  <c r="T8" i="3" s="1"/>
  <c r="S594" i="3"/>
  <c r="T594" i="3" s="1"/>
  <c r="S562" i="3"/>
  <c r="T562" i="3" s="1"/>
  <c r="S466" i="3"/>
  <c r="T466" i="3" s="1"/>
  <c r="S434" i="3"/>
  <c r="T434" i="3" s="1"/>
  <c r="S402" i="3"/>
  <c r="T402" i="3" s="1"/>
  <c r="S370" i="3"/>
  <c r="T370" i="3" s="1"/>
  <c r="S338" i="3"/>
  <c r="T338" i="3" s="1"/>
  <c r="S306" i="3"/>
  <c r="T306" i="3" s="1"/>
  <c r="S266" i="3"/>
  <c r="T266" i="3" s="1"/>
  <c r="S586" i="3"/>
  <c r="T586" i="3" s="1"/>
  <c r="S554" i="3"/>
  <c r="T554" i="3" s="1"/>
  <c r="S522" i="3"/>
  <c r="T522" i="3" s="1"/>
  <c r="S490" i="3"/>
  <c r="T490" i="3" s="1"/>
  <c r="S458" i="3"/>
  <c r="T458" i="3" s="1"/>
  <c r="S426" i="3"/>
  <c r="T426" i="3" s="1"/>
  <c r="S394" i="3"/>
  <c r="T394" i="3" s="1"/>
  <c r="S362" i="3"/>
  <c r="T362" i="3" s="1"/>
  <c r="S330" i="3"/>
  <c r="T330" i="3" s="1"/>
  <c r="S298" i="3"/>
  <c r="T298" i="3" s="1"/>
  <c r="S250" i="3"/>
  <c r="T250" i="3" s="1"/>
  <c r="S186" i="3"/>
  <c r="T186" i="3" s="1"/>
  <c r="S122" i="3"/>
  <c r="T122" i="3" s="1"/>
  <c r="S584" i="3"/>
  <c r="T584" i="3" s="1"/>
  <c r="S552" i="3"/>
  <c r="T552" i="3" s="1"/>
  <c r="S520" i="3"/>
  <c r="T520" i="3" s="1"/>
  <c r="S488" i="3"/>
  <c r="T488" i="3" s="1"/>
  <c r="S456" i="3"/>
  <c r="T456" i="3" s="1"/>
  <c r="S424" i="3"/>
  <c r="T424" i="3" s="1"/>
  <c r="S392" i="3"/>
  <c r="T392" i="3" s="1"/>
  <c r="S360" i="3"/>
  <c r="T360" i="3" s="1"/>
  <c r="S328" i="3"/>
  <c r="T328" i="3" s="1"/>
  <c r="S296" i="3"/>
  <c r="T296" i="3" s="1"/>
  <c r="S242" i="3"/>
  <c r="T242" i="3" s="1"/>
  <c r="S178" i="3"/>
  <c r="T178" i="3" s="1"/>
  <c r="S114" i="3"/>
  <c r="T114" i="3" s="1"/>
  <c r="S578" i="3"/>
  <c r="T578" i="3" s="1"/>
  <c r="S546" i="3"/>
  <c r="T546" i="3" s="1"/>
  <c r="S514" i="3"/>
  <c r="T514" i="3" s="1"/>
  <c r="S482" i="3"/>
  <c r="T482" i="3" s="1"/>
  <c r="S450" i="3"/>
  <c r="T450" i="3" s="1"/>
  <c r="S418" i="3"/>
  <c r="T418" i="3" s="1"/>
  <c r="S386" i="3"/>
  <c r="T386" i="3" s="1"/>
  <c r="S322" i="3"/>
  <c r="T322" i="3" s="1"/>
  <c r="S290" i="3"/>
  <c r="T290" i="3" s="1"/>
  <c r="S170" i="3"/>
  <c r="T170" i="3" s="1"/>
  <c r="S106" i="3"/>
  <c r="T106" i="3" s="1"/>
  <c r="S576" i="3"/>
  <c r="T576" i="3" s="1"/>
  <c r="S544" i="3"/>
  <c r="T544" i="3" s="1"/>
  <c r="S512" i="3"/>
  <c r="T512" i="3" s="1"/>
  <c r="S480" i="3"/>
  <c r="T480" i="3" s="1"/>
  <c r="S448" i="3"/>
  <c r="T448" i="3" s="1"/>
  <c r="S416" i="3"/>
  <c r="T416" i="3" s="1"/>
  <c r="S384" i="3"/>
  <c r="T384" i="3" s="1"/>
  <c r="S352" i="3"/>
  <c r="T352" i="3" s="1"/>
  <c r="S320" i="3"/>
  <c r="T320" i="3" s="1"/>
  <c r="S288" i="3"/>
  <c r="T288" i="3" s="1"/>
  <c r="S226" i="3"/>
  <c r="T226" i="3" s="1"/>
  <c r="S162" i="3"/>
  <c r="T162" i="3" s="1"/>
  <c r="S98" i="3"/>
  <c r="T98" i="3" s="1"/>
  <c r="Q82" i="3"/>
  <c r="S82" i="3"/>
  <c r="T82" i="3" s="1"/>
  <c r="Q74" i="3"/>
  <c r="S74" i="3"/>
  <c r="T74" i="3" s="1"/>
  <c r="Q66" i="3"/>
  <c r="S66" i="3"/>
  <c r="T66" i="3" s="1"/>
  <c r="Q58" i="3"/>
  <c r="S58" i="3"/>
  <c r="T58" i="3" s="1"/>
  <c r="Q50" i="3"/>
  <c r="S50" i="3"/>
  <c r="T50" i="3" s="1"/>
  <c r="Q42" i="3"/>
  <c r="S42" i="3"/>
  <c r="T42" i="3" s="1"/>
  <c r="Q34" i="3"/>
  <c r="S34" i="3"/>
  <c r="T34" i="3" s="1"/>
  <c r="Q26" i="3"/>
  <c r="S26" i="3"/>
  <c r="T26" i="3" s="1"/>
  <c r="Q18" i="3"/>
  <c r="S18" i="3"/>
  <c r="T18" i="3" s="1"/>
  <c r="Q10" i="3"/>
  <c r="S10" i="3"/>
  <c r="T10" i="3" s="1"/>
  <c r="S602" i="3"/>
  <c r="T602" i="3" s="1"/>
  <c r="S570" i="3"/>
  <c r="T570" i="3" s="1"/>
  <c r="S506" i="3"/>
  <c r="T506" i="3" s="1"/>
  <c r="S474" i="3"/>
  <c r="T474" i="3" s="1"/>
  <c r="S442" i="3"/>
  <c r="T442" i="3" s="1"/>
  <c r="S410" i="3"/>
  <c r="T410" i="3" s="1"/>
  <c r="S378" i="3"/>
  <c r="T378" i="3" s="1"/>
  <c r="S346" i="3"/>
  <c r="T346" i="3" s="1"/>
  <c r="S314" i="3"/>
  <c r="T314" i="3" s="1"/>
  <c r="S282" i="3"/>
  <c r="T282" i="3" s="1"/>
  <c r="S218" i="3"/>
  <c r="T218" i="3" s="1"/>
  <c r="S154" i="3"/>
  <c r="T154" i="3" s="1"/>
  <c r="S90" i="3"/>
  <c r="T90" i="3" s="1"/>
  <c r="S601" i="3"/>
  <c r="T601" i="3" s="1"/>
  <c r="S585" i="3"/>
  <c r="T585" i="3" s="1"/>
  <c r="S577" i="3"/>
  <c r="T577" i="3" s="1"/>
  <c r="S569" i="3"/>
  <c r="T569" i="3" s="1"/>
  <c r="S561" i="3"/>
  <c r="T561" i="3" s="1"/>
  <c r="S553" i="3"/>
  <c r="T553" i="3" s="1"/>
  <c r="S545" i="3"/>
  <c r="T545" i="3" s="1"/>
  <c r="S537" i="3"/>
  <c r="T537" i="3" s="1"/>
  <c r="S521" i="3"/>
  <c r="T521" i="3" s="1"/>
  <c r="S513" i="3"/>
  <c r="T513" i="3" s="1"/>
  <c r="S505" i="3"/>
  <c r="T505" i="3" s="1"/>
  <c r="S497" i="3"/>
  <c r="T497" i="3" s="1"/>
  <c r="S489" i="3"/>
  <c r="T489" i="3" s="1"/>
  <c r="S481" i="3"/>
  <c r="T481" i="3" s="1"/>
  <c r="S473" i="3"/>
  <c r="T473" i="3" s="1"/>
  <c r="S457" i="3"/>
  <c r="T457" i="3" s="1"/>
  <c r="S449" i="3"/>
  <c r="T449" i="3" s="1"/>
  <c r="S441" i="3"/>
  <c r="T441" i="3" s="1"/>
  <c r="S433" i="3"/>
  <c r="T433" i="3" s="1"/>
  <c r="S425" i="3"/>
  <c r="T425" i="3" s="1"/>
  <c r="S417" i="3"/>
  <c r="T417" i="3" s="1"/>
  <c r="S409" i="3"/>
  <c r="T409" i="3" s="1"/>
  <c r="S393" i="3"/>
  <c r="T393" i="3" s="1"/>
  <c r="S385" i="3"/>
  <c r="T385" i="3" s="1"/>
  <c r="S377" i="3"/>
  <c r="T377" i="3" s="1"/>
  <c r="S369" i="3"/>
  <c r="T369" i="3" s="1"/>
  <c r="S361" i="3"/>
  <c r="T361" i="3" s="1"/>
  <c r="S353" i="3"/>
  <c r="T353" i="3" s="1"/>
  <c r="S345" i="3"/>
  <c r="T345" i="3" s="1"/>
  <c r="S329" i="3"/>
  <c r="T329" i="3" s="1"/>
  <c r="S321" i="3"/>
  <c r="T321" i="3" s="1"/>
  <c r="S313" i="3"/>
  <c r="T313" i="3" s="1"/>
  <c r="S305" i="3"/>
  <c r="T305" i="3" s="1"/>
  <c r="S297" i="3"/>
  <c r="T297" i="3" s="1"/>
  <c r="S289" i="3"/>
  <c r="T289" i="3" s="1"/>
  <c r="S281" i="3"/>
  <c r="T281" i="3" s="1"/>
  <c r="S265" i="3"/>
  <c r="T265" i="3" s="1"/>
  <c r="S257" i="3"/>
  <c r="T257" i="3" s="1"/>
  <c r="S249" i="3"/>
  <c r="T249" i="3" s="1"/>
  <c r="S241" i="3"/>
  <c r="T241" i="3" s="1"/>
  <c r="S233" i="3"/>
  <c r="T233" i="3" s="1"/>
  <c r="S225" i="3"/>
  <c r="T225" i="3" s="1"/>
  <c r="S217" i="3"/>
  <c r="T217" i="3" s="1"/>
  <c r="S201" i="3"/>
  <c r="T201" i="3" s="1"/>
  <c r="S193" i="3"/>
  <c r="T193" i="3" s="1"/>
  <c r="S185" i="3"/>
  <c r="T185" i="3" s="1"/>
  <c r="S177" i="3"/>
  <c r="T177" i="3" s="1"/>
  <c r="S169" i="3"/>
  <c r="T169" i="3" s="1"/>
  <c r="S161" i="3"/>
  <c r="T161" i="3" s="1"/>
  <c r="S153" i="3"/>
  <c r="T153" i="3" s="1"/>
  <c r="S137" i="3"/>
  <c r="T137" i="3" s="1"/>
  <c r="S129" i="3"/>
  <c r="T129" i="3" s="1"/>
  <c r="S121" i="3"/>
  <c r="T121" i="3" s="1"/>
  <c r="S113" i="3"/>
  <c r="T113" i="3" s="1"/>
  <c r="S105" i="3"/>
  <c r="T105" i="3" s="1"/>
  <c r="S97" i="3"/>
  <c r="T97" i="3" s="1"/>
  <c r="S89" i="3"/>
  <c r="T89" i="3" s="1"/>
  <c r="S73" i="3"/>
  <c r="T73" i="3" s="1"/>
  <c r="S65" i="3"/>
  <c r="T65" i="3" s="1"/>
  <c r="S57" i="3"/>
  <c r="T57" i="3" s="1"/>
  <c r="S49" i="3"/>
  <c r="T49" i="3" s="1"/>
  <c r="S41" i="3"/>
  <c r="T41" i="3" s="1"/>
  <c r="S33" i="3"/>
  <c r="T33" i="3" s="1"/>
  <c r="S25" i="3"/>
  <c r="T25" i="3" s="1"/>
  <c r="S17" i="3"/>
  <c r="T17" i="3" s="1"/>
  <c r="S9" i="3"/>
  <c r="T9" i="3" s="1"/>
  <c r="S599" i="3"/>
  <c r="T599" i="3" s="1"/>
  <c r="S591" i="3"/>
  <c r="T591" i="3" s="1"/>
  <c r="S583" i="3"/>
  <c r="T583" i="3" s="1"/>
  <c r="S567" i="3"/>
  <c r="T567" i="3" s="1"/>
  <c r="S559" i="3"/>
  <c r="T559" i="3" s="1"/>
  <c r="S551" i="3"/>
  <c r="T551" i="3" s="1"/>
  <c r="S535" i="3"/>
  <c r="T535" i="3" s="1"/>
  <c r="S527" i="3"/>
  <c r="T527" i="3" s="1"/>
  <c r="S519" i="3"/>
  <c r="T519" i="3" s="1"/>
  <c r="S503" i="3"/>
  <c r="T503" i="3" s="1"/>
  <c r="S495" i="3"/>
  <c r="T495" i="3" s="1"/>
  <c r="S487" i="3"/>
  <c r="T487" i="3" s="1"/>
  <c r="S471" i="3"/>
  <c r="T471" i="3" s="1"/>
  <c r="S463" i="3"/>
  <c r="T463" i="3" s="1"/>
  <c r="S455" i="3"/>
  <c r="T455" i="3" s="1"/>
  <c r="S439" i="3"/>
  <c r="T439" i="3" s="1"/>
  <c r="S431" i="3"/>
  <c r="T431" i="3" s="1"/>
  <c r="S423" i="3"/>
  <c r="T423" i="3" s="1"/>
  <c r="S407" i="3"/>
  <c r="T407" i="3" s="1"/>
  <c r="S399" i="3"/>
  <c r="T399" i="3" s="1"/>
  <c r="S391" i="3"/>
  <c r="T391" i="3" s="1"/>
  <c r="S375" i="3"/>
  <c r="T375" i="3" s="1"/>
  <c r="S367" i="3"/>
  <c r="T367" i="3" s="1"/>
  <c r="S359" i="3"/>
  <c r="T359" i="3" s="1"/>
  <c r="S343" i="3"/>
  <c r="T343" i="3" s="1"/>
  <c r="S335" i="3"/>
  <c r="T335" i="3" s="1"/>
  <c r="S327" i="3"/>
  <c r="T327" i="3" s="1"/>
  <c r="S311" i="3"/>
  <c r="T311" i="3" s="1"/>
  <c r="S303" i="3"/>
  <c r="T303" i="3" s="1"/>
  <c r="S295" i="3"/>
  <c r="T295" i="3" s="1"/>
  <c r="S279" i="3"/>
  <c r="T279" i="3" s="1"/>
  <c r="S271" i="3"/>
  <c r="T271" i="3" s="1"/>
  <c r="S263" i="3"/>
  <c r="T263" i="3" s="1"/>
  <c r="S247" i="3"/>
  <c r="T247" i="3" s="1"/>
  <c r="S239" i="3"/>
  <c r="T239" i="3" s="1"/>
  <c r="S231" i="3"/>
  <c r="T231" i="3" s="1"/>
  <c r="S215" i="3"/>
  <c r="T215" i="3" s="1"/>
  <c r="S207" i="3"/>
  <c r="T207" i="3" s="1"/>
  <c r="S199" i="3"/>
  <c r="T199" i="3" s="1"/>
  <c r="S183" i="3"/>
  <c r="T183" i="3" s="1"/>
  <c r="S175" i="3"/>
  <c r="T175" i="3" s="1"/>
  <c r="S167" i="3"/>
  <c r="T167" i="3" s="1"/>
  <c r="S151" i="3"/>
  <c r="T151" i="3" s="1"/>
  <c r="S143" i="3"/>
  <c r="T143" i="3" s="1"/>
  <c r="S135" i="3"/>
  <c r="T135" i="3" s="1"/>
  <c r="S119" i="3"/>
  <c r="T119" i="3" s="1"/>
  <c r="S111" i="3"/>
  <c r="T111" i="3" s="1"/>
  <c r="S103" i="3"/>
  <c r="T103" i="3" s="1"/>
  <c r="S87" i="3"/>
  <c r="T87" i="3" s="1"/>
  <c r="S79" i="3"/>
  <c r="T79" i="3" s="1"/>
  <c r="S71" i="3"/>
  <c r="T71" i="3" s="1"/>
  <c r="S55" i="3"/>
  <c r="T55" i="3" s="1"/>
  <c r="S47" i="3"/>
  <c r="T47" i="3" s="1"/>
  <c r="S39" i="3"/>
  <c r="T39" i="3" s="1"/>
  <c r="S31" i="3"/>
  <c r="T31" i="3" s="1"/>
  <c r="S23" i="3"/>
  <c r="T23" i="3" s="1"/>
  <c r="S7" i="3"/>
  <c r="T7" i="3" s="1"/>
  <c r="S598" i="3"/>
  <c r="T598" i="3" s="1"/>
  <c r="S590" i="3"/>
  <c r="T590" i="3" s="1"/>
  <c r="S582" i="3"/>
  <c r="T582" i="3" s="1"/>
  <c r="S566" i="3"/>
  <c r="T566" i="3" s="1"/>
  <c r="S558" i="3"/>
  <c r="T558" i="3" s="1"/>
  <c r="S550" i="3"/>
  <c r="T550" i="3" s="1"/>
  <c r="S542" i="3"/>
  <c r="T542" i="3" s="1"/>
  <c r="S534" i="3"/>
  <c r="T534" i="3" s="1"/>
  <c r="S526" i="3"/>
  <c r="T526" i="3" s="1"/>
  <c r="S518" i="3"/>
  <c r="T518" i="3" s="1"/>
  <c r="S502" i="3"/>
  <c r="T502" i="3" s="1"/>
  <c r="S494" i="3"/>
  <c r="T494" i="3" s="1"/>
  <c r="S486" i="3"/>
  <c r="T486" i="3" s="1"/>
  <c r="S478" i="3"/>
  <c r="T478" i="3" s="1"/>
  <c r="S470" i="3"/>
  <c r="T470" i="3" s="1"/>
  <c r="S462" i="3"/>
  <c r="T462" i="3" s="1"/>
  <c r="S454" i="3"/>
  <c r="T454" i="3" s="1"/>
  <c r="S438" i="3"/>
  <c r="T438" i="3" s="1"/>
  <c r="S430" i="3"/>
  <c r="T430" i="3" s="1"/>
  <c r="S422" i="3"/>
  <c r="T422" i="3" s="1"/>
  <c r="S414" i="3"/>
  <c r="T414" i="3" s="1"/>
  <c r="S406" i="3"/>
  <c r="T406" i="3" s="1"/>
  <c r="S398" i="3"/>
  <c r="T398" i="3" s="1"/>
  <c r="S390" i="3"/>
  <c r="T390" i="3" s="1"/>
  <c r="S374" i="3"/>
  <c r="T374" i="3" s="1"/>
  <c r="S366" i="3"/>
  <c r="T366" i="3" s="1"/>
  <c r="S358" i="3"/>
  <c r="T358" i="3" s="1"/>
  <c r="S342" i="3"/>
  <c r="T342" i="3" s="1"/>
  <c r="S334" i="3"/>
  <c r="T334" i="3" s="1"/>
  <c r="S326" i="3"/>
  <c r="T326" i="3" s="1"/>
  <c r="S310" i="3"/>
  <c r="T310" i="3" s="1"/>
  <c r="S302" i="3"/>
  <c r="T302" i="3" s="1"/>
  <c r="S278" i="3"/>
  <c r="T278" i="3" s="1"/>
  <c r="S270" i="3"/>
  <c r="T270" i="3" s="1"/>
  <c r="S262" i="3"/>
  <c r="T262" i="3" s="1"/>
  <c r="S246" i="3"/>
  <c r="T246" i="3" s="1"/>
  <c r="S238" i="3"/>
  <c r="T238" i="3" s="1"/>
  <c r="S230" i="3"/>
  <c r="T230" i="3" s="1"/>
  <c r="S214" i="3"/>
  <c r="T214" i="3" s="1"/>
  <c r="S206" i="3"/>
  <c r="T206" i="3" s="1"/>
  <c r="S198" i="3"/>
  <c r="T198" i="3" s="1"/>
  <c r="S182" i="3"/>
  <c r="T182" i="3" s="1"/>
  <c r="S174" i="3"/>
  <c r="T174" i="3" s="1"/>
  <c r="S166" i="3"/>
  <c r="T166" i="3" s="1"/>
  <c r="S150" i="3"/>
  <c r="T150" i="3" s="1"/>
  <c r="S142" i="3"/>
  <c r="T142" i="3" s="1"/>
  <c r="S134" i="3"/>
  <c r="T134" i="3" s="1"/>
  <c r="S118" i="3"/>
  <c r="T118" i="3" s="1"/>
  <c r="S110" i="3"/>
  <c r="T110" i="3" s="1"/>
  <c r="S102" i="3"/>
  <c r="T102" i="3" s="1"/>
  <c r="S86" i="3"/>
  <c r="T86" i="3" s="1"/>
  <c r="S78" i="3"/>
  <c r="T78" i="3" s="1"/>
  <c r="S70" i="3"/>
  <c r="T70" i="3" s="1"/>
  <c r="S54" i="3"/>
  <c r="T54" i="3" s="1"/>
  <c r="S46" i="3"/>
  <c r="T46" i="3" s="1"/>
  <c r="S38" i="3"/>
  <c r="T38" i="3" s="1"/>
  <c r="S22" i="3"/>
  <c r="T22" i="3" s="1"/>
  <c r="S14" i="3"/>
  <c r="T14" i="3" s="1"/>
  <c r="S6" i="3"/>
  <c r="T6" i="3" s="1"/>
  <c r="S580" i="3"/>
  <c r="T580" i="3" s="1"/>
  <c r="S572" i="3"/>
  <c r="T572" i="3" s="1"/>
  <c r="S540" i="3"/>
  <c r="T540" i="3" s="1"/>
  <c r="S516" i="3"/>
  <c r="T516" i="3" s="1"/>
  <c r="S508" i="3"/>
  <c r="T508" i="3" s="1"/>
  <c r="S476" i="3"/>
  <c r="T476" i="3" s="1"/>
  <c r="S468" i="3"/>
  <c r="T468" i="3" s="1"/>
  <c r="S436" i="3"/>
  <c r="T436" i="3" s="1"/>
  <c r="S420" i="3"/>
  <c r="T420" i="3" s="1"/>
  <c r="S404" i="3"/>
  <c r="T404" i="3" s="1"/>
  <c r="S380" i="3"/>
  <c r="T380" i="3" s="1"/>
  <c r="S340" i="3"/>
  <c r="T340" i="3" s="1"/>
  <c r="S316" i="3"/>
  <c r="T316" i="3" s="1"/>
  <c r="S308" i="3"/>
  <c r="T308" i="3" s="1"/>
  <c r="S300" i="3"/>
  <c r="T300" i="3" s="1"/>
  <c r="S284" i="3"/>
  <c r="T284" i="3" s="1"/>
  <c r="S276" i="3"/>
  <c r="T276" i="3" s="1"/>
  <c r="S260" i="3"/>
  <c r="T260" i="3" s="1"/>
  <c r="S228" i="3"/>
  <c r="T228" i="3" s="1"/>
  <c r="S188" i="3"/>
  <c r="T188" i="3" s="1"/>
  <c r="S180" i="3"/>
  <c r="T180" i="3" s="1"/>
  <c r="S172" i="3"/>
  <c r="T172" i="3" s="1"/>
  <c r="S156" i="3"/>
  <c r="T156" i="3" s="1"/>
  <c r="S148" i="3"/>
  <c r="T148" i="3" s="1"/>
  <c r="S132" i="3"/>
  <c r="T132" i="3" s="1"/>
  <c r="S100" i="3"/>
  <c r="T100" i="3" s="1"/>
  <c r="O578" i="3"/>
  <c r="O546" i="3"/>
  <c r="O514" i="3"/>
  <c r="O482" i="3"/>
  <c r="O450" i="3"/>
  <c r="O418" i="3"/>
  <c r="O386" i="3"/>
  <c r="O354" i="3"/>
  <c r="O320" i="3"/>
  <c r="O602" i="3"/>
  <c r="O570" i="3"/>
  <c r="O538" i="3"/>
  <c r="O506" i="3"/>
  <c r="O474" i="3"/>
  <c r="O442" i="3"/>
  <c r="O410" i="3"/>
  <c r="O378" i="3"/>
  <c r="O346" i="3"/>
  <c r="O2" i="3"/>
  <c r="P2" i="3" s="1"/>
  <c r="R2" i="3" s="1"/>
  <c r="O18" i="3"/>
  <c r="O34" i="3"/>
  <c r="O50" i="3"/>
  <c r="O66" i="3"/>
  <c r="O82" i="3"/>
  <c r="O98" i="3"/>
  <c r="O114" i="3"/>
  <c r="O130" i="3"/>
  <c r="O146" i="3"/>
  <c r="O162" i="3"/>
  <c r="O178" i="3"/>
  <c r="O194" i="3"/>
  <c r="O210" i="3"/>
  <c r="O226" i="3"/>
  <c r="O242" i="3"/>
  <c r="O251" i="3"/>
  <c r="O259" i="3"/>
  <c r="O267" i="3"/>
  <c r="O275" i="3"/>
  <c r="O283" i="3"/>
  <c r="O291" i="3"/>
  <c r="O299" i="3"/>
  <c r="O307" i="3"/>
  <c r="O315" i="3"/>
  <c r="O323" i="3"/>
  <c r="O331" i="3"/>
  <c r="O339" i="3"/>
  <c r="O347" i="3"/>
  <c r="O355" i="3"/>
  <c r="O363" i="3"/>
  <c r="O371" i="3"/>
  <c r="O379" i="3"/>
  <c r="O387" i="3"/>
  <c r="O395" i="3"/>
  <c r="O403" i="3"/>
  <c r="O411" i="3"/>
  <c r="O419" i="3"/>
  <c r="O427" i="3"/>
  <c r="O435" i="3"/>
  <c r="O443" i="3"/>
  <c r="O451" i="3"/>
  <c r="O459" i="3"/>
  <c r="O467" i="3"/>
  <c r="O475" i="3"/>
  <c r="O483" i="3"/>
  <c r="O491" i="3"/>
  <c r="O499" i="3"/>
  <c r="O507" i="3"/>
  <c r="O515" i="3"/>
  <c r="O523" i="3"/>
  <c r="O531" i="3"/>
  <c r="O539" i="3"/>
  <c r="O547" i="3"/>
  <c r="O555" i="3"/>
  <c r="O563" i="3"/>
  <c r="O571" i="3"/>
  <c r="O579" i="3"/>
  <c r="O595" i="3"/>
  <c r="O31" i="3"/>
  <c r="O111" i="3"/>
  <c r="O143" i="3"/>
  <c r="O175" i="3"/>
  <c r="O207" i="3"/>
  <c r="O248" i="3"/>
  <c r="O256" i="3"/>
  <c r="O280" i="3"/>
  <c r="O304" i="3"/>
  <c r="O23" i="3"/>
  <c r="O39" i="3"/>
  <c r="O55" i="3"/>
  <c r="O71" i="3"/>
  <c r="O87" i="3"/>
  <c r="O103" i="3"/>
  <c r="O119" i="3"/>
  <c r="O135" i="3"/>
  <c r="O151" i="3"/>
  <c r="O167" i="3"/>
  <c r="O183" i="3"/>
  <c r="O199" i="3"/>
  <c r="O215" i="3"/>
  <c r="O231" i="3"/>
  <c r="O243" i="3"/>
  <c r="O252" i="3"/>
  <c r="O260" i="3"/>
  <c r="O268" i="3"/>
  <c r="O276" i="3"/>
  <c r="O284" i="3"/>
  <c r="O292" i="3"/>
  <c r="O300" i="3"/>
  <c r="O308" i="3"/>
  <c r="O316" i="3"/>
  <c r="O324" i="3"/>
  <c r="O332" i="3"/>
  <c r="O340" i="3"/>
  <c r="O348" i="3"/>
  <c r="O356" i="3"/>
  <c r="O364" i="3"/>
  <c r="O372" i="3"/>
  <c r="O380" i="3"/>
  <c r="O388" i="3"/>
  <c r="O396" i="3"/>
  <c r="O404" i="3"/>
  <c r="O412" i="3"/>
  <c r="O420" i="3"/>
  <c r="O428" i="3"/>
  <c r="O436" i="3"/>
  <c r="O444" i="3"/>
  <c r="O452" i="3"/>
  <c r="O460" i="3"/>
  <c r="O468" i="3"/>
  <c r="O476" i="3"/>
  <c r="O484" i="3"/>
  <c r="O492" i="3"/>
  <c r="O500" i="3"/>
  <c r="O508" i="3"/>
  <c r="O516" i="3"/>
  <c r="O524" i="3"/>
  <c r="O532" i="3"/>
  <c r="O540" i="3"/>
  <c r="O548" i="3"/>
  <c r="O556" i="3"/>
  <c r="O564" i="3"/>
  <c r="O572" i="3"/>
  <c r="O580" i="3"/>
  <c r="O588" i="3"/>
  <c r="O596" i="3"/>
  <c r="O15" i="3"/>
  <c r="O95" i="3"/>
  <c r="O127" i="3"/>
  <c r="O159" i="3"/>
  <c r="O191" i="3"/>
  <c r="O239" i="3"/>
  <c r="O272" i="3"/>
  <c r="O296" i="3"/>
  <c r="O24" i="3"/>
  <c r="O40" i="3"/>
  <c r="O56" i="3"/>
  <c r="O72" i="3"/>
  <c r="O88" i="3"/>
  <c r="O104" i="3"/>
  <c r="O120" i="3"/>
  <c r="O136" i="3"/>
  <c r="O152" i="3"/>
  <c r="O168" i="3"/>
  <c r="O184" i="3"/>
  <c r="O200" i="3"/>
  <c r="O216" i="3"/>
  <c r="O232" i="3"/>
  <c r="O245" i="3"/>
  <c r="O253" i="3"/>
  <c r="O261" i="3"/>
  <c r="O269" i="3"/>
  <c r="O277" i="3"/>
  <c r="O285" i="3"/>
  <c r="O293" i="3"/>
  <c r="O301" i="3"/>
  <c r="O309" i="3"/>
  <c r="O317" i="3"/>
  <c r="O325" i="3"/>
  <c r="O333" i="3"/>
  <c r="O341" i="3"/>
  <c r="O349" i="3"/>
  <c r="O357" i="3"/>
  <c r="O365" i="3"/>
  <c r="O373" i="3"/>
  <c r="O381" i="3"/>
  <c r="O389" i="3"/>
  <c r="O397" i="3"/>
  <c r="O405" i="3"/>
  <c r="O413" i="3"/>
  <c r="O421" i="3"/>
  <c r="O429" i="3"/>
  <c r="O437" i="3"/>
  <c r="O445" i="3"/>
  <c r="O453" i="3"/>
  <c r="O461" i="3"/>
  <c r="O469" i="3"/>
  <c r="O477" i="3"/>
  <c r="O485" i="3"/>
  <c r="O493" i="3"/>
  <c r="O501" i="3"/>
  <c r="O509" i="3"/>
  <c r="O517" i="3"/>
  <c r="O525" i="3"/>
  <c r="O533" i="3"/>
  <c r="O541" i="3"/>
  <c r="O549" i="3"/>
  <c r="O557" i="3"/>
  <c r="O565" i="3"/>
  <c r="O573" i="3"/>
  <c r="O581" i="3"/>
  <c r="O589" i="3"/>
  <c r="O597" i="3"/>
  <c r="O79" i="3"/>
  <c r="O223" i="3"/>
  <c r="O264" i="3"/>
  <c r="O288" i="3"/>
  <c r="O9" i="3"/>
  <c r="O25" i="3"/>
  <c r="O41" i="3"/>
  <c r="O57" i="3"/>
  <c r="O73" i="3"/>
  <c r="O89" i="3"/>
  <c r="O105" i="3"/>
  <c r="O121" i="3"/>
  <c r="O137" i="3"/>
  <c r="O153" i="3"/>
  <c r="O169" i="3"/>
  <c r="O185" i="3"/>
  <c r="O201" i="3"/>
  <c r="O217" i="3"/>
  <c r="O233" i="3"/>
  <c r="O246" i="3"/>
  <c r="O254" i="3"/>
  <c r="O262" i="3"/>
  <c r="O270" i="3"/>
  <c r="O278" i="3"/>
  <c r="O286" i="3"/>
  <c r="O294" i="3"/>
  <c r="O302" i="3"/>
  <c r="O310" i="3"/>
  <c r="O318" i="3"/>
  <c r="O326" i="3"/>
  <c r="O334" i="3"/>
  <c r="O342" i="3"/>
  <c r="O350" i="3"/>
  <c r="O358" i="3"/>
  <c r="O366" i="3"/>
  <c r="O374" i="3"/>
  <c r="O382" i="3"/>
  <c r="O390" i="3"/>
  <c r="O398" i="3"/>
  <c r="O406" i="3"/>
  <c r="O414" i="3"/>
  <c r="O422" i="3"/>
  <c r="O430" i="3"/>
  <c r="O438" i="3"/>
  <c r="O446" i="3"/>
  <c r="O454" i="3"/>
  <c r="O462" i="3"/>
  <c r="O470" i="3"/>
  <c r="O478" i="3"/>
  <c r="O486" i="3"/>
  <c r="O494" i="3"/>
  <c r="O502" i="3"/>
  <c r="O510" i="3"/>
  <c r="O518" i="3"/>
  <c r="O526" i="3"/>
  <c r="O534" i="3"/>
  <c r="O542" i="3"/>
  <c r="O550" i="3"/>
  <c r="O558" i="3"/>
  <c r="O566" i="3"/>
  <c r="O574" i="3"/>
  <c r="O582" i="3"/>
  <c r="O590" i="3"/>
  <c r="O598" i="3"/>
  <c r="O63" i="3"/>
  <c r="O10" i="3"/>
  <c r="O26" i="3"/>
  <c r="O42" i="3"/>
  <c r="O58" i="3"/>
  <c r="O74" i="3"/>
  <c r="O90" i="3"/>
  <c r="O106" i="3"/>
  <c r="O122" i="3"/>
  <c r="O138" i="3"/>
  <c r="O154" i="3"/>
  <c r="O170" i="3"/>
  <c r="O186" i="3"/>
  <c r="O202" i="3"/>
  <c r="O218" i="3"/>
  <c r="O234" i="3"/>
  <c r="O247" i="3"/>
  <c r="O255" i="3"/>
  <c r="O263" i="3"/>
  <c r="O271" i="3"/>
  <c r="O279" i="3"/>
  <c r="O287" i="3"/>
  <c r="O295" i="3"/>
  <c r="O303" i="3"/>
  <c r="O311" i="3"/>
  <c r="O319" i="3"/>
  <c r="O327" i="3"/>
  <c r="O335" i="3"/>
  <c r="O343" i="3"/>
  <c r="O351" i="3"/>
  <c r="O359" i="3"/>
  <c r="O367" i="3"/>
  <c r="O375" i="3"/>
  <c r="O383" i="3"/>
  <c r="O391" i="3"/>
  <c r="O399" i="3"/>
  <c r="O407" i="3"/>
  <c r="O415" i="3"/>
  <c r="O423" i="3"/>
  <c r="O431" i="3"/>
  <c r="O439" i="3"/>
  <c r="O447" i="3"/>
  <c r="O455" i="3"/>
  <c r="O463" i="3"/>
  <c r="O471" i="3"/>
  <c r="O479" i="3"/>
  <c r="O487" i="3"/>
  <c r="O495" i="3"/>
  <c r="O503" i="3"/>
  <c r="O511" i="3"/>
  <c r="O519" i="3"/>
  <c r="O527" i="3"/>
  <c r="O535" i="3"/>
  <c r="O543" i="3"/>
  <c r="O551" i="3"/>
  <c r="O559" i="3"/>
  <c r="O567" i="3"/>
  <c r="O575" i="3"/>
  <c r="O583" i="3"/>
  <c r="O591" i="3"/>
  <c r="O599" i="3"/>
  <c r="O16" i="3"/>
  <c r="O32" i="3"/>
  <c r="O48" i="3"/>
  <c r="O64" i="3"/>
  <c r="O80" i="3"/>
  <c r="O96" i="3"/>
  <c r="O112" i="3"/>
  <c r="O128" i="3"/>
  <c r="O144" i="3"/>
  <c r="O160" i="3"/>
  <c r="O176" i="3"/>
  <c r="O192" i="3"/>
  <c r="O208" i="3"/>
  <c r="O224" i="3"/>
  <c r="O240" i="3"/>
  <c r="O249" i="3"/>
  <c r="O257" i="3"/>
  <c r="O265" i="3"/>
  <c r="O273" i="3"/>
  <c r="O281" i="3"/>
  <c r="O289" i="3"/>
  <c r="O297" i="3"/>
  <c r="O305" i="3"/>
  <c r="O313" i="3"/>
  <c r="O321" i="3"/>
  <c r="O329" i="3"/>
  <c r="O337" i="3"/>
  <c r="O345" i="3"/>
  <c r="O353" i="3"/>
  <c r="O361" i="3"/>
  <c r="O369" i="3"/>
  <c r="O377" i="3"/>
  <c r="O385" i="3"/>
  <c r="O393" i="3"/>
  <c r="O401" i="3"/>
  <c r="O409" i="3"/>
  <c r="O417" i="3"/>
  <c r="O425" i="3"/>
  <c r="O433" i="3"/>
  <c r="O441" i="3"/>
  <c r="O449" i="3"/>
  <c r="O457" i="3"/>
  <c r="O465" i="3"/>
  <c r="O473" i="3"/>
  <c r="O481" i="3"/>
  <c r="O489" i="3"/>
  <c r="O497" i="3"/>
  <c r="O505" i="3"/>
  <c r="O513" i="3"/>
  <c r="O521" i="3"/>
  <c r="O529" i="3"/>
  <c r="O537" i="3"/>
  <c r="O545" i="3"/>
  <c r="O553" i="3"/>
  <c r="O561" i="3"/>
  <c r="O569" i="3"/>
  <c r="O577" i="3"/>
  <c r="O585" i="3"/>
  <c r="O593" i="3"/>
  <c r="O601" i="3"/>
  <c r="O17" i="3"/>
  <c r="O33" i="3"/>
  <c r="O49" i="3"/>
  <c r="O65" i="3"/>
  <c r="O81" i="3"/>
  <c r="O97" i="3"/>
  <c r="O113" i="3"/>
  <c r="O129" i="3"/>
  <c r="O145" i="3"/>
  <c r="O161" i="3"/>
  <c r="O177" i="3"/>
  <c r="O193" i="3"/>
  <c r="O209" i="3"/>
  <c r="O225" i="3"/>
  <c r="O241" i="3"/>
  <c r="O250" i="3"/>
  <c r="O258" i="3"/>
  <c r="O266" i="3"/>
  <c r="O274" i="3"/>
  <c r="O282" i="3"/>
  <c r="O290" i="3"/>
  <c r="O298" i="3"/>
  <c r="O306" i="3"/>
  <c r="O314" i="3"/>
  <c r="O322" i="3"/>
  <c r="O600" i="3"/>
  <c r="O568" i="3"/>
  <c r="O536" i="3"/>
  <c r="O504" i="3"/>
  <c r="O472" i="3"/>
  <c r="O440" i="3"/>
  <c r="O408" i="3"/>
  <c r="O376" i="3"/>
  <c r="O344" i="3"/>
  <c r="O594" i="3"/>
  <c r="O562" i="3"/>
  <c r="O530" i="3"/>
  <c r="O498" i="3"/>
  <c r="O466" i="3"/>
  <c r="O434" i="3"/>
  <c r="O402" i="3"/>
  <c r="O370" i="3"/>
  <c r="O338" i="3"/>
  <c r="O8" i="3"/>
  <c r="O7" i="3"/>
  <c r="O238" i="3"/>
  <c r="O230" i="3"/>
  <c r="O222" i="3"/>
  <c r="O214" i="3"/>
  <c r="O206" i="3"/>
  <c r="O198" i="3"/>
  <c r="O190" i="3"/>
  <c r="O182" i="3"/>
  <c r="O174" i="3"/>
  <c r="O166" i="3"/>
  <c r="O158" i="3"/>
  <c r="O150" i="3"/>
  <c r="O142" i="3"/>
  <c r="O134" i="3"/>
  <c r="O126" i="3"/>
  <c r="O118" i="3"/>
  <c r="O110" i="3"/>
  <c r="O102" i="3"/>
  <c r="O94" i="3"/>
  <c r="O86" i="3"/>
  <c r="O78" i="3"/>
  <c r="O70" i="3"/>
  <c r="O62" i="3"/>
  <c r="O54" i="3"/>
  <c r="O46" i="3"/>
  <c r="O38" i="3"/>
  <c r="O30" i="3"/>
  <c r="O22" i="3"/>
  <c r="O14" i="3"/>
  <c r="O6" i="3"/>
  <c r="O237" i="3"/>
  <c r="O229" i="3"/>
  <c r="O221" i="3"/>
  <c r="O213" i="3"/>
  <c r="O205" i="3"/>
  <c r="O197" i="3"/>
  <c r="O189" i="3"/>
  <c r="O181" i="3"/>
  <c r="O173" i="3"/>
  <c r="O165" i="3"/>
  <c r="O157" i="3"/>
  <c r="O149" i="3"/>
  <c r="O141" i="3"/>
  <c r="O133" i="3"/>
  <c r="O125" i="3"/>
  <c r="O117" i="3"/>
  <c r="O109" i="3"/>
  <c r="O101" i="3"/>
  <c r="O93" i="3"/>
  <c r="O85" i="3"/>
  <c r="O77" i="3"/>
  <c r="O69" i="3"/>
  <c r="O61" i="3"/>
  <c r="O53" i="3"/>
  <c r="O45" i="3"/>
  <c r="O37" i="3"/>
  <c r="O29" i="3"/>
  <c r="O21" i="3"/>
  <c r="O13" i="3"/>
  <c r="O5" i="3"/>
  <c r="O244" i="3"/>
  <c r="O236" i="3"/>
  <c r="O228" i="3"/>
  <c r="O220" i="3"/>
  <c r="O212" i="3"/>
  <c r="O204" i="3"/>
  <c r="O196" i="3"/>
  <c r="O188" i="3"/>
  <c r="O180" i="3"/>
  <c r="O172" i="3"/>
  <c r="O164" i="3"/>
  <c r="O156" i="3"/>
  <c r="O148" i="3"/>
  <c r="O140" i="3"/>
  <c r="O132" i="3"/>
  <c r="O124" i="3"/>
  <c r="O116" i="3"/>
  <c r="O108" i="3"/>
  <c r="O100" i="3"/>
  <c r="O92" i="3"/>
  <c r="O84" i="3"/>
  <c r="O76" i="3"/>
  <c r="O68" i="3"/>
  <c r="O60" i="3"/>
  <c r="O52" i="3"/>
  <c r="O44" i="3"/>
  <c r="O36" i="3"/>
  <c r="O28" i="3"/>
  <c r="O20" i="3"/>
  <c r="O12" i="3"/>
  <c r="O4" i="3"/>
  <c r="O235" i="3"/>
  <c r="O227" i="3"/>
  <c r="O219" i="3"/>
  <c r="O211" i="3"/>
  <c r="O203" i="3"/>
  <c r="O195" i="3"/>
  <c r="O187" i="3"/>
  <c r="O179" i="3"/>
  <c r="O171" i="3"/>
  <c r="O163" i="3"/>
  <c r="O155" i="3"/>
  <c r="O147" i="3"/>
  <c r="O139" i="3"/>
  <c r="O131" i="3"/>
  <c r="O123" i="3"/>
  <c r="O115" i="3"/>
  <c r="O107" i="3"/>
  <c r="O99" i="3"/>
  <c r="O91" i="3"/>
  <c r="O83" i="3"/>
  <c r="O75" i="3"/>
  <c r="O67" i="3"/>
  <c r="O59" i="3"/>
  <c r="O51" i="3"/>
  <c r="O43" i="3"/>
  <c r="O35" i="3"/>
  <c r="O27" i="3"/>
  <c r="O19" i="3"/>
  <c r="O11" i="3"/>
  <c r="O3" i="3"/>
  <c r="B16" i="3"/>
  <c r="J594" i="2"/>
  <c r="G594" i="2"/>
  <c r="K594" i="2" s="1"/>
  <c r="L594" i="2" s="1"/>
  <c r="J402" i="2"/>
  <c r="G402" i="2"/>
  <c r="K402" i="2" s="1"/>
  <c r="L402" i="2" s="1"/>
  <c r="J274" i="2"/>
  <c r="G274" i="2"/>
  <c r="K274" i="2" s="1"/>
  <c r="J59" i="2"/>
  <c r="G59" i="2"/>
  <c r="K59" i="2" s="1"/>
  <c r="J593" i="2"/>
  <c r="G593" i="2"/>
  <c r="K593" i="2" s="1"/>
  <c r="L593" i="2" s="1"/>
  <c r="J570" i="2"/>
  <c r="G570" i="2"/>
  <c r="K570" i="2" s="1"/>
  <c r="L570" i="2" s="1"/>
  <c r="J529" i="2"/>
  <c r="G529" i="2"/>
  <c r="J465" i="2"/>
  <c r="G465" i="2"/>
  <c r="J442" i="2"/>
  <c r="G442" i="2"/>
  <c r="N442" i="2" s="1"/>
  <c r="J401" i="2"/>
  <c r="G401" i="2"/>
  <c r="K401" i="2" s="1"/>
  <c r="L401" i="2" s="1"/>
  <c r="J378" i="2"/>
  <c r="G378" i="2"/>
  <c r="K378" i="2" s="1"/>
  <c r="J337" i="2"/>
  <c r="G337" i="2"/>
  <c r="K337" i="2" s="1"/>
  <c r="J314" i="2"/>
  <c r="G314" i="2"/>
  <c r="K314" i="2" s="1"/>
  <c r="L314" i="2" s="1"/>
  <c r="J273" i="2"/>
  <c r="G273" i="2"/>
  <c r="K273" i="2" s="1"/>
  <c r="L273" i="2" s="1"/>
  <c r="J250" i="2"/>
  <c r="G250" i="2"/>
  <c r="K250" i="2" s="1"/>
  <c r="J209" i="2"/>
  <c r="G209" i="2"/>
  <c r="K209" i="2" s="1"/>
  <c r="J186" i="2"/>
  <c r="G186" i="2"/>
  <c r="H186" i="2" s="1"/>
  <c r="J145" i="2"/>
  <c r="G145" i="2"/>
  <c r="K145" i="2" s="1"/>
  <c r="L145" i="2" s="1"/>
  <c r="J122" i="2"/>
  <c r="G122" i="2"/>
  <c r="K122" i="2" s="1"/>
  <c r="J81" i="2"/>
  <c r="G81" i="2"/>
  <c r="J58" i="2"/>
  <c r="G58" i="2"/>
  <c r="K58" i="2" s="1"/>
  <c r="J35" i="2"/>
  <c r="G35" i="2"/>
  <c r="K35" i="2" s="1"/>
  <c r="L35" i="2" s="1"/>
  <c r="J17" i="2"/>
  <c r="G17" i="2"/>
  <c r="K17" i="2" s="1"/>
  <c r="J569" i="2"/>
  <c r="G569" i="2"/>
  <c r="K569" i="2" s="1"/>
  <c r="J546" i="2"/>
  <c r="G546" i="2"/>
  <c r="K546" i="2" s="1"/>
  <c r="L546" i="2" s="1"/>
  <c r="J505" i="2"/>
  <c r="G505" i="2"/>
  <c r="K505" i="2" s="1"/>
  <c r="L505" i="2" s="1"/>
  <c r="J482" i="2"/>
  <c r="G482" i="2"/>
  <c r="K482" i="2" s="1"/>
  <c r="J441" i="2"/>
  <c r="G441" i="2"/>
  <c r="J418" i="2"/>
  <c r="G418" i="2"/>
  <c r="I418" i="2" s="1"/>
  <c r="J377" i="2"/>
  <c r="G377" i="2"/>
  <c r="K377" i="2" s="1"/>
  <c r="L377" i="2" s="1"/>
  <c r="J354" i="2"/>
  <c r="G354" i="2"/>
  <c r="K354" i="2" s="1"/>
  <c r="J313" i="2"/>
  <c r="G313" i="2"/>
  <c r="K313" i="2" s="1"/>
  <c r="J290" i="2"/>
  <c r="G290" i="2"/>
  <c r="H290" i="2" s="1"/>
  <c r="J249" i="2"/>
  <c r="G249" i="2"/>
  <c r="K249" i="2" s="1"/>
  <c r="L249" i="2" s="1"/>
  <c r="J226" i="2"/>
  <c r="G226" i="2"/>
  <c r="K226" i="2" s="1"/>
  <c r="J185" i="2"/>
  <c r="G185" i="2"/>
  <c r="K185" i="2" s="1"/>
  <c r="J162" i="2"/>
  <c r="G162" i="2"/>
  <c r="I162" i="2" s="1"/>
  <c r="J121" i="2"/>
  <c r="G121" i="2"/>
  <c r="K121" i="2" s="1"/>
  <c r="L121" i="2" s="1"/>
  <c r="J98" i="2"/>
  <c r="G98" i="2"/>
  <c r="J75" i="2"/>
  <c r="G75" i="2"/>
  <c r="J57" i="2"/>
  <c r="G57" i="2"/>
  <c r="I57" i="2" s="1"/>
  <c r="J34" i="2"/>
  <c r="G34" i="2"/>
  <c r="K34" i="2" s="1"/>
  <c r="L34" i="2" s="1"/>
  <c r="J11" i="2"/>
  <c r="G11" i="2"/>
  <c r="J586" i="2"/>
  <c r="G586" i="2"/>
  <c r="K586" i="2" s="1"/>
  <c r="J545" i="2"/>
  <c r="G545" i="2"/>
  <c r="K545" i="2" s="1"/>
  <c r="J522" i="2"/>
  <c r="G522" i="2"/>
  <c r="K522" i="2" s="1"/>
  <c r="L522" i="2" s="1"/>
  <c r="J481" i="2"/>
  <c r="G481" i="2"/>
  <c r="K481" i="2" s="1"/>
  <c r="J458" i="2"/>
  <c r="G458" i="2"/>
  <c r="K458" i="2" s="1"/>
  <c r="J417" i="2"/>
  <c r="G417" i="2"/>
  <c r="K417" i="2" s="1"/>
  <c r="J394" i="2"/>
  <c r="G394" i="2"/>
  <c r="K394" i="2" s="1"/>
  <c r="L394" i="2" s="1"/>
  <c r="J353" i="2"/>
  <c r="G353" i="2"/>
  <c r="K353" i="2" s="1"/>
  <c r="J330" i="2"/>
  <c r="G330" i="2"/>
  <c r="J289" i="2"/>
  <c r="G289" i="2"/>
  <c r="K289" i="2" s="1"/>
  <c r="J266" i="2"/>
  <c r="G266" i="2"/>
  <c r="K266" i="2" s="1"/>
  <c r="L266" i="2" s="1"/>
  <c r="J225" i="2"/>
  <c r="G225" i="2"/>
  <c r="K225" i="2" s="1"/>
  <c r="J202" i="2"/>
  <c r="G202" i="2"/>
  <c r="K202" i="2" s="1"/>
  <c r="J161" i="2"/>
  <c r="G161" i="2"/>
  <c r="I161" i="2" s="1"/>
  <c r="J138" i="2"/>
  <c r="G138" i="2"/>
  <c r="K138" i="2" s="1"/>
  <c r="L138" i="2" s="1"/>
  <c r="J97" i="2"/>
  <c r="G97" i="2"/>
  <c r="K97" i="2" s="1"/>
  <c r="J74" i="2"/>
  <c r="G74" i="2"/>
  <c r="J51" i="2"/>
  <c r="G51" i="2"/>
  <c r="K51" i="2" s="1"/>
  <c r="J33" i="2"/>
  <c r="G33" i="2"/>
  <c r="K33" i="2" s="1"/>
  <c r="L33" i="2" s="1"/>
  <c r="J10" i="2"/>
  <c r="G10" i="2"/>
  <c r="K10" i="2" s="1"/>
  <c r="G571" i="2"/>
  <c r="H571" i="2" s="1"/>
  <c r="G507" i="2"/>
  <c r="G443" i="2"/>
  <c r="K443" i="2" s="1"/>
  <c r="L443" i="2" s="1"/>
  <c r="G379" i="2"/>
  <c r="I379" i="2" s="1"/>
  <c r="G315" i="2"/>
  <c r="K315" i="2" s="1"/>
  <c r="L315" i="2" s="1"/>
  <c r="G251" i="2"/>
  <c r="K251" i="2" s="1"/>
  <c r="L251" i="2" s="1"/>
  <c r="G187" i="2"/>
  <c r="K187" i="2" s="1"/>
  <c r="L187" i="2" s="1"/>
  <c r="G123" i="2"/>
  <c r="J506" i="2"/>
  <c r="G506" i="2"/>
  <c r="J585" i="2"/>
  <c r="G585" i="2"/>
  <c r="I585" i="2" s="1"/>
  <c r="J562" i="2"/>
  <c r="G562" i="2"/>
  <c r="K562" i="2" s="1"/>
  <c r="L562" i="2" s="1"/>
  <c r="J521" i="2"/>
  <c r="G521" i="2"/>
  <c r="J498" i="2"/>
  <c r="G498" i="2"/>
  <c r="K498" i="2" s="1"/>
  <c r="J457" i="2"/>
  <c r="G457" i="2"/>
  <c r="K457" i="2" s="1"/>
  <c r="L457" i="2" s="1"/>
  <c r="J434" i="2"/>
  <c r="G434" i="2"/>
  <c r="K434" i="2" s="1"/>
  <c r="L434" i="2" s="1"/>
  <c r="J393" i="2"/>
  <c r="G393" i="2"/>
  <c r="J370" i="2"/>
  <c r="G370" i="2"/>
  <c r="K370" i="2" s="1"/>
  <c r="J329" i="2"/>
  <c r="G329" i="2"/>
  <c r="I329" i="2" s="1"/>
  <c r="J306" i="2"/>
  <c r="G306" i="2"/>
  <c r="K306" i="2" s="1"/>
  <c r="L306" i="2" s="1"/>
  <c r="J265" i="2"/>
  <c r="G265" i="2"/>
  <c r="J242" i="2"/>
  <c r="G242" i="2"/>
  <c r="K242" i="2" s="1"/>
  <c r="J201" i="2"/>
  <c r="G201" i="2"/>
  <c r="K201" i="2" s="1"/>
  <c r="L201" i="2" s="1"/>
  <c r="J178" i="2"/>
  <c r="G178" i="2"/>
  <c r="K178" i="2" s="1"/>
  <c r="L178" i="2" s="1"/>
  <c r="J137" i="2"/>
  <c r="G137" i="2"/>
  <c r="J114" i="2"/>
  <c r="G114" i="2"/>
  <c r="K114" i="2" s="1"/>
  <c r="J73" i="2"/>
  <c r="G73" i="2"/>
  <c r="H73" i="2" s="1"/>
  <c r="J50" i="2"/>
  <c r="G50" i="2"/>
  <c r="K50" i="2" s="1"/>
  <c r="L50" i="2" s="1"/>
  <c r="J27" i="2"/>
  <c r="G27" i="2"/>
  <c r="J9" i="2"/>
  <c r="G9" i="2"/>
  <c r="G547" i="2"/>
  <c r="K547" i="2" s="1"/>
  <c r="L547" i="2" s="1"/>
  <c r="G483" i="2"/>
  <c r="I483" i="2" s="1"/>
  <c r="G419" i="2"/>
  <c r="K419" i="2" s="1"/>
  <c r="L419" i="2" s="1"/>
  <c r="G355" i="2"/>
  <c r="K355" i="2" s="1"/>
  <c r="L355" i="2" s="1"/>
  <c r="G291" i="2"/>
  <c r="K291" i="2" s="1"/>
  <c r="G227" i="2"/>
  <c r="K227" i="2" s="1"/>
  <c r="G163" i="2"/>
  <c r="I163" i="2" s="1"/>
  <c r="G99" i="2"/>
  <c r="K99" i="2" s="1"/>
  <c r="J602" i="2"/>
  <c r="G602" i="2"/>
  <c r="K602" i="2" s="1"/>
  <c r="L602" i="2" s="1"/>
  <c r="J561" i="2"/>
  <c r="G561" i="2"/>
  <c r="K561" i="2" s="1"/>
  <c r="L561" i="2" s="1"/>
  <c r="J538" i="2"/>
  <c r="G538" i="2"/>
  <c r="J497" i="2"/>
  <c r="G497" i="2"/>
  <c r="J474" i="2"/>
  <c r="G474" i="2"/>
  <c r="J433" i="2"/>
  <c r="G433" i="2"/>
  <c r="K433" i="2" s="1"/>
  <c r="L433" i="2" s="1"/>
  <c r="J410" i="2"/>
  <c r="G410" i="2"/>
  <c r="J369" i="2"/>
  <c r="G369" i="2"/>
  <c r="J346" i="2"/>
  <c r="G346" i="2"/>
  <c r="K346" i="2" s="1"/>
  <c r="L346" i="2" s="1"/>
  <c r="J305" i="2"/>
  <c r="G305" i="2"/>
  <c r="K305" i="2" s="1"/>
  <c r="L305" i="2" s="1"/>
  <c r="J282" i="2"/>
  <c r="G282" i="2"/>
  <c r="K282" i="2" s="1"/>
  <c r="J241" i="2"/>
  <c r="G241" i="2"/>
  <c r="K241" i="2" s="1"/>
  <c r="J218" i="2"/>
  <c r="G218" i="2"/>
  <c r="K218" i="2" s="1"/>
  <c r="J177" i="2"/>
  <c r="G177" i="2"/>
  <c r="K177" i="2" s="1"/>
  <c r="L177" i="2" s="1"/>
  <c r="J154" i="2"/>
  <c r="G154" i="2"/>
  <c r="J113" i="2"/>
  <c r="G113" i="2"/>
  <c r="K113" i="2" s="1"/>
  <c r="J90" i="2"/>
  <c r="G90" i="2"/>
  <c r="I90" i="2" s="1"/>
  <c r="J67" i="2"/>
  <c r="G67" i="2"/>
  <c r="K67" i="2" s="1"/>
  <c r="L67" i="2" s="1"/>
  <c r="J49" i="2"/>
  <c r="G49" i="2"/>
  <c r="J26" i="2"/>
  <c r="G26" i="2"/>
  <c r="K26" i="2" s="1"/>
  <c r="J3" i="2"/>
  <c r="G3" i="2"/>
  <c r="K3" i="2" s="1"/>
  <c r="G587" i="2"/>
  <c r="K587" i="2" s="1"/>
  <c r="L587" i="2" s="1"/>
  <c r="G523" i="2"/>
  <c r="H523" i="2" s="1"/>
  <c r="G459" i="2"/>
  <c r="K459" i="2" s="1"/>
  <c r="L459" i="2" s="1"/>
  <c r="G395" i="2"/>
  <c r="K395" i="2" s="1"/>
  <c r="G331" i="2"/>
  <c r="G267" i="2"/>
  <c r="G203" i="2"/>
  <c r="K203" i="2" s="1"/>
  <c r="L203" i="2" s="1"/>
  <c r="G139" i="2"/>
  <c r="H139" i="2" s="1"/>
  <c r="J553" i="2"/>
  <c r="G553" i="2"/>
  <c r="H553" i="2" s="1"/>
  <c r="J489" i="2"/>
  <c r="G489" i="2"/>
  <c r="K489" i="2" s="1"/>
  <c r="J425" i="2"/>
  <c r="G425" i="2"/>
  <c r="K425" i="2" s="1"/>
  <c r="J361" i="2"/>
  <c r="G361" i="2"/>
  <c r="I361" i="2" s="1"/>
  <c r="J297" i="2"/>
  <c r="G297" i="2"/>
  <c r="I297" i="2" s="1"/>
  <c r="J233" i="2"/>
  <c r="G233" i="2"/>
  <c r="K233" i="2" s="1"/>
  <c r="J105" i="2"/>
  <c r="G105" i="2"/>
  <c r="K105" i="2" s="1"/>
  <c r="J601" i="2"/>
  <c r="G601" i="2"/>
  <c r="I601" i="2" s="1"/>
  <c r="J578" i="2"/>
  <c r="G578" i="2"/>
  <c r="I578" i="2" s="1"/>
  <c r="J537" i="2"/>
  <c r="G537" i="2"/>
  <c r="K537" i="2" s="1"/>
  <c r="J514" i="2"/>
  <c r="G514" i="2"/>
  <c r="K514" i="2" s="1"/>
  <c r="J473" i="2"/>
  <c r="G473" i="2"/>
  <c r="I473" i="2" s="1"/>
  <c r="J450" i="2"/>
  <c r="G450" i="2"/>
  <c r="I450" i="2" s="1"/>
  <c r="J409" i="2"/>
  <c r="G409" i="2"/>
  <c r="K409" i="2" s="1"/>
  <c r="J386" i="2"/>
  <c r="G386" i="2"/>
  <c r="K386" i="2" s="1"/>
  <c r="J345" i="2"/>
  <c r="G345" i="2"/>
  <c r="K345" i="2" s="1"/>
  <c r="J322" i="2"/>
  <c r="G322" i="2"/>
  <c r="I322" i="2" s="1"/>
  <c r="J281" i="2"/>
  <c r="G281" i="2"/>
  <c r="K281" i="2" s="1"/>
  <c r="J258" i="2"/>
  <c r="G258" i="2"/>
  <c r="K258" i="2" s="1"/>
  <c r="J217" i="2"/>
  <c r="G217" i="2"/>
  <c r="J194" i="2"/>
  <c r="G194" i="2"/>
  <c r="I194" i="2" s="1"/>
  <c r="J153" i="2"/>
  <c r="G153" i="2"/>
  <c r="K153" i="2" s="1"/>
  <c r="J130" i="2"/>
  <c r="G130" i="2"/>
  <c r="J89" i="2"/>
  <c r="G89" i="2"/>
  <c r="J66" i="2"/>
  <c r="G66" i="2"/>
  <c r="I66" i="2" s="1"/>
  <c r="J43" i="2"/>
  <c r="G43" i="2"/>
  <c r="J25" i="2"/>
  <c r="G25" i="2"/>
  <c r="K25" i="2" s="1"/>
  <c r="G563" i="2"/>
  <c r="K563" i="2" s="1"/>
  <c r="L563" i="2" s="1"/>
  <c r="G499" i="2"/>
  <c r="G435" i="2"/>
  <c r="K435" i="2" s="1"/>
  <c r="L435" i="2" s="1"/>
  <c r="G371" i="2"/>
  <c r="I371" i="2" s="1"/>
  <c r="G307" i="2"/>
  <c r="K307" i="2" s="1"/>
  <c r="G243" i="2"/>
  <c r="G179" i="2"/>
  <c r="K179" i="2" s="1"/>
  <c r="L179" i="2" s="1"/>
  <c r="G115" i="2"/>
  <c r="J530" i="2"/>
  <c r="G530" i="2"/>
  <c r="J466" i="2"/>
  <c r="G466" i="2"/>
  <c r="J338" i="2"/>
  <c r="G338" i="2"/>
  <c r="K338" i="2" s="1"/>
  <c r="J210" i="2"/>
  <c r="G210" i="2"/>
  <c r="K210" i="2" s="1"/>
  <c r="J169" i="2"/>
  <c r="G169" i="2"/>
  <c r="J146" i="2"/>
  <c r="G146" i="2"/>
  <c r="I146" i="2" s="1"/>
  <c r="J82" i="2"/>
  <c r="G82" i="2"/>
  <c r="K82" i="2" s="1"/>
  <c r="J41" i="2"/>
  <c r="G41" i="2"/>
  <c r="K41" i="2" s="1"/>
  <c r="J18" i="2"/>
  <c r="G18" i="2"/>
  <c r="I18" i="2" s="1"/>
  <c r="J577" i="2"/>
  <c r="G577" i="2"/>
  <c r="I577" i="2" s="1"/>
  <c r="J554" i="2"/>
  <c r="G554" i="2"/>
  <c r="K554" i="2" s="1"/>
  <c r="J513" i="2"/>
  <c r="G513" i="2"/>
  <c r="K513" i="2" s="1"/>
  <c r="J490" i="2"/>
  <c r="G490" i="2"/>
  <c r="J449" i="2"/>
  <c r="G449" i="2"/>
  <c r="J426" i="2"/>
  <c r="G426" i="2"/>
  <c r="J385" i="2"/>
  <c r="G385" i="2"/>
  <c r="J362" i="2"/>
  <c r="G362" i="2"/>
  <c r="J321" i="2"/>
  <c r="G321" i="2"/>
  <c r="J298" i="2"/>
  <c r="G298" i="2"/>
  <c r="K298" i="2" s="1"/>
  <c r="J257" i="2"/>
  <c r="G257" i="2"/>
  <c r="K257" i="2" s="1"/>
  <c r="J234" i="2"/>
  <c r="G234" i="2"/>
  <c r="J193" i="2"/>
  <c r="G193" i="2"/>
  <c r="I193" i="2" s="1"/>
  <c r="J170" i="2"/>
  <c r="G170" i="2"/>
  <c r="J129" i="2"/>
  <c r="G129" i="2"/>
  <c r="J106" i="2"/>
  <c r="G106" i="2"/>
  <c r="J65" i="2"/>
  <c r="G65" i="2"/>
  <c r="I65" i="2" s="1"/>
  <c r="J42" i="2"/>
  <c r="G42" i="2"/>
  <c r="J19" i="2"/>
  <c r="G19" i="2"/>
  <c r="K19" i="2" s="1"/>
  <c r="G2" i="2"/>
  <c r="G539" i="2"/>
  <c r="G475" i="2"/>
  <c r="K475" i="2" s="1"/>
  <c r="L475" i="2" s="1"/>
  <c r="G411" i="2"/>
  <c r="I411" i="2" s="1"/>
  <c r="G347" i="2"/>
  <c r="I347" i="2" s="1"/>
  <c r="G283" i="2"/>
  <c r="K283" i="2" s="1"/>
  <c r="G219" i="2"/>
  <c r="K219" i="2" s="1"/>
  <c r="L219" i="2" s="1"/>
  <c r="G155" i="2"/>
  <c r="G91" i="2"/>
  <c r="K91" i="2" s="1"/>
  <c r="L91" i="2" s="1"/>
  <c r="F600" i="2"/>
  <c r="F592" i="2"/>
  <c r="F584" i="2"/>
  <c r="F576" i="2"/>
  <c r="F568" i="2"/>
  <c r="F560" i="2"/>
  <c r="F552" i="2"/>
  <c r="F544" i="2"/>
  <c r="F536" i="2"/>
  <c r="F528" i="2"/>
  <c r="F520" i="2"/>
  <c r="F512" i="2"/>
  <c r="F504" i="2"/>
  <c r="F496" i="2"/>
  <c r="F488" i="2"/>
  <c r="F480" i="2"/>
  <c r="F472" i="2"/>
  <c r="F464" i="2"/>
  <c r="F456" i="2"/>
  <c r="F448" i="2"/>
  <c r="F440" i="2"/>
  <c r="F432" i="2"/>
  <c r="F424" i="2"/>
  <c r="F416" i="2"/>
  <c r="F408" i="2"/>
  <c r="F400" i="2"/>
  <c r="F392" i="2"/>
  <c r="F384" i="2"/>
  <c r="F376" i="2"/>
  <c r="F368" i="2"/>
  <c r="F360" i="2"/>
  <c r="F352" i="2"/>
  <c r="F344" i="2"/>
  <c r="F336" i="2"/>
  <c r="F328" i="2"/>
  <c r="F320" i="2"/>
  <c r="F312" i="2"/>
  <c r="F304" i="2"/>
  <c r="F296" i="2"/>
  <c r="F288" i="2"/>
  <c r="F280" i="2"/>
  <c r="F272" i="2"/>
  <c r="F264" i="2"/>
  <c r="F256" i="2"/>
  <c r="F248" i="2"/>
  <c r="F240" i="2"/>
  <c r="F232" i="2"/>
  <c r="F224" i="2"/>
  <c r="F216" i="2"/>
  <c r="F208" i="2"/>
  <c r="F200" i="2"/>
  <c r="F192" i="2"/>
  <c r="F184" i="2"/>
  <c r="F176" i="2"/>
  <c r="F168" i="2"/>
  <c r="F160" i="2"/>
  <c r="F152" i="2"/>
  <c r="F144" i="2"/>
  <c r="F136" i="2"/>
  <c r="F128" i="2"/>
  <c r="F120" i="2"/>
  <c r="F112" i="2"/>
  <c r="F104" i="2"/>
  <c r="F96" i="2"/>
  <c r="F88" i="2"/>
  <c r="F80" i="2"/>
  <c r="F72" i="2"/>
  <c r="F64" i="2"/>
  <c r="F56" i="2"/>
  <c r="F48" i="2"/>
  <c r="F40" i="2"/>
  <c r="F32" i="2"/>
  <c r="F24" i="2"/>
  <c r="F16" i="2"/>
  <c r="F8" i="2"/>
  <c r="F599" i="2"/>
  <c r="F591" i="2"/>
  <c r="F583" i="2"/>
  <c r="F575" i="2"/>
  <c r="F567" i="2"/>
  <c r="F559" i="2"/>
  <c r="F551" i="2"/>
  <c r="F543" i="2"/>
  <c r="F535" i="2"/>
  <c r="F527" i="2"/>
  <c r="F519" i="2"/>
  <c r="F511" i="2"/>
  <c r="F503" i="2"/>
  <c r="F495" i="2"/>
  <c r="F487" i="2"/>
  <c r="F479" i="2"/>
  <c r="F471" i="2"/>
  <c r="F463" i="2"/>
  <c r="F455" i="2"/>
  <c r="F447" i="2"/>
  <c r="F439" i="2"/>
  <c r="F431" i="2"/>
  <c r="F423" i="2"/>
  <c r="F415" i="2"/>
  <c r="F407" i="2"/>
  <c r="F399" i="2"/>
  <c r="F391" i="2"/>
  <c r="F383" i="2"/>
  <c r="F375" i="2"/>
  <c r="F367" i="2"/>
  <c r="F359" i="2"/>
  <c r="F351" i="2"/>
  <c r="F343" i="2"/>
  <c r="F335" i="2"/>
  <c r="F327" i="2"/>
  <c r="F319" i="2"/>
  <c r="F311" i="2"/>
  <c r="F303" i="2"/>
  <c r="F295" i="2"/>
  <c r="F287" i="2"/>
  <c r="F279" i="2"/>
  <c r="F271" i="2"/>
  <c r="F263" i="2"/>
  <c r="F255" i="2"/>
  <c r="F247" i="2"/>
  <c r="F239" i="2"/>
  <c r="F231" i="2"/>
  <c r="F223" i="2"/>
  <c r="F215" i="2"/>
  <c r="F207" i="2"/>
  <c r="F199" i="2"/>
  <c r="F191" i="2"/>
  <c r="F183" i="2"/>
  <c r="F175" i="2"/>
  <c r="F167" i="2"/>
  <c r="F159" i="2"/>
  <c r="F151" i="2"/>
  <c r="F143" i="2"/>
  <c r="F135" i="2"/>
  <c r="F127" i="2"/>
  <c r="F119" i="2"/>
  <c r="F111" i="2"/>
  <c r="F103" i="2"/>
  <c r="F95" i="2"/>
  <c r="F87" i="2"/>
  <c r="F79" i="2"/>
  <c r="F71" i="2"/>
  <c r="F63" i="2"/>
  <c r="F55" i="2"/>
  <c r="F47" i="2"/>
  <c r="F39" i="2"/>
  <c r="F31" i="2"/>
  <c r="F23" i="2"/>
  <c r="F15" i="2"/>
  <c r="F7" i="2"/>
  <c r="F598" i="2"/>
  <c r="F590" i="2"/>
  <c r="F582" i="2"/>
  <c r="F574" i="2"/>
  <c r="F566" i="2"/>
  <c r="F558" i="2"/>
  <c r="F550" i="2"/>
  <c r="F542" i="2"/>
  <c r="F534" i="2"/>
  <c r="F526" i="2"/>
  <c r="F518" i="2"/>
  <c r="F510" i="2"/>
  <c r="F502" i="2"/>
  <c r="F494" i="2"/>
  <c r="F486" i="2"/>
  <c r="F478" i="2"/>
  <c r="F470" i="2"/>
  <c r="F462" i="2"/>
  <c r="F454" i="2"/>
  <c r="F446" i="2"/>
  <c r="F438" i="2"/>
  <c r="F430" i="2"/>
  <c r="F422" i="2"/>
  <c r="F414" i="2"/>
  <c r="F406" i="2"/>
  <c r="F398" i="2"/>
  <c r="F390" i="2"/>
  <c r="F382" i="2"/>
  <c r="F374" i="2"/>
  <c r="F366" i="2"/>
  <c r="F358" i="2"/>
  <c r="F350" i="2"/>
  <c r="F342" i="2"/>
  <c r="F334" i="2"/>
  <c r="F326" i="2"/>
  <c r="F318" i="2"/>
  <c r="F310" i="2"/>
  <c r="F302" i="2"/>
  <c r="F294" i="2"/>
  <c r="F286" i="2"/>
  <c r="F278" i="2"/>
  <c r="F270" i="2"/>
  <c r="F262" i="2"/>
  <c r="F254" i="2"/>
  <c r="F246" i="2"/>
  <c r="F238" i="2"/>
  <c r="F230" i="2"/>
  <c r="F222" i="2"/>
  <c r="F214" i="2"/>
  <c r="F206" i="2"/>
  <c r="F198" i="2"/>
  <c r="F190" i="2"/>
  <c r="F182" i="2"/>
  <c r="F174" i="2"/>
  <c r="F166" i="2"/>
  <c r="F158" i="2"/>
  <c r="F150" i="2"/>
  <c r="F142" i="2"/>
  <c r="F134" i="2"/>
  <c r="F126" i="2"/>
  <c r="F118" i="2"/>
  <c r="F110" i="2"/>
  <c r="F102" i="2"/>
  <c r="F94" i="2"/>
  <c r="F86" i="2"/>
  <c r="F78" i="2"/>
  <c r="F70" i="2"/>
  <c r="F62" i="2"/>
  <c r="F54" i="2"/>
  <c r="F46" i="2"/>
  <c r="F38" i="2"/>
  <c r="F30" i="2"/>
  <c r="F22" i="2"/>
  <c r="F14" i="2"/>
  <c r="F6" i="2"/>
  <c r="F597" i="2"/>
  <c r="F589" i="2"/>
  <c r="F581" i="2"/>
  <c r="F573" i="2"/>
  <c r="F565" i="2"/>
  <c r="F557" i="2"/>
  <c r="F549" i="2"/>
  <c r="F541" i="2"/>
  <c r="F533" i="2"/>
  <c r="F525" i="2"/>
  <c r="F517" i="2"/>
  <c r="F509" i="2"/>
  <c r="F501" i="2"/>
  <c r="F493" i="2"/>
  <c r="F485" i="2"/>
  <c r="F477" i="2"/>
  <c r="F469" i="2"/>
  <c r="F461" i="2"/>
  <c r="F453" i="2"/>
  <c r="F445" i="2"/>
  <c r="F437" i="2"/>
  <c r="F429" i="2"/>
  <c r="F421" i="2"/>
  <c r="F413" i="2"/>
  <c r="F405" i="2"/>
  <c r="F397" i="2"/>
  <c r="F389" i="2"/>
  <c r="F381" i="2"/>
  <c r="F373" i="2"/>
  <c r="F365" i="2"/>
  <c r="F357" i="2"/>
  <c r="F349" i="2"/>
  <c r="F341" i="2"/>
  <c r="F333" i="2"/>
  <c r="F325" i="2"/>
  <c r="F317" i="2"/>
  <c r="F309" i="2"/>
  <c r="F301" i="2"/>
  <c r="F293" i="2"/>
  <c r="F285" i="2"/>
  <c r="F277" i="2"/>
  <c r="F269" i="2"/>
  <c r="F261" i="2"/>
  <c r="F253" i="2"/>
  <c r="F245" i="2"/>
  <c r="F237" i="2"/>
  <c r="F229" i="2"/>
  <c r="F221" i="2"/>
  <c r="F213" i="2"/>
  <c r="F205" i="2"/>
  <c r="F197" i="2"/>
  <c r="F189" i="2"/>
  <c r="F181" i="2"/>
  <c r="F173" i="2"/>
  <c r="F165" i="2"/>
  <c r="F157" i="2"/>
  <c r="F149" i="2"/>
  <c r="F141" i="2"/>
  <c r="F133" i="2"/>
  <c r="F125" i="2"/>
  <c r="F117" i="2"/>
  <c r="F109" i="2"/>
  <c r="F101" i="2"/>
  <c r="F93" i="2"/>
  <c r="F85" i="2"/>
  <c r="F77" i="2"/>
  <c r="F69" i="2"/>
  <c r="F61" i="2"/>
  <c r="F53" i="2"/>
  <c r="F45" i="2"/>
  <c r="F37" i="2"/>
  <c r="F29" i="2"/>
  <c r="F21" i="2"/>
  <c r="F13" i="2"/>
  <c r="F5" i="2"/>
  <c r="F596" i="2"/>
  <c r="F588" i="2"/>
  <c r="F580" i="2"/>
  <c r="F572" i="2"/>
  <c r="F564" i="2"/>
  <c r="F556" i="2"/>
  <c r="F548" i="2"/>
  <c r="F540" i="2"/>
  <c r="F532" i="2"/>
  <c r="F524" i="2"/>
  <c r="F516" i="2"/>
  <c r="F508" i="2"/>
  <c r="F500" i="2"/>
  <c r="F492" i="2"/>
  <c r="F484" i="2"/>
  <c r="F476" i="2"/>
  <c r="F468" i="2"/>
  <c r="F460" i="2"/>
  <c r="F452" i="2"/>
  <c r="F444" i="2"/>
  <c r="F436" i="2"/>
  <c r="F428" i="2"/>
  <c r="F420" i="2"/>
  <c r="F412" i="2"/>
  <c r="F404" i="2"/>
  <c r="F396" i="2"/>
  <c r="F388" i="2"/>
  <c r="F380" i="2"/>
  <c r="F372" i="2"/>
  <c r="F364" i="2"/>
  <c r="F356" i="2"/>
  <c r="F348" i="2"/>
  <c r="F340" i="2"/>
  <c r="F332" i="2"/>
  <c r="F324" i="2"/>
  <c r="F316" i="2"/>
  <c r="F308" i="2"/>
  <c r="F300" i="2"/>
  <c r="F292" i="2"/>
  <c r="F284" i="2"/>
  <c r="F276" i="2"/>
  <c r="F268" i="2"/>
  <c r="F260" i="2"/>
  <c r="F252" i="2"/>
  <c r="F244" i="2"/>
  <c r="F236" i="2"/>
  <c r="F228" i="2"/>
  <c r="F220" i="2"/>
  <c r="F212" i="2"/>
  <c r="F204" i="2"/>
  <c r="F196" i="2"/>
  <c r="F188" i="2"/>
  <c r="F180" i="2"/>
  <c r="F172" i="2"/>
  <c r="F164" i="2"/>
  <c r="F156" i="2"/>
  <c r="F148" i="2"/>
  <c r="F140" i="2"/>
  <c r="F132" i="2"/>
  <c r="F124" i="2"/>
  <c r="F116" i="2"/>
  <c r="F108" i="2"/>
  <c r="F100" i="2"/>
  <c r="F92" i="2"/>
  <c r="F84" i="2"/>
  <c r="F76" i="2"/>
  <c r="F68" i="2"/>
  <c r="F60" i="2"/>
  <c r="F52" i="2"/>
  <c r="F44" i="2"/>
  <c r="F36" i="2"/>
  <c r="F28" i="2"/>
  <c r="F20" i="2"/>
  <c r="F12" i="2"/>
  <c r="F4" i="2"/>
  <c r="N595" i="2"/>
  <c r="N579" i="2"/>
  <c r="N555" i="2"/>
  <c r="N531" i="2"/>
  <c r="N515" i="2"/>
  <c r="N491" i="2"/>
  <c r="N467" i="2"/>
  <c r="N451" i="2"/>
  <c r="N443" i="2"/>
  <c r="N427" i="2"/>
  <c r="N403" i="2"/>
  <c r="N387" i="2"/>
  <c r="N363" i="2"/>
  <c r="N339" i="2"/>
  <c r="N323" i="2"/>
  <c r="N299" i="2"/>
  <c r="N275" i="2"/>
  <c r="N259" i="2"/>
  <c r="N235" i="2"/>
  <c r="N211" i="2"/>
  <c r="N195" i="2"/>
  <c r="N171" i="2"/>
  <c r="N147" i="2"/>
  <c r="N131" i="2"/>
  <c r="N107" i="2"/>
  <c r="N83" i="2"/>
  <c r="L595" i="2"/>
  <c r="L579" i="2"/>
  <c r="L555" i="2"/>
  <c r="L531" i="2"/>
  <c r="L515" i="2"/>
  <c r="L491" i="2"/>
  <c r="L467" i="2"/>
  <c r="L451" i="2"/>
  <c r="L427" i="2"/>
  <c r="L403" i="2"/>
  <c r="L387" i="2"/>
  <c r="L363" i="2"/>
  <c r="L339" i="2"/>
  <c r="L323" i="2"/>
  <c r="L299" i="2"/>
  <c r="L275" i="2"/>
  <c r="L259" i="2"/>
  <c r="L235" i="2"/>
  <c r="L211" i="2"/>
  <c r="L195" i="2"/>
  <c r="L171" i="2"/>
  <c r="L147" i="2"/>
  <c r="L131" i="2"/>
  <c r="L107" i="2"/>
  <c r="L83" i="2"/>
  <c r="H147" i="2"/>
  <c r="H403" i="2"/>
  <c r="H323" i="2"/>
  <c r="H259" i="2"/>
  <c r="H387" i="2"/>
  <c r="H83" i="2"/>
  <c r="H467" i="2"/>
  <c r="H275" i="2"/>
  <c r="H195" i="2"/>
  <c r="H107" i="2"/>
  <c r="H339" i="2"/>
  <c r="H235" i="2"/>
  <c r="H131" i="2"/>
  <c r="H555" i="2"/>
  <c r="H211" i="2"/>
  <c r="H363" i="2"/>
  <c r="H299" i="2"/>
  <c r="H171" i="2"/>
  <c r="H531" i="2"/>
  <c r="H579" i="2"/>
  <c r="H595" i="2"/>
  <c r="H427" i="2"/>
  <c r="H515" i="2"/>
  <c r="H451" i="2"/>
  <c r="H491" i="2"/>
  <c r="I595" i="2"/>
  <c r="I579" i="2"/>
  <c r="I555" i="2"/>
  <c r="I531" i="2"/>
  <c r="I515" i="2"/>
  <c r="I491" i="2"/>
  <c r="I467" i="2"/>
  <c r="I451" i="2"/>
  <c r="I427" i="2"/>
  <c r="I403" i="2"/>
  <c r="I387" i="2"/>
  <c r="I363" i="2"/>
  <c r="I339" i="2"/>
  <c r="I323" i="2"/>
  <c r="I299" i="2"/>
  <c r="I275" i="2"/>
  <c r="I259" i="2"/>
  <c r="I235" i="2"/>
  <c r="I211" i="2"/>
  <c r="I195" i="2"/>
  <c r="I171" i="2"/>
  <c r="I147" i="2"/>
  <c r="I131" i="2"/>
  <c r="I107" i="2"/>
  <c r="I83" i="2"/>
  <c r="H2" i="1"/>
  <c r="I2" i="1" s="1"/>
  <c r="C5" i="1"/>
  <c r="C4" i="1"/>
  <c r="C3" i="1"/>
  <c r="H6" i="1"/>
  <c r="I6" i="1" s="1"/>
  <c r="I596" i="1"/>
  <c r="I564" i="1"/>
  <c r="I532" i="1"/>
  <c r="I468" i="1"/>
  <c r="I444" i="1"/>
  <c r="I412" i="1"/>
  <c r="I348" i="1"/>
  <c r="I308" i="1"/>
  <c r="I284" i="1"/>
  <c r="I276" i="1"/>
  <c r="I188" i="1"/>
  <c r="I180" i="1"/>
  <c r="I156" i="1"/>
  <c r="I148" i="1"/>
  <c r="I140" i="1"/>
  <c r="I124" i="1"/>
  <c r="I116" i="1"/>
  <c r="I28" i="1"/>
  <c r="I20" i="1"/>
  <c r="I475" i="1"/>
  <c r="I467" i="1"/>
  <c r="I403" i="1"/>
  <c r="I371" i="1"/>
  <c r="I363" i="1"/>
  <c r="I355" i="1"/>
  <c r="I347" i="1"/>
  <c r="I339" i="1"/>
  <c r="I323" i="1"/>
  <c r="I315" i="1"/>
  <c r="I307" i="1"/>
  <c r="I299" i="1"/>
  <c r="I291" i="1"/>
  <c r="I283" i="1"/>
  <c r="I275" i="1"/>
  <c r="I219" i="1"/>
  <c r="I211" i="1"/>
  <c r="I203" i="1"/>
  <c r="I139" i="1"/>
  <c r="I123" i="1"/>
  <c r="I115" i="1"/>
  <c r="I107" i="1"/>
  <c r="I91" i="1"/>
  <c r="I83" i="1"/>
  <c r="I67" i="1"/>
  <c r="I59" i="1"/>
  <c r="I51" i="1"/>
  <c r="I43" i="1"/>
  <c r="I35" i="1"/>
  <c r="I27" i="1"/>
  <c r="I19" i="1"/>
  <c r="I11" i="1"/>
  <c r="L597" i="1"/>
  <c r="M597" i="1" s="1"/>
  <c r="N597" i="1" s="1"/>
  <c r="O597" i="1" s="1"/>
  <c r="L357" i="1"/>
  <c r="M357" i="1" s="1"/>
  <c r="N357" i="1" s="1"/>
  <c r="O357" i="1" s="1"/>
  <c r="L213" i="1"/>
  <c r="M213" i="1" s="1"/>
  <c r="N213" i="1" s="1"/>
  <c r="O213" i="1" s="1"/>
  <c r="L197" i="1"/>
  <c r="M197" i="1" s="1"/>
  <c r="N197" i="1" s="1"/>
  <c r="O197" i="1" s="1"/>
  <c r="L181" i="1"/>
  <c r="M181" i="1" s="1"/>
  <c r="N181" i="1" s="1"/>
  <c r="O181" i="1" s="1"/>
  <c r="L157" i="1"/>
  <c r="M157" i="1" s="1"/>
  <c r="N157" i="1" s="1"/>
  <c r="O157" i="1" s="1"/>
  <c r="L125" i="1"/>
  <c r="M125" i="1" s="1"/>
  <c r="N125" i="1" s="1"/>
  <c r="O125" i="1" s="1"/>
  <c r="L109" i="1"/>
  <c r="M109" i="1" s="1"/>
  <c r="N109" i="1" s="1"/>
  <c r="O109" i="1" s="1"/>
  <c r="L85" i="1"/>
  <c r="M85" i="1" s="1"/>
  <c r="N85" i="1" s="1"/>
  <c r="O85" i="1" s="1"/>
  <c r="L45" i="1"/>
  <c r="M45" i="1" s="1"/>
  <c r="N45" i="1" s="1"/>
  <c r="O45" i="1" s="1"/>
  <c r="L37" i="1"/>
  <c r="M37" i="1" s="1"/>
  <c r="N37" i="1" s="1"/>
  <c r="O37" i="1" s="1"/>
  <c r="L29" i="1"/>
  <c r="M29" i="1" s="1"/>
  <c r="N29" i="1" s="1"/>
  <c r="O29" i="1" s="1"/>
  <c r="L5" i="1"/>
  <c r="M5" i="1" s="1"/>
  <c r="N5" i="1" s="1"/>
  <c r="O5" i="1" s="1"/>
  <c r="L429" i="1"/>
  <c r="M429" i="1" s="1"/>
  <c r="N429" i="1" s="1"/>
  <c r="O429" i="1" s="1"/>
  <c r="L30" i="1"/>
  <c r="M30" i="1" s="1"/>
  <c r="N30" i="1" s="1"/>
  <c r="O30" i="1" s="1"/>
  <c r="L60" i="1"/>
  <c r="M60" i="1" s="1"/>
  <c r="N60" i="1" s="1"/>
  <c r="O60" i="1" s="1"/>
  <c r="H602" i="1"/>
  <c r="I602" i="1" s="1"/>
  <c r="H546" i="1"/>
  <c r="I546" i="1" s="1"/>
  <c r="H522" i="1"/>
  <c r="I522" i="1" s="1"/>
  <c r="H482" i="1"/>
  <c r="I482" i="1" s="1"/>
  <c r="H458" i="1"/>
  <c r="I458" i="1" s="1"/>
  <c r="H601" i="1"/>
  <c r="I601" i="1" s="1"/>
  <c r="H593" i="1"/>
  <c r="I593" i="1" s="1"/>
  <c r="H585" i="1"/>
  <c r="I585" i="1" s="1"/>
  <c r="H577" i="1"/>
  <c r="I577" i="1" s="1"/>
  <c r="H569" i="1"/>
  <c r="I569" i="1" s="1"/>
  <c r="H561" i="1"/>
  <c r="I561" i="1" s="1"/>
  <c r="H553" i="1"/>
  <c r="I553" i="1" s="1"/>
  <c r="H545" i="1"/>
  <c r="I545" i="1" s="1"/>
  <c r="H537" i="1"/>
  <c r="I537" i="1" s="1"/>
  <c r="H529" i="1"/>
  <c r="I529" i="1" s="1"/>
  <c r="H521" i="1"/>
  <c r="I521" i="1" s="1"/>
  <c r="H513" i="1"/>
  <c r="I513" i="1" s="1"/>
  <c r="H505" i="1"/>
  <c r="I505" i="1" s="1"/>
  <c r="H497" i="1"/>
  <c r="I497" i="1" s="1"/>
  <c r="H489" i="1"/>
  <c r="I489" i="1" s="1"/>
  <c r="H481" i="1"/>
  <c r="I481" i="1" s="1"/>
  <c r="H473" i="1"/>
  <c r="I473" i="1" s="1"/>
  <c r="H465" i="1"/>
  <c r="I465" i="1" s="1"/>
  <c r="H457" i="1"/>
  <c r="I457" i="1" s="1"/>
  <c r="H449" i="1"/>
  <c r="I449" i="1" s="1"/>
  <c r="H441" i="1"/>
  <c r="I441" i="1" s="1"/>
  <c r="H433" i="1"/>
  <c r="I433" i="1" s="1"/>
  <c r="H425" i="1"/>
  <c r="I425" i="1" s="1"/>
  <c r="H417" i="1"/>
  <c r="I417" i="1" s="1"/>
  <c r="H409" i="1"/>
  <c r="I409" i="1" s="1"/>
  <c r="H401" i="1"/>
  <c r="I401" i="1" s="1"/>
  <c r="H393" i="1"/>
  <c r="I393" i="1" s="1"/>
  <c r="H385" i="1"/>
  <c r="I385" i="1" s="1"/>
  <c r="H377" i="1"/>
  <c r="I377" i="1" s="1"/>
  <c r="H369" i="1"/>
  <c r="I369" i="1" s="1"/>
  <c r="H361" i="1"/>
  <c r="I361" i="1" s="1"/>
  <c r="H353" i="1"/>
  <c r="I353" i="1" s="1"/>
  <c r="H345" i="1"/>
  <c r="I345" i="1" s="1"/>
  <c r="H337" i="1"/>
  <c r="I337" i="1" s="1"/>
  <c r="H329" i="1"/>
  <c r="I329" i="1" s="1"/>
  <c r="H321" i="1"/>
  <c r="I321" i="1" s="1"/>
  <c r="H313" i="1"/>
  <c r="I313" i="1" s="1"/>
  <c r="H305" i="1"/>
  <c r="I305" i="1" s="1"/>
  <c r="H297" i="1"/>
  <c r="I297" i="1" s="1"/>
  <c r="H289" i="1"/>
  <c r="I289" i="1" s="1"/>
  <c r="H281" i="1"/>
  <c r="I281" i="1" s="1"/>
  <c r="H273" i="1"/>
  <c r="I273" i="1" s="1"/>
  <c r="H265" i="1"/>
  <c r="I265" i="1" s="1"/>
  <c r="H257" i="1"/>
  <c r="I257" i="1" s="1"/>
  <c r="H249" i="1"/>
  <c r="I249" i="1" s="1"/>
  <c r="H241" i="1"/>
  <c r="I241" i="1" s="1"/>
  <c r="H233" i="1"/>
  <c r="I233" i="1" s="1"/>
  <c r="H225" i="1"/>
  <c r="I225" i="1" s="1"/>
  <c r="H217" i="1"/>
  <c r="I217" i="1" s="1"/>
  <c r="H209" i="1"/>
  <c r="I209" i="1" s="1"/>
  <c r="H201" i="1"/>
  <c r="I201" i="1" s="1"/>
  <c r="H193" i="1"/>
  <c r="I193" i="1" s="1"/>
  <c r="H185" i="1"/>
  <c r="I185" i="1" s="1"/>
  <c r="H177" i="1"/>
  <c r="I177" i="1" s="1"/>
  <c r="H169" i="1"/>
  <c r="I169" i="1" s="1"/>
  <c r="H161" i="1"/>
  <c r="I161" i="1" s="1"/>
  <c r="H153" i="1"/>
  <c r="I153" i="1" s="1"/>
  <c r="H145" i="1"/>
  <c r="I145" i="1" s="1"/>
  <c r="H137" i="1"/>
  <c r="I137" i="1" s="1"/>
  <c r="H129" i="1"/>
  <c r="I129" i="1" s="1"/>
  <c r="H121" i="1"/>
  <c r="I121" i="1" s="1"/>
  <c r="H113" i="1"/>
  <c r="I113" i="1" s="1"/>
  <c r="H105" i="1"/>
  <c r="I105" i="1" s="1"/>
  <c r="H97" i="1"/>
  <c r="I97" i="1" s="1"/>
  <c r="H89" i="1"/>
  <c r="I89" i="1" s="1"/>
  <c r="L554" i="1"/>
  <c r="M554" i="1" s="1"/>
  <c r="N554" i="1" s="1"/>
  <c r="O554" i="1" s="1"/>
  <c r="H498" i="1"/>
  <c r="I498" i="1" s="1"/>
  <c r="H506" i="1"/>
  <c r="I506" i="1" s="1"/>
  <c r="H598" i="1"/>
  <c r="I598" i="1" s="1"/>
  <c r="H526" i="1"/>
  <c r="I526" i="1" s="1"/>
  <c r="H518" i="1"/>
  <c r="I518" i="1" s="1"/>
  <c r="H510" i="1"/>
  <c r="I510" i="1" s="1"/>
  <c r="H494" i="1"/>
  <c r="I494" i="1" s="1"/>
  <c r="H486" i="1"/>
  <c r="I486" i="1" s="1"/>
  <c r="H24" i="1"/>
  <c r="I24" i="1" s="1"/>
  <c r="L578" i="1"/>
  <c r="M578" i="1" s="1"/>
  <c r="N578" i="1" s="1"/>
  <c r="O578" i="1" s="1"/>
  <c r="H474" i="1"/>
  <c r="I474" i="1" s="1"/>
  <c r="H573" i="1"/>
  <c r="I573" i="1" s="1"/>
  <c r="H509" i="1"/>
  <c r="I509" i="1" s="1"/>
  <c r="H477" i="1"/>
  <c r="I477" i="1" s="1"/>
  <c r="H8" i="1"/>
  <c r="I8" i="1" s="1"/>
  <c r="H530" i="1"/>
  <c r="I530" i="1" s="1"/>
  <c r="L594" i="1"/>
  <c r="M594" i="1" s="1"/>
  <c r="N594" i="1" s="1"/>
  <c r="O594" i="1" s="1"/>
  <c r="H586" i="1"/>
  <c r="I586" i="1" s="1"/>
  <c r="H562" i="1"/>
  <c r="I562" i="1" s="1"/>
  <c r="H538" i="1"/>
  <c r="I538" i="1" s="1"/>
  <c r="L514" i="1"/>
  <c r="M514" i="1" s="1"/>
  <c r="N514" i="1" s="1"/>
  <c r="O514" i="1" s="1"/>
  <c r="L490" i="1"/>
  <c r="M490" i="1" s="1"/>
  <c r="N490" i="1" s="1"/>
  <c r="O490" i="1" s="1"/>
  <c r="L466" i="1"/>
  <c r="M466" i="1" s="1"/>
  <c r="N466" i="1" s="1"/>
  <c r="O466" i="1" s="1"/>
  <c r="H570" i="1"/>
  <c r="I570" i="1" s="1"/>
  <c r="H16" i="1"/>
  <c r="I16" i="1" s="1"/>
  <c r="L450" i="1"/>
  <c r="M450" i="1" s="1"/>
  <c r="N450" i="1" s="1"/>
  <c r="O450" i="1" s="1"/>
  <c r="L442" i="1"/>
  <c r="M442" i="1" s="1"/>
  <c r="N442" i="1" s="1"/>
  <c r="O442" i="1" s="1"/>
  <c r="L434" i="1"/>
  <c r="M434" i="1" s="1"/>
  <c r="N434" i="1" s="1"/>
  <c r="O434" i="1" s="1"/>
  <c r="L426" i="1"/>
  <c r="M426" i="1" s="1"/>
  <c r="N426" i="1" s="1"/>
  <c r="O426" i="1" s="1"/>
  <c r="L418" i="1"/>
  <c r="M418" i="1" s="1"/>
  <c r="N418" i="1" s="1"/>
  <c r="O418" i="1" s="1"/>
  <c r="L402" i="1"/>
  <c r="M402" i="1" s="1"/>
  <c r="N402" i="1" s="1"/>
  <c r="O402" i="1" s="1"/>
  <c r="L394" i="1"/>
  <c r="M394" i="1" s="1"/>
  <c r="N394" i="1" s="1"/>
  <c r="O394" i="1" s="1"/>
  <c r="L386" i="1"/>
  <c r="M386" i="1" s="1"/>
  <c r="N386" i="1" s="1"/>
  <c r="O386" i="1" s="1"/>
  <c r="L378" i="1"/>
  <c r="M378" i="1" s="1"/>
  <c r="N378" i="1" s="1"/>
  <c r="O378" i="1" s="1"/>
  <c r="L370" i="1"/>
  <c r="M370" i="1" s="1"/>
  <c r="N370" i="1" s="1"/>
  <c r="O370" i="1" s="1"/>
  <c r="L362" i="1"/>
  <c r="M362" i="1" s="1"/>
  <c r="N362" i="1" s="1"/>
  <c r="O362" i="1" s="1"/>
  <c r="L354" i="1"/>
  <c r="M354" i="1" s="1"/>
  <c r="N354" i="1" s="1"/>
  <c r="O354" i="1" s="1"/>
  <c r="L338" i="1"/>
  <c r="M338" i="1" s="1"/>
  <c r="N338" i="1" s="1"/>
  <c r="O338" i="1" s="1"/>
  <c r="L330" i="1"/>
  <c r="M330" i="1" s="1"/>
  <c r="N330" i="1" s="1"/>
  <c r="O330" i="1" s="1"/>
  <c r="L322" i="1"/>
  <c r="M322" i="1" s="1"/>
  <c r="N322" i="1" s="1"/>
  <c r="O322" i="1" s="1"/>
  <c r="L314" i="1"/>
  <c r="M314" i="1" s="1"/>
  <c r="N314" i="1" s="1"/>
  <c r="O314" i="1" s="1"/>
  <c r="L306" i="1"/>
  <c r="M306" i="1" s="1"/>
  <c r="N306" i="1" s="1"/>
  <c r="O306" i="1" s="1"/>
  <c r="L298" i="1"/>
  <c r="M298" i="1" s="1"/>
  <c r="N298" i="1" s="1"/>
  <c r="O298" i="1" s="1"/>
  <c r="L290" i="1"/>
  <c r="M290" i="1" s="1"/>
  <c r="N290" i="1" s="1"/>
  <c r="O290" i="1" s="1"/>
  <c r="L274" i="1"/>
  <c r="M274" i="1" s="1"/>
  <c r="N274" i="1" s="1"/>
  <c r="O274" i="1" s="1"/>
  <c r="L266" i="1"/>
  <c r="M266" i="1" s="1"/>
  <c r="N266" i="1" s="1"/>
  <c r="O266" i="1" s="1"/>
  <c r="L258" i="1"/>
  <c r="M258" i="1" s="1"/>
  <c r="N258" i="1" s="1"/>
  <c r="O258" i="1" s="1"/>
  <c r="L250" i="1"/>
  <c r="M250" i="1" s="1"/>
  <c r="N250" i="1" s="1"/>
  <c r="O250" i="1" s="1"/>
  <c r="L242" i="1"/>
  <c r="M242" i="1" s="1"/>
  <c r="N242" i="1" s="1"/>
  <c r="O242" i="1" s="1"/>
  <c r="L234" i="1"/>
  <c r="M234" i="1" s="1"/>
  <c r="N234" i="1" s="1"/>
  <c r="O234" i="1" s="1"/>
  <c r="L226" i="1"/>
  <c r="M226" i="1" s="1"/>
  <c r="N226" i="1" s="1"/>
  <c r="O226" i="1" s="1"/>
  <c r="L210" i="1"/>
  <c r="M210" i="1" s="1"/>
  <c r="N210" i="1" s="1"/>
  <c r="O210" i="1" s="1"/>
  <c r="L202" i="1"/>
  <c r="M202" i="1" s="1"/>
  <c r="N202" i="1" s="1"/>
  <c r="O202" i="1" s="1"/>
  <c r="L194" i="1"/>
  <c r="M194" i="1" s="1"/>
  <c r="N194" i="1" s="1"/>
  <c r="O194" i="1" s="1"/>
  <c r="L186" i="1"/>
  <c r="M186" i="1" s="1"/>
  <c r="N186" i="1" s="1"/>
  <c r="O186" i="1" s="1"/>
  <c r="L178" i="1"/>
  <c r="M178" i="1" s="1"/>
  <c r="N178" i="1" s="1"/>
  <c r="O178" i="1" s="1"/>
  <c r="L170" i="1"/>
  <c r="M170" i="1" s="1"/>
  <c r="N170" i="1" s="1"/>
  <c r="O170" i="1" s="1"/>
  <c r="L162" i="1"/>
  <c r="M162" i="1" s="1"/>
  <c r="N162" i="1" s="1"/>
  <c r="O162" i="1" s="1"/>
  <c r="L146" i="1"/>
  <c r="M146" i="1" s="1"/>
  <c r="N146" i="1" s="1"/>
  <c r="O146" i="1" s="1"/>
  <c r="L138" i="1"/>
  <c r="M138" i="1" s="1"/>
  <c r="N138" i="1" s="1"/>
  <c r="O138" i="1" s="1"/>
  <c r="L130" i="1"/>
  <c r="M130" i="1" s="1"/>
  <c r="N130" i="1" s="1"/>
  <c r="O130" i="1" s="1"/>
  <c r="L122" i="1"/>
  <c r="M122" i="1" s="1"/>
  <c r="N122" i="1" s="1"/>
  <c r="O122" i="1" s="1"/>
  <c r="L114" i="1"/>
  <c r="M114" i="1" s="1"/>
  <c r="N114" i="1" s="1"/>
  <c r="O114" i="1" s="1"/>
  <c r="L106" i="1"/>
  <c r="M106" i="1" s="1"/>
  <c r="N106" i="1" s="1"/>
  <c r="O106" i="1" s="1"/>
  <c r="L98" i="1"/>
  <c r="M98" i="1" s="1"/>
  <c r="N98" i="1" s="1"/>
  <c r="O98" i="1" s="1"/>
  <c r="L82" i="1"/>
  <c r="M82" i="1" s="1"/>
  <c r="N82" i="1" s="1"/>
  <c r="O82" i="1" s="1"/>
  <c r="L74" i="1"/>
  <c r="M74" i="1" s="1"/>
  <c r="N74" i="1" s="1"/>
  <c r="O74" i="1" s="1"/>
  <c r="L66" i="1"/>
  <c r="M66" i="1" s="1"/>
  <c r="N66" i="1" s="1"/>
  <c r="O66" i="1" s="1"/>
  <c r="L58" i="1"/>
  <c r="M58" i="1" s="1"/>
  <c r="N58" i="1" s="1"/>
  <c r="O58" i="1" s="1"/>
  <c r="L50" i="1"/>
  <c r="M50" i="1" s="1"/>
  <c r="N50" i="1" s="1"/>
  <c r="O50" i="1" s="1"/>
  <c r="L42" i="1"/>
  <c r="M42" i="1" s="1"/>
  <c r="N42" i="1" s="1"/>
  <c r="O42" i="1" s="1"/>
  <c r="L34" i="1"/>
  <c r="M34" i="1" s="1"/>
  <c r="N34" i="1" s="1"/>
  <c r="O34" i="1" s="1"/>
  <c r="L18" i="1"/>
  <c r="M18" i="1" s="1"/>
  <c r="N18" i="1" s="1"/>
  <c r="O18" i="1" s="1"/>
  <c r="L10" i="1"/>
  <c r="M10" i="1" s="1"/>
  <c r="N10" i="1" s="1"/>
  <c r="O10" i="1" s="1"/>
  <c r="H410" i="1"/>
  <c r="I410" i="1" s="1"/>
  <c r="H346" i="1"/>
  <c r="I346" i="1" s="1"/>
  <c r="H282" i="1"/>
  <c r="I282" i="1" s="1"/>
  <c r="H218" i="1"/>
  <c r="I218" i="1" s="1"/>
  <c r="H154" i="1"/>
  <c r="I154" i="1" s="1"/>
  <c r="H90" i="1"/>
  <c r="I90" i="1" s="1"/>
  <c r="H26" i="1"/>
  <c r="I26" i="1" s="1"/>
  <c r="H81" i="1"/>
  <c r="I81" i="1" s="1"/>
  <c r="H73" i="1"/>
  <c r="I73" i="1" s="1"/>
  <c r="H65" i="1"/>
  <c r="I65" i="1" s="1"/>
  <c r="H57" i="1"/>
  <c r="I57" i="1" s="1"/>
  <c r="H49" i="1"/>
  <c r="I49" i="1" s="1"/>
  <c r="H41" i="1"/>
  <c r="I41" i="1" s="1"/>
  <c r="H33" i="1"/>
  <c r="I33" i="1" s="1"/>
  <c r="H25" i="1"/>
  <c r="I25" i="1" s="1"/>
  <c r="H17" i="1"/>
  <c r="I17" i="1" s="1"/>
  <c r="H9" i="1"/>
  <c r="I9" i="1" s="1"/>
  <c r="H46" i="1"/>
  <c r="I46" i="1" s="1"/>
  <c r="B25" i="1"/>
  <c r="L588" i="1"/>
  <c r="M588" i="1" s="1"/>
  <c r="N588" i="1" s="1"/>
  <c r="O588" i="1" s="1"/>
  <c r="L572" i="1"/>
  <c r="M572" i="1" s="1"/>
  <c r="N572" i="1" s="1"/>
  <c r="O572" i="1" s="1"/>
  <c r="L556" i="1"/>
  <c r="M556" i="1" s="1"/>
  <c r="N556" i="1" s="1"/>
  <c r="O556" i="1" s="1"/>
  <c r="L540" i="1"/>
  <c r="M540" i="1" s="1"/>
  <c r="N540" i="1" s="1"/>
  <c r="O540" i="1" s="1"/>
  <c r="L524" i="1"/>
  <c r="M524" i="1" s="1"/>
  <c r="N524" i="1" s="1"/>
  <c r="O524" i="1" s="1"/>
  <c r="L492" i="1"/>
  <c r="M492" i="1" s="1"/>
  <c r="N492" i="1" s="1"/>
  <c r="O492" i="1" s="1"/>
  <c r="L476" i="1"/>
  <c r="M476" i="1" s="1"/>
  <c r="N476" i="1" s="1"/>
  <c r="O476" i="1" s="1"/>
  <c r="L396" i="1"/>
  <c r="M396" i="1" s="1"/>
  <c r="N396" i="1" s="1"/>
  <c r="O396" i="1" s="1"/>
  <c r="L388" i="1"/>
  <c r="M388" i="1" s="1"/>
  <c r="N388" i="1" s="1"/>
  <c r="O388" i="1" s="1"/>
  <c r="L372" i="1"/>
  <c r="M372" i="1" s="1"/>
  <c r="N372" i="1" s="1"/>
  <c r="O372" i="1" s="1"/>
  <c r="L356" i="1"/>
  <c r="M356" i="1" s="1"/>
  <c r="N356" i="1" s="1"/>
  <c r="O356" i="1" s="1"/>
  <c r="L340" i="1"/>
  <c r="M340" i="1" s="1"/>
  <c r="N340" i="1" s="1"/>
  <c r="O340" i="1" s="1"/>
  <c r="L316" i="1"/>
  <c r="M316" i="1" s="1"/>
  <c r="N316" i="1" s="1"/>
  <c r="O316" i="1" s="1"/>
  <c r="L300" i="1"/>
  <c r="M300" i="1" s="1"/>
  <c r="N300" i="1" s="1"/>
  <c r="O300" i="1" s="1"/>
  <c r="L260" i="1"/>
  <c r="M260" i="1" s="1"/>
  <c r="N260" i="1" s="1"/>
  <c r="O260" i="1" s="1"/>
  <c r="L252" i="1"/>
  <c r="M252" i="1" s="1"/>
  <c r="N252" i="1" s="1"/>
  <c r="O252" i="1" s="1"/>
  <c r="L244" i="1"/>
  <c r="M244" i="1" s="1"/>
  <c r="N244" i="1" s="1"/>
  <c r="O244" i="1" s="1"/>
  <c r="L236" i="1"/>
  <c r="M236" i="1" s="1"/>
  <c r="N236" i="1" s="1"/>
  <c r="O236" i="1" s="1"/>
  <c r="L228" i="1"/>
  <c r="M228" i="1" s="1"/>
  <c r="N228" i="1" s="1"/>
  <c r="O228" i="1" s="1"/>
  <c r="L587" i="1"/>
  <c r="M587" i="1" s="1"/>
  <c r="N587" i="1" s="1"/>
  <c r="O587" i="1" s="1"/>
  <c r="L508" i="1"/>
  <c r="M508" i="1" s="1"/>
  <c r="N508" i="1" s="1"/>
  <c r="O508" i="1" s="1"/>
  <c r="L245" i="1"/>
  <c r="M245" i="1" s="1"/>
  <c r="N245" i="1" s="1"/>
  <c r="O245" i="1" s="1"/>
  <c r="L69" i="1"/>
  <c r="M69" i="1" s="1"/>
  <c r="N69" i="1" s="1"/>
  <c r="O69" i="1" s="1"/>
  <c r="L3" i="1"/>
  <c r="M3" i="1" s="1"/>
  <c r="N3" i="1" s="1"/>
  <c r="O3" i="1" s="1"/>
  <c r="L581" i="1"/>
  <c r="M581" i="1" s="1"/>
  <c r="N581" i="1" s="1"/>
  <c r="O581" i="1" s="1"/>
  <c r="L557" i="1"/>
  <c r="M557" i="1" s="1"/>
  <c r="N557" i="1" s="1"/>
  <c r="O557" i="1" s="1"/>
  <c r="L525" i="1"/>
  <c r="M525" i="1" s="1"/>
  <c r="N525" i="1" s="1"/>
  <c r="O525" i="1" s="1"/>
  <c r="L507" i="1"/>
  <c r="M507" i="1" s="1"/>
  <c r="N507" i="1" s="1"/>
  <c r="O507" i="1" s="1"/>
  <c r="L485" i="1"/>
  <c r="M485" i="1" s="1"/>
  <c r="N485" i="1" s="1"/>
  <c r="O485" i="1" s="1"/>
  <c r="L461" i="1"/>
  <c r="M461" i="1" s="1"/>
  <c r="N461" i="1" s="1"/>
  <c r="O461" i="1" s="1"/>
  <c r="L421" i="1"/>
  <c r="M421" i="1" s="1"/>
  <c r="N421" i="1" s="1"/>
  <c r="O421" i="1" s="1"/>
  <c r="L397" i="1"/>
  <c r="M397" i="1" s="1"/>
  <c r="N397" i="1" s="1"/>
  <c r="O397" i="1" s="1"/>
  <c r="L379" i="1"/>
  <c r="M379" i="1" s="1"/>
  <c r="N379" i="1" s="1"/>
  <c r="O379" i="1" s="1"/>
  <c r="L334" i="1"/>
  <c r="M334" i="1" s="1"/>
  <c r="N334" i="1" s="1"/>
  <c r="O334" i="1" s="1"/>
  <c r="L309" i="1"/>
  <c r="M309" i="1" s="1"/>
  <c r="N309" i="1" s="1"/>
  <c r="O309" i="1" s="1"/>
  <c r="L285" i="1"/>
  <c r="M285" i="1" s="1"/>
  <c r="N285" i="1" s="1"/>
  <c r="O285" i="1" s="1"/>
  <c r="L267" i="1"/>
  <c r="M267" i="1" s="1"/>
  <c r="N267" i="1" s="1"/>
  <c r="O267" i="1" s="1"/>
  <c r="L221" i="1"/>
  <c r="M221" i="1" s="1"/>
  <c r="N221" i="1" s="1"/>
  <c r="O221" i="1" s="1"/>
  <c r="L204" i="1"/>
  <c r="M204" i="1" s="1"/>
  <c r="N204" i="1" s="1"/>
  <c r="O204" i="1" s="1"/>
  <c r="L117" i="1"/>
  <c r="M117" i="1" s="1"/>
  <c r="N117" i="1" s="1"/>
  <c r="O117" i="1" s="1"/>
  <c r="L93" i="1"/>
  <c r="M93" i="1" s="1"/>
  <c r="N93" i="1" s="1"/>
  <c r="O93" i="1" s="1"/>
  <c r="L14" i="1"/>
  <c r="M14" i="1" s="1"/>
  <c r="N14" i="1" s="1"/>
  <c r="O14" i="1" s="1"/>
  <c r="L595" i="1"/>
  <c r="M595" i="1" s="1"/>
  <c r="N595" i="1" s="1"/>
  <c r="O595" i="1" s="1"/>
  <c r="L571" i="1"/>
  <c r="M571" i="1" s="1"/>
  <c r="N571" i="1" s="1"/>
  <c r="O571" i="1" s="1"/>
  <c r="L555" i="1"/>
  <c r="M555" i="1" s="1"/>
  <c r="N555" i="1" s="1"/>
  <c r="O555" i="1" s="1"/>
  <c r="L547" i="1"/>
  <c r="M547" i="1" s="1"/>
  <c r="N547" i="1" s="1"/>
  <c r="O547" i="1" s="1"/>
  <c r="L539" i="1"/>
  <c r="M539" i="1" s="1"/>
  <c r="N539" i="1" s="1"/>
  <c r="O539" i="1" s="1"/>
  <c r="L531" i="1"/>
  <c r="M531" i="1" s="1"/>
  <c r="N531" i="1" s="1"/>
  <c r="O531" i="1" s="1"/>
  <c r="L515" i="1"/>
  <c r="M515" i="1" s="1"/>
  <c r="N515" i="1" s="1"/>
  <c r="O515" i="1" s="1"/>
  <c r="L499" i="1"/>
  <c r="M499" i="1" s="1"/>
  <c r="N499" i="1" s="1"/>
  <c r="O499" i="1" s="1"/>
  <c r="L483" i="1"/>
  <c r="M483" i="1" s="1"/>
  <c r="N483" i="1" s="1"/>
  <c r="O483" i="1" s="1"/>
  <c r="L443" i="1"/>
  <c r="M443" i="1" s="1"/>
  <c r="N443" i="1" s="1"/>
  <c r="O443" i="1" s="1"/>
  <c r="L435" i="1"/>
  <c r="M435" i="1" s="1"/>
  <c r="N435" i="1" s="1"/>
  <c r="O435" i="1" s="1"/>
  <c r="L427" i="1"/>
  <c r="M427" i="1" s="1"/>
  <c r="N427" i="1" s="1"/>
  <c r="O427" i="1" s="1"/>
  <c r="L47" i="1"/>
  <c r="M47" i="1" s="1"/>
  <c r="N47" i="1" s="1"/>
  <c r="O47" i="1" s="1"/>
  <c r="L579" i="1"/>
  <c r="M579" i="1" s="1"/>
  <c r="N579" i="1" s="1"/>
  <c r="O579" i="1" s="1"/>
  <c r="L502" i="1"/>
  <c r="M502" i="1" s="1"/>
  <c r="N502" i="1" s="1"/>
  <c r="O502" i="1" s="1"/>
  <c r="L459" i="1"/>
  <c r="M459" i="1" s="1"/>
  <c r="N459" i="1" s="1"/>
  <c r="O459" i="1" s="1"/>
  <c r="L419" i="1"/>
  <c r="M419" i="1" s="1"/>
  <c r="N419" i="1" s="1"/>
  <c r="O419" i="1" s="1"/>
  <c r="L373" i="1"/>
  <c r="M373" i="1" s="1"/>
  <c r="N373" i="1" s="1"/>
  <c r="O373" i="1" s="1"/>
  <c r="L333" i="1"/>
  <c r="M333" i="1" s="1"/>
  <c r="N333" i="1" s="1"/>
  <c r="O333" i="1" s="1"/>
  <c r="L261" i="1"/>
  <c r="M261" i="1" s="1"/>
  <c r="N261" i="1" s="1"/>
  <c r="O261" i="1" s="1"/>
  <c r="L243" i="1"/>
  <c r="M243" i="1" s="1"/>
  <c r="N243" i="1" s="1"/>
  <c r="O243" i="1" s="1"/>
  <c r="L220" i="1"/>
  <c r="M220" i="1" s="1"/>
  <c r="N220" i="1" s="1"/>
  <c r="O220" i="1" s="1"/>
  <c r="L179" i="1"/>
  <c r="M179" i="1" s="1"/>
  <c r="N179" i="1" s="1"/>
  <c r="O179" i="1" s="1"/>
  <c r="L134" i="1"/>
  <c r="M134" i="1" s="1"/>
  <c r="N134" i="1" s="1"/>
  <c r="O134" i="1" s="1"/>
  <c r="L92" i="1"/>
  <c r="M92" i="1" s="1"/>
  <c r="N92" i="1" s="1"/>
  <c r="O92" i="1" s="1"/>
  <c r="L62" i="1"/>
  <c r="M62" i="1" s="1"/>
  <c r="N62" i="1" s="1"/>
  <c r="O62" i="1" s="1"/>
  <c r="L13" i="1"/>
  <c r="M13" i="1" s="1"/>
  <c r="N13" i="1" s="1"/>
  <c r="O13" i="1" s="1"/>
  <c r="L398" i="1"/>
  <c r="M398" i="1" s="1"/>
  <c r="N398" i="1" s="1"/>
  <c r="O398" i="1" s="1"/>
  <c r="L549" i="1"/>
  <c r="M549" i="1" s="1"/>
  <c r="N549" i="1" s="1"/>
  <c r="O549" i="1" s="1"/>
  <c r="L523" i="1"/>
  <c r="M523" i="1" s="1"/>
  <c r="N523" i="1" s="1"/>
  <c r="O523" i="1" s="1"/>
  <c r="L501" i="1"/>
  <c r="M501" i="1" s="1"/>
  <c r="N501" i="1" s="1"/>
  <c r="O501" i="1" s="1"/>
  <c r="L453" i="1"/>
  <c r="M453" i="1" s="1"/>
  <c r="N453" i="1" s="1"/>
  <c r="O453" i="1" s="1"/>
  <c r="L413" i="1"/>
  <c r="M413" i="1" s="1"/>
  <c r="N413" i="1" s="1"/>
  <c r="O413" i="1" s="1"/>
  <c r="L395" i="1"/>
  <c r="M395" i="1" s="1"/>
  <c r="N395" i="1" s="1"/>
  <c r="O395" i="1" s="1"/>
  <c r="L349" i="1"/>
  <c r="M349" i="1" s="1"/>
  <c r="N349" i="1" s="1"/>
  <c r="O349" i="1" s="1"/>
  <c r="L331" i="1"/>
  <c r="M331" i="1" s="1"/>
  <c r="N331" i="1" s="1"/>
  <c r="O331" i="1" s="1"/>
  <c r="L237" i="1"/>
  <c r="M237" i="1" s="1"/>
  <c r="N237" i="1" s="1"/>
  <c r="O237" i="1" s="1"/>
  <c r="L173" i="1"/>
  <c r="M173" i="1" s="1"/>
  <c r="N173" i="1" s="1"/>
  <c r="O173" i="1" s="1"/>
  <c r="L155" i="1"/>
  <c r="M155" i="1" s="1"/>
  <c r="N155" i="1" s="1"/>
  <c r="O155" i="1" s="1"/>
  <c r="L133" i="1"/>
  <c r="M133" i="1" s="1"/>
  <c r="N133" i="1" s="1"/>
  <c r="O133" i="1" s="1"/>
  <c r="L61" i="1"/>
  <c r="M61" i="1" s="1"/>
  <c r="N61" i="1" s="1"/>
  <c r="O61" i="1" s="1"/>
  <c r="L44" i="1"/>
  <c r="M44" i="1" s="1"/>
  <c r="N44" i="1" s="1"/>
  <c r="O44" i="1" s="1"/>
  <c r="L12" i="1"/>
  <c r="M12" i="1" s="1"/>
  <c r="N12" i="1" s="1"/>
  <c r="O12" i="1" s="1"/>
  <c r="L451" i="1"/>
  <c r="M451" i="1" s="1"/>
  <c r="N451" i="1" s="1"/>
  <c r="O451" i="1" s="1"/>
  <c r="L389" i="1"/>
  <c r="M389" i="1" s="1"/>
  <c r="N389" i="1" s="1"/>
  <c r="O389" i="1" s="1"/>
  <c r="L325" i="1"/>
  <c r="M325" i="1" s="1"/>
  <c r="N325" i="1" s="1"/>
  <c r="O325" i="1" s="1"/>
  <c r="L301" i="1"/>
  <c r="M301" i="1" s="1"/>
  <c r="N301" i="1" s="1"/>
  <c r="O301" i="1" s="1"/>
  <c r="L277" i="1"/>
  <c r="M277" i="1" s="1"/>
  <c r="N277" i="1" s="1"/>
  <c r="O277" i="1" s="1"/>
  <c r="L259" i="1"/>
  <c r="M259" i="1" s="1"/>
  <c r="N259" i="1" s="1"/>
  <c r="O259" i="1" s="1"/>
  <c r="L195" i="1"/>
  <c r="M195" i="1" s="1"/>
  <c r="N195" i="1" s="1"/>
  <c r="O195" i="1" s="1"/>
  <c r="L171" i="1"/>
  <c r="M171" i="1" s="1"/>
  <c r="N171" i="1" s="1"/>
  <c r="O171" i="1" s="1"/>
  <c r="L149" i="1"/>
  <c r="M149" i="1" s="1"/>
  <c r="N149" i="1" s="1"/>
  <c r="O149" i="1" s="1"/>
  <c r="L131" i="1"/>
  <c r="M131" i="1" s="1"/>
  <c r="N131" i="1" s="1"/>
  <c r="O131" i="1" s="1"/>
  <c r="L227" i="1"/>
  <c r="M227" i="1" s="1"/>
  <c r="N227" i="1" s="1"/>
  <c r="O227" i="1" s="1"/>
  <c r="L205" i="1"/>
  <c r="M205" i="1" s="1"/>
  <c r="N205" i="1" s="1"/>
  <c r="O205" i="1" s="1"/>
  <c r="L158" i="1"/>
  <c r="M158" i="1" s="1"/>
  <c r="N158" i="1" s="1"/>
  <c r="O158" i="1" s="1"/>
  <c r="L99" i="1"/>
  <c r="M99" i="1" s="1"/>
  <c r="N99" i="1" s="1"/>
  <c r="O99" i="1" s="1"/>
  <c r="L565" i="1"/>
  <c r="M565" i="1" s="1"/>
  <c r="N565" i="1" s="1"/>
  <c r="O565" i="1" s="1"/>
  <c r="L517" i="1"/>
  <c r="M517" i="1" s="1"/>
  <c r="N517" i="1" s="1"/>
  <c r="O517" i="1" s="1"/>
  <c r="L493" i="1"/>
  <c r="M493" i="1" s="1"/>
  <c r="N493" i="1" s="1"/>
  <c r="O493" i="1" s="1"/>
  <c r="L469" i="1"/>
  <c r="M469" i="1" s="1"/>
  <c r="N469" i="1" s="1"/>
  <c r="O469" i="1" s="1"/>
  <c r="L445" i="1"/>
  <c r="M445" i="1" s="1"/>
  <c r="N445" i="1" s="1"/>
  <c r="O445" i="1" s="1"/>
  <c r="L411" i="1"/>
  <c r="M411" i="1" s="1"/>
  <c r="N411" i="1" s="1"/>
  <c r="O411" i="1" s="1"/>
  <c r="L366" i="1"/>
  <c r="M366" i="1" s="1"/>
  <c r="N366" i="1" s="1"/>
  <c r="O366" i="1" s="1"/>
  <c r="L253" i="1"/>
  <c r="M253" i="1" s="1"/>
  <c r="N253" i="1" s="1"/>
  <c r="O253" i="1" s="1"/>
  <c r="L235" i="1"/>
  <c r="M235" i="1" s="1"/>
  <c r="N235" i="1" s="1"/>
  <c r="O235" i="1" s="1"/>
  <c r="L212" i="1"/>
  <c r="M212" i="1" s="1"/>
  <c r="N212" i="1" s="1"/>
  <c r="O212" i="1" s="1"/>
  <c r="L189" i="1"/>
  <c r="M189" i="1" s="1"/>
  <c r="N189" i="1" s="1"/>
  <c r="O189" i="1" s="1"/>
  <c r="L166" i="1"/>
  <c r="M166" i="1" s="1"/>
  <c r="N166" i="1" s="1"/>
  <c r="O166" i="1" s="1"/>
  <c r="L126" i="1"/>
  <c r="M126" i="1" s="1"/>
  <c r="N126" i="1" s="1"/>
  <c r="O126" i="1" s="1"/>
  <c r="L39" i="1"/>
  <c r="M39" i="1" s="1"/>
  <c r="N39" i="1" s="1"/>
  <c r="O39" i="1" s="1"/>
  <c r="L21" i="1"/>
  <c r="M21" i="1" s="1"/>
  <c r="N21" i="1" s="1"/>
  <c r="O21" i="1" s="1"/>
  <c r="L599" i="1"/>
  <c r="M599" i="1" s="1"/>
  <c r="N599" i="1" s="1"/>
  <c r="O599" i="1" s="1"/>
  <c r="L591" i="1"/>
  <c r="M591" i="1" s="1"/>
  <c r="N591" i="1" s="1"/>
  <c r="O591" i="1" s="1"/>
  <c r="L583" i="1"/>
  <c r="M583" i="1" s="1"/>
  <c r="N583" i="1" s="1"/>
  <c r="O583" i="1" s="1"/>
  <c r="L575" i="1"/>
  <c r="M575" i="1" s="1"/>
  <c r="N575" i="1" s="1"/>
  <c r="O575" i="1" s="1"/>
  <c r="L567" i="1"/>
  <c r="M567" i="1" s="1"/>
  <c r="N567" i="1" s="1"/>
  <c r="O567" i="1" s="1"/>
  <c r="L559" i="1"/>
  <c r="M559" i="1" s="1"/>
  <c r="N559" i="1" s="1"/>
  <c r="O559" i="1" s="1"/>
  <c r="L551" i="1"/>
  <c r="M551" i="1" s="1"/>
  <c r="N551" i="1" s="1"/>
  <c r="O551" i="1" s="1"/>
  <c r="L543" i="1"/>
  <c r="M543" i="1" s="1"/>
  <c r="N543" i="1" s="1"/>
  <c r="O543" i="1" s="1"/>
  <c r="L535" i="1"/>
  <c r="M535" i="1" s="1"/>
  <c r="N535" i="1" s="1"/>
  <c r="O535" i="1" s="1"/>
  <c r="L527" i="1"/>
  <c r="M527" i="1" s="1"/>
  <c r="N527" i="1" s="1"/>
  <c r="O527" i="1" s="1"/>
  <c r="L519" i="1"/>
  <c r="M519" i="1" s="1"/>
  <c r="N519" i="1" s="1"/>
  <c r="O519" i="1" s="1"/>
  <c r="L511" i="1"/>
  <c r="M511" i="1" s="1"/>
  <c r="N511" i="1" s="1"/>
  <c r="O511" i="1" s="1"/>
  <c r="L503" i="1"/>
  <c r="M503" i="1" s="1"/>
  <c r="N503" i="1" s="1"/>
  <c r="O503" i="1" s="1"/>
  <c r="L495" i="1"/>
  <c r="M495" i="1" s="1"/>
  <c r="N495" i="1" s="1"/>
  <c r="O495" i="1" s="1"/>
  <c r="L487" i="1"/>
  <c r="M487" i="1" s="1"/>
  <c r="N487" i="1" s="1"/>
  <c r="O487" i="1" s="1"/>
  <c r="L479" i="1"/>
  <c r="M479" i="1" s="1"/>
  <c r="N479" i="1" s="1"/>
  <c r="O479" i="1" s="1"/>
  <c r="L471" i="1"/>
  <c r="M471" i="1" s="1"/>
  <c r="N471" i="1" s="1"/>
  <c r="O471" i="1" s="1"/>
  <c r="L463" i="1"/>
  <c r="M463" i="1" s="1"/>
  <c r="N463" i="1" s="1"/>
  <c r="O463" i="1" s="1"/>
  <c r="L455" i="1"/>
  <c r="M455" i="1" s="1"/>
  <c r="N455" i="1" s="1"/>
  <c r="O455" i="1" s="1"/>
  <c r="L447" i="1"/>
  <c r="M447" i="1" s="1"/>
  <c r="N447" i="1" s="1"/>
  <c r="O447" i="1" s="1"/>
  <c r="L439" i="1"/>
  <c r="M439" i="1" s="1"/>
  <c r="N439" i="1" s="1"/>
  <c r="O439" i="1" s="1"/>
  <c r="L431" i="1"/>
  <c r="M431" i="1" s="1"/>
  <c r="N431" i="1" s="1"/>
  <c r="O431" i="1" s="1"/>
  <c r="L423" i="1"/>
  <c r="M423" i="1" s="1"/>
  <c r="N423" i="1" s="1"/>
  <c r="O423" i="1" s="1"/>
  <c r="L415" i="1"/>
  <c r="M415" i="1" s="1"/>
  <c r="N415" i="1" s="1"/>
  <c r="O415" i="1" s="1"/>
  <c r="L407" i="1"/>
  <c r="M407" i="1" s="1"/>
  <c r="N407" i="1" s="1"/>
  <c r="O407" i="1" s="1"/>
  <c r="L399" i="1"/>
  <c r="M399" i="1" s="1"/>
  <c r="N399" i="1" s="1"/>
  <c r="O399" i="1" s="1"/>
  <c r="L391" i="1"/>
  <c r="M391" i="1" s="1"/>
  <c r="N391" i="1" s="1"/>
  <c r="O391" i="1" s="1"/>
  <c r="L383" i="1"/>
  <c r="M383" i="1" s="1"/>
  <c r="N383" i="1" s="1"/>
  <c r="O383" i="1" s="1"/>
  <c r="L375" i="1"/>
  <c r="M375" i="1" s="1"/>
  <c r="N375" i="1" s="1"/>
  <c r="O375" i="1" s="1"/>
  <c r="L367" i="1"/>
  <c r="M367" i="1" s="1"/>
  <c r="N367" i="1" s="1"/>
  <c r="O367" i="1" s="1"/>
  <c r="L359" i="1"/>
  <c r="M359" i="1" s="1"/>
  <c r="N359" i="1" s="1"/>
  <c r="O359" i="1" s="1"/>
  <c r="L351" i="1"/>
  <c r="M351" i="1" s="1"/>
  <c r="N351" i="1" s="1"/>
  <c r="O351" i="1" s="1"/>
  <c r="L343" i="1"/>
  <c r="M343" i="1" s="1"/>
  <c r="N343" i="1" s="1"/>
  <c r="O343" i="1" s="1"/>
  <c r="L335" i="1"/>
  <c r="M335" i="1" s="1"/>
  <c r="N335" i="1" s="1"/>
  <c r="O335" i="1" s="1"/>
  <c r="L327" i="1"/>
  <c r="M327" i="1" s="1"/>
  <c r="N327" i="1" s="1"/>
  <c r="O327" i="1" s="1"/>
  <c r="L319" i="1"/>
  <c r="M319" i="1" s="1"/>
  <c r="N319" i="1" s="1"/>
  <c r="O319" i="1" s="1"/>
  <c r="L311" i="1"/>
  <c r="M311" i="1" s="1"/>
  <c r="N311" i="1" s="1"/>
  <c r="O311" i="1" s="1"/>
  <c r="L303" i="1"/>
  <c r="M303" i="1" s="1"/>
  <c r="N303" i="1" s="1"/>
  <c r="O303" i="1" s="1"/>
  <c r="L295" i="1"/>
  <c r="M295" i="1" s="1"/>
  <c r="N295" i="1" s="1"/>
  <c r="O295" i="1" s="1"/>
  <c r="L287" i="1"/>
  <c r="M287" i="1" s="1"/>
  <c r="N287" i="1" s="1"/>
  <c r="O287" i="1" s="1"/>
  <c r="L279" i="1"/>
  <c r="M279" i="1" s="1"/>
  <c r="N279" i="1" s="1"/>
  <c r="O279" i="1" s="1"/>
  <c r="L271" i="1"/>
  <c r="M271" i="1" s="1"/>
  <c r="N271" i="1" s="1"/>
  <c r="O271" i="1" s="1"/>
  <c r="L263" i="1"/>
  <c r="M263" i="1" s="1"/>
  <c r="N263" i="1" s="1"/>
  <c r="O263" i="1" s="1"/>
  <c r="L255" i="1"/>
  <c r="M255" i="1" s="1"/>
  <c r="N255" i="1" s="1"/>
  <c r="O255" i="1" s="1"/>
  <c r="L247" i="1"/>
  <c r="M247" i="1" s="1"/>
  <c r="N247" i="1" s="1"/>
  <c r="O247" i="1" s="1"/>
  <c r="L239" i="1"/>
  <c r="M239" i="1" s="1"/>
  <c r="N239" i="1" s="1"/>
  <c r="O239" i="1" s="1"/>
  <c r="L231" i="1"/>
  <c r="M231" i="1" s="1"/>
  <c r="N231" i="1" s="1"/>
  <c r="O231" i="1" s="1"/>
  <c r="L223" i="1"/>
  <c r="M223" i="1" s="1"/>
  <c r="N223" i="1" s="1"/>
  <c r="O223" i="1" s="1"/>
  <c r="L215" i="1"/>
  <c r="M215" i="1" s="1"/>
  <c r="N215" i="1" s="1"/>
  <c r="O215" i="1" s="1"/>
  <c r="L207" i="1"/>
  <c r="M207" i="1" s="1"/>
  <c r="N207" i="1" s="1"/>
  <c r="O207" i="1" s="1"/>
  <c r="L199" i="1"/>
  <c r="M199" i="1" s="1"/>
  <c r="N199" i="1" s="1"/>
  <c r="O199" i="1" s="1"/>
  <c r="L191" i="1"/>
  <c r="M191" i="1" s="1"/>
  <c r="N191" i="1" s="1"/>
  <c r="O191" i="1" s="1"/>
  <c r="L183" i="1"/>
  <c r="M183" i="1" s="1"/>
  <c r="N183" i="1" s="1"/>
  <c r="O183" i="1" s="1"/>
  <c r="L175" i="1"/>
  <c r="M175" i="1" s="1"/>
  <c r="N175" i="1" s="1"/>
  <c r="O175" i="1" s="1"/>
  <c r="L167" i="1"/>
  <c r="M167" i="1" s="1"/>
  <c r="N167" i="1" s="1"/>
  <c r="O167" i="1" s="1"/>
  <c r="L159" i="1"/>
  <c r="M159" i="1" s="1"/>
  <c r="N159" i="1" s="1"/>
  <c r="O159" i="1" s="1"/>
  <c r="L151" i="1"/>
  <c r="M151" i="1" s="1"/>
  <c r="N151" i="1" s="1"/>
  <c r="O151" i="1" s="1"/>
  <c r="L143" i="1"/>
  <c r="M143" i="1" s="1"/>
  <c r="N143" i="1" s="1"/>
  <c r="O143" i="1" s="1"/>
  <c r="L135" i="1"/>
  <c r="M135" i="1" s="1"/>
  <c r="N135" i="1" s="1"/>
  <c r="O135" i="1" s="1"/>
  <c r="L127" i="1"/>
  <c r="M127" i="1" s="1"/>
  <c r="N127" i="1" s="1"/>
  <c r="O127" i="1" s="1"/>
  <c r="L119" i="1"/>
  <c r="M119" i="1" s="1"/>
  <c r="N119" i="1" s="1"/>
  <c r="O119" i="1" s="1"/>
  <c r="L111" i="1"/>
  <c r="M111" i="1" s="1"/>
  <c r="N111" i="1" s="1"/>
  <c r="O111" i="1" s="1"/>
  <c r="L558" i="1"/>
  <c r="M558" i="1" s="1"/>
  <c r="N558" i="1" s="1"/>
  <c r="O558" i="1" s="1"/>
  <c r="L380" i="1"/>
  <c r="M380" i="1" s="1"/>
  <c r="N380" i="1" s="1"/>
  <c r="O380" i="1" s="1"/>
  <c r="L268" i="1"/>
  <c r="M268" i="1" s="1"/>
  <c r="N268" i="1" s="1"/>
  <c r="O268" i="1" s="1"/>
  <c r="L541" i="1"/>
  <c r="M541" i="1" s="1"/>
  <c r="N541" i="1" s="1"/>
  <c r="O541" i="1" s="1"/>
  <c r="L589" i="1"/>
  <c r="M589" i="1" s="1"/>
  <c r="N589" i="1" s="1"/>
  <c r="O589" i="1" s="1"/>
  <c r="L533" i="1"/>
  <c r="M533" i="1" s="1"/>
  <c r="N533" i="1" s="1"/>
  <c r="O533" i="1" s="1"/>
  <c r="L405" i="1"/>
  <c r="M405" i="1" s="1"/>
  <c r="N405" i="1" s="1"/>
  <c r="O405" i="1" s="1"/>
  <c r="L387" i="1"/>
  <c r="M387" i="1" s="1"/>
  <c r="N387" i="1" s="1"/>
  <c r="O387" i="1" s="1"/>
  <c r="L365" i="1"/>
  <c r="M365" i="1" s="1"/>
  <c r="N365" i="1" s="1"/>
  <c r="O365" i="1" s="1"/>
  <c r="L341" i="1"/>
  <c r="M341" i="1" s="1"/>
  <c r="N341" i="1" s="1"/>
  <c r="O341" i="1" s="1"/>
  <c r="L317" i="1"/>
  <c r="M317" i="1" s="1"/>
  <c r="N317" i="1" s="1"/>
  <c r="O317" i="1" s="1"/>
  <c r="L229" i="1"/>
  <c r="M229" i="1" s="1"/>
  <c r="N229" i="1" s="1"/>
  <c r="O229" i="1" s="1"/>
  <c r="L165" i="1"/>
  <c r="M165" i="1" s="1"/>
  <c r="N165" i="1" s="1"/>
  <c r="O165" i="1" s="1"/>
  <c r="L147" i="1"/>
  <c r="M147" i="1" s="1"/>
  <c r="N147" i="1" s="1"/>
  <c r="O147" i="1" s="1"/>
  <c r="L101" i="1"/>
  <c r="M101" i="1" s="1"/>
  <c r="N101" i="1" s="1"/>
  <c r="O101" i="1" s="1"/>
  <c r="L77" i="1"/>
  <c r="M77" i="1" s="1"/>
  <c r="N77" i="1" s="1"/>
  <c r="O77" i="1" s="1"/>
  <c r="L53" i="1"/>
  <c r="M53" i="1" s="1"/>
  <c r="N53" i="1" s="1"/>
  <c r="O53" i="1" s="1"/>
  <c r="L7" i="1"/>
  <c r="M7" i="1" s="1"/>
  <c r="N7" i="1" s="1"/>
  <c r="O7" i="1" s="1"/>
  <c r="L462" i="1"/>
  <c r="M462" i="1" s="1"/>
  <c r="N462" i="1" s="1"/>
  <c r="O462" i="1" s="1"/>
  <c r="L563" i="1"/>
  <c r="M563" i="1" s="1"/>
  <c r="N563" i="1" s="1"/>
  <c r="O563" i="1" s="1"/>
  <c r="L491" i="1"/>
  <c r="M491" i="1" s="1"/>
  <c r="N491" i="1" s="1"/>
  <c r="O491" i="1" s="1"/>
  <c r="L437" i="1"/>
  <c r="M437" i="1" s="1"/>
  <c r="N437" i="1" s="1"/>
  <c r="O437" i="1" s="1"/>
  <c r="L381" i="1"/>
  <c r="M381" i="1" s="1"/>
  <c r="N381" i="1" s="1"/>
  <c r="O381" i="1" s="1"/>
  <c r="L293" i="1"/>
  <c r="M293" i="1" s="1"/>
  <c r="N293" i="1" s="1"/>
  <c r="O293" i="1" s="1"/>
  <c r="L269" i="1"/>
  <c r="M269" i="1" s="1"/>
  <c r="N269" i="1" s="1"/>
  <c r="O269" i="1" s="1"/>
  <c r="L251" i="1"/>
  <c r="M251" i="1" s="1"/>
  <c r="N251" i="1" s="1"/>
  <c r="O251" i="1" s="1"/>
  <c r="L206" i="1"/>
  <c r="M206" i="1" s="1"/>
  <c r="N206" i="1" s="1"/>
  <c r="O206" i="1" s="1"/>
  <c r="L187" i="1"/>
  <c r="M187" i="1" s="1"/>
  <c r="N187" i="1" s="1"/>
  <c r="O187" i="1" s="1"/>
  <c r="L163" i="1"/>
  <c r="M163" i="1" s="1"/>
  <c r="N163" i="1" s="1"/>
  <c r="O163" i="1" s="1"/>
  <c r="L141" i="1"/>
  <c r="M141" i="1" s="1"/>
  <c r="N141" i="1" s="1"/>
  <c r="O141" i="1" s="1"/>
  <c r="L100" i="1"/>
  <c r="M100" i="1" s="1"/>
  <c r="N100" i="1" s="1"/>
  <c r="O100" i="1" s="1"/>
  <c r="L75" i="1"/>
  <c r="M75" i="1" s="1"/>
  <c r="N75" i="1" s="1"/>
  <c r="O75" i="1" s="1"/>
  <c r="L103" i="1"/>
  <c r="M103" i="1" s="1"/>
  <c r="N103" i="1" s="1"/>
  <c r="O103" i="1" s="1"/>
  <c r="L95" i="1"/>
  <c r="M95" i="1" s="1"/>
  <c r="N95" i="1" s="1"/>
  <c r="O95" i="1" s="1"/>
  <c r="L87" i="1"/>
  <c r="M87" i="1" s="1"/>
  <c r="N87" i="1" s="1"/>
  <c r="O87" i="1" s="1"/>
  <c r="L79" i="1"/>
  <c r="M79" i="1" s="1"/>
  <c r="N79" i="1" s="1"/>
  <c r="O79" i="1" s="1"/>
  <c r="L71" i="1"/>
  <c r="M71" i="1" s="1"/>
  <c r="N71" i="1" s="1"/>
  <c r="O71" i="1" s="1"/>
  <c r="L63" i="1"/>
  <c r="M63" i="1" s="1"/>
  <c r="N63" i="1" s="1"/>
  <c r="O63" i="1" s="1"/>
  <c r="L55" i="1"/>
  <c r="M55" i="1" s="1"/>
  <c r="N55" i="1" s="1"/>
  <c r="O55" i="1" s="1"/>
  <c r="L31" i="1"/>
  <c r="M31" i="1" s="1"/>
  <c r="N31" i="1" s="1"/>
  <c r="O31" i="1" s="1"/>
  <c r="L23" i="1"/>
  <c r="M23" i="1" s="1"/>
  <c r="N23" i="1" s="1"/>
  <c r="O23" i="1" s="1"/>
  <c r="L15" i="1"/>
  <c r="M15" i="1" s="1"/>
  <c r="N15" i="1" s="1"/>
  <c r="O15" i="1" s="1"/>
  <c r="M284" i="1"/>
  <c r="N284" i="1" s="1"/>
  <c r="O284" i="1" s="1"/>
  <c r="M188" i="1"/>
  <c r="N188" i="1" s="1"/>
  <c r="O188" i="1" s="1"/>
  <c r="M156" i="1"/>
  <c r="N156" i="1" s="1"/>
  <c r="O156" i="1" s="1"/>
  <c r="M28" i="1"/>
  <c r="N28" i="1" s="1"/>
  <c r="O28" i="1" s="1"/>
  <c r="M596" i="1"/>
  <c r="N596" i="1" s="1"/>
  <c r="O596" i="1" s="1"/>
  <c r="M180" i="1"/>
  <c r="N180" i="1" s="1"/>
  <c r="O180" i="1" s="1"/>
  <c r="M564" i="1"/>
  <c r="N564" i="1" s="1"/>
  <c r="O564" i="1" s="1"/>
  <c r="M532" i="1"/>
  <c r="N532" i="1" s="1"/>
  <c r="O532" i="1" s="1"/>
  <c r="M468" i="1"/>
  <c r="N468" i="1" s="1"/>
  <c r="O468" i="1" s="1"/>
  <c r="M444" i="1"/>
  <c r="N444" i="1" s="1"/>
  <c r="O444" i="1" s="1"/>
  <c r="M412" i="1"/>
  <c r="N412" i="1" s="1"/>
  <c r="O412" i="1" s="1"/>
  <c r="M148" i="1"/>
  <c r="N148" i="1" s="1"/>
  <c r="O148" i="1" s="1"/>
  <c r="M124" i="1"/>
  <c r="N124" i="1" s="1"/>
  <c r="O124" i="1" s="1"/>
  <c r="M348" i="1"/>
  <c r="N348" i="1" s="1"/>
  <c r="O348" i="1" s="1"/>
  <c r="M308" i="1"/>
  <c r="N308" i="1" s="1"/>
  <c r="O308" i="1" s="1"/>
  <c r="M276" i="1"/>
  <c r="N276" i="1" s="1"/>
  <c r="O276" i="1" s="1"/>
  <c r="M140" i="1"/>
  <c r="N140" i="1" s="1"/>
  <c r="O140" i="1" s="1"/>
  <c r="M116" i="1"/>
  <c r="N116" i="1" s="1"/>
  <c r="O116" i="1" s="1"/>
  <c r="M20" i="1"/>
  <c r="N20" i="1" s="1"/>
  <c r="O20" i="1" s="1"/>
  <c r="L448" i="1"/>
  <c r="M448" i="1" s="1"/>
  <c r="N448" i="1" s="1"/>
  <c r="O448" i="1" s="1"/>
  <c r="M107" i="1"/>
  <c r="N107" i="1" s="1"/>
  <c r="O107" i="1" s="1"/>
  <c r="M203" i="1"/>
  <c r="N203" i="1" s="1"/>
  <c r="O203" i="1" s="1"/>
  <c r="M467" i="1"/>
  <c r="N467" i="1" s="1"/>
  <c r="O467" i="1" s="1"/>
  <c r="M363" i="1"/>
  <c r="N363" i="1" s="1"/>
  <c r="O363" i="1" s="1"/>
  <c r="M403" i="1"/>
  <c r="N403" i="1" s="1"/>
  <c r="O403" i="1" s="1"/>
  <c r="M299" i="1"/>
  <c r="N299" i="1" s="1"/>
  <c r="O299" i="1" s="1"/>
  <c r="M371" i="1"/>
  <c r="N371" i="1" s="1"/>
  <c r="O371" i="1" s="1"/>
  <c r="M339" i="1"/>
  <c r="N339" i="1" s="1"/>
  <c r="O339" i="1" s="1"/>
  <c r="M307" i="1"/>
  <c r="N307" i="1" s="1"/>
  <c r="O307" i="1" s="1"/>
  <c r="M275" i="1"/>
  <c r="N275" i="1" s="1"/>
  <c r="O275" i="1" s="1"/>
  <c r="M11" i="1"/>
  <c r="N11" i="1" s="1"/>
  <c r="O11" i="1" s="1"/>
  <c r="M115" i="1"/>
  <c r="N115" i="1" s="1"/>
  <c r="O115" i="1" s="1"/>
  <c r="M83" i="1"/>
  <c r="N83" i="1" s="1"/>
  <c r="O83" i="1" s="1"/>
  <c r="M51" i="1"/>
  <c r="N51" i="1" s="1"/>
  <c r="O51" i="1" s="1"/>
  <c r="M19" i="1"/>
  <c r="N19" i="1" s="1"/>
  <c r="O19" i="1" s="1"/>
  <c r="M347" i="1"/>
  <c r="N347" i="1" s="1"/>
  <c r="O347" i="1" s="1"/>
  <c r="M315" i="1"/>
  <c r="N315" i="1" s="1"/>
  <c r="O315" i="1" s="1"/>
  <c r="M283" i="1"/>
  <c r="N283" i="1" s="1"/>
  <c r="O283" i="1" s="1"/>
  <c r="M123" i="1"/>
  <c r="N123" i="1" s="1"/>
  <c r="O123" i="1" s="1"/>
  <c r="M91" i="1"/>
  <c r="N91" i="1" s="1"/>
  <c r="O91" i="1" s="1"/>
  <c r="M59" i="1"/>
  <c r="N59" i="1" s="1"/>
  <c r="O59" i="1" s="1"/>
  <c r="M355" i="1"/>
  <c r="N355" i="1" s="1"/>
  <c r="O355" i="1" s="1"/>
  <c r="M323" i="1"/>
  <c r="N323" i="1" s="1"/>
  <c r="O323" i="1" s="1"/>
  <c r="M291" i="1"/>
  <c r="N291" i="1" s="1"/>
  <c r="O291" i="1" s="1"/>
  <c r="Q2" i="3" l="1"/>
  <c r="S2" i="3"/>
  <c r="T2" i="3" s="1"/>
  <c r="K2" i="2"/>
  <c r="N2" i="2"/>
  <c r="P2" i="2" s="1"/>
  <c r="I91" i="2"/>
  <c r="I563" i="2"/>
  <c r="H377" i="2"/>
  <c r="N401" i="2"/>
  <c r="O401" i="2" s="1"/>
  <c r="I315" i="2"/>
  <c r="I249" i="2"/>
  <c r="I401" i="2"/>
  <c r="N570" i="2"/>
  <c r="P570" i="2" s="1"/>
  <c r="H33" i="2"/>
  <c r="N203" i="2"/>
  <c r="O203" i="2" s="1"/>
  <c r="I419" i="2"/>
  <c r="N138" i="2"/>
  <c r="O138" i="2" s="1"/>
  <c r="H402" i="2"/>
  <c r="H138" i="2"/>
  <c r="H594" i="2"/>
  <c r="I34" i="2"/>
  <c r="H162" i="2"/>
  <c r="I522" i="2"/>
  <c r="I33" i="2"/>
  <c r="I443" i="2"/>
  <c r="H34" i="2"/>
  <c r="I570" i="2"/>
  <c r="H394" i="2"/>
  <c r="H2" i="2"/>
  <c r="I145" i="2"/>
  <c r="H562" i="2"/>
  <c r="H273" i="2"/>
  <c r="H58" i="2"/>
  <c r="H145" i="2"/>
  <c r="N377" i="2"/>
  <c r="O377" i="2" s="1"/>
  <c r="I2" i="2"/>
  <c r="I203" i="2"/>
  <c r="I306" i="2"/>
  <c r="H547" i="2"/>
  <c r="I377" i="2"/>
  <c r="H563" i="2"/>
  <c r="H203" i="2"/>
  <c r="I562" i="2"/>
  <c r="N91" i="2"/>
  <c r="P91" i="2" s="1"/>
  <c r="I251" i="2"/>
  <c r="N249" i="2"/>
  <c r="O249" i="2" s="1"/>
  <c r="I355" i="2"/>
  <c r="N593" i="2"/>
  <c r="O593" i="2" s="1"/>
  <c r="I442" i="2"/>
  <c r="N33" i="2"/>
  <c r="P33" i="2" s="1"/>
  <c r="H291" i="2"/>
  <c r="N459" i="2"/>
  <c r="O459" i="2" s="1"/>
  <c r="H307" i="2"/>
  <c r="H347" i="2"/>
  <c r="H187" i="2"/>
  <c r="I561" i="2"/>
  <c r="I307" i="2"/>
  <c r="I459" i="2"/>
  <c r="H459" i="2"/>
  <c r="I187" i="2"/>
  <c r="I291" i="2"/>
  <c r="N306" i="2"/>
  <c r="P306" i="2" s="1"/>
  <c r="N562" i="2"/>
  <c r="O562" i="2" s="1"/>
  <c r="H355" i="2"/>
  <c r="H561" i="2"/>
  <c r="I35" i="2"/>
  <c r="I73" i="2"/>
  <c r="I433" i="2"/>
  <c r="I178" i="2"/>
  <c r="I266" i="2"/>
  <c r="H434" i="2"/>
  <c r="H251" i="2"/>
  <c r="H401" i="2"/>
  <c r="N505" i="2"/>
  <c r="O505" i="2" s="1"/>
  <c r="N35" i="2"/>
  <c r="P35" i="2" s="1"/>
  <c r="I121" i="2"/>
  <c r="I505" i="2"/>
  <c r="H178" i="2"/>
  <c r="I394" i="2"/>
  <c r="H522" i="2"/>
  <c r="H35" i="2"/>
  <c r="H505" i="2"/>
  <c r="I177" i="2"/>
  <c r="I402" i="2"/>
  <c r="I434" i="2"/>
  <c r="H50" i="2"/>
  <c r="H570" i="2"/>
  <c r="H121" i="2"/>
  <c r="N145" i="2"/>
  <c r="P145" i="2" s="1"/>
  <c r="N266" i="2"/>
  <c r="O266" i="2" s="1"/>
  <c r="I273" i="2"/>
  <c r="I138" i="2"/>
  <c r="I186" i="2"/>
  <c r="H266" i="2"/>
  <c r="H249" i="2"/>
  <c r="N273" i="2"/>
  <c r="P273" i="2" s="1"/>
  <c r="N402" i="2"/>
  <c r="O402" i="2" s="1"/>
  <c r="I547" i="2"/>
  <c r="H91" i="2"/>
  <c r="H443" i="2"/>
  <c r="N547" i="2"/>
  <c r="O547" i="2" s="1"/>
  <c r="I58" i="2"/>
  <c r="N563" i="2"/>
  <c r="O563" i="2" s="1"/>
  <c r="I289" i="2"/>
  <c r="I546" i="2"/>
  <c r="H306" i="2"/>
  <c r="N394" i="2"/>
  <c r="O394" i="2" s="1"/>
  <c r="I67" i="2"/>
  <c r="I50" i="2"/>
  <c r="N522" i="2"/>
  <c r="O522" i="2" s="1"/>
  <c r="I523" i="2"/>
  <c r="I305" i="2"/>
  <c r="N121" i="2"/>
  <c r="O121" i="2" s="1"/>
  <c r="N34" i="2"/>
  <c r="O34" i="2" s="1"/>
  <c r="H179" i="2"/>
  <c r="N315" i="2"/>
  <c r="O315" i="2" s="1"/>
  <c r="I587" i="2"/>
  <c r="H419" i="2"/>
  <c r="H315" i="2"/>
  <c r="N475" i="2"/>
  <c r="O475" i="2" s="1"/>
  <c r="N587" i="2"/>
  <c r="O587" i="2" s="1"/>
  <c r="I435" i="2"/>
  <c r="N50" i="2"/>
  <c r="O50" i="2" s="1"/>
  <c r="N178" i="2"/>
  <c r="O178" i="2" s="1"/>
  <c r="N435" i="2"/>
  <c r="O435" i="2" s="1"/>
  <c r="H475" i="2"/>
  <c r="I51" i="2"/>
  <c r="I417" i="2"/>
  <c r="I290" i="2"/>
  <c r="H546" i="2"/>
  <c r="H90" i="2"/>
  <c r="I593" i="2"/>
  <c r="H418" i="2"/>
  <c r="I594" i="2"/>
  <c r="I314" i="2"/>
  <c r="H442" i="2"/>
  <c r="I553" i="2"/>
  <c r="H329" i="2"/>
  <c r="N418" i="2"/>
  <c r="O418" i="2" s="1"/>
  <c r="I545" i="2"/>
  <c r="I3" i="2"/>
  <c r="N177" i="2"/>
  <c r="P177" i="2" s="1"/>
  <c r="I345" i="2"/>
  <c r="I346" i="2"/>
  <c r="I201" i="2"/>
  <c r="I602" i="2"/>
  <c r="H314" i="2"/>
  <c r="H417" i="2"/>
  <c r="H379" i="2"/>
  <c r="H545" i="2"/>
  <c r="N314" i="2"/>
  <c r="O314" i="2" s="1"/>
  <c r="N594" i="2"/>
  <c r="O594" i="2" s="1"/>
  <c r="H593" i="2"/>
  <c r="H67" i="2"/>
  <c r="H305" i="2"/>
  <c r="H163" i="2"/>
  <c r="I219" i="2"/>
  <c r="N163" i="2"/>
  <c r="P163" i="2" s="1"/>
  <c r="I475" i="2"/>
  <c r="I457" i="2"/>
  <c r="H602" i="2"/>
  <c r="H219" i="2"/>
  <c r="H289" i="2"/>
  <c r="I218" i="2"/>
  <c r="H587" i="2"/>
  <c r="H435" i="2"/>
  <c r="N419" i="2"/>
  <c r="P419" i="2" s="1"/>
  <c r="I267" i="2"/>
  <c r="K267" i="2"/>
  <c r="L267" i="2" s="1"/>
  <c r="H369" i="2"/>
  <c r="K369" i="2"/>
  <c r="L369" i="2" s="1"/>
  <c r="N497" i="2"/>
  <c r="O497" i="2" s="1"/>
  <c r="K497" i="2"/>
  <c r="L497" i="2" s="1"/>
  <c r="I330" i="2"/>
  <c r="K330" i="2"/>
  <c r="L330" i="2" s="1"/>
  <c r="I465" i="2"/>
  <c r="K465" i="2"/>
  <c r="L465" i="2" s="1"/>
  <c r="H177" i="2"/>
  <c r="K331" i="2"/>
  <c r="L331" i="2" s="1"/>
  <c r="K163" i="2"/>
  <c r="L163" i="2" s="1"/>
  <c r="K571" i="2"/>
  <c r="L571" i="2" s="1"/>
  <c r="I155" i="2"/>
  <c r="K155" i="2"/>
  <c r="L155" i="2" s="1"/>
  <c r="I129" i="2"/>
  <c r="K129" i="2"/>
  <c r="L129" i="2" s="1"/>
  <c r="I385" i="2"/>
  <c r="K385" i="2"/>
  <c r="L385" i="2" s="1"/>
  <c r="I115" i="2"/>
  <c r="K115" i="2"/>
  <c r="L115" i="2" s="1"/>
  <c r="H130" i="2"/>
  <c r="K130" i="2"/>
  <c r="L130" i="2" s="1"/>
  <c r="N9" i="2"/>
  <c r="O9" i="2" s="1"/>
  <c r="K9" i="2"/>
  <c r="L9" i="2" s="1"/>
  <c r="I506" i="2"/>
  <c r="K506" i="2"/>
  <c r="L506" i="2" s="1"/>
  <c r="K507" i="2"/>
  <c r="L507" i="2" s="1"/>
  <c r="H74" i="2"/>
  <c r="K74" i="2"/>
  <c r="H75" i="2"/>
  <c r="K75" i="2"/>
  <c r="L75" i="2" s="1"/>
  <c r="H441" i="2"/>
  <c r="K441" i="2"/>
  <c r="L441" i="2" s="1"/>
  <c r="I81" i="2"/>
  <c r="K81" i="2"/>
  <c r="L81" i="2" s="1"/>
  <c r="H42" i="2"/>
  <c r="K42" i="2"/>
  <c r="L42" i="2" s="1"/>
  <c r="I170" i="2"/>
  <c r="K170" i="2"/>
  <c r="L170" i="2" s="1"/>
  <c r="I426" i="2"/>
  <c r="K426" i="2"/>
  <c r="L426" i="2" s="1"/>
  <c r="I243" i="2"/>
  <c r="K243" i="2"/>
  <c r="L243" i="2" s="1"/>
  <c r="H43" i="2"/>
  <c r="K43" i="2"/>
  <c r="L43" i="2" s="1"/>
  <c r="H49" i="2"/>
  <c r="K49" i="2"/>
  <c r="L49" i="2" s="1"/>
  <c r="N154" i="2"/>
  <c r="O154" i="2" s="1"/>
  <c r="K154" i="2"/>
  <c r="L154" i="2" s="1"/>
  <c r="I410" i="2"/>
  <c r="K410" i="2"/>
  <c r="L410" i="2" s="1"/>
  <c r="I538" i="2"/>
  <c r="K538" i="2"/>
  <c r="L538" i="2" s="1"/>
  <c r="K27" i="2"/>
  <c r="L27" i="2" s="1"/>
  <c r="K137" i="2"/>
  <c r="L137" i="2" s="1"/>
  <c r="N265" i="2"/>
  <c r="O265" i="2" s="1"/>
  <c r="K265" i="2"/>
  <c r="L265" i="2" s="1"/>
  <c r="N393" i="2"/>
  <c r="P393" i="2" s="1"/>
  <c r="K393" i="2"/>
  <c r="L393" i="2" s="1"/>
  <c r="I521" i="2"/>
  <c r="K521" i="2"/>
  <c r="L521" i="2" s="1"/>
  <c r="I123" i="2"/>
  <c r="K123" i="2"/>
  <c r="L123" i="2" s="1"/>
  <c r="N11" i="2"/>
  <c r="P11" i="2" s="1"/>
  <c r="K11" i="2"/>
  <c r="L11" i="2" s="1"/>
  <c r="H98" i="2"/>
  <c r="K98" i="2"/>
  <c r="L98" i="2" s="1"/>
  <c r="H529" i="2"/>
  <c r="K529" i="2"/>
  <c r="L529" i="2" s="1"/>
  <c r="H433" i="2"/>
  <c r="N434" i="2"/>
  <c r="O434" i="2" s="1"/>
  <c r="K347" i="2"/>
  <c r="L347" i="2" s="1"/>
  <c r="K411" i="2"/>
  <c r="L411" i="2" s="1"/>
  <c r="K65" i="2"/>
  <c r="L65" i="2" s="1"/>
  <c r="K193" i="2"/>
  <c r="L193" i="2" s="1"/>
  <c r="K321" i="2"/>
  <c r="L321" i="2" s="1"/>
  <c r="K449" i="2"/>
  <c r="L449" i="2" s="1"/>
  <c r="K577" i="2"/>
  <c r="L577" i="2" s="1"/>
  <c r="K146" i="2"/>
  <c r="L146" i="2" s="1"/>
  <c r="K466" i="2"/>
  <c r="L466" i="2" s="1"/>
  <c r="K371" i="2"/>
  <c r="L371" i="2" s="1"/>
  <c r="K66" i="2"/>
  <c r="L66" i="2" s="1"/>
  <c r="H194" i="2"/>
  <c r="K194" i="2"/>
  <c r="L194" i="2" s="1"/>
  <c r="H322" i="2"/>
  <c r="K322" i="2"/>
  <c r="L322" i="2" s="1"/>
  <c r="H450" i="2"/>
  <c r="K450" i="2"/>
  <c r="L450" i="2" s="1"/>
  <c r="H578" i="2"/>
  <c r="K578" i="2"/>
  <c r="L578" i="2" s="1"/>
  <c r="K297" i="2"/>
  <c r="L297" i="2" s="1"/>
  <c r="K553" i="2"/>
  <c r="L553" i="2" s="1"/>
  <c r="K523" i="2"/>
  <c r="L523" i="2" s="1"/>
  <c r="H66" i="2"/>
  <c r="H297" i="2"/>
  <c r="N251" i="2"/>
  <c r="O251" i="2" s="1"/>
  <c r="K539" i="2"/>
  <c r="L539" i="2" s="1"/>
  <c r="H106" i="2"/>
  <c r="K106" i="2"/>
  <c r="L106" i="2" s="1"/>
  <c r="H234" i="2"/>
  <c r="K234" i="2"/>
  <c r="L234" i="2" s="1"/>
  <c r="H362" i="2"/>
  <c r="K362" i="2"/>
  <c r="L362" i="2" s="1"/>
  <c r="I490" i="2"/>
  <c r="K490" i="2"/>
  <c r="L490" i="2" s="1"/>
  <c r="H18" i="2"/>
  <c r="K18" i="2"/>
  <c r="L18" i="2" s="1"/>
  <c r="K169" i="2"/>
  <c r="L169" i="2" s="1"/>
  <c r="K530" i="2"/>
  <c r="L530" i="2" s="1"/>
  <c r="I499" i="2"/>
  <c r="K499" i="2"/>
  <c r="L499" i="2" s="1"/>
  <c r="I89" i="2"/>
  <c r="K89" i="2"/>
  <c r="L89" i="2" s="1"/>
  <c r="N217" i="2"/>
  <c r="P217" i="2" s="1"/>
  <c r="K217" i="2"/>
  <c r="L217" i="2" s="1"/>
  <c r="N473" i="2"/>
  <c r="P473" i="2" s="1"/>
  <c r="K473" i="2"/>
  <c r="L473" i="2" s="1"/>
  <c r="K601" i="2"/>
  <c r="L601" i="2" s="1"/>
  <c r="K361" i="2"/>
  <c r="L361" i="2" s="1"/>
  <c r="K139" i="2"/>
  <c r="L139" i="2" s="1"/>
  <c r="K90" i="2"/>
  <c r="L90" i="2" s="1"/>
  <c r="H474" i="2"/>
  <c r="K474" i="2"/>
  <c r="L474" i="2" s="1"/>
  <c r="H483" i="2"/>
  <c r="K483" i="2"/>
  <c r="L483" i="2" s="1"/>
  <c r="K73" i="2"/>
  <c r="L73" i="2" s="1"/>
  <c r="K329" i="2"/>
  <c r="L329" i="2" s="1"/>
  <c r="K585" i="2"/>
  <c r="L585" i="2" s="1"/>
  <c r="K379" i="2"/>
  <c r="L379" i="2" s="1"/>
  <c r="H161" i="2"/>
  <c r="K161" i="2"/>
  <c r="L161" i="2" s="1"/>
  <c r="K57" i="2"/>
  <c r="L57" i="2" s="1"/>
  <c r="K162" i="2"/>
  <c r="L162" i="2" s="1"/>
  <c r="K290" i="2"/>
  <c r="L290" i="2" s="1"/>
  <c r="K418" i="2"/>
  <c r="L418" i="2" s="1"/>
  <c r="K186" i="2"/>
  <c r="L186" i="2" s="1"/>
  <c r="K442" i="2"/>
  <c r="L442" i="2" s="1"/>
  <c r="I106" i="2"/>
  <c r="I466" i="2"/>
  <c r="H361" i="2"/>
  <c r="H146" i="2"/>
  <c r="H601" i="2"/>
  <c r="N433" i="2"/>
  <c r="O433" i="2" s="1"/>
  <c r="N561" i="2"/>
  <c r="O561" i="2" s="1"/>
  <c r="N73" i="2"/>
  <c r="O73" i="2" s="1"/>
  <c r="N355" i="2"/>
  <c r="O355" i="2" s="1"/>
  <c r="I321" i="2"/>
  <c r="I449" i="2"/>
  <c r="N346" i="2"/>
  <c r="O346" i="2" s="1"/>
  <c r="N3" i="2"/>
  <c r="O3" i="2" s="1"/>
  <c r="N305" i="2"/>
  <c r="O305" i="2" s="1"/>
  <c r="N602" i="2"/>
  <c r="O602" i="2" s="1"/>
  <c r="H539" i="2"/>
  <c r="N322" i="2"/>
  <c r="O322" i="2" s="1"/>
  <c r="H371" i="2"/>
  <c r="H193" i="2"/>
  <c r="N146" i="2"/>
  <c r="P146" i="2" s="1"/>
  <c r="H466" i="2"/>
  <c r="N194" i="2"/>
  <c r="O194" i="2" s="1"/>
  <c r="N27" i="2"/>
  <c r="O27" i="2" s="1"/>
  <c r="I265" i="2"/>
  <c r="I179" i="2"/>
  <c r="I331" i="2"/>
  <c r="I539" i="2"/>
  <c r="I169" i="2"/>
  <c r="I529" i="2"/>
  <c r="I474" i="2"/>
  <c r="H27" i="2"/>
  <c r="H457" i="2"/>
  <c r="N90" i="2"/>
  <c r="P90" i="2" s="1"/>
  <c r="N179" i="2"/>
  <c r="O179" i="2" s="1"/>
  <c r="N379" i="2"/>
  <c r="O379" i="2" s="1"/>
  <c r="I234" i="2"/>
  <c r="H346" i="2"/>
  <c r="H331" i="2"/>
  <c r="H169" i="2"/>
  <c r="N201" i="2"/>
  <c r="P201" i="2" s="1"/>
  <c r="N571" i="2"/>
  <c r="O571" i="2" s="1"/>
  <c r="I530" i="2"/>
  <c r="I362" i="2"/>
  <c r="H490" i="2"/>
  <c r="H499" i="2"/>
  <c r="I139" i="2"/>
  <c r="I571" i="2"/>
  <c r="I217" i="2"/>
  <c r="H530" i="2"/>
  <c r="H3" i="2"/>
  <c r="H57" i="2"/>
  <c r="H201" i="2"/>
  <c r="N585" i="2"/>
  <c r="O585" i="2" s="1"/>
  <c r="N162" i="2"/>
  <c r="O162" i="2" s="1"/>
  <c r="N219" i="2"/>
  <c r="O219" i="2" s="1"/>
  <c r="N331" i="2"/>
  <c r="P331" i="2" s="1"/>
  <c r="N297" i="2"/>
  <c r="P297" i="2" s="1"/>
  <c r="N530" i="2"/>
  <c r="P530" i="2" s="1"/>
  <c r="N371" i="2"/>
  <c r="O371" i="2" s="1"/>
  <c r="N361" i="2"/>
  <c r="O361" i="2" s="1"/>
  <c r="N139" i="2"/>
  <c r="O139" i="2" s="1"/>
  <c r="N411" i="2"/>
  <c r="O411" i="2" s="1"/>
  <c r="H449" i="2"/>
  <c r="N466" i="2"/>
  <c r="O466" i="2" s="1"/>
  <c r="H411" i="2"/>
  <c r="N66" i="2"/>
  <c r="P66" i="2" s="1"/>
  <c r="N578" i="2"/>
  <c r="P578" i="2" s="1"/>
  <c r="H577" i="2"/>
  <c r="N169" i="2"/>
  <c r="O169" i="2" s="1"/>
  <c r="N553" i="2"/>
  <c r="O553" i="2" s="1"/>
  <c r="N450" i="2"/>
  <c r="P450" i="2" s="1"/>
  <c r="H321" i="2"/>
  <c r="H65" i="2"/>
  <c r="N67" i="2"/>
  <c r="P67" i="2" s="1"/>
  <c r="N523" i="2"/>
  <c r="O523" i="2" s="1"/>
  <c r="J196" i="2"/>
  <c r="G196" i="2"/>
  <c r="J20" i="2"/>
  <c r="G20" i="2"/>
  <c r="I20" i="2" s="1"/>
  <c r="J84" i="2"/>
  <c r="G84" i="2"/>
  <c r="J148" i="2"/>
  <c r="G148" i="2"/>
  <c r="K148" i="2" s="1"/>
  <c r="J212" i="2"/>
  <c r="G212" i="2"/>
  <c r="K212" i="2" s="1"/>
  <c r="J276" i="2"/>
  <c r="G276" i="2"/>
  <c r="K276" i="2" s="1"/>
  <c r="J340" i="2"/>
  <c r="G340" i="2"/>
  <c r="J404" i="2"/>
  <c r="G404" i="2"/>
  <c r="J468" i="2"/>
  <c r="G468" i="2"/>
  <c r="I468" i="2" s="1"/>
  <c r="J532" i="2"/>
  <c r="G532" i="2"/>
  <c r="K532" i="2" s="1"/>
  <c r="J596" i="2"/>
  <c r="G596" i="2"/>
  <c r="J61" i="2"/>
  <c r="G61" i="2"/>
  <c r="J125" i="2"/>
  <c r="G125" i="2"/>
  <c r="J189" i="2"/>
  <c r="G189" i="2"/>
  <c r="K189" i="2" s="1"/>
  <c r="J253" i="2"/>
  <c r="G253" i="2"/>
  <c r="J317" i="2"/>
  <c r="G317" i="2"/>
  <c r="J381" i="2"/>
  <c r="G381" i="2"/>
  <c r="J445" i="2"/>
  <c r="G445" i="2"/>
  <c r="K445" i="2" s="1"/>
  <c r="J509" i="2"/>
  <c r="G509" i="2"/>
  <c r="K509" i="2" s="1"/>
  <c r="J573" i="2"/>
  <c r="G573" i="2"/>
  <c r="J38" i="2"/>
  <c r="G38" i="2"/>
  <c r="K38" i="2" s="1"/>
  <c r="J102" i="2"/>
  <c r="G102" i="2"/>
  <c r="K102" i="2" s="1"/>
  <c r="J166" i="2"/>
  <c r="G166" i="2"/>
  <c r="J230" i="2"/>
  <c r="G230" i="2"/>
  <c r="K230" i="2" s="1"/>
  <c r="J294" i="2"/>
  <c r="G294" i="2"/>
  <c r="K294" i="2" s="1"/>
  <c r="J358" i="2"/>
  <c r="G358" i="2"/>
  <c r="I358" i="2" s="1"/>
  <c r="J422" i="2"/>
  <c r="G422" i="2"/>
  <c r="J486" i="2"/>
  <c r="G486" i="2"/>
  <c r="J550" i="2"/>
  <c r="G550" i="2"/>
  <c r="I550" i="2" s="1"/>
  <c r="G15" i="2"/>
  <c r="J15" i="2"/>
  <c r="G79" i="2"/>
  <c r="J79" i="2"/>
  <c r="G143" i="2"/>
  <c r="K143" i="2" s="1"/>
  <c r="J143" i="2"/>
  <c r="G207" i="2"/>
  <c r="K207" i="2" s="1"/>
  <c r="J207" i="2"/>
  <c r="G271" i="2"/>
  <c r="I271" i="2" s="1"/>
  <c r="J271" i="2"/>
  <c r="G335" i="2"/>
  <c r="K335" i="2" s="1"/>
  <c r="J335" i="2"/>
  <c r="G399" i="2"/>
  <c r="K399" i="2" s="1"/>
  <c r="J399" i="2"/>
  <c r="G463" i="2"/>
  <c r="K463" i="2" s="1"/>
  <c r="J463" i="2"/>
  <c r="G527" i="2"/>
  <c r="K527" i="2" s="1"/>
  <c r="J527" i="2"/>
  <c r="G591" i="2"/>
  <c r="H591" i="2" s="1"/>
  <c r="J591" i="2"/>
  <c r="G56" i="2"/>
  <c r="K56" i="2" s="1"/>
  <c r="J56" i="2"/>
  <c r="G120" i="2"/>
  <c r="K120" i="2" s="1"/>
  <c r="J120" i="2"/>
  <c r="G184" i="2"/>
  <c r="J184" i="2"/>
  <c r="G248" i="2"/>
  <c r="K248" i="2" s="1"/>
  <c r="J248" i="2"/>
  <c r="G312" i="2"/>
  <c r="K312" i="2" s="1"/>
  <c r="J312" i="2"/>
  <c r="G376" i="2"/>
  <c r="J376" i="2"/>
  <c r="G440" i="2"/>
  <c r="K440" i="2" s="1"/>
  <c r="J440" i="2"/>
  <c r="G504" i="2"/>
  <c r="J504" i="2"/>
  <c r="G568" i="2"/>
  <c r="K568" i="2" s="1"/>
  <c r="J568" i="2"/>
  <c r="L283" i="2"/>
  <c r="H283" i="2"/>
  <c r="N42" i="2"/>
  <c r="O42" i="2" s="1"/>
  <c r="I42" i="2"/>
  <c r="N170" i="2"/>
  <c r="O170" i="2" s="1"/>
  <c r="L298" i="2"/>
  <c r="N298" i="2"/>
  <c r="P298" i="2" s="1"/>
  <c r="I298" i="2"/>
  <c r="H298" i="2"/>
  <c r="N426" i="2"/>
  <c r="P426" i="2" s="1"/>
  <c r="H426" i="2"/>
  <c r="L554" i="2"/>
  <c r="N554" i="2"/>
  <c r="O554" i="2" s="1"/>
  <c r="H554" i="2"/>
  <c r="I554" i="2"/>
  <c r="L82" i="2"/>
  <c r="H82" i="2"/>
  <c r="N82" i="2"/>
  <c r="O82" i="2" s="1"/>
  <c r="I82" i="2"/>
  <c r="L338" i="2"/>
  <c r="I338" i="2"/>
  <c r="N338" i="2"/>
  <c r="P338" i="2" s="1"/>
  <c r="N243" i="2"/>
  <c r="O243" i="2" s="1"/>
  <c r="N43" i="2"/>
  <c r="O43" i="2" s="1"/>
  <c r="L153" i="2"/>
  <c r="H153" i="2"/>
  <c r="N153" i="2"/>
  <c r="O153" i="2" s="1"/>
  <c r="I153" i="2"/>
  <c r="L281" i="2"/>
  <c r="H281" i="2"/>
  <c r="N281" i="2"/>
  <c r="O281" i="2" s="1"/>
  <c r="I281" i="2"/>
  <c r="L409" i="2"/>
  <c r="H409" i="2"/>
  <c r="N409" i="2"/>
  <c r="O409" i="2" s="1"/>
  <c r="I409" i="2"/>
  <c r="L537" i="2"/>
  <c r="H537" i="2"/>
  <c r="N537" i="2"/>
  <c r="O537" i="2" s="1"/>
  <c r="I537" i="2"/>
  <c r="L233" i="2"/>
  <c r="N233" i="2"/>
  <c r="O233" i="2" s="1"/>
  <c r="I233" i="2"/>
  <c r="H233" i="2"/>
  <c r="L489" i="2"/>
  <c r="N489" i="2"/>
  <c r="O489" i="2" s="1"/>
  <c r="H489" i="2"/>
  <c r="I489" i="2"/>
  <c r="L395" i="2"/>
  <c r="N395" i="2"/>
  <c r="O395" i="2" s="1"/>
  <c r="N49" i="2"/>
  <c r="P49" i="2" s="1"/>
  <c r="I49" i="2"/>
  <c r="H154" i="2"/>
  <c r="I154" i="2"/>
  <c r="L282" i="2"/>
  <c r="H282" i="2"/>
  <c r="I282" i="2"/>
  <c r="N410" i="2"/>
  <c r="P410" i="2" s="1"/>
  <c r="H410" i="2"/>
  <c r="N538" i="2"/>
  <c r="P538" i="2" s="1"/>
  <c r="H538" i="2"/>
  <c r="L227" i="2"/>
  <c r="N227" i="2"/>
  <c r="O227" i="2" s="1"/>
  <c r="H227" i="2"/>
  <c r="H265" i="2"/>
  <c r="H393" i="2"/>
  <c r="N521" i="2"/>
  <c r="O521" i="2" s="1"/>
  <c r="N123" i="2"/>
  <c r="O123" i="2" s="1"/>
  <c r="H123" i="2"/>
  <c r="L10" i="2"/>
  <c r="N10" i="2"/>
  <c r="P10" i="2" s="1"/>
  <c r="H10" i="2"/>
  <c r="I10" i="2"/>
  <c r="L97" i="2"/>
  <c r="N97" i="2"/>
  <c r="O97" i="2" s="1"/>
  <c r="H97" i="2"/>
  <c r="I97" i="2"/>
  <c r="L225" i="2"/>
  <c r="N225" i="2"/>
  <c r="O225" i="2" s="1"/>
  <c r="I225" i="2"/>
  <c r="L353" i="2"/>
  <c r="N353" i="2"/>
  <c r="O353" i="2" s="1"/>
  <c r="H353" i="2"/>
  <c r="I353" i="2"/>
  <c r="L481" i="2"/>
  <c r="N481" i="2"/>
  <c r="P481" i="2" s="1"/>
  <c r="H481" i="2"/>
  <c r="I481" i="2"/>
  <c r="H11" i="2"/>
  <c r="I98" i="2"/>
  <c r="N98" i="2"/>
  <c r="P98" i="2" s="1"/>
  <c r="L226" i="2"/>
  <c r="H226" i="2"/>
  <c r="I226" i="2"/>
  <c r="N226" i="2"/>
  <c r="P226" i="2" s="1"/>
  <c r="L354" i="2"/>
  <c r="H354" i="2"/>
  <c r="I354" i="2"/>
  <c r="N354" i="2"/>
  <c r="P354" i="2" s="1"/>
  <c r="L482" i="2"/>
  <c r="N482" i="2"/>
  <c r="O482" i="2" s="1"/>
  <c r="H482" i="2"/>
  <c r="L17" i="2"/>
  <c r="N17" i="2"/>
  <c r="O17" i="2" s="1"/>
  <c r="H17" i="2"/>
  <c r="L122" i="2"/>
  <c r="N122" i="2"/>
  <c r="O122" i="2" s="1"/>
  <c r="H122" i="2"/>
  <c r="I122" i="2"/>
  <c r="L250" i="2"/>
  <c r="N250" i="2"/>
  <c r="O250" i="2" s="1"/>
  <c r="I250" i="2"/>
  <c r="L378" i="2"/>
  <c r="N378" i="2"/>
  <c r="O378" i="2" s="1"/>
  <c r="I378" i="2"/>
  <c r="H378" i="2"/>
  <c r="N529" i="2"/>
  <c r="O529" i="2" s="1"/>
  <c r="L274" i="2"/>
  <c r="N274" i="2"/>
  <c r="P274" i="2" s="1"/>
  <c r="I274" i="2"/>
  <c r="I11" i="2"/>
  <c r="I75" i="2"/>
  <c r="I395" i="2"/>
  <c r="H170" i="2"/>
  <c r="H338" i="2"/>
  <c r="N137" i="2"/>
  <c r="P137" i="2" s="1"/>
  <c r="J68" i="2"/>
  <c r="G68" i="2"/>
  <c r="J260" i="2"/>
  <c r="G260" i="2"/>
  <c r="K260" i="2" s="1"/>
  <c r="J516" i="2"/>
  <c r="G516" i="2"/>
  <c r="J173" i="2"/>
  <c r="G173" i="2"/>
  <c r="J557" i="2"/>
  <c r="G557" i="2"/>
  <c r="J214" i="2"/>
  <c r="G214" i="2"/>
  <c r="J470" i="2"/>
  <c r="G470" i="2"/>
  <c r="J191" i="2"/>
  <c r="G191" i="2"/>
  <c r="G360" i="2"/>
  <c r="J360" i="2"/>
  <c r="L209" i="2"/>
  <c r="N209" i="2"/>
  <c r="P209" i="2" s="1"/>
  <c r="J324" i="2"/>
  <c r="G324" i="2"/>
  <c r="J580" i="2"/>
  <c r="G580" i="2"/>
  <c r="K580" i="2" s="1"/>
  <c r="J301" i="2"/>
  <c r="G301" i="2"/>
  <c r="J22" i="2"/>
  <c r="G22" i="2"/>
  <c r="J278" i="2"/>
  <c r="G278" i="2"/>
  <c r="K278" i="2" s="1"/>
  <c r="J598" i="2"/>
  <c r="G598" i="2"/>
  <c r="J255" i="2"/>
  <c r="G255" i="2"/>
  <c r="J447" i="2"/>
  <c r="G447" i="2"/>
  <c r="G168" i="2"/>
  <c r="I168" i="2" s="1"/>
  <c r="J168" i="2"/>
  <c r="G232" i="2"/>
  <c r="I232" i="2" s="1"/>
  <c r="J232" i="2"/>
  <c r="G488" i="2"/>
  <c r="J488" i="2"/>
  <c r="L19" i="2"/>
  <c r="N19" i="2"/>
  <c r="O19" i="2" s="1"/>
  <c r="H19" i="2"/>
  <c r="L257" i="2"/>
  <c r="N257" i="2"/>
  <c r="O257" i="2" s="1"/>
  <c r="H257" i="2"/>
  <c r="L513" i="2"/>
  <c r="N513" i="2"/>
  <c r="P513" i="2" s="1"/>
  <c r="H513" i="2"/>
  <c r="N115" i="2"/>
  <c r="O115" i="2" s="1"/>
  <c r="H115" i="2"/>
  <c r="N130" i="2"/>
  <c r="O130" i="2" s="1"/>
  <c r="I130" i="2"/>
  <c r="H514" i="2"/>
  <c r="L514" i="2"/>
  <c r="I514" i="2"/>
  <c r="N267" i="2"/>
  <c r="P267" i="2" s="1"/>
  <c r="H267" i="2"/>
  <c r="L241" i="2"/>
  <c r="N241" i="2"/>
  <c r="O241" i="2" s="1"/>
  <c r="I241" i="2"/>
  <c r="H241" i="2"/>
  <c r="L99" i="2"/>
  <c r="N99" i="2"/>
  <c r="O99" i="2" s="1"/>
  <c r="L114" i="2"/>
  <c r="N114" i="2"/>
  <c r="O114" i="2" s="1"/>
  <c r="H114" i="2"/>
  <c r="I114" i="2"/>
  <c r="L370" i="2"/>
  <c r="N370" i="2"/>
  <c r="O370" i="2" s="1"/>
  <c r="I370" i="2"/>
  <c r="H370" i="2"/>
  <c r="L498" i="2"/>
  <c r="N498" i="2"/>
  <c r="O498" i="2" s="1"/>
  <c r="H498" i="2"/>
  <c r="N506" i="2"/>
  <c r="O506" i="2" s="1"/>
  <c r="L202" i="2"/>
  <c r="N202" i="2"/>
  <c r="O202" i="2" s="1"/>
  <c r="H202" i="2"/>
  <c r="I202" i="2"/>
  <c r="N330" i="2"/>
  <c r="P330" i="2" s="1"/>
  <c r="H330" i="2"/>
  <c r="L586" i="2"/>
  <c r="N586" i="2"/>
  <c r="O586" i="2" s="1"/>
  <c r="I586" i="2"/>
  <c r="L313" i="2"/>
  <c r="I313" i="2"/>
  <c r="N313" i="2"/>
  <c r="O313" i="2" s="1"/>
  <c r="H313" i="2"/>
  <c r="N81" i="2"/>
  <c r="O81" i="2" s="1"/>
  <c r="H81" i="2"/>
  <c r="L59" i="2"/>
  <c r="N59" i="2"/>
  <c r="P59" i="2" s="1"/>
  <c r="H59" i="2"/>
  <c r="I257" i="2"/>
  <c r="I19" i="2"/>
  <c r="I74" i="2"/>
  <c r="H586" i="2"/>
  <c r="I27" i="2"/>
  <c r="I283" i="2"/>
  <c r="I9" i="2"/>
  <c r="H250" i="2"/>
  <c r="H395" i="2"/>
  <c r="H99" i="2"/>
  <c r="H137" i="2"/>
  <c r="H225" i="2"/>
  <c r="N282" i="2"/>
  <c r="O282" i="2" s="1"/>
  <c r="J132" i="2"/>
  <c r="G132" i="2"/>
  <c r="J388" i="2"/>
  <c r="G388" i="2"/>
  <c r="K388" i="2" s="1"/>
  <c r="J45" i="2"/>
  <c r="G45" i="2"/>
  <c r="J237" i="2"/>
  <c r="G237" i="2"/>
  <c r="J429" i="2"/>
  <c r="G429" i="2"/>
  <c r="K429" i="2" s="1"/>
  <c r="J150" i="2"/>
  <c r="G150" i="2"/>
  <c r="J406" i="2"/>
  <c r="G406" i="2"/>
  <c r="J63" i="2"/>
  <c r="G63" i="2"/>
  <c r="H63" i="2" s="1"/>
  <c r="J319" i="2"/>
  <c r="G319" i="2"/>
  <c r="J511" i="2"/>
  <c r="G511" i="2"/>
  <c r="G104" i="2"/>
  <c r="K104" i="2" s="1"/>
  <c r="J104" i="2"/>
  <c r="G424" i="2"/>
  <c r="J424" i="2"/>
  <c r="H155" i="2"/>
  <c r="N155" i="2"/>
  <c r="O155" i="2" s="1"/>
  <c r="N385" i="2"/>
  <c r="O385" i="2" s="1"/>
  <c r="H385" i="2"/>
  <c r="L210" i="2"/>
  <c r="N210" i="2"/>
  <c r="O210" i="2" s="1"/>
  <c r="I210" i="2"/>
  <c r="H210" i="2"/>
  <c r="H258" i="2"/>
  <c r="N258" i="2"/>
  <c r="P258" i="2" s="1"/>
  <c r="I258" i="2"/>
  <c r="L26" i="2"/>
  <c r="N26" i="2"/>
  <c r="O26" i="2" s="1"/>
  <c r="H26" i="2"/>
  <c r="I26" i="2"/>
  <c r="N465" i="2"/>
  <c r="O465" i="2" s="1"/>
  <c r="H465" i="2"/>
  <c r="I59" i="2"/>
  <c r="N514" i="2"/>
  <c r="O514" i="2" s="1"/>
  <c r="H243" i="2"/>
  <c r="H209" i="2"/>
  <c r="N507" i="2"/>
  <c r="P507" i="2" s="1"/>
  <c r="I99" i="2"/>
  <c r="I227" i="2"/>
  <c r="I17" i="2"/>
  <c r="I209" i="2"/>
  <c r="I393" i="2"/>
  <c r="I482" i="2"/>
  <c r="I498" i="2"/>
  <c r="H506" i="2"/>
  <c r="N283" i="2"/>
  <c r="P283" i="2" s="1"/>
  <c r="J4" i="2"/>
  <c r="G4" i="2"/>
  <c r="J452" i="2"/>
  <c r="G452" i="2"/>
  <c r="J109" i="2"/>
  <c r="G109" i="2"/>
  <c r="K109" i="2" s="1"/>
  <c r="J365" i="2"/>
  <c r="G365" i="2"/>
  <c r="J493" i="2"/>
  <c r="G493" i="2"/>
  <c r="J86" i="2"/>
  <c r="G86" i="2"/>
  <c r="J342" i="2"/>
  <c r="G342" i="2"/>
  <c r="K342" i="2" s="1"/>
  <c r="J534" i="2"/>
  <c r="G534" i="2"/>
  <c r="J127" i="2"/>
  <c r="G127" i="2"/>
  <c r="K127" i="2" s="1"/>
  <c r="J383" i="2"/>
  <c r="G383" i="2"/>
  <c r="J575" i="2"/>
  <c r="G575" i="2"/>
  <c r="G40" i="2"/>
  <c r="J40" i="2"/>
  <c r="G296" i="2"/>
  <c r="J296" i="2"/>
  <c r="G552" i="2"/>
  <c r="K552" i="2" s="1"/>
  <c r="J552" i="2"/>
  <c r="N129" i="2"/>
  <c r="P129" i="2" s="1"/>
  <c r="H129" i="2"/>
  <c r="L41" i="2"/>
  <c r="H41" i="2"/>
  <c r="I41" i="2"/>
  <c r="N41" i="2"/>
  <c r="O41" i="2" s="1"/>
  <c r="L25" i="2"/>
  <c r="H25" i="2"/>
  <c r="I25" i="2"/>
  <c r="H386" i="2"/>
  <c r="N386" i="2"/>
  <c r="O386" i="2" s="1"/>
  <c r="I386" i="2"/>
  <c r="L386" i="2"/>
  <c r="L105" i="2"/>
  <c r="H105" i="2"/>
  <c r="N105" i="2"/>
  <c r="P105" i="2" s="1"/>
  <c r="I105" i="2"/>
  <c r="L425" i="2"/>
  <c r="N425" i="2"/>
  <c r="O425" i="2" s="1"/>
  <c r="H425" i="2"/>
  <c r="I425" i="2"/>
  <c r="L113" i="2"/>
  <c r="H113" i="2"/>
  <c r="N113" i="2"/>
  <c r="P113" i="2" s="1"/>
  <c r="I113" i="2"/>
  <c r="N369" i="2"/>
  <c r="O369" i="2" s="1"/>
  <c r="I369" i="2"/>
  <c r="H497" i="2"/>
  <c r="I497" i="2"/>
  <c r="H9" i="2"/>
  <c r="L242" i="2"/>
  <c r="N242" i="2"/>
  <c r="O242" i="2" s="1"/>
  <c r="H242" i="2"/>
  <c r="I242" i="2"/>
  <c r="L74" i="2"/>
  <c r="N74" i="2"/>
  <c r="O74" i="2" s="1"/>
  <c r="L458" i="2"/>
  <c r="N458" i="2"/>
  <c r="O458" i="2" s="1"/>
  <c r="I458" i="2"/>
  <c r="H458" i="2"/>
  <c r="N75" i="2"/>
  <c r="O75" i="2" s="1"/>
  <c r="L185" i="2"/>
  <c r="I185" i="2"/>
  <c r="H185" i="2"/>
  <c r="N185" i="2"/>
  <c r="P185" i="2" s="1"/>
  <c r="I441" i="2"/>
  <c r="N441" i="2"/>
  <c r="P441" i="2" s="1"/>
  <c r="L569" i="2"/>
  <c r="H569" i="2"/>
  <c r="I569" i="2"/>
  <c r="N569" i="2"/>
  <c r="P569" i="2" s="1"/>
  <c r="L337" i="2"/>
  <c r="N337" i="2"/>
  <c r="O337" i="2" s="1"/>
  <c r="H337" i="2"/>
  <c r="I507" i="2"/>
  <c r="I337" i="2"/>
  <c r="I43" i="2"/>
  <c r="I137" i="2"/>
  <c r="I513" i="2"/>
  <c r="H274" i="2"/>
  <c r="H507" i="2"/>
  <c r="H521" i="2"/>
  <c r="N25" i="2"/>
  <c r="O25" i="2" s="1"/>
  <c r="J28" i="2"/>
  <c r="G28" i="2"/>
  <c r="K28" i="2" s="1"/>
  <c r="J92" i="2"/>
  <c r="G92" i="2"/>
  <c r="K92" i="2" s="1"/>
  <c r="J156" i="2"/>
  <c r="G156" i="2"/>
  <c r="K156" i="2" s="1"/>
  <c r="J220" i="2"/>
  <c r="G220" i="2"/>
  <c r="K220" i="2" s="1"/>
  <c r="J284" i="2"/>
  <c r="G284" i="2"/>
  <c r="K284" i="2" s="1"/>
  <c r="J348" i="2"/>
  <c r="G348" i="2"/>
  <c r="K348" i="2" s="1"/>
  <c r="J412" i="2"/>
  <c r="G412" i="2"/>
  <c r="K412" i="2" s="1"/>
  <c r="J476" i="2"/>
  <c r="G476" i="2"/>
  <c r="K476" i="2" s="1"/>
  <c r="J540" i="2"/>
  <c r="G540" i="2"/>
  <c r="J5" i="2"/>
  <c r="G5" i="2"/>
  <c r="K5" i="2" s="1"/>
  <c r="J69" i="2"/>
  <c r="G69" i="2"/>
  <c r="K69" i="2" s="1"/>
  <c r="J133" i="2"/>
  <c r="G133" i="2"/>
  <c r="K133" i="2" s="1"/>
  <c r="J197" i="2"/>
  <c r="G197" i="2"/>
  <c r="K197" i="2" s="1"/>
  <c r="N539" i="2"/>
  <c r="P539" i="2" s="1"/>
  <c r="J52" i="2"/>
  <c r="G52" i="2"/>
  <c r="K52" i="2" s="1"/>
  <c r="J116" i="2"/>
  <c r="G116" i="2"/>
  <c r="K116" i="2" s="1"/>
  <c r="J180" i="2"/>
  <c r="G180" i="2"/>
  <c r="K180" i="2" s="1"/>
  <c r="J244" i="2"/>
  <c r="G244" i="2"/>
  <c r="K244" i="2" s="1"/>
  <c r="J308" i="2"/>
  <c r="G308" i="2"/>
  <c r="K308" i="2" s="1"/>
  <c r="J372" i="2"/>
  <c r="G372" i="2"/>
  <c r="K372" i="2" s="1"/>
  <c r="J436" i="2"/>
  <c r="G436" i="2"/>
  <c r="K436" i="2" s="1"/>
  <c r="J500" i="2"/>
  <c r="G500" i="2"/>
  <c r="K500" i="2" s="1"/>
  <c r="J564" i="2"/>
  <c r="G564" i="2"/>
  <c r="J29" i="2"/>
  <c r="G29" i="2"/>
  <c r="K29" i="2" s="1"/>
  <c r="J93" i="2"/>
  <c r="G93" i="2"/>
  <c r="K93" i="2" s="1"/>
  <c r="J157" i="2"/>
  <c r="G157" i="2"/>
  <c r="J221" i="2"/>
  <c r="G221" i="2"/>
  <c r="K221" i="2" s="1"/>
  <c r="J285" i="2"/>
  <c r="G285" i="2"/>
  <c r="K285" i="2" s="1"/>
  <c r="J349" i="2"/>
  <c r="G349" i="2"/>
  <c r="K349" i="2" s="1"/>
  <c r="J413" i="2"/>
  <c r="G413" i="2"/>
  <c r="K413" i="2" s="1"/>
  <c r="J477" i="2"/>
  <c r="G477" i="2"/>
  <c r="J541" i="2"/>
  <c r="G541" i="2"/>
  <c r="K541" i="2" s="1"/>
  <c r="J6" i="2"/>
  <c r="G6" i="2"/>
  <c r="J70" i="2"/>
  <c r="G70" i="2"/>
  <c r="K70" i="2" s="1"/>
  <c r="J134" i="2"/>
  <c r="G134" i="2"/>
  <c r="J198" i="2"/>
  <c r="G198" i="2"/>
  <c r="K198" i="2" s="1"/>
  <c r="J262" i="2"/>
  <c r="G262" i="2"/>
  <c r="K262" i="2" s="1"/>
  <c r="J326" i="2"/>
  <c r="G326" i="2"/>
  <c r="K326" i="2" s="1"/>
  <c r="J390" i="2"/>
  <c r="G390" i="2"/>
  <c r="K390" i="2" s="1"/>
  <c r="J454" i="2"/>
  <c r="G454" i="2"/>
  <c r="K454" i="2" s="1"/>
  <c r="J518" i="2"/>
  <c r="G518" i="2"/>
  <c r="K518" i="2" s="1"/>
  <c r="J582" i="2"/>
  <c r="G582" i="2"/>
  <c r="K582" i="2" s="1"/>
  <c r="G47" i="2"/>
  <c r="K47" i="2" s="1"/>
  <c r="J47" i="2"/>
  <c r="G111" i="2"/>
  <c r="K111" i="2" s="1"/>
  <c r="J111" i="2"/>
  <c r="G175" i="2"/>
  <c r="K175" i="2" s="1"/>
  <c r="J175" i="2"/>
  <c r="G239" i="2"/>
  <c r="J239" i="2"/>
  <c r="G303" i="2"/>
  <c r="K303" i="2" s="1"/>
  <c r="J303" i="2"/>
  <c r="G367" i="2"/>
  <c r="K367" i="2" s="1"/>
  <c r="J367" i="2"/>
  <c r="G431" i="2"/>
  <c r="K431" i="2" s="1"/>
  <c r="J431" i="2"/>
  <c r="G495" i="2"/>
  <c r="K495" i="2" s="1"/>
  <c r="J495" i="2"/>
  <c r="G559" i="2"/>
  <c r="K559" i="2" s="1"/>
  <c r="J559" i="2"/>
  <c r="G24" i="2"/>
  <c r="J24" i="2"/>
  <c r="G88" i="2"/>
  <c r="J88" i="2"/>
  <c r="G152" i="2"/>
  <c r="K152" i="2" s="1"/>
  <c r="J152" i="2"/>
  <c r="G216" i="2"/>
  <c r="J216" i="2"/>
  <c r="G280" i="2"/>
  <c r="J280" i="2"/>
  <c r="G344" i="2"/>
  <c r="J344" i="2"/>
  <c r="G408" i="2"/>
  <c r="K408" i="2" s="1"/>
  <c r="J408" i="2"/>
  <c r="G472" i="2"/>
  <c r="K472" i="2" s="1"/>
  <c r="J472" i="2"/>
  <c r="G536" i="2"/>
  <c r="J536" i="2"/>
  <c r="G600" i="2"/>
  <c r="J600" i="2"/>
  <c r="N106" i="2"/>
  <c r="O106" i="2" s="1"/>
  <c r="N234" i="2"/>
  <c r="P234" i="2" s="1"/>
  <c r="N362" i="2"/>
  <c r="O362" i="2" s="1"/>
  <c r="N490" i="2"/>
  <c r="O490" i="2" s="1"/>
  <c r="N18" i="2"/>
  <c r="O18" i="2" s="1"/>
  <c r="N499" i="2"/>
  <c r="P499" i="2" s="1"/>
  <c r="N89" i="2"/>
  <c r="O89" i="2" s="1"/>
  <c r="H89" i="2"/>
  <c r="H217" i="2"/>
  <c r="L345" i="2"/>
  <c r="H345" i="2"/>
  <c r="N345" i="2"/>
  <c r="O345" i="2" s="1"/>
  <c r="H473" i="2"/>
  <c r="L218" i="2"/>
  <c r="N218" i="2"/>
  <c r="O218" i="2" s="1"/>
  <c r="H218" i="2"/>
  <c r="N474" i="2"/>
  <c r="O474" i="2" s="1"/>
  <c r="N483" i="2"/>
  <c r="P483" i="2" s="1"/>
  <c r="N601" i="2"/>
  <c r="O601" i="2" s="1"/>
  <c r="J261" i="2"/>
  <c r="G261" i="2"/>
  <c r="K261" i="2" s="1"/>
  <c r="J325" i="2"/>
  <c r="G325" i="2"/>
  <c r="J389" i="2"/>
  <c r="G389" i="2"/>
  <c r="K389" i="2" s="1"/>
  <c r="J453" i="2"/>
  <c r="G453" i="2"/>
  <c r="K453" i="2" s="1"/>
  <c r="J517" i="2"/>
  <c r="G517" i="2"/>
  <c r="K517" i="2" s="1"/>
  <c r="J581" i="2"/>
  <c r="G581" i="2"/>
  <c r="K581" i="2" s="1"/>
  <c r="J46" i="2"/>
  <c r="G46" i="2"/>
  <c r="J110" i="2"/>
  <c r="G110" i="2"/>
  <c r="K110" i="2" s="1"/>
  <c r="J174" i="2"/>
  <c r="G174" i="2"/>
  <c r="K174" i="2" s="1"/>
  <c r="J238" i="2"/>
  <c r="G238" i="2"/>
  <c r="K238" i="2" s="1"/>
  <c r="J302" i="2"/>
  <c r="G302" i="2"/>
  <c r="K302" i="2" s="1"/>
  <c r="J366" i="2"/>
  <c r="G366" i="2"/>
  <c r="K366" i="2" s="1"/>
  <c r="J430" i="2"/>
  <c r="G430" i="2"/>
  <c r="J494" i="2"/>
  <c r="G494" i="2"/>
  <c r="K494" i="2" s="1"/>
  <c r="J558" i="2"/>
  <c r="G558" i="2"/>
  <c r="K558" i="2" s="1"/>
  <c r="G23" i="2"/>
  <c r="K23" i="2" s="1"/>
  <c r="J23" i="2"/>
  <c r="G87" i="2"/>
  <c r="K87" i="2" s="1"/>
  <c r="J87" i="2"/>
  <c r="G151" i="2"/>
  <c r="K151" i="2" s="1"/>
  <c r="J151" i="2"/>
  <c r="G215" i="2"/>
  <c r="K215" i="2" s="1"/>
  <c r="J215" i="2"/>
  <c r="G279" i="2"/>
  <c r="K279" i="2" s="1"/>
  <c r="J279" i="2"/>
  <c r="G343" i="2"/>
  <c r="K343" i="2" s="1"/>
  <c r="J343" i="2"/>
  <c r="G407" i="2"/>
  <c r="K407" i="2" s="1"/>
  <c r="J407" i="2"/>
  <c r="G471" i="2"/>
  <c r="K471" i="2" s="1"/>
  <c r="J471" i="2"/>
  <c r="G535" i="2"/>
  <c r="K535" i="2" s="1"/>
  <c r="J535" i="2"/>
  <c r="G599" i="2"/>
  <c r="K599" i="2" s="1"/>
  <c r="J599" i="2"/>
  <c r="G64" i="2"/>
  <c r="K64" i="2" s="1"/>
  <c r="J64" i="2"/>
  <c r="J128" i="2"/>
  <c r="G128" i="2"/>
  <c r="K128" i="2" s="1"/>
  <c r="J192" i="2"/>
  <c r="G192" i="2"/>
  <c r="K192" i="2" s="1"/>
  <c r="J256" i="2"/>
  <c r="G256" i="2"/>
  <c r="K256" i="2" s="1"/>
  <c r="J320" i="2"/>
  <c r="G320" i="2"/>
  <c r="K320" i="2" s="1"/>
  <c r="J384" i="2"/>
  <c r="G384" i="2"/>
  <c r="K384" i="2" s="1"/>
  <c r="J448" i="2"/>
  <c r="G448" i="2"/>
  <c r="K448" i="2" s="1"/>
  <c r="J512" i="2"/>
  <c r="G512" i="2"/>
  <c r="K512" i="2" s="1"/>
  <c r="J576" i="2"/>
  <c r="G576" i="2"/>
  <c r="K576" i="2" s="1"/>
  <c r="L307" i="2"/>
  <c r="N307" i="2"/>
  <c r="O307" i="2" s="1"/>
  <c r="L291" i="2"/>
  <c r="N291" i="2"/>
  <c r="P291" i="2" s="1"/>
  <c r="H585" i="2"/>
  <c r="N329" i="2"/>
  <c r="O329" i="2" s="1"/>
  <c r="N290" i="2"/>
  <c r="O290" i="2" s="1"/>
  <c r="N546" i="2"/>
  <c r="O546" i="2" s="1"/>
  <c r="N187" i="2"/>
  <c r="P187" i="2" s="1"/>
  <c r="N347" i="2"/>
  <c r="O347" i="2" s="1"/>
  <c r="J36" i="2"/>
  <c r="G36" i="2"/>
  <c r="K36" i="2" s="1"/>
  <c r="J100" i="2"/>
  <c r="G100" i="2"/>
  <c r="K100" i="2" s="1"/>
  <c r="J164" i="2"/>
  <c r="G164" i="2"/>
  <c r="K164" i="2" s="1"/>
  <c r="J228" i="2"/>
  <c r="G228" i="2"/>
  <c r="K228" i="2" s="1"/>
  <c r="J292" i="2"/>
  <c r="G292" i="2"/>
  <c r="K292" i="2" s="1"/>
  <c r="J356" i="2"/>
  <c r="G356" i="2"/>
  <c r="K356" i="2" s="1"/>
  <c r="J420" i="2"/>
  <c r="G420" i="2"/>
  <c r="K420" i="2" s="1"/>
  <c r="J484" i="2"/>
  <c r="G484" i="2"/>
  <c r="K484" i="2" s="1"/>
  <c r="J548" i="2"/>
  <c r="G548" i="2"/>
  <c r="K548" i="2" s="1"/>
  <c r="J13" i="2"/>
  <c r="G13" i="2"/>
  <c r="K13" i="2" s="1"/>
  <c r="J77" i="2"/>
  <c r="G77" i="2"/>
  <c r="K77" i="2" s="1"/>
  <c r="J141" i="2"/>
  <c r="G141" i="2"/>
  <c r="K141" i="2" s="1"/>
  <c r="J205" i="2"/>
  <c r="G205" i="2"/>
  <c r="K205" i="2" s="1"/>
  <c r="J269" i="2"/>
  <c r="G269" i="2"/>
  <c r="K269" i="2" s="1"/>
  <c r="J333" i="2"/>
  <c r="G333" i="2"/>
  <c r="K333" i="2" s="1"/>
  <c r="J397" i="2"/>
  <c r="G397" i="2"/>
  <c r="K397" i="2" s="1"/>
  <c r="J461" i="2"/>
  <c r="G461" i="2"/>
  <c r="K461" i="2" s="1"/>
  <c r="J525" i="2"/>
  <c r="G525" i="2"/>
  <c r="K525" i="2" s="1"/>
  <c r="J589" i="2"/>
  <c r="G589" i="2"/>
  <c r="K589" i="2" s="1"/>
  <c r="J54" i="2"/>
  <c r="G54" i="2"/>
  <c r="K54" i="2" s="1"/>
  <c r="J118" i="2"/>
  <c r="G118" i="2"/>
  <c r="K118" i="2" s="1"/>
  <c r="J182" i="2"/>
  <c r="G182" i="2"/>
  <c r="K182" i="2" s="1"/>
  <c r="J246" i="2"/>
  <c r="G246" i="2"/>
  <c r="K246" i="2" s="1"/>
  <c r="J310" i="2"/>
  <c r="G310" i="2"/>
  <c r="K310" i="2" s="1"/>
  <c r="J374" i="2"/>
  <c r="G374" i="2"/>
  <c r="K374" i="2" s="1"/>
  <c r="N57" i="2"/>
  <c r="O57" i="2" s="1"/>
  <c r="H51" i="2"/>
  <c r="N51" i="2"/>
  <c r="P51" i="2" s="1"/>
  <c r="N161" i="2"/>
  <c r="O161" i="2" s="1"/>
  <c r="L289" i="2"/>
  <c r="N289" i="2"/>
  <c r="O289" i="2" s="1"/>
  <c r="L417" i="2"/>
  <c r="N417" i="2"/>
  <c r="O417" i="2" s="1"/>
  <c r="L545" i="2"/>
  <c r="N545" i="2"/>
  <c r="O545" i="2" s="1"/>
  <c r="L58" i="2"/>
  <c r="N58" i="2"/>
  <c r="O58" i="2" s="1"/>
  <c r="N457" i="2"/>
  <c r="O457" i="2" s="1"/>
  <c r="J12" i="2"/>
  <c r="G12" i="2"/>
  <c r="K12" i="2" s="1"/>
  <c r="J76" i="2"/>
  <c r="G76" i="2"/>
  <c r="K76" i="2" s="1"/>
  <c r="J140" i="2"/>
  <c r="G140" i="2"/>
  <c r="K140" i="2" s="1"/>
  <c r="J204" i="2"/>
  <c r="G204" i="2"/>
  <c r="K204" i="2" s="1"/>
  <c r="J268" i="2"/>
  <c r="G268" i="2"/>
  <c r="K268" i="2" s="1"/>
  <c r="J332" i="2"/>
  <c r="G332" i="2"/>
  <c r="K332" i="2" s="1"/>
  <c r="J396" i="2"/>
  <c r="G396" i="2"/>
  <c r="K396" i="2" s="1"/>
  <c r="J460" i="2"/>
  <c r="G460" i="2"/>
  <c r="K460" i="2" s="1"/>
  <c r="J524" i="2"/>
  <c r="G524" i="2"/>
  <c r="K524" i="2" s="1"/>
  <c r="J588" i="2"/>
  <c r="G588" i="2"/>
  <c r="K588" i="2" s="1"/>
  <c r="J53" i="2"/>
  <c r="G53" i="2"/>
  <c r="K53" i="2" s="1"/>
  <c r="J117" i="2"/>
  <c r="G117" i="2"/>
  <c r="K117" i="2" s="1"/>
  <c r="J181" i="2"/>
  <c r="G181" i="2"/>
  <c r="K181" i="2" s="1"/>
  <c r="J245" i="2"/>
  <c r="G245" i="2"/>
  <c r="K245" i="2" s="1"/>
  <c r="J309" i="2"/>
  <c r="G309" i="2"/>
  <c r="K309" i="2" s="1"/>
  <c r="J373" i="2"/>
  <c r="G373" i="2"/>
  <c r="K373" i="2" s="1"/>
  <c r="J437" i="2"/>
  <c r="G437" i="2"/>
  <c r="K437" i="2" s="1"/>
  <c r="J501" i="2"/>
  <c r="G501" i="2"/>
  <c r="K501" i="2" s="1"/>
  <c r="J565" i="2"/>
  <c r="G565" i="2"/>
  <c r="K565" i="2" s="1"/>
  <c r="J30" i="2"/>
  <c r="G30" i="2"/>
  <c r="K30" i="2" s="1"/>
  <c r="J94" i="2"/>
  <c r="G94" i="2"/>
  <c r="K94" i="2" s="1"/>
  <c r="J158" i="2"/>
  <c r="G158" i="2"/>
  <c r="K158" i="2" s="1"/>
  <c r="J222" i="2"/>
  <c r="G222" i="2"/>
  <c r="K222" i="2" s="1"/>
  <c r="J286" i="2"/>
  <c r="G286" i="2"/>
  <c r="K286" i="2" s="1"/>
  <c r="J350" i="2"/>
  <c r="G350" i="2"/>
  <c r="K350" i="2" s="1"/>
  <c r="J414" i="2"/>
  <c r="G414" i="2"/>
  <c r="K414" i="2" s="1"/>
  <c r="J478" i="2"/>
  <c r="G478" i="2"/>
  <c r="K478" i="2" s="1"/>
  <c r="J542" i="2"/>
  <c r="G542" i="2"/>
  <c r="K542" i="2" s="1"/>
  <c r="G7" i="2"/>
  <c r="K7" i="2" s="1"/>
  <c r="J7" i="2"/>
  <c r="G71" i="2"/>
  <c r="K71" i="2" s="1"/>
  <c r="J71" i="2"/>
  <c r="G135" i="2"/>
  <c r="K135" i="2" s="1"/>
  <c r="J135" i="2"/>
  <c r="G199" i="2"/>
  <c r="K199" i="2" s="1"/>
  <c r="J199" i="2"/>
  <c r="G263" i="2"/>
  <c r="K263" i="2" s="1"/>
  <c r="J263" i="2"/>
  <c r="G327" i="2"/>
  <c r="K327" i="2" s="1"/>
  <c r="J327" i="2"/>
  <c r="G391" i="2"/>
  <c r="K391" i="2" s="1"/>
  <c r="J391" i="2"/>
  <c r="G455" i="2"/>
  <c r="K455" i="2" s="1"/>
  <c r="J455" i="2"/>
  <c r="G519" i="2"/>
  <c r="K519" i="2" s="1"/>
  <c r="J519" i="2"/>
  <c r="G583" i="2"/>
  <c r="K583" i="2" s="1"/>
  <c r="J583" i="2"/>
  <c r="G48" i="2"/>
  <c r="K48" i="2" s="1"/>
  <c r="J48" i="2"/>
  <c r="J112" i="2"/>
  <c r="G112" i="2"/>
  <c r="K112" i="2" s="1"/>
  <c r="J176" i="2"/>
  <c r="G176" i="2"/>
  <c r="K176" i="2" s="1"/>
  <c r="G240" i="2"/>
  <c r="K240" i="2" s="1"/>
  <c r="J240" i="2"/>
  <c r="G304" i="2"/>
  <c r="K304" i="2" s="1"/>
  <c r="J304" i="2"/>
  <c r="G368" i="2"/>
  <c r="K368" i="2" s="1"/>
  <c r="J368" i="2"/>
  <c r="G432" i="2"/>
  <c r="K432" i="2" s="1"/>
  <c r="J432" i="2"/>
  <c r="G496" i="2"/>
  <c r="K496" i="2" s="1"/>
  <c r="J496" i="2"/>
  <c r="G560" i="2"/>
  <c r="K560" i="2" s="1"/>
  <c r="J560" i="2"/>
  <c r="J438" i="2"/>
  <c r="G438" i="2"/>
  <c r="K438" i="2" s="1"/>
  <c r="J502" i="2"/>
  <c r="G502" i="2"/>
  <c r="K502" i="2" s="1"/>
  <c r="J566" i="2"/>
  <c r="G566" i="2"/>
  <c r="K566" i="2" s="1"/>
  <c r="J31" i="2"/>
  <c r="G31" i="2"/>
  <c r="J95" i="2"/>
  <c r="G95" i="2"/>
  <c r="K95" i="2" s="1"/>
  <c r="J159" i="2"/>
  <c r="G159" i="2"/>
  <c r="K159" i="2" s="1"/>
  <c r="J223" i="2"/>
  <c r="G223" i="2"/>
  <c r="K223" i="2" s="1"/>
  <c r="J287" i="2"/>
  <c r="G287" i="2"/>
  <c r="K287" i="2" s="1"/>
  <c r="J351" i="2"/>
  <c r="G351" i="2"/>
  <c r="K351" i="2" s="1"/>
  <c r="J415" i="2"/>
  <c r="G415" i="2"/>
  <c r="K415" i="2" s="1"/>
  <c r="J479" i="2"/>
  <c r="G479" i="2"/>
  <c r="K479" i="2" s="1"/>
  <c r="J543" i="2"/>
  <c r="G543" i="2"/>
  <c r="K543" i="2" s="1"/>
  <c r="G8" i="2"/>
  <c r="K8" i="2" s="1"/>
  <c r="J8" i="2"/>
  <c r="G72" i="2"/>
  <c r="K72" i="2" s="1"/>
  <c r="J72" i="2"/>
  <c r="G136" i="2"/>
  <c r="K136" i="2" s="1"/>
  <c r="J136" i="2"/>
  <c r="G200" i="2"/>
  <c r="K200" i="2" s="1"/>
  <c r="J200" i="2"/>
  <c r="G264" i="2"/>
  <c r="K264" i="2" s="1"/>
  <c r="J264" i="2"/>
  <c r="G328" i="2"/>
  <c r="K328" i="2" s="1"/>
  <c r="J328" i="2"/>
  <c r="G392" i="2"/>
  <c r="K392" i="2" s="1"/>
  <c r="J392" i="2"/>
  <c r="G456" i="2"/>
  <c r="K456" i="2" s="1"/>
  <c r="J456" i="2"/>
  <c r="G520" i="2"/>
  <c r="K520" i="2" s="1"/>
  <c r="J520" i="2"/>
  <c r="G584" i="2"/>
  <c r="K584" i="2" s="1"/>
  <c r="J584" i="2"/>
  <c r="N65" i="2"/>
  <c r="P65" i="2" s="1"/>
  <c r="N193" i="2"/>
  <c r="O193" i="2" s="1"/>
  <c r="N321" i="2"/>
  <c r="O321" i="2" s="1"/>
  <c r="N449" i="2"/>
  <c r="O449" i="2" s="1"/>
  <c r="N577" i="2"/>
  <c r="P577" i="2" s="1"/>
  <c r="J44" i="2"/>
  <c r="G44" i="2"/>
  <c r="K44" i="2" s="1"/>
  <c r="J108" i="2"/>
  <c r="G108" i="2"/>
  <c r="K108" i="2" s="1"/>
  <c r="J172" i="2"/>
  <c r="G172" i="2"/>
  <c r="K172" i="2" s="1"/>
  <c r="J236" i="2"/>
  <c r="G236" i="2"/>
  <c r="K236" i="2" s="1"/>
  <c r="J300" i="2"/>
  <c r="G300" i="2"/>
  <c r="K300" i="2" s="1"/>
  <c r="J364" i="2"/>
  <c r="G364" i="2"/>
  <c r="K364" i="2" s="1"/>
  <c r="J428" i="2"/>
  <c r="G428" i="2"/>
  <c r="K428" i="2" s="1"/>
  <c r="J492" i="2"/>
  <c r="G492" i="2"/>
  <c r="K492" i="2" s="1"/>
  <c r="J556" i="2"/>
  <c r="G556" i="2"/>
  <c r="K556" i="2" s="1"/>
  <c r="J21" i="2"/>
  <c r="G21" i="2"/>
  <c r="K21" i="2" s="1"/>
  <c r="J85" i="2"/>
  <c r="G85" i="2"/>
  <c r="K85" i="2" s="1"/>
  <c r="J149" i="2"/>
  <c r="G149" i="2"/>
  <c r="K149" i="2" s="1"/>
  <c r="J213" i="2"/>
  <c r="G213" i="2"/>
  <c r="K213" i="2" s="1"/>
  <c r="J277" i="2"/>
  <c r="G277" i="2"/>
  <c r="K277" i="2" s="1"/>
  <c r="J341" i="2"/>
  <c r="G341" i="2"/>
  <c r="K341" i="2" s="1"/>
  <c r="J405" i="2"/>
  <c r="G405" i="2"/>
  <c r="K405" i="2" s="1"/>
  <c r="J469" i="2"/>
  <c r="G469" i="2"/>
  <c r="K469" i="2" s="1"/>
  <c r="J533" i="2"/>
  <c r="G533" i="2"/>
  <c r="K533" i="2" s="1"/>
  <c r="J597" i="2"/>
  <c r="G597" i="2"/>
  <c r="K597" i="2" s="1"/>
  <c r="J62" i="2"/>
  <c r="G62" i="2"/>
  <c r="K62" i="2" s="1"/>
  <c r="J126" i="2"/>
  <c r="G126" i="2"/>
  <c r="K126" i="2" s="1"/>
  <c r="J190" i="2"/>
  <c r="G190" i="2"/>
  <c r="K190" i="2" s="1"/>
  <c r="J254" i="2"/>
  <c r="G254" i="2"/>
  <c r="K254" i="2" s="1"/>
  <c r="J318" i="2"/>
  <c r="G318" i="2"/>
  <c r="K318" i="2" s="1"/>
  <c r="J382" i="2"/>
  <c r="G382" i="2"/>
  <c r="K382" i="2" s="1"/>
  <c r="J446" i="2"/>
  <c r="G446" i="2"/>
  <c r="K446" i="2" s="1"/>
  <c r="J510" i="2"/>
  <c r="G510" i="2"/>
  <c r="K510" i="2" s="1"/>
  <c r="J574" i="2"/>
  <c r="G574" i="2"/>
  <c r="K574" i="2" s="1"/>
  <c r="G39" i="2"/>
  <c r="K39" i="2" s="1"/>
  <c r="J39" i="2"/>
  <c r="G103" i="2"/>
  <c r="K103" i="2" s="1"/>
  <c r="J103" i="2"/>
  <c r="G167" i="2"/>
  <c r="K167" i="2" s="1"/>
  <c r="J167" i="2"/>
  <c r="G231" i="2"/>
  <c r="K231" i="2" s="1"/>
  <c r="J231" i="2"/>
  <c r="G295" i="2"/>
  <c r="K295" i="2" s="1"/>
  <c r="J295" i="2"/>
  <c r="G359" i="2"/>
  <c r="K359" i="2" s="1"/>
  <c r="J359" i="2"/>
  <c r="G423" i="2"/>
  <c r="K423" i="2" s="1"/>
  <c r="J423" i="2"/>
  <c r="G487" i="2"/>
  <c r="K487" i="2" s="1"/>
  <c r="J487" i="2"/>
  <c r="G551" i="2"/>
  <c r="K551" i="2" s="1"/>
  <c r="J551" i="2"/>
  <c r="G16" i="2"/>
  <c r="K16" i="2" s="1"/>
  <c r="J16" i="2"/>
  <c r="G80" i="2"/>
  <c r="K80" i="2" s="1"/>
  <c r="J80" i="2"/>
  <c r="G144" i="2"/>
  <c r="K144" i="2" s="1"/>
  <c r="J144" i="2"/>
  <c r="J208" i="2"/>
  <c r="G208" i="2"/>
  <c r="K208" i="2" s="1"/>
  <c r="J272" i="2"/>
  <c r="G272" i="2"/>
  <c r="K272" i="2" s="1"/>
  <c r="J336" i="2"/>
  <c r="G336" i="2"/>
  <c r="K336" i="2" s="1"/>
  <c r="J400" i="2"/>
  <c r="G400" i="2"/>
  <c r="K400" i="2" s="1"/>
  <c r="J464" i="2"/>
  <c r="G464" i="2"/>
  <c r="K464" i="2" s="1"/>
  <c r="J528" i="2"/>
  <c r="G528" i="2"/>
  <c r="K528" i="2" s="1"/>
  <c r="J592" i="2"/>
  <c r="G592" i="2"/>
  <c r="K592" i="2" s="1"/>
  <c r="N186" i="2"/>
  <c r="O186" i="2" s="1"/>
  <c r="J60" i="2"/>
  <c r="G60" i="2"/>
  <c r="K60" i="2" s="1"/>
  <c r="J124" i="2"/>
  <c r="G124" i="2"/>
  <c r="K124" i="2" s="1"/>
  <c r="J188" i="2"/>
  <c r="G188" i="2"/>
  <c r="K188" i="2" s="1"/>
  <c r="J252" i="2"/>
  <c r="G252" i="2"/>
  <c r="K252" i="2" s="1"/>
  <c r="J316" i="2"/>
  <c r="G316" i="2"/>
  <c r="K316" i="2" s="1"/>
  <c r="J380" i="2"/>
  <c r="G380" i="2"/>
  <c r="K380" i="2" s="1"/>
  <c r="J444" i="2"/>
  <c r="G444" i="2"/>
  <c r="K444" i="2" s="1"/>
  <c r="J508" i="2"/>
  <c r="G508" i="2"/>
  <c r="K508" i="2" s="1"/>
  <c r="J572" i="2"/>
  <c r="G572" i="2"/>
  <c r="K572" i="2" s="1"/>
  <c r="J37" i="2"/>
  <c r="G37" i="2"/>
  <c r="K37" i="2" s="1"/>
  <c r="J101" i="2"/>
  <c r="G101" i="2"/>
  <c r="K101" i="2" s="1"/>
  <c r="J165" i="2"/>
  <c r="G165" i="2"/>
  <c r="K165" i="2" s="1"/>
  <c r="J229" i="2"/>
  <c r="G229" i="2"/>
  <c r="K229" i="2" s="1"/>
  <c r="J293" i="2"/>
  <c r="G293" i="2"/>
  <c r="K293" i="2" s="1"/>
  <c r="J357" i="2"/>
  <c r="G357" i="2"/>
  <c r="K357" i="2" s="1"/>
  <c r="J421" i="2"/>
  <c r="G421" i="2"/>
  <c r="K421" i="2" s="1"/>
  <c r="J485" i="2"/>
  <c r="G485" i="2"/>
  <c r="K485" i="2" s="1"/>
  <c r="J549" i="2"/>
  <c r="G549" i="2"/>
  <c r="K549" i="2" s="1"/>
  <c r="J14" i="2"/>
  <c r="G14" i="2"/>
  <c r="K14" i="2" s="1"/>
  <c r="J78" i="2"/>
  <c r="G78" i="2"/>
  <c r="K78" i="2" s="1"/>
  <c r="J142" i="2"/>
  <c r="G142" i="2"/>
  <c r="K142" i="2" s="1"/>
  <c r="J206" i="2"/>
  <c r="G206" i="2"/>
  <c r="K206" i="2" s="1"/>
  <c r="J270" i="2"/>
  <c r="G270" i="2"/>
  <c r="K270" i="2" s="1"/>
  <c r="J334" i="2"/>
  <c r="G334" i="2"/>
  <c r="K334" i="2" s="1"/>
  <c r="J398" i="2"/>
  <c r="G398" i="2"/>
  <c r="K398" i="2" s="1"/>
  <c r="J462" i="2"/>
  <c r="G462" i="2"/>
  <c r="K462" i="2" s="1"/>
  <c r="J526" i="2"/>
  <c r="G526" i="2"/>
  <c r="K526" i="2" s="1"/>
  <c r="J590" i="2"/>
  <c r="G590" i="2"/>
  <c r="K590" i="2" s="1"/>
  <c r="G55" i="2"/>
  <c r="K55" i="2" s="1"/>
  <c r="J55" i="2"/>
  <c r="G119" i="2"/>
  <c r="K119" i="2" s="1"/>
  <c r="J119" i="2"/>
  <c r="G183" i="2"/>
  <c r="K183" i="2" s="1"/>
  <c r="J183" i="2"/>
  <c r="G247" i="2"/>
  <c r="K247" i="2" s="1"/>
  <c r="J247" i="2"/>
  <c r="G311" i="2"/>
  <c r="K311" i="2" s="1"/>
  <c r="J311" i="2"/>
  <c r="G375" i="2"/>
  <c r="K375" i="2" s="1"/>
  <c r="J375" i="2"/>
  <c r="G439" i="2"/>
  <c r="K439" i="2" s="1"/>
  <c r="J439" i="2"/>
  <c r="G503" i="2"/>
  <c r="K503" i="2" s="1"/>
  <c r="J503" i="2"/>
  <c r="G567" i="2"/>
  <c r="K567" i="2" s="1"/>
  <c r="J567" i="2"/>
  <c r="G32" i="2"/>
  <c r="K32" i="2" s="1"/>
  <c r="J32" i="2"/>
  <c r="J96" i="2"/>
  <c r="G96" i="2"/>
  <c r="K96" i="2" s="1"/>
  <c r="J160" i="2"/>
  <c r="G160" i="2"/>
  <c r="K160" i="2" s="1"/>
  <c r="J224" i="2"/>
  <c r="G224" i="2"/>
  <c r="K224" i="2" s="1"/>
  <c r="J288" i="2"/>
  <c r="G288" i="2"/>
  <c r="K288" i="2" s="1"/>
  <c r="J352" i="2"/>
  <c r="G352" i="2"/>
  <c r="K352" i="2" s="1"/>
  <c r="J416" i="2"/>
  <c r="G416" i="2"/>
  <c r="K416" i="2" s="1"/>
  <c r="J480" i="2"/>
  <c r="G480" i="2"/>
  <c r="K480" i="2" s="1"/>
  <c r="J544" i="2"/>
  <c r="G544" i="2"/>
  <c r="K544" i="2" s="1"/>
  <c r="L258" i="2"/>
  <c r="L51" i="2"/>
  <c r="O171" i="2"/>
  <c r="P171" i="2"/>
  <c r="O299" i="2"/>
  <c r="P299" i="2"/>
  <c r="O427" i="2"/>
  <c r="P427" i="2"/>
  <c r="O555" i="2"/>
  <c r="P555" i="2"/>
  <c r="O443" i="2"/>
  <c r="P443" i="2"/>
  <c r="O131" i="2"/>
  <c r="P131" i="2"/>
  <c r="O195" i="2"/>
  <c r="P195" i="2"/>
  <c r="O259" i="2"/>
  <c r="P259" i="2"/>
  <c r="O323" i="2"/>
  <c r="P323" i="2"/>
  <c r="O387" i="2"/>
  <c r="P387" i="2"/>
  <c r="O451" i="2"/>
  <c r="P451" i="2"/>
  <c r="O515" i="2"/>
  <c r="P515" i="2"/>
  <c r="O579" i="2"/>
  <c r="P579" i="2"/>
  <c r="O83" i="2"/>
  <c r="P83" i="2"/>
  <c r="O147" i="2"/>
  <c r="P147" i="2"/>
  <c r="O211" i="2"/>
  <c r="P211" i="2"/>
  <c r="O275" i="2"/>
  <c r="P275" i="2"/>
  <c r="O339" i="2"/>
  <c r="P339" i="2"/>
  <c r="O403" i="2"/>
  <c r="P403" i="2"/>
  <c r="O467" i="2"/>
  <c r="P467" i="2"/>
  <c r="O531" i="2"/>
  <c r="P531" i="2"/>
  <c r="O595" i="2"/>
  <c r="P595" i="2"/>
  <c r="O107" i="2"/>
  <c r="P107" i="2"/>
  <c r="O235" i="2"/>
  <c r="P235" i="2"/>
  <c r="O363" i="2"/>
  <c r="P363" i="2"/>
  <c r="O491" i="2"/>
  <c r="P491" i="2"/>
  <c r="O442" i="2"/>
  <c r="P442" i="2"/>
  <c r="L57" i="1"/>
  <c r="M57" i="1" s="1"/>
  <c r="N57" i="1" s="1"/>
  <c r="O57" i="1" s="1"/>
  <c r="L17" i="1"/>
  <c r="M17" i="1" s="1"/>
  <c r="N17" i="1" s="1"/>
  <c r="O17" i="1" s="1"/>
  <c r="L518" i="1"/>
  <c r="M518" i="1" s="1"/>
  <c r="N518" i="1" s="1"/>
  <c r="O518" i="1" s="1"/>
  <c r="L526" i="1"/>
  <c r="M526" i="1" s="1"/>
  <c r="N526" i="1" s="1"/>
  <c r="O526" i="1" s="1"/>
  <c r="L562" i="1"/>
  <c r="M562" i="1" s="1"/>
  <c r="N562" i="1" s="1"/>
  <c r="O562" i="1" s="1"/>
  <c r="L281" i="1"/>
  <c r="M281" i="1" s="1"/>
  <c r="N281" i="1" s="1"/>
  <c r="O281" i="1" s="1"/>
  <c r="L33" i="1"/>
  <c r="M33" i="1" s="1"/>
  <c r="N33" i="1" s="1"/>
  <c r="O33" i="1" s="1"/>
  <c r="L477" i="1"/>
  <c r="M477" i="1" s="1"/>
  <c r="N477" i="1" s="1"/>
  <c r="O477" i="1" s="1"/>
  <c r="L24" i="1"/>
  <c r="M24" i="1" s="1"/>
  <c r="N24" i="1" s="1"/>
  <c r="O24" i="1" s="1"/>
  <c r="L97" i="1"/>
  <c r="M97" i="1" s="1"/>
  <c r="N97" i="1" s="1"/>
  <c r="O97" i="1" s="1"/>
  <c r="L161" i="1"/>
  <c r="M161" i="1" s="1"/>
  <c r="N161" i="1" s="1"/>
  <c r="O161" i="1" s="1"/>
  <c r="L225" i="1"/>
  <c r="M225" i="1" s="1"/>
  <c r="N225" i="1" s="1"/>
  <c r="O225" i="1" s="1"/>
  <c r="L289" i="1"/>
  <c r="M289" i="1" s="1"/>
  <c r="N289" i="1" s="1"/>
  <c r="O289" i="1" s="1"/>
  <c r="L353" i="1"/>
  <c r="M353" i="1" s="1"/>
  <c r="N353" i="1" s="1"/>
  <c r="O353" i="1" s="1"/>
  <c r="L417" i="1"/>
  <c r="M417" i="1" s="1"/>
  <c r="N417" i="1" s="1"/>
  <c r="O417" i="1" s="1"/>
  <c r="L481" i="1"/>
  <c r="M481" i="1" s="1"/>
  <c r="N481" i="1" s="1"/>
  <c r="O481" i="1" s="1"/>
  <c r="L545" i="1"/>
  <c r="M545" i="1" s="1"/>
  <c r="N545" i="1" s="1"/>
  <c r="O545" i="1" s="1"/>
  <c r="L458" i="1"/>
  <c r="M458" i="1" s="1"/>
  <c r="N458" i="1" s="1"/>
  <c r="O458" i="1" s="1"/>
  <c r="L153" i="1"/>
  <c r="M153" i="1" s="1"/>
  <c r="N153" i="1" s="1"/>
  <c r="O153" i="1" s="1"/>
  <c r="L409" i="1"/>
  <c r="M409" i="1" s="1"/>
  <c r="N409" i="1" s="1"/>
  <c r="O409" i="1" s="1"/>
  <c r="L41" i="1"/>
  <c r="M41" i="1" s="1"/>
  <c r="N41" i="1" s="1"/>
  <c r="O41" i="1" s="1"/>
  <c r="L105" i="1"/>
  <c r="M105" i="1" s="1"/>
  <c r="N105" i="1" s="1"/>
  <c r="O105" i="1" s="1"/>
  <c r="L169" i="1"/>
  <c r="M169" i="1" s="1"/>
  <c r="N169" i="1" s="1"/>
  <c r="O169" i="1" s="1"/>
  <c r="L233" i="1"/>
  <c r="M233" i="1" s="1"/>
  <c r="N233" i="1" s="1"/>
  <c r="O233" i="1" s="1"/>
  <c r="L297" i="1"/>
  <c r="M297" i="1" s="1"/>
  <c r="N297" i="1" s="1"/>
  <c r="O297" i="1" s="1"/>
  <c r="L361" i="1"/>
  <c r="M361" i="1" s="1"/>
  <c r="N361" i="1" s="1"/>
  <c r="O361" i="1" s="1"/>
  <c r="L425" i="1"/>
  <c r="M425" i="1" s="1"/>
  <c r="N425" i="1" s="1"/>
  <c r="O425" i="1" s="1"/>
  <c r="L489" i="1"/>
  <c r="M489" i="1" s="1"/>
  <c r="N489" i="1" s="1"/>
  <c r="O489" i="1" s="1"/>
  <c r="L553" i="1"/>
  <c r="M553" i="1" s="1"/>
  <c r="N553" i="1" s="1"/>
  <c r="O553" i="1" s="1"/>
  <c r="L482" i="1"/>
  <c r="M482" i="1" s="1"/>
  <c r="N482" i="1" s="1"/>
  <c r="O482" i="1" s="1"/>
  <c r="L537" i="1"/>
  <c r="M537" i="1" s="1"/>
  <c r="N537" i="1" s="1"/>
  <c r="O537" i="1" s="1"/>
  <c r="L49" i="1"/>
  <c r="M49" i="1" s="1"/>
  <c r="N49" i="1" s="1"/>
  <c r="O49" i="1" s="1"/>
  <c r="L509" i="1"/>
  <c r="M509" i="1" s="1"/>
  <c r="N509" i="1" s="1"/>
  <c r="O509" i="1" s="1"/>
  <c r="L486" i="1"/>
  <c r="M486" i="1" s="1"/>
  <c r="N486" i="1" s="1"/>
  <c r="O486" i="1" s="1"/>
  <c r="L598" i="1"/>
  <c r="M598" i="1" s="1"/>
  <c r="N598" i="1" s="1"/>
  <c r="O598" i="1" s="1"/>
  <c r="L113" i="1"/>
  <c r="M113" i="1" s="1"/>
  <c r="N113" i="1" s="1"/>
  <c r="O113" i="1" s="1"/>
  <c r="L177" i="1"/>
  <c r="M177" i="1" s="1"/>
  <c r="N177" i="1" s="1"/>
  <c r="O177" i="1" s="1"/>
  <c r="L241" i="1"/>
  <c r="M241" i="1" s="1"/>
  <c r="N241" i="1" s="1"/>
  <c r="O241" i="1" s="1"/>
  <c r="L369" i="1"/>
  <c r="M369" i="1" s="1"/>
  <c r="N369" i="1" s="1"/>
  <c r="O369" i="1" s="1"/>
  <c r="L497" i="1"/>
  <c r="M497" i="1" s="1"/>
  <c r="N497" i="1" s="1"/>
  <c r="O497" i="1" s="1"/>
  <c r="L506" i="1"/>
  <c r="M506" i="1" s="1"/>
  <c r="N506" i="1" s="1"/>
  <c r="O506" i="1" s="1"/>
  <c r="L601" i="1"/>
  <c r="M601" i="1" s="1"/>
  <c r="N601" i="1" s="1"/>
  <c r="O601" i="1" s="1"/>
  <c r="L81" i="1"/>
  <c r="M81" i="1" s="1"/>
  <c r="N81" i="1" s="1"/>
  <c r="O81" i="1" s="1"/>
  <c r="L570" i="1"/>
  <c r="M570" i="1" s="1"/>
  <c r="N570" i="1" s="1"/>
  <c r="O570" i="1" s="1"/>
  <c r="L586" i="1"/>
  <c r="M586" i="1" s="1"/>
  <c r="N586" i="1" s="1"/>
  <c r="O586" i="1" s="1"/>
  <c r="L494" i="1"/>
  <c r="M494" i="1" s="1"/>
  <c r="N494" i="1" s="1"/>
  <c r="O494" i="1" s="1"/>
  <c r="L121" i="1"/>
  <c r="M121" i="1" s="1"/>
  <c r="N121" i="1" s="1"/>
  <c r="O121" i="1" s="1"/>
  <c r="L249" i="1"/>
  <c r="M249" i="1" s="1"/>
  <c r="N249" i="1" s="1"/>
  <c r="O249" i="1" s="1"/>
  <c r="L313" i="1"/>
  <c r="M313" i="1" s="1"/>
  <c r="N313" i="1" s="1"/>
  <c r="O313" i="1" s="1"/>
  <c r="L377" i="1"/>
  <c r="M377" i="1" s="1"/>
  <c r="N377" i="1" s="1"/>
  <c r="O377" i="1" s="1"/>
  <c r="L505" i="1"/>
  <c r="M505" i="1" s="1"/>
  <c r="N505" i="1" s="1"/>
  <c r="O505" i="1" s="1"/>
  <c r="L569" i="1"/>
  <c r="M569" i="1" s="1"/>
  <c r="N569" i="1" s="1"/>
  <c r="O569" i="1" s="1"/>
  <c r="L46" i="1"/>
  <c r="M46" i="1" s="1"/>
  <c r="N46" i="1" s="1"/>
  <c r="O46" i="1" s="1"/>
  <c r="L65" i="1"/>
  <c r="M65" i="1" s="1"/>
  <c r="N65" i="1" s="1"/>
  <c r="O65" i="1" s="1"/>
  <c r="L154" i="1"/>
  <c r="M154" i="1" s="1"/>
  <c r="N154" i="1" s="1"/>
  <c r="O154" i="1" s="1"/>
  <c r="L218" i="1"/>
  <c r="M218" i="1" s="1"/>
  <c r="N218" i="1" s="1"/>
  <c r="O218" i="1" s="1"/>
  <c r="L282" i="1"/>
  <c r="M282" i="1" s="1"/>
  <c r="N282" i="1" s="1"/>
  <c r="O282" i="1" s="1"/>
  <c r="L346" i="1"/>
  <c r="M346" i="1" s="1"/>
  <c r="N346" i="1" s="1"/>
  <c r="O346" i="1" s="1"/>
  <c r="L410" i="1"/>
  <c r="M410" i="1" s="1"/>
  <c r="N410" i="1" s="1"/>
  <c r="O410" i="1" s="1"/>
  <c r="L573" i="1"/>
  <c r="M573" i="1" s="1"/>
  <c r="N573" i="1" s="1"/>
  <c r="O573" i="1" s="1"/>
  <c r="L129" i="1"/>
  <c r="M129" i="1" s="1"/>
  <c r="N129" i="1" s="1"/>
  <c r="O129" i="1" s="1"/>
  <c r="L193" i="1"/>
  <c r="M193" i="1" s="1"/>
  <c r="N193" i="1" s="1"/>
  <c r="O193" i="1" s="1"/>
  <c r="L257" i="1"/>
  <c r="M257" i="1" s="1"/>
  <c r="N257" i="1" s="1"/>
  <c r="O257" i="1" s="1"/>
  <c r="L321" i="1"/>
  <c r="M321" i="1" s="1"/>
  <c r="N321" i="1" s="1"/>
  <c r="O321" i="1" s="1"/>
  <c r="L385" i="1"/>
  <c r="M385" i="1" s="1"/>
  <c r="N385" i="1" s="1"/>
  <c r="O385" i="1" s="1"/>
  <c r="L449" i="1"/>
  <c r="M449" i="1" s="1"/>
  <c r="N449" i="1" s="1"/>
  <c r="O449" i="1" s="1"/>
  <c r="L513" i="1"/>
  <c r="M513" i="1" s="1"/>
  <c r="N513" i="1" s="1"/>
  <c r="O513" i="1" s="1"/>
  <c r="L577" i="1"/>
  <c r="M577" i="1" s="1"/>
  <c r="N577" i="1" s="1"/>
  <c r="O577" i="1" s="1"/>
  <c r="L522" i="1"/>
  <c r="M522" i="1" s="1"/>
  <c r="N522" i="1" s="1"/>
  <c r="O522" i="1" s="1"/>
  <c r="L538" i="1"/>
  <c r="M538" i="1" s="1"/>
  <c r="N538" i="1" s="1"/>
  <c r="O538" i="1" s="1"/>
  <c r="L9" i="1"/>
  <c r="M9" i="1" s="1"/>
  <c r="N9" i="1" s="1"/>
  <c r="O9" i="1" s="1"/>
  <c r="L73" i="1"/>
  <c r="M73" i="1" s="1"/>
  <c r="N73" i="1" s="1"/>
  <c r="O73" i="1" s="1"/>
  <c r="L26" i="1"/>
  <c r="M26" i="1" s="1"/>
  <c r="N26" i="1" s="1"/>
  <c r="O26" i="1" s="1"/>
  <c r="L530" i="1"/>
  <c r="M530" i="1" s="1"/>
  <c r="N530" i="1" s="1"/>
  <c r="O530" i="1" s="1"/>
  <c r="L16" i="1"/>
  <c r="M16" i="1" s="1"/>
  <c r="N16" i="1" s="1"/>
  <c r="O16" i="1" s="1"/>
  <c r="L510" i="1"/>
  <c r="M510" i="1" s="1"/>
  <c r="N510" i="1" s="1"/>
  <c r="O510" i="1" s="1"/>
  <c r="L498" i="1"/>
  <c r="M498" i="1" s="1"/>
  <c r="N498" i="1" s="1"/>
  <c r="O498" i="1" s="1"/>
  <c r="L137" i="1"/>
  <c r="M137" i="1" s="1"/>
  <c r="N137" i="1" s="1"/>
  <c r="O137" i="1" s="1"/>
  <c r="L201" i="1"/>
  <c r="M201" i="1" s="1"/>
  <c r="N201" i="1" s="1"/>
  <c r="O201" i="1" s="1"/>
  <c r="L265" i="1"/>
  <c r="M265" i="1" s="1"/>
  <c r="N265" i="1" s="1"/>
  <c r="O265" i="1" s="1"/>
  <c r="L329" i="1"/>
  <c r="M329" i="1" s="1"/>
  <c r="N329" i="1" s="1"/>
  <c r="O329" i="1" s="1"/>
  <c r="L393" i="1"/>
  <c r="M393" i="1" s="1"/>
  <c r="N393" i="1" s="1"/>
  <c r="O393" i="1" s="1"/>
  <c r="L457" i="1"/>
  <c r="M457" i="1" s="1"/>
  <c r="N457" i="1" s="1"/>
  <c r="O457" i="1" s="1"/>
  <c r="L521" i="1"/>
  <c r="M521" i="1" s="1"/>
  <c r="N521" i="1" s="1"/>
  <c r="O521" i="1" s="1"/>
  <c r="L585" i="1"/>
  <c r="M585" i="1" s="1"/>
  <c r="N585" i="1" s="1"/>
  <c r="O585" i="1" s="1"/>
  <c r="L546" i="1"/>
  <c r="M546" i="1" s="1"/>
  <c r="N546" i="1" s="1"/>
  <c r="O546" i="1" s="1"/>
  <c r="L25" i="1"/>
  <c r="M25" i="1" s="1"/>
  <c r="N25" i="1" s="1"/>
  <c r="O25" i="1" s="1"/>
  <c r="L8" i="1"/>
  <c r="M8" i="1" s="1"/>
  <c r="N8" i="1" s="1"/>
  <c r="O8" i="1" s="1"/>
  <c r="L474" i="1"/>
  <c r="M474" i="1" s="1"/>
  <c r="N474" i="1" s="1"/>
  <c r="O474" i="1" s="1"/>
  <c r="L145" i="1"/>
  <c r="M145" i="1" s="1"/>
  <c r="N145" i="1" s="1"/>
  <c r="O145" i="1" s="1"/>
  <c r="L273" i="1"/>
  <c r="M273" i="1" s="1"/>
  <c r="N273" i="1" s="1"/>
  <c r="O273" i="1" s="1"/>
  <c r="L401" i="1"/>
  <c r="M401" i="1" s="1"/>
  <c r="N401" i="1" s="1"/>
  <c r="O401" i="1" s="1"/>
  <c r="L602" i="1"/>
  <c r="M602" i="1" s="1"/>
  <c r="N602" i="1" s="1"/>
  <c r="O602" i="1" s="1"/>
  <c r="L90" i="1"/>
  <c r="M90" i="1" s="1"/>
  <c r="N90" i="1" s="1"/>
  <c r="O90" i="1" s="1"/>
  <c r="L209" i="1"/>
  <c r="M209" i="1" s="1"/>
  <c r="N209" i="1" s="1"/>
  <c r="O209" i="1" s="1"/>
  <c r="L305" i="1"/>
  <c r="M305" i="1" s="1"/>
  <c r="N305" i="1" s="1"/>
  <c r="O305" i="1" s="1"/>
  <c r="L337" i="1"/>
  <c r="M337" i="1" s="1"/>
  <c r="N337" i="1" s="1"/>
  <c r="O337" i="1" s="1"/>
  <c r="L433" i="1"/>
  <c r="M433" i="1" s="1"/>
  <c r="N433" i="1" s="1"/>
  <c r="O433" i="1" s="1"/>
  <c r="L465" i="1"/>
  <c r="M465" i="1" s="1"/>
  <c r="N465" i="1" s="1"/>
  <c r="O465" i="1" s="1"/>
  <c r="L529" i="1"/>
  <c r="M529" i="1" s="1"/>
  <c r="N529" i="1" s="1"/>
  <c r="O529" i="1" s="1"/>
  <c r="L561" i="1"/>
  <c r="M561" i="1" s="1"/>
  <c r="N561" i="1" s="1"/>
  <c r="O561" i="1" s="1"/>
  <c r="L593" i="1"/>
  <c r="M593" i="1" s="1"/>
  <c r="N593" i="1" s="1"/>
  <c r="O593" i="1" s="1"/>
  <c r="L89" i="1"/>
  <c r="M89" i="1" s="1"/>
  <c r="N89" i="1" s="1"/>
  <c r="O89" i="1" s="1"/>
  <c r="L185" i="1"/>
  <c r="M185" i="1" s="1"/>
  <c r="N185" i="1" s="1"/>
  <c r="O185" i="1" s="1"/>
  <c r="L217" i="1"/>
  <c r="M217" i="1" s="1"/>
  <c r="N217" i="1" s="1"/>
  <c r="O217" i="1" s="1"/>
  <c r="L345" i="1"/>
  <c r="M345" i="1" s="1"/>
  <c r="N345" i="1" s="1"/>
  <c r="O345" i="1" s="1"/>
  <c r="L441" i="1"/>
  <c r="M441" i="1" s="1"/>
  <c r="N441" i="1" s="1"/>
  <c r="O441" i="1" s="1"/>
  <c r="L473" i="1"/>
  <c r="M473" i="1" s="1"/>
  <c r="N473" i="1" s="1"/>
  <c r="O473" i="1" s="1"/>
  <c r="L36" i="1"/>
  <c r="M36" i="1" s="1"/>
  <c r="N36" i="1" s="1"/>
  <c r="O36" i="1" s="1"/>
  <c r="L452" i="1"/>
  <c r="M452" i="1" s="1"/>
  <c r="N452" i="1" s="1"/>
  <c r="O452" i="1" s="1"/>
  <c r="L56" i="1"/>
  <c r="M56" i="1" s="1"/>
  <c r="N56" i="1" s="1"/>
  <c r="O56" i="1" s="1"/>
  <c r="L120" i="1"/>
  <c r="M120" i="1" s="1"/>
  <c r="N120" i="1" s="1"/>
  <c r="O120" i="1" s="1"/>
  <c r="L184" i="1"/>
  <c r="M184" i="1" s="1"/>
  <c r="N184" i="1" s="1"/>
  <c r="O184" i="1" s="1"/>
  <c r="L248" i="1"/>
  <c r="M248" i="1" s="1"/>
  <c r="N248" i="1" s="1"/>
  <c r="O248" i="1" s="1"/>
  <c r="L312" i="1"/>
  <c r="M312" i="1" s="1"/>
  <c r="N312" i="1" s="1"/>
  <c r="O312" i="1" s="1"/>
  <c r="L376" i="1"/>
  <c r="M376" i="1" s="1"/>
  <c r="N376" i="1" s="1"/>
  <c r="O376" i="1" s="1"/>
  <c r="L440" i="1"/>
  <c r="M440" i="1" s="1"/>
  <c r="N440" i="1" s="1"/>
  <c r="O440" i="1" s="1"/>
  <c r="L496" i="1"/>
  <c r="M496" i="1" s="1"/>
  <c r="N496" i="1" s="1"/>
  <c r="O496" i="1" s="1"/>
  <c r="L560" i="1"/>
  <c r="M560" i="1" s="1"/>
  <c r="N560" i="1" s="1"/>
  <c r="O560" i="1" s="1"/>
  <c r="L364" i="1"/>
  <c r="M364" i="1" s="1"/>
  <c r="N364" i="1" s="1"/>
  <c r="O364" i="1" s="1"/>
  <c r="L436" i="1"/>
  <c r="M436" i="1" s="1"/>
  <c r="N436" i="1" s="1"/>
  <c r="O436" i="1" s="1"/>
  <c r="L38" i="1"/>
  <c r="M38" i="1" s="1"/>
  <c r="N38" i="1" s="1"/>
  <c r="O38" i="1" s="1"/>
  <c r="L118" i="1"/>
  <c r="M118" i="1" s="1"/>
  <c r="N118" i="1" s="1"/>
  <c r="O118" i="1" s="1"/>
  <c r="L222" i="1"/>
  <c r="M222" i="1" s="1"/>
  <c r="N222" i="1" s="1"/>
  <c r="O222" i="1" s="1"/>
  <c r="L286" i="1"/>
  <c r="M286" i="1" s="1"/>
  <c r="N286" i="1" s="1"/>
  <c r="O286" i="1" s="1"/>
  <c r="L358" i="1"/>
  <c r="M358" i="1" s="1"/>
  <c r="N358" i="1" s="1"/>
  <c r="O358" i="1" s="1"/>
  <c r="L438" i="1"/>
  <c r="M438" i="1" s="1"/>
  <c r="N438" i="1" s="1"/>
  <c r="O438" i="1" s="1"/>
  <c r="L566" i="1"/>
  <c r="M566" i="1" s="1"/>
  <c r="N566" i="1" s="1"/>
  <c r="O566" i="1" s="1"/>
  <c r="L68" i="1"/>
  <c r="M68" i="1" s="1"/>
  <c r="N68" i="1" s="1"/>
  <c r="O68" i="1" s="1"/>
  <c r="L484" i="1"/>
  <c r="M484" i="1" s="1"/>
  <c r="N484" i="1" s="1"/>
  <c r="O484" i="1" s="1"/>
  <c r="L64" i="1"/>
  <c r="M64" i="1" s="1"/>
  <c r="N64" i="1" s="1"/>
  <c r="O64" i="1" s="1"/>
  <c r="L128" i="1"/>
  <c r="M128" i="1" s="1"/>
  <c r="N128" i="1" s="1"/>
  <c r="O128" i="1" s="1"/>
  <c r="L192" i="1"/>
  <c r="M192" i="1" s="1"/>
  <c r="N192" i="1" s="1"/>
  <c r="O192" i="1" s="1"/>
  <c r="L256" i="1"/>
  <c r="M256" i="1" s="1"/>
  <c r="N256" i="1" s="1"/>
  <c r="O256" i="1" s="1"/>
  <c r="L320" i="1"/>
  <c r="M320" i="1" s="1"/>
  <c r="N320" i="1" s="1"/>
  <c r="O320" i="1" s="1"/>
  <c r="L384" i="1"/>
  <c r="M384" i="1" s="1"/>
  <c r="N384" i="1" s="1"/>
  <c r="O384" i="1" s="1"/>
  <c r="L504" i="1"/>
  <c r="M504" i="1" s="1"/>
  <c r="N504" i="1" s="1"/>
  <c r="O504" i="1" s="1"/>
  <c r="L568" i="1"/>
  <c r="M568" i="1" s="1"/>
  <c r="N568" i="1" s="1"/>
  <c r="O568" i="1" s="1"/>
  <c r="L428" i="1"/>
  <c r="M428" i="1" s="1"/>
  <c r="N428" i="1" s="1"/>
  <c r="O428" i="1" s="1"/>
  <c r="L500" i="1"/>
  <c r="M500" i="1" s="1"/>
  <c r="N500" i="1" s="1"/>
  <c r="O500" i="1" s="1"/>
  <c r="L54" i="1"/>
  <c r="M54" i="1" s="1"/>
  <c r="N54" i="1" s="1"/>
  <c r="O54" i="1" s="1"/>
  <c r="L142" i="1"/>
  <c r="M142" i="1" s="1"/>
  <c r="N142" i="1" s="1"/>
  <c r="O142" i="1" s="1"/>
  <c r="L230" i="1"/>
  <c r="M230" i="1" s="1"/>
  <c r="N230" i="1" s="1"/>
  <c r="O230" i="1" s="1"/>
  <c r="L294" i="1"/>
  <c r="M294" i="1" s="1"/>
  <c r="N294" i="1" s="1"/>
  <c r="O294" i="1" s="1"/>
  <c r="L374" i="1"/>
  <c r="M374" i="1" s="1"/>
  <c r="N374" i="1" s="1"/>
  <c r="O374" i="1" s="1"/>
  <c r="L446" i="1"/>
  <c r="M446" i="1" s="1"/>
  <c r="N446" i="1" s="1"/>
  <c r="O446" i="1" s="1"/>
  <c r="L574" i="1"/>
  <c r="M574" i="1" s="1"/>
  <c r="N574" i="1" s="1"/>
  <c r="O574" i="1" s="1"/>
  <c r="L132" i="1"/>
  <c r="M132" i="1" s="1"/>
  <c r="N132" i="1" s="1"/>
  <c r="O132" i="1" s="1"/>
  <c r="L72" i="1"/>
  <c r="M72" i="1" s="1"/>
  <c r="N72" i="1" s="1"/>
  <c r="O72" i="1" s="1"/>
  <c r="L200" i="1"/>
  <c r="M200" i="1" s="1"/>
  <c r="N200" i="1" s="1"/>
  <c r="O200" i="1" s="1"/>
  <c r="L264" i="1"/>
  <c r="M264" i="1" s="1"/>
  <c r="N264" i="1" s="1"/>
  <c r="O264" i="1" s="1"/>
  <c r="L328" i="1"/>
  <c r="M328" i="1" s="1"/>
  <c r="N328" i="1" s="1"/>
  <c r="O328" i="1" s="1"/>
  <c r="L392" i="1"/>
  <c r="M392" i="1" s="1"/>
  <c r="N392" i="1" s="1"/>
  <c r="O392" i="1" s="1"/>
  <c r="L512" i="1"/>
  <c r="M512" i="1" s="1"/>
  <c r="N512" i="1" s="1"/>
  <c r="O512" i="1" s="1"/>
  <c r="L238" i="1"/>
  <c r="M238" i="1" s="1"/>
  <c r="N238" i="1" s="1"/>
  <c r="O238" i="1" s="1"/>
  <c r="L164" i="1"/>
  <c r="M164" i="1" s="1"/>
  <c r="N164" i="1" s="1"/>
  <c r="O164" i="1" s="1"/>
  <c r="L548" i="1"/>
  <c r="M548" i="1" s="1"/>
  <c r="N548" i="1" s="1"/>
  <c r="O548" i="1" s="1"/>
  <c r="L80" i="1"/>
  <c r="M80" i="1" s="1"/>
  <c r="N80" i="1" s="1"/>
  <c r="O80" i="1" s="1"/>
  <c r="L144" i="1"/>
  <c r="M144" i="1" s="1"/>
  <c r="N144" i="1" s="1"/>
  <c r="O144" i="1" s="1"/>
  <c r="L208" i="1"/>
  <c r="M208" i="1" s="1"/>
  <c r="N208" i="1" s="1"/>
  <c r="O208" i="1" s="1"/>
  <c r="L272" i="1"/>
  <c r="M272" i="1" s="1"/>
  <c r="N272" i="1" s="1"/>
  <c r="O272" i="1" s="1"/>
  <c r="L336" i="1"/>
  <c r="M336" i="1" s="1"/>
  <c r="N336" i="1" s="1"/>
  <c r="O336" i="1" s="1"/>
  <c r="L400" i="1"/>
  <c r="M400" i="1" s="1"/>
  <c r="N400" i="1" s="1"/>
  <c r="O400" i="1" s="1"/>
  <c r="L456" i="1"/>
  <c r="M456" i="1" s="1"/>
  <c r="N456" i="1" s="1"/>
  <c r="O456" i="1" s="1"/>
  <c r="L520" i="1"/>
  <c r="M520" i="1" s="1"/>
  <c r="N520" i="1" s="1"/>
  <c r="O520" i="1" s="1"/>
  <c r="L584" i="1"/>
  <c r="M584" i="1" s="1"/>
  <c r="N584" i="1" s="1"/>
  <c r="O584" i="1" s="1"/>
  <c r="L78" i="1"/>
  <c r="M78" i="1" s="1"/>
  <c r="N78" i="1" s="1"/>
  <c r="O78" i="1" s="1"/>
  <c r="L174" i="1"/>
  <c r="M174" i="1" s="1"/>
  <c r="N174" i="1" s="1"/>
  <c r="O174" i="1" s="1"/>
  <c r="L246" i="1"/>
  <c r="M246" i="1" s="1"/>
  <c r="N246" i="1" s="1"/>
  <c r="O246" i="1" s="1"/>
  <c r="L310" i="1"/>
  <c r="M310" i="1" s="1"/>
  <c r="N310" i="1" s="1"/>
  <c r="O310" i="1" s="1"/>
  <c r="L390" i="1"/>
  <c r="M390" i="1" s="1"/>
  <c r="N390" i="1" s="1"/>
  <c r="O390" i="1" s="1"/>
  <c r="L470" i="1"/>
  <c r="M470" i="1" s="1"/>
  <c r="N470" i="1" s="1"/>
  <c r="O470" i="1" s="1"/>
  <c r="L590" i="1"/>
  <c r="M590" i="1" s="1"/>
  <c r="N590" i="1" s="1"/>
  <c r="O590" i="1" s="1"/>
  <c r="L516" i="1"/>
  <c r="M516" i="1" s="1"/>
  <c r="N516" i="1" s="1"/>
  <c r="O516" i="1" s="1"/>
  <c r="L382" i="1"/>
  <c r="M382" i="1" s="1"/>
  <c r="N382" i="1" s="1"/>
  <c r="O382" i="1" s="1"/>
  <c r="L196" i="1"/>
  <c r="M196" i="1" s="1"/>
  <c r="N196" i="1" s="1"/>
  <c r="O196" i="1" s="1"/>
  <c r="L580" i="1"/>
  <c r="M580" i="1" s="1"/>
  <c r="N580" i="1" s="1"/>
  <c r="O580" i="1" s="1"/>
  <c r="L88" i="1"/>
  <c r="M88" i="1" s="1"/>
  <c r="N88" i="1" s="1"/>
  <c r="O88" i="1" s="1"/>
  <c r="L152" i="1"/>
  <c r="M152" i="1" s="1"/>
  <c r="N152" i="1" s="1"/>
  <c r="O152" i="1" s="1"/>
  <c r="L216" i="1"/>
  <c r="M216" i="1" s="1"/>
  <c r="N216" i="1" s="1"/>
  <c r="O216" i="1" s="1"/>
  <c r="L280" i="1"/>
  <c r="M280" i="1" s="1"/>
  <c r="N280" i="1" s="1"/>
  <c r="O280" i="1" s="1"/>
  <c r="L344" i="1"/>
  <c r="M344" i="1" s="1"/>
  <c r="N344" i="1" s="1"/>
  <c r="O344" i="1" s="1"/>
  <c r="L408" i="1"/>
  <c r="M408" i="1" s="1"/>
  <c r="N408" i="1" s="1"/>
  <c r="O408" i="1" s="1"/>
  <c r="L464" i="1"/>
  <c r="M464" i="1" s="1"/>
  <c r="N464" i="1" s="1"/>
  <c r="O464" i="1" s="1"/>
  <c r="L528" i="1"/>
  <c r="M528" i="1" s="1"/>
  <c r="N528" i="1" s="1"/>
  <c r="O528" i="1" s="1"/>
  <c r="L592" i="1"/>
  <c r="M592" i="1" s="1"/>
  <c r="N592" i="1" s="1"/>
  <c r="O592" i="1" s="1"/>
  <c r="L76" i="1"/>
  <c r="M76" i="1" s="1"/>
  <c r="N76" i="1" s="1"/>
  <c r="O76" i="1" s="1"/>
  <c r="L86" i="1"/>
  <c r="M86" i="1" s="1"/>
  <c r="N86" i="1" s="1"/>
  <c r="O86" i="1" s="1"/>
  <c r="L182" i="1"/>
  <c r="M182" i="1" s="1"/>
  <c r="N182" i="1" s="1"/>
  <c r="O182" i="1" s="1"/>
  <c r="L254" i="1"/>
  <c r="M254" i="1" s="1"/>
  <c r="N254" i="1" s="1"/>
  <c r="O254" i="1" s="1"/>
  <c r="L318" i="1"/>
  <c r="M318" i="1" s="1"/>
  <c r="N318" i="1" s="1"/>
  <c r="O318" i="1" s="1"/>
  <c r="L406" i="1"/>
  <c r="M406" i="1" s="1"/>
  <c r="N406" i="1" s="1"/>
  <c r="O406" i="1" s="1"/>
  <c r="L478" i="1"/>
  <c r="M478" i="1" s="1"/>
  <c r="N478" i="1" s="1"/>
  <c r="O478" i="1" s="1"/>
  <c r="L136" i="1"/>
  <c r="M136" i="1" s="1"/>
  <c r="N136" i="1" s="1"/>
  <c r="O136" i="1" s="1"/>
  <c r="L302" i="1"/>
  <c r="M302" i="1" s="1"/>
  <c r="N302" i="1" s="1"/>
  <c r="O302" i="1" s="1"/>
  <c r="L582" i="1"/>
  <c r="M582" i="1" s="1"/>
  <c r="N582" i="1" s="1"/>
  <c r="O582" i="1" s="1"/>
  <c r="L292" i="1"/>
  <c r="M292" i="1" s="1"/>
  <c r="N292" i="1" s="1"/>
  <c r="O292" i="1" s="1"/>
  <c r="L32" i="1"/>
  <c r="M32" i="1" s="1"/>
  <c r="N32" i="1" s="1"/>
  <c r="O32" i="1" s="1"/>
  <c r="L96" i="1"/>
  <c r="M96" i="1" s="1"/>
  <c r="N96" i="1" s="1"/>
  <c r="O96" i="1" s="1"/>
  <c r="L160" i="1"/>
  <c r="M160" i="1" s="1"/>
  <c r="N160" i="1" s="1"/>
  <c r="O160" i="1" s="1"/>
  <c r="L224" i="1"/>
  <c r="M224" i="1" s="1"/>
  <c r="N224" i="1" s="1"/>
  <c r="O224" i="1" s="1"/>
  <c r="L288" i="1"/>
  <c r="M288" i="1" s="1"/>
  <c r="N288" i="1" s="1"/>
  <c r="O288" i="1" s="1"/>
  <c r="L352" i="1"/>
  <c r="M352" i="1" s="1"/>
  <c r="N352" i="1" s="1"/>
  <c r="O352" i="1" s="1"/>
  <c r="L416" i="1"/>
  <c r="M416" i="1" s="1"/>
  <c r="N416" i="1" s="1"/>
  <c r="O416" i="1" s="1"/>
  <c r="L472" i="1"/>
  <c r="M472" i="1" s="1"/>
  <c r="N472" i="1" s="1"/>
  <c r="O472" i="1" s="1"/>
  <c r="L536" i="1"/>
  <c r="M536" i="1" s="1"/>
  <c r="N536" i="1" s="1"/>
  <c r="O536" i="1" s="1"/>
  <c r="L600" i="1"/>
  <c r="M600" i="1" s="1"/>
  <c r="N600" i="1" s="1"/>
  <c r="O600" i="1" s="1"/>
  <c r="L108" i="1"/>
  <c r="M108" i="1" s="1"/>
  <c r="N108" i="1" s="1"/>
  <c r="O108" i="1" s="1"/>
  <c r="L52" i="1"/>
  <c r="M52" i="1" s="1"/>
  <c r="N52" i="1" s="1"/>
  <c r="O52" i="1" s="1"/>
  <c r="L94" i="1"/>
  <c r="M94" i="1" s="1"/>
  <c r="N94" i="1" s="1"/>
  <c r="O94" i="1" s="1"/>
  <c r="L190" i="1"/>
  <c r="M190" i="1" s="1"/>
  <c r="N190" i="1" s="1"/>
  <c r="O190" i="1" s="1"/>
  <c r="L262" i="1"/>
  <c r="M262" i="1" s="1"/>
  <c r="N262" i="1" s="1"/>
  <c r="O262" i="1" s="1"/>
  <c r="L326" i="1"/>
  <c r="M326" i="1" s="1"/>
  <c r="N326" i="1" s="1"/>
  <c r="O326" i="1" s="1"/>
  <c r="L414" i="1"/>
  <c r="M414" i="1" s="1"/>
  <c r="N414" i="1" s="1"/>
  <c r="O414" i="1" s="1"/>
  <c r="L534" i="1"/>
  <c r="M534" i="1" s="1"/>
  <c r="N534" i="1" s="1"/>
  <c r="O534" i="1" s="1"/>
  <c r="L70" i="1"/>
  <c r="M70" i="1" s="1"/>
  <c r="N70" i="1" s="1"/>
  <c r="O70" i="1" s="1"/>
  <c r="L454" i="1"/>
  <c r="M454" i="1" s="1"/>
  <c r="N454" i="1" s="1"/>
  <c r="O454" i="1" s="1"/>
  <c r="L324" i="1"/>
  <c r="M324" i="1" s="1"/>
  <c r="N324" i="1" s="1"/>
  <c r="O324" i="1" s="1"/>
  <c r="L40" i="1"/>
  <c r="M40" i="1" s="1"/>
  <c r="N40" i="1" s="1"/>
  <c r="O40" i="1" s="1"/>
  <c r="L104" i="1"/>
  <c r="M104" i="1" s="1"/>
  <c r="N104" i="1" s="1"/>
  <c r="O104" i="1" s="1"/>
  <c r="L168" i="1"/>
  <c r="M168" i="1" s="1"/>
  <c r="N168" i="1" s="1"/>
  <c r="O168" i="1" s="1"/>
  <c r="L232" i="1"/>
  <c r="M232" i="1" s="1"/>
  <c r="N232" i="1" s="1"/>
  <c r="O232" i="1" s="1"/>
  <c r="L296" i="1"/>
  <c r="M296" i="1" s="1"/>
  <c r="N296" i="1" s="1"/>
  <c r="O296" i="1" s="1"/>
  <c r="L360" i="1"/>
  <c r="M360" i="1" s="1"/>
  <c r="N360" i="1" s="1"/>
  <c r="O360" i="1" s="1"/>
  <c r="L424" i="1"/>
  <c r="M424" i="1" s="1"/>
  <c r="N424" i="1" s="1"/>
  <c r="O424" i="1" s="1"/>
  <c r="L480" i="1"/>
  <c r="M480" i="1" s="1"/>
  <c r="N480" i="1" s="1"/>
  <c r="O480" i="1" s="1"/>
  <c r="L544" i="1"/>
  <c r="M544" i="1" s="1"/>
  <c r="N544" i="1" s="1"/>
  <c r="O544" i="1" s="1"/>
  <c r="L172" i="1"/>
  <c r="M172" i="1" s="1"/>
  <c r="N172" i="1" s="1"/>
  <c r="O172" i="1" s="1"/>
  <c r="L84" i="1"/>
  <c r="M84" i="1" s="1"/>
  <c r="N84" i="1" s="1"/>
  <c r="O84" i="1" s="1"/>
  <c r="L6" i="1"/>
  <c r="M6" i="1" s="1"/>
  <c r="N6" i="1" s="1"/>
  <c r="O6" i="1" s="1"/>
  <c r="L102" i="1"/>
  <c r="M102" i="1" s="1"/>
  <c r="N102" i="1" s="1"/>
  <c r="O102" i="1" s="1"/>
  <c r="L198" i="1"/>
  <c r="M198" i="1" s="1"/>
  <c r="N198" i="1" s="1"/>
  <c r="O198" i="1" s="1"/>
  <c r="L270" i="1"/>
  <c r="M270" i="1" s="1"/>
  <c r="N270" i="1" s="1"/>
  <c r="O270" i="1" s="1"/>
  <c r="L342" i="1"/>
  <c r="M342" i="1" s="1"/>
  <c r="N342" i="1" s="1"/>
  <c r="O342" i="1" s="1"/>
  <c r="L422" i="1"/>
  <c r="M422" i="1" s="1"/>
  <c r="N422" i="1" s="1"/>
  <c r="O422" i="1" s="1"/>
  <c r="L542" i="1"/>
  <c r="M542" i="1" s="1"/>
  <c r="N542" i="1" s="1"/>
  <c r="O542" i="1" s="1"/>
  <c r="L576" i="1"/>
  <c r="M576" i="1" s="1"/>
  <c r="N576" i="1" s="1"/>
  <c r="O576" i="1" s="1"/>
  <c r="L460" i="1"/>
  <c r="M460" i="1" s="1"/>
  <c r="N460" i="1" s="1"/>
  <c r="O460" i="1" s="1"/>
  <c r="L150" i="1"/>
  <c r="M150" i="1" s="1"/>
  <c r="N150" i="1" s="1"/>
  <c r="O150" i="1" s="1"/>
  <c r="L4" i="1"/>
  <c r="M4" i="1" s="1"/>
  <c r="N4" i="1" s="1"/>
  <c r="O4" i="1" s="1"/>
  <c r="L420" i="1"/>
  <c r="M420" i="1" s="1"/>
  <c r="N420" i="1" s="1"/>
  <c r="O420" i="1" s="1"/>
  <c r="L48" i="1"/>
  <c r="M48" i="1" s="1"/>
  <c r="N48" i="1" s="1"/>
  <c r="O48" i="1" s="1"/>
  <c r="L112" i="1"/>
  <c r="M112" i="1" s="1"/>
  <c r="N112" i="1" s="1"/>
  <c r="O112" i="1" s="1"/>
  <c r="L176" i="1"/>
  <c r="M176" i="1" s="1"/>
  <c r="N176" i="1" s="1"/>
  <c r="O176" i="1" s="1"/>
  <c r="L240" i="1"/>
  <c r="M240" i="1" s="1"/>
  <c r="N240" i="1" s="1"/>
  <c r="O240" i="1" s="1"/>
  <c r="L304" i="1"/>
  <c r="M304" i="1" s="1"/>
  <c r="N304" i="1" s="1"/>
  <c r="O304" i="1" s="1"/>
  <c r="L368" i="1"/>
  <c r="M368" i="1" s="1"/>
  <c r="N368" i="1" s="1"/>
  <c r="O368" i="1" s="1"/>
  <c r="L432" i="1"/>
  <c r="M432" i="1" s="1"/>
  <c r="N432" i="1" s="1"/>
  <c r="O432" i="1" s="1"/>
  <c r="L488" i="1"/>
  <c r="M488" i="1" s="1"/>
  <c r="N488" i="1" s="1"/>
  <c r="O488" i="1" s="1"/>
  <c r="L552" i="1"/>
  <c r="M552" i="1" s="1"/>
  <c r="N552" i="1" s="1"/>
  <c r="O552" i="1" s="1"/>
  <c r="L332" i="1"/>
  <c r="M332" i="1" s="1"/>
  <c r="N332" i="1" s="1"/>
  <c r="O332" i="1" s="1"/>
  <c r="L404" i="1"/>
  <c r="M404" i="1" s="1"/>
  <c r="N404" i="1" s="1"/>
  <c r="O404" i="1" s="1"/>
  <c r="L22" i="1"/>
  <c r="M22" i="1" s="1"/>
  <c r="N22" i="1" s="1"/>
  <c r="O22" i="1" s="1"/>
  <c r="L110" i="1"/>
  <c r="M110" i="1" s="1"/>
  <c r="N110" i="1" s="1"/>
  <c r="O110" i="1" s="1"/>
  <c r="L214" i="1"/>
  <c r="M214" i="1" s="1"/>
  <c r="N214" i="1" s="1"/>
  <c r="O214" i="1" s="1"/>
  <c r="L278" i="1"/>
  <c r="M278" i="1" s="1"/>
  <c r="N278" i="1" s="1"/>
  <c r="O278" i="1" s="1"/>
  <c r="L350" i="1"/>
  <c r="M350" i="1" s="1"/>
  <c r="N350" i="1" s="1"/>
  <c r="O350" i="1" s="1"/>
  <c r="L430" i="1"/>
  <c r="M430" i="1" s="1"/>
  <c r="N430" i="1" s="1"/>
  <c r="O430" i="1" s="1"/>
  <c r="L550" i="1"/>
  <c r="M550" i="1" s="1"/>
  <c r="N550" i="1" s="1"/>
  <c r="O550" i="1" s="1"/>
  <c r="L2" i="1"/>
  <c r="M2" i="1" s="1"/>
  <c r="N2" i="1" s="1"/>
  <c r="O2" i="1" s="1"/>
  <c r="M35" i="1"/>
  <c r="N35" i="1" s="1"/>
  <c r="O35" i="1" s="1"/>
  <c r="M27" i="1"/>
  <c r="N27" i="1" s="1"/>
  <c r="O27" i="1" s="1"/>
  <c r="M43" i="1"/>
  <c r="N43" i="1" s="1"/>
  <c r="O43" i="1" s="1"/>
  <c r="L3" i="2"/>
  <c r="O2" i="2" l="1"/>
  <c r="Q2" i="2" s="1"/>
  <c r="L2" i="2"/>
  <c r="P377" i="2"/>
  <c r="Q377" i="2" s="1"/>
  <c r="R377" i="2" s="1"/>
  <c r="P401" i="2"/>
  <c r="Q401" i="2" s="1"/>
  <c r="R401" i="2" s="1"/>
  <c r="P203" i="2"/>
  <c r="Q203" i="2" s="1"/>
  <c r="R203" i="2" s="1"/>
  <c r="O570" i="2"/>
  <c r="Q570" i="2" s="1"/>
  <c r="R570" i="2" s="1"/>
  <c r="P138" i="2"/>
  <c r="Q138" i="2" s="1"/>
  <c r="R138" i="2" s="1"/>
  <c r="O91" i="2"/>
  <c r="Q91" i="2" s="1"/>
  <c r="R91" i="2" s="1"/>
  <c r="P459" i="2"/>
  <c r="Q459" i="2" s="1"/>
  <c r="R459" i="2" s="1"/>
  <c r="O306" i="2"/>
  <c r="Q306" i="2" s="1"/>
  <c r="R306" i="2" s="1"/>
  <c r="P249" i="2"/>
  <c r="Q249" i="2" s="1"/>
  <c r="R249" i="2" s="1"/>
  <c r="O177" i="2"/>
  <c r="Q177" i="2" s="1"/>
  <c r="R177" i="2" s="1"/>
  <c r="O163" i="2"/>
  <c r="Q163" i="2" s="1"/>
  <c r="R163" i="2" s="1"/>
  <c r="P522" i="2"/>
  <c r="Q522" i="2" s="1"/>
  <c r="R522" i="2" s="1"/>
  <c r="P593" i="2"/>
  <c r="Q593" i="2" s="1"/>
  <c r="R593" i="2" s="1"/>
  <c r="O33" i="2"/>
  <c r="Q33" i="2" s="1"/>
  <c r="R33" i="2" s="1"/>
  <c r="P34" i="2"/>
  <c r="Q34" i="2" s="1"/>
  <c r="R34" i="2" s="1"/>
  <c r="P505" i="2"/>
  <c r="Q505" i="2" s="1"/>
  <c r="R505" i="2" s="1"/>
  <c r="P266" i="2"/>
  <c r="Q266" i="2" s="1"/>
  <c r="R266" i="2" s="1"/>
  <c r="P178" i="2"/>
  <c r="Q178" i="2" s="1"/>
  <c r="R178" i="2" s="1"/>
  <c r="P547" i="2"/>
  <c r="Q547" i="2" s="1"/>
  <c r="R547" i="2" s="1"/>
  <c r="P435" i="2"/>
  <c r="Q435" i="2" s="1"/>
  <c r="R435" i="2" s="1"/>
  <c r="O419" i="2"/>
  <c r="Q419" i="2" s="1"/>
  <c r="R419" i="2" s="1"/>
  <c r="P562" i="2"/>
  <c r="Q562" i="2" s="1"/>
  <c r="R562" i="2" s="1"/>
  <c r="O273" i="2"/>
  <c r="Q273" i="2" s="1"/>
  <c r="R273" i="2" s="1"/>
  <c r="S273" i="2" s="1"/>
  <c r="U273" i="2" s="1"/>
  <c r="O146" i="2"/>
  <c r="Q146" i="2" s="1"/>
  <c r="R146" i="2" s="1"/>
  <c r="O35" i="2"/>
  <c r="Q35" i="2" s="1"/>
  <c r="R35" i="2" s="1"/>
  <c r="P315" i="2"/>
  <c r="Q315" i="2" s="1"/>
  <c r="R315" i="2" s="1"/>
  <c r="P50" i="2"/>
  <c r="Q50" i="2" s="1"/>
  <c r="R50" i="2" s="1"/>
  <c r="P394" i="2"/>
  <c r="Q394" i="2" s="1"/>
  <c r="R394" i="2" s="1"/>
  <c r="O145" i="2"/>
  <c r="Q145" i="2" s="1"/>
  <c r="R145" i="2" s="1"/>
  <c r="P402" i="2"/>
  <c r="Q402" i="2" s="1"/>
  <c r="R402" i="2" s="1"/>
  <c r="O473" i="2"/>
  <c r="Q473" i="2" s="1"/>
  <c r="R473" i="2" s="1"/>
  <c r="S473" i="2" s="1"/>
  <c r="U473" i="2" s="1"/>
  <c r="P563" i="2"/>
  <c r="Q563" i="2" s="1"/>
  <c r="R563" i="2" s="1"/>
  <c r="P121" i="2"/>
  <c r="Q121" i="2" s="1"/>
  <c r="R121" i="2" s="1"/>
  <c r="P506" i="2"/>
  <c r="Q506" i="2" s="1"/>
  <c r="R506" i="2" s="1"/>
  <c r="P19" i="2"/>
  <c r="Q19" i="2" s="1"/>
  <c r="R19" i="2" s="1"/>
  <c r="P587" i="2"/>
  <c r="Q587" i="2" s="1"/>
  <c r="R587" i="2" s="1"/>
  <c r="P314" i="2"/>
  <c r="Q314" i="2" s="1"/>
  <c r="R314" i="2" s="1"/>
  <c r="H212" i="2"/>
  <c r="P475" i="2"/>
  <c r="Q475" i="2" s="1"/>
  <c r="R475" i="2" s="1"/>
  <c r="P123" i="2"/>
  <c r="Q123" i="2" s="1"/>
  <c r="R123" i="2" s="1"/>
  <c r="O209" i="2"/>
  <c r="Q209" i="2" s="1"/>
  <c r="R209" i="2" s="1"/>
  <c r="P546" i="2"/>
  <c r="Q546" i="2" s="1"/>
  <c r="R546" i="2" s="1"/>
  <c r="P497" i="2"/>
  <c r="Q497" i="2" s="1"/>
  <c r="R497" i="2" s="1"/>
  <c r="O67" i="2"/>
  <c r="Q67" i="2" s="1"/>
  <c r="R67" i="2" s="1"/>
  <c r="O298" i="2"/>
  <c r="Q298" i="2" s="1"/>
  <c r="R298" i="2" s="1"/>
  <c r="P418" i="2"/>
  <c r="Q418" i="2" s="1"/>
  <c r="R418" i="2" s="1"/>
  <c r="P594" i="2"/>
  <c r="Q594" i="2" s="1"/>
  <c r="R594" i="2" s="1"/>
  <c r="O450" i="2"/>
  <c r="Q450" i="2" s="1"/>
  <c r="R450" i="2" s="1"/>
  <c r="S450" i="2" s="1"/>
  <c r="U450" i="2" s="1"/>
  <c r="P106" i="2"/>
  <c r="Q106" i="2" s="1"/>
  <c r="R106" i="2" s="1"/>
  <c r="P58" i="2"/>
  <c r="Q58" i="2" s="1"/>
  <c r="R58" i="2" s="1"/>
  <c r="P41" i="2"/>
  <c r="Q41" i="2" s="1"/>
  <c r="R41" i="2" s="1"/>
  <c r="P434" i="2"/>
  <c r="Q434" i="2" s="1"/>
  <c r="R434" i="2" s="1"/>
  <c r="P9" i="2"/>
  <c r="Q9" i="2" s="1"/>
  <c r="R9" i="2" s="1"/>
  <c r="P378" i="2"/>
  <c r="Q378" i="2" s="1"/>
  <c r="R378" i="2" s="1"/>
  <c r="O539" i="2"/>
  <c r="Q539" i="2" s="1"/>
  <c r="R539" i="2" s="1"/>
  <c r="S539" i="2" s="1"/>
  <c r="U539" i="2" s="1"/>
  <c r="O338" i="2"/>
  <c r="Q338" i="2" s="1"/>
  <c r="R338" i="2" s="1"/>
  <c r="O217" i="2"/>
  <c r="Q217" i="2" s="1"/>
  <c r="R217" i="2" s="1"/>
  <c r="O90" i="2"/>
  <c r="Q90" i="2" s="1"/>
  <c r="R90" i="2" s="1"/>
  <c r="P290" i="2"/>
  <c r="Q290" i="2" s="1"/>
  <c r="R290" i="2" s="1"/>
  <c r="P265" i="2"/>
  <c r="Q265" i="2" s="1"/>
  <c r="R265" i="2" s="1"/>
  <c r="P545" i="2"/>
  <c r="Q545" i="2" s="1"/>
  <c r="R545" i="2" s="1"/>
  <c r="O51" i="2"/>
  <c r="Q51" i="2" s="1"/>
  <c r="R51" i="2" s="1"/>
  <c r="S51" i="2" s="1"/>
  <c r="U51" i="2" s="1"/>
  <c r="P250" i="2"/>
  <c r="Q250" i="2" s="1"/>
  <c r="R250" i="2" s="1"/>
  <c r="O11" i="2"/>
  <c r="Q11" i="2" s="1"/>
  <c r="R11" i="2" s="1"/>
  <c r="O49" i="2"/>
  <c r="Q49" i="2" s="1"/>
  <c r="R49" i="2" s="1"/>
  <c r="O297" i="2"/>
  <c r="Q297" i="2" s="1"/>
  <c r="R297" i="2" s="1"/>
  <c r="P355" i="2"/>
  <c r="Q355" i="2" s="1"/>
  <c r="R355" i="2" s="1"/>
  <c r="S355" i="2" s="1"/>
  <c r="U355" i="2" s="1"/>
  <c r="P321" i="2"/>
  <c r="Q321" i="2" s="1"/>
  <c r="R321" i="2" s="1"/>
  <c r="P571" i="2"/>
  <c r="Q571" i="2" s="1"/>
  <c r="R571" i="2" s="1"/>
  <c r="P169" i="2"/>
  <c r="Q169" i="2" s="1"/>
  <c r="R169" i="2" s="1"/>
  <c r="P155" i="2"/>
  <c r="Q155" i="2" s="1"/>
  <c r="R155" i="2" s="1"/>
  <c r="O507" i="2"/>
  <c r="Q507" i="2" s="1"/>
  <c r="R507" i="2" s="1"/>
  <c r="P466" i="2"/>
  <c r="Q466" i="2" s="1"/>
  <c r="R466" i="2" s="1"/>
  <c r="I212" i="2"/>
  <c r="O330" i="2"/>
  <c r="Q330" i="2" s="1"/>
  <c r="R330" i="2" s="1"/>
  <c r="O331" i="2"/>
  <c r="Q331" i="2" s="1"/>
  <c r="R331" i="2" s="1"/>
  <c r="P179" i="2"/>
  <c r="Q179" i="2" s="1"/>
  <c r="R179" i="2" s="1"/>
  <c r="O201" i="2"/>
  <c r="Q201" i="2" s="1"/>
  <c r="R201" i="2" s="1"/>
  <c r="P561" i="2"/>
  <c r="Q561" i="2" s="1"/>
  <c r="R561" i="2" s="1"/>
  <c r="H509" i="2"/>
  <c r="O393" i="2"/>
  <c r="Q393" i="2" s="1"/>
  <c r="R393" i="2" s="1"/>
  <c r="P202" i="2"/>
  <c r="Q202" i="2" s="1"/>
  <c r="R202" i="2" s="1"/>
  <c r="O66" i="2"/>
  <c r="Q66" i="2" s="1"/>
  <c r="R66" i="2" s="1"/>
  <c r="O530" i="2"/>
  <c r="Q530" i="2" s="1"/>
  <c r="R530" i="2" s="1"/>
  <c r="P395" i="2"/>
  <c r="Q395" i="2" s="1"/>
  <c r="R395" i="2" s="1"/>
  <c r="I319" i="2"/>
  <c r="K319" i="2"/>
  <c r="L319" i="2" s="1"/>
  <c r="H598" i="2"/>
  <c r="K598" i="2"/>
  <c r="L598" i="2" s="1"/>
  <c r="H191" i="2"/>
  <c r="K191" i="2"/>
  <c r="L191" i="2" s="1"/>
  <c r="H173" i="2"/>
  <c r="K173" i="2"/>
  <c r="L173" i="2" s="1"/>
  <c r="H376" i="2"/>
  <c r="K376" i="2"/>
  <c r="L376" i="2" s="1"/>
  <c r="H381" i="2"/>
  <c r="K381" i="2"/>
  <c r="H125" i="2"/>
  <c r="K125" i="2"/>
  <c r="L125" i="2" s="1"/>
  <c r="H468" i="2"/>
  <c r="K468" i="2"/>
  <c r="L468" i="2" s="1"/>
  <c r="H196" i="2"/>
  <c r="K196" i="2"/>
  <c r="L196" i="2" s="1"/>
  <c r="P81" i="2"/>
  <c r="Q81" i="2" s="1"/>
  <c r="R81" i="2" s="1"/>
  <c r="O274" i="2"/>
  <c r="Q274" i="2" s="1"/>
  <c r="R274" i="2" s="1"/>
  <c r="O258" i="2"/>
  <c r="Q258" i="2" s="1"/>
  <c r="R258" i="2" s="1"/>
  <c r="H536" i="2"/>
  <c r="K536" i="2"/>
  <c r="L536" i="2" s="1"/>
  <c r="H280" i="2"/>
  <c r="K280" i="2"/>
  <c r="L280" i="2" s="1"/>
  <c r="H24" i="2"/>
  <c r="K24" i="2"/>
  <c r="L24" i="2" s="1"/>
  <c r="H383" i="2"/>
  <c r="K383" i="2"/>
  <c r="L383" i="2" s="1"/>
  <c r="H86" i="2"/>
  <c r="K86" i="2"/>
  <c r="L86" i="2" s="1"/>
  <c r="H452" i="2"/>
  <c r="K452" i="2"/>
  <c r="L452" i="2" s="1"/>
  <c r="H399" i="2"/>
  <c r="H132" i="2"/>
  <c r="K132" i="2"/>
  <c r="L132" i="2" s="1"/>
  <c r="H568" i="2"/>
  <c r="H232" i="2"/>
  <c r="K232" i="2"/>
  <c r="L232" i="2" s="1"/>
  <c r="H486" i="2"/>
  <c r="K486" i="2"/>
  <c r="L486" i="2" s="1"/>
  <c r="H573" i="2"/>
  <c r="K573" i="2"/>
  <c r="L573" i="2" s="1"/>
  <c r="H46" i="2"/>
  <c r="K46" i="2"/>
  <c r="L46" i="2" s="1"/>
  <c r="H134" i="2"/>
  <c r="K134" i="2"/>
  <c r="L134" i="2" s="1"/>
  <c r="O410" i="2"/>
  <c r="Q410" i="2" s="1"/>
  <c r="R410" i="2" s="1"/>
  <c r="P251" i="2"/>
  <c r="Q251" i="2" s="1"/>
  <c r="R251" i="2" s="1"/>
  <c r="H477" i="2"/>
  <c r="K477" i="2"/>
  <c r="H564" i="2"/>
  <c r="K564" i="2"/>
  <c r="L564" i="2" s="1"/>
  <c r="I324" i="2"/>
  <c r="K324" i="2"/>
  <c r="L324" i="2" s="1"/>
  <c r="H516" i="2"/>
  <c r="K516" i="2"/>
  <c r="L516" i="2" s="1"/>
  <c r="H61" i="2"/>
  <c r="K61" i="2"/>
  <c r="L61" i="2" s="1"/>
  <c r="P193" i="2"/>
  <c r="Q193" i="2" s="1"/>
  <c r="R193" i="2" s="1"/>
  <c r="H216" i="2"/>
  <c r="K216" i="2"/>
  <c r="L216" i="2" s="1"/>
  <c r="H493" i="2"/>
  <c r="K493" i="2"/>
  <c r="L493" i="2" s="1"/>
  <c r="H4" i="2"/>
  <c r="K4" i="2"/>
  <c r="L4" i="2" s="1"/>
  <c r="H424" i="2"/>
  <c r="K424" i="2"/>
  <c r="I63" i="2"/>
  <c r="K63" i="2"/>
  <c r="L63" i="2" s="1"/>
  <c r="H237" i="2"/>
  <c r="K237" i="2"/>
  <c r="L237" i="2" s="1"/>
  <c r="H168" i="2"/>
  <c r="K168" i="2"/>
  <c r="I568" i="2"/>
  <c r="H422" i="2"/>
  <c r="K422" i="2"/>
  <c r="L422" i="2" s="1"/>
  <c r="H166" i="2"/>
  <c r="K166" i="2"/>
  <c r="L166" i="2" s="1"/>
  <c r="P322" i="2"/>
  <c r="Q322" i="2" s="1"/>
  <c r="R322" i="2" s="1"/>
  <c r="P154" i="2"/>
  <c r="Q154" i="2" s="1"/>
  <c r="R154" i="2" s="1"/>
  <c r="P433" i="2"/>
  <c r="Q433" i="2" s="1"/>
  <c r="R433" i="2" s="1"/>
  <c r="P361" i="2"/>
  <c r="Q361" i="2" s="1"/>
  <c r="R361" i="2" s="1"/>
  <c r="H31" i="2"/>
  <c r="K31" i="2"/>
  <c r="H325" i="2"/>
  <c r="K325" i="2"/>
  <c r="L325" i="2" s="1"/>
  <c r="H157" i="2"/>
  <c r="K157" i="2"/>
  <c r="L157" i="2" s="1"/>
  <c r="H296" i="2"/>
  <c r="K296" i="2"/>
  <c r="L296" i="2" s="1"/>
  <c r="I38" i="2"/>
  <c r="I447" i="2"/>
  <c r="K447" i="2"/>
  <c r="L447" i="2" s="1"/>
  <c r="H22" i="2"/>
  <c r="K22" i="2"/>
  <c r="L22" i="2" s="1"/>
  <c r="H214" i="2"/>
  <c r="K214" i="2"/>
  <c r="L214" i="2" s="1"/>
  <c r="I56" i="2"/>
  <c r="I504" i="2"/>
  <c r="K504" i="2"/>
  <c r="L504" i="2" s="1"/>
  <c r="I591" i="2"/>
  <c r="K591" i="2"/>
  <c r="L591" i="2" s="1"/>
  <c r="H79" i="2"/>
  <c r="K79" i="2"/>
  <c r="L79" i="2" s="1"/>
  <c r="H253" i="2"/>
  <c r="K253" i="2"/>
  <c r="L253" i="2" s="1"/>
  <c r="H596" i="2"/>
  <c r="K596" i="2"/>
  <c r="L596" i="2" s="1"/>
  <c r="H340" i="2"/>
  <c r="K340" i="2"/>
  <c r="L340" i="2" s="1"/>
  <c r="I84" i="2"/>
  <c r="K84" i="2"/>
  <c r="H470" i="2"/>
  <c r="K470" i="2"/>
  <c r="H317" i="2"/>
  <c r="K317" i="2"/>
  <c r="L317" i="2" s="1"/>
  <c r="H404" i="2"/>
  <c r="K404" i="2"/>
  <c r="L404" i="2" s="1"/>
  <c r="O185" i="2"/>
  <c r="Q185" i="2" s="1"/>
  <c r="R185" i="2" s="1"/>
  <c r="H239" i="2"/>
  <c r="K239" i="2"/>
  <c r="I534" i="2"/>
  <c r="K534" i="2"/>
  <c r="L534" i="2" s="1"/>
  <c r="H365" i="2"/>
  <c r="K365" i="2"/>
  <c r="L365" i="2" s="1"/>
  <c r="H406" i="2"/>
  <c r="K406" i="2"/>
  <c r="L406" i="2" s="1"/>
  <c r="H45" i="2"/>
  <c r="K45" i="2"/>
  <c r="L45" i="2" s="1"/>
  <c r="I125" i="2"/>
  <c r="I376" i="2"/>
  <c r="I143" i="2"/>
  <c r="H358" i="2"/>
  <c r="K358" i="2"/>
  <c r="L358" i="2" s="1"/>
  <c r="H430" i="2"/>
  <c r="K430" i="2"/>
  <c r="L430" i="2" s="1"/>
  <c r="H6" i="2"/>
  <c r="K6" i="2"/>
  <c r="L6" i="2" s="1"/>
  <c r="H540" i="2"/>
  <c r="K540" i="2"/>
  <c r="L540" i="2" s="1"/>
  <c r="I399" i="2"/>
  <c r="H40" i="2"/>
  <c r="K40" i="2"/>
  <c r="L40" i="2" s="1"/>
  <c r="H511" i="2"/>
  <c r="K511" i="2"/>
  <c r="L511" i="2" s="1"/>
  <c r="H143" i="2"/>
  <c r="H255" i="2"/>
  <c r="K255" i="2"/>
  <c r="L255" i="2" s="1"/>
  <c r="H301" i="2"/>
  <c r="K301" i="2"/>
  <c r="L301" i="2" s="1"/>
  <c r="I557" i="2"/>
  <c r="K557" i="2"/>
  <c r="L557" i="2" s="1"/>
  <c r="I68" i="2"/>
  <c r="K68" i="2"/>
  <c r="L68" i="2" s="1"/>
  <c r="I184" i="2"/>
  <c r="K184" i="2"/>
  <c r="L184" i="2" s="1"/>
  <c r="H271" i="2"/>
  <c r="K271" i="2"/>
  <c r="H15" i="2"/>
  <c r="K15" i="2"/>
  <c r="L15" i="2" s="1"/>
  <c r="H20" i="2"/>
  <c r="K20" i="2"/>
  <c r="L20" i="2" s="1"/>
  <c r="P305" i="2"/>
  <c r="Q305" i="2" s="1"/>
  <c r="R305" i="2" s="1"/>
  <c r="O234" i="2"/>
  <c r="Q234" i="2" s="1"/>
  <c r="R234" i="2" s="1"/>
  <c r="P233" i="2"/>
  <c r="Q233" i="2" s="1"/>
  <c r="R233" i="2" s="1"/>
  <c r="H600" i="2"/>
  <c r="K600" i="2"/>
  <c r="H344" i="2"/>
  <c r="K344" i="2"/>
  <c r="H88" i="2"/>
  <c r="K88" i="2"/>
  <c r="L88" i="2" s="1"/>
  <c r="I276" i="2"/>
  <c r="I575" i="2"/>
  <c r="K575" i="2"/>
  <c r="H150" i="2"/>
  <c r="K150" i="2"/>
  <c r="L150" i="2" s="1"/>
  <c r="I488" i="2"/>
  <c r="K488" i="2"/>
  <c r="L488" i="2" s="1"/>
  <c r="H360" i="2"/>
  <c r="K360" i="2"/>
  <c r="L360" i="2" s="1"/>
  <c r="H550" i="2"/>
  <c r="K550" i="2"/>
  <c r="L550" i="2" s="1"/>
  <c r="P409" i="2"/>
  <c r="Q409" i="2" s="1"/>
  <c r="R409" i="2" s="1"/>
  <c r="P227" i="2"/>
  <c r="Q227" i="2" s="1"/>
  <c r="R227" i="2" s="1"/>
  <c r="I22" i="2"/>
  <c r="P97" i="2"/>
  <c r="Q97" i="2" s="1"/>
  <c r="R97" i="2" s="1"/>
  <c r="P153" i="2"/>
  <c r="Q153" i="2" s="1"/>
  <c r="R153" i="2" s="1"/>
  <c r="P73" i="2"/>
  <c r="Q73" i="2" s="1"/>
  <c r="R73" i="2" s="1"/>
  <c r="P554" i="2"/>
  <c r="Q554" i="2" s="1"/>
  <c r="R554" i="2" s="1"/>
  <c r="P602" i="2"/>
  <c r="Q602" i="2" s="1"/>
  <c r="R602" i="2" s="1"/>
  <c r="H534" i="2"/>
  <c r="H184" i="2"/>
  <c r="P114" i="2"/>
  <c r="Q114" i="2" s="1"/>
  <c r="R114" i="2" s="1"/>
  <c r="S114" i="2" s="1"/>
  <c r="U114" i="2" s="1"/>
  <c r="P346" i="2"/>
  <c r="Q346" i="2" s="1"/>
  <c r="R346" i="2" s="1"/>
  <c r="I340" i="2"/>
  <c r="O137" i="2"/>
  <c r="Q137" i="2" s="1"/>
  <c r="R137" i="2" s="1"/>
  <c r="O441" i="2"/>
  <c r="Q441" i="2" s="1"/>
  <c r="R441" i="2" s="1"/>
  <c r="P3" i="2"/>
  <c r="Q3" i="2" s="1"/>
  <c r="R3" i="2" s="1"/>
  <c r="P379" i="2"/>
  <c r="Q379" i="2" s="1"/>
  <c r="R379" i="2" s="1"/>
  <c r="P371" i="2"/>
  <c r="Q371" i="2" s="1"/>
  <c r="R371" i="2" s="1"/>
  <c r="I404" i="2"/>
  <c r="O483" i="2"/>
  <c r="Q483" i="2" s="1"/>
  <c r="R483" i="2" s="1"/>
  <c r="P347" i="2"/>
  <c r="Q347" i="2" s="1"/>
  <c r="R347" i="2" s="1"/>
  <c r="O267" i="2"/>
  <c r="Q267" i="2" s="1"/>
  <c r="R267" i="2" s="1"/>
  <c r="O10" i="2"/>
  <c r="Q10" i="2" s="1"/>
  <c r="R10" i="2" s="1"/>
  <c r="P369" i="2"/>
  <c r="Q369" i="2" s="1"/>
  <c r="R369" i="2" s="1"/>
  <c r="I79" i="2"/>
  <c r="P529" i="2"/>
  <c r="Q529" i="2" s="1"/>
  <c r="R529" i="2" s="1"/>
  <c r="S529" i="2" s="1"/>
  <c r="U529" i="2" s="1"/>
  <c r="P601" i="2"/>
  <c r="Q601" i="2" s="1"/>
  <c r="R601" i="2" s="1"/>
  <c r="P242" i="2"/>
  <c r="Q242" i="2" s="1"/>
  <c r="R242" i="2" s="1"/>
  <c r="O577" i="2"/>
  <c r="Q577" i="2" s="1"/>
  <c r="R577" i="2" s="1"/>
  <c r="P162" i="2"/>
  <c r="Q162" i="2" s="1"/>
  <c r="R162" i="2" s="1"/>
  <c r="P89" i="2"/>
  <c r="Q89" i="2" s="1"/>
  <c r="R89" i="2" s="1"/>
  <c r="O187" i="2"/>
  <c r="Q187" i="2" s="1"/>
  <c r="R187" i="2" s="1"/>
  <c r="P489" i="2"/>
  <c r="Q489" i="2" s="1"/>
  <c r="R489" i="2" s="1"/>
  <c r="O481" i="2"/>
  <c r="Q481" i="2" s="1"/>
  <c r="R481" i="2" s="1"/>
  <c r="P43" i="2"/>
  <c r="Q43" i="2" s="1"/>
  <c r="R43" i="2" s="1"/>
  <c r="O578" i="2"/>
  <c r="Q578" i="2" s="1"/>
  <c r="R578" i="2" s="1"/>
  <c r="P362" i="2"/>
  <c r="Q362" i="2" s="1"/>
  <c r="R362" i="2" s="1"/>
  <c r="P313" i="2"/>
  <c r="Q313" i="2" s="1"/>
  <c r="R313" i="2" s="1"/>
  <c r="P243" i="2"/>
  <c r="Q243" i="2" s="1"/>
  <c r="R243" i="2" s="1"/>
  <c r="P289" i="2"/>
  <c r="Q289" i="2" s="1"/>
  <c r="R289" i="2" s="1"/>
  <c r="P386" i="2"/>
  <c r="Q386" i="2" s="1"/>
  <c r="R386" i="2" s="1"/>
  <c r="I255" i="2"/>
  <c r="Q442" i="2"/>
  <c r="R442" i="2" s="1"/>
  <c r="S442" i="2" s="1"/>
  <c r="U442" i="2" s="1"/>
  <c r="P194" i="2"/>
  <c r="Q194" i="2" s="1"/>
  <c r="R194" i="2" s="1"/>
  <c r="P27" i="2"/>
  <c r="Q27" i="2" s="1"/>
  <c r="R27" i="2" s="1"/>
  <c r="S27" i="2" s="1"/>
  <c r="U27" i="2" s="1"/>
  <c r="P498" i="2"/>
  <c r="Q498" i="2" s="1"/>
  <c r="R498" i="2" s="1"/>
  <c r="P257" i="2"/>
  <c r="Q257" i="2" s="1"/>
  <c r="R257" i="2" s="1"/>
  <c r="P281" i="2"/>
  <c r="Q281" i="2" s="1"/>
  <c r="R281" i="2" s="1"/>
  <c r="P282" i="2"/>
  <c r="Q282" i="2" s="1"/>
  <c r="R282" i="2" s="1"/>
  <c r="P241" i="2"/>
  <c r="Q241" i="2" s="1"/>
  <c r="R241" i="2" s="1"/>
  <c r="P425" i="2"/>
  <c r="Q425" i="2" s="1"/>
  <c r="R425" i="2" s="1"/>
  <c r="P225" i="2"/>
  <c r="Q225" i="2" s="1"/>
  <c r="R225" i="2" s="1"/>
  <c r="I191" i="2"/>
  <c r="O291" i="2"/>
  <c r="Q291" i="2" s="1"/>
  <c r="R291" i="2" s="1"/>
  <c r="P161" i="2"/>
  <c r="Q161" i="2" s="1"/>
  <c r="R161" i="2" s="1"/>
  <c r="I61" i="2"/>
  <c r="P337" i="2"/>
  <c r="Q337" i="2" s="1"/>
  <c r="R337" i="2" s="1"/>
  <c r="P329" i="2"/>
  <c r="Q329" i="2" s="1"/>
  <c r="R329" i="2" s="1"/>
  <c r="P42" i="2"/>
  <c r="Q42" i="2" s="1"/>
  <c r="R42" i="2" s="1"/>
  <c r="P482" i="2"/>
  <c r="Q482" i="2" s="1"/>
  <c r="R482" i="2" s="1"/>
  <c r="O98" i="2"/>
  <c r="Q98" i="2" s="1"/>
  <c r="R98" i="2" s="1"/>
  <c r="P57" i="2"/>
  <c r="Q57" i="2" s="1"/>
  <c r="R57" i="2" s="1"/>
  <c r="P18" i="2"/>
  <c r="Q18" i="2" s="1"/>
  <c r="R18" i="2" s="1"/>
  <c r="P411" i="2"/>
  <c r="Q411" i="2" s="1"/>
  <c r="R411" i="2" s="1"/>
  <c r="P25" i="2"/>
  <c r="Q25" i="2" s="1"/>
  <c r="R25" i="2" s="1"/>
  <c r="I317" i="2"/>
  <c r="I365" i="2"/>
  <c r="P385" i="2"/>
  <c r="Q385" i="2" s="1"/>
  <c r="R385" i="2" s="1"/>
  <c r="O569" i="2"/>
  <c r="Q569" i="2" s="1"/>
  <c r="R569" i="2" s="1"/>
  <c r="P465" i="2"/>
  <c r="Q465" i="2" s="1"/>
  <c r="R465" i="2" s="1"/>
  <c r="P219" i="2"/>
  <c r="Q219" i="2" s="1"/>
  <c r="R219" i="2" s="1"/>
  <c r="P585" i="2"/>
  <c r="Q585" i="2" s="1"/>
  <c r="R585" i="2" s="1"/>
  <c r="P130" i="2"/>
  <c r="Q130" i="2" s="1"/>
  <c r="R130" i="2" s="1"/>
  <c r="P474" i="2"/>
  <c r="Q474" i="2" s="1"/>
  <c r="R474" i="2" s="1"/>
  <c r="P417" i="2"/>
  <c r="Q417" i="2" s="1"/>
  <c r="R417" i="2" s="1"/>
  <c r="P537" i="2"/>
  <c r="Q537" i="2" s="1"/>
  <c r="R537" i="2" s="1"/>
  <c r="I173" i="2"/>
  <c r="O113" i="2"/>
  <c r="Q113" i="2" s="1"/>
  <c r="R113" i="2" s="1"/>
  <c r="O105" i="2"/>
  <c r="Q105" i="2" s="1"/>
  <c r="R105" i="2" s="1"/>
  <c r="P99" i="2"/>
  <c r="Q99" i="2" s="1"/>
  <c r="R99" i="2" s="1"/>
  <c r="S99" i="2" s="1"/>
  <c r="U99" i="2" s="1"/>
  <c r="O65" i="2"/>
  <c r="Q65" i="2" s="1"/>
  <c r="R65" i="2" s="1"/>
  <c r="O538" i="2"/>
  <c r="Q538" i="2" s="1"/>
  <c r="R538" i="2" s="1"/>
  <c r="O59" i="2"/>
  <c r="Q59" i="2" s="1"/>
  <c r="R59" i="2" s="1"/>
  <c r="O499" i="2"/>
  <c r="Q499" i="2" s="1"/>
  <c r="R499" i="2" s="1"/>
  <c r="H84" i="2"/>
  <c r="P523" i="2"/>
  <c r="Q523" i="2" s="1"/>
  <c r="R523" i="2" s="1"/>
  <c r="P115" i="2"/>
  <c r="Q115" i="2" s="1"/>
  <c r="R115" i="2" s="1"/>
  <c r="P345" i="2"/>
  <c r="Q345" i="2" s="1"/>
  <c r="R345" i="2" s="1"/>
  <c r="O426" i="2"/>
  <c r="Q426" i="2" s="1"/>
  <c r="R426" i="2" s="1"/>
  <c r="P139" i="2"/>
  <c r="Q139" i="2" s="1"/>
  <c r="R139" i="2" s="1"/>
  <c r="P307" i="2"/>
  <c r="Q307" i="2" s="1"/>
  <c r="R307" i="2" s="1"/>
  <c r="I486" i="2"/>
  <c r="P82" i="2"/>
  <c r="Q82" i="2" s="1"/>
  <c r="R82" i="2" s="1"/>
  <c r="H575" i="2"/>
  <c r="P170" i="2"/>
  <c r="Q170" i="2" s="1"/>
  <c r="R170" i="2" s="1"/>
  <c r="I381" i="2"/>
  <c r="I86" i="2"/>
  <c r="H324" i="2"/>
  <c r="P521" i="2"/>
  <c r="Q521" i="2" s="1"/>
  <c r="R521" i="2" s="1"/>
  <c r="P514" i="2"/>
  <c r="Q514" i="2" s="1"/>
  <c r="R514" i="2" s="1"/>
  <c r="H488" i="2"/>
  <c r="Q363" i="2"/>
  <c r="R363" i="2" s="1"/>
  <c r="S363" i="2" s="1"/>
  <c r="U363" i="2" s="1"/>
  <c r="I196" i="2"/>
  <c r="P370" i="2"/>
  <c r="Q370" i="2" s="1"/>
  <c r="R370" i="2" s="1"/>
  <c r="S370" i="2" s="1"/>
  <c r="U370" i="2" s="1"/>
  <c r="P457" i="2"/>
  <c r="Q457" i="2" s="1"/>
  <c r="R457" i="2" s="1"/>
  <c r="P74" i="2"/>
  <c r="Q74" i="2" s="1"/>
  <c r="R74" i="2" s="1"/>
  <c r="P17" i="2"/>
  <c r="Q17" i="2" s="1"/>
  <c r="R17" i="2" s="1"/>
  <c r="S17" i="2" s="1"/>
  <c r="U17" i="2" s="1"/>
  <c r="P26" i="2"/>
  <c r="Q26" i="2" s="1"/>
  <c r="R26" i="2" s="1"/>
  <c r="P553" i="2"/>
  <c r="Q553" i="2" s="1"/>
  <c r="R553" i="2" s="1"/>
  <c r="P586" i="2"/>
  <c r="Q586" i="2" s="1"/>
  <c r="R586" i="2" s="1"/>
  <c r="P353" i="2"/>
  <c r="Q353" i="2" s="1"/>
  <c r="R353" i="2" s="1"/>
  <c r="I573" i="2"/>
  <c r="I214" i="2"/>
  <c r="I296" i="2"/>
  <c r="I4" i="2"/>
  <c r="L541" i="2"/>
  <c r="N541" i="2"/>
  <c r="H541" i="2"/>
  <c r="I541" i="2"/>
  <c r="H436" i="2"/>
  <c r="N436" i="2"/>
  <c r="I436" i="2"/>
  <c r="P75" i="2"/>
  <c r="Q75" i="2" s="1"/>
  <c r="R75" i="2" s="1"/>
  <c r="L535" i="2"/>
  <c r="H535" i="2"/>
  <c r="I535" i="2"/>
  <c r="N535" i="2"/>
  <c r="L279" i="2"/>
  <c r="I279" i="2"/>
  <c r="N279" i="2"/>
  <c r="H279" i="2"/>
  <c r="L23" i="2"/>
  <c r="H23" i="2"/>
  <c r="I23" i="2"/>
  <c r="N23" i="2"/>
  <c r="L152" i="2"/>
  <c r="N152" i="2"/>
  <c r="I152" i="2"/>
  <c r="H152" i="2"/>
  <c r="L559" i="2"/>
  <c r="N559" i="2"/>
  <c r="H559" i="2"/>
  <c r="I559" i="2"/>
  <c r="L303" i="2"/>
  <c r="N303" i="2"/>
  <c r="H303" i="2"/>
  <c r="I303" i="2"/>
  <c r="L390" i="2"/>
  <c r="N390" i="2"/>
  <c r="H390" i="2"/>
  <c r="I390" i="2"/>
  <c r="L127" i="2"/>
  <c r="N127" i="2"/>
  <c r="H127" i="2"/>
  <c r="I127" i="2"/>
  <c r="L260" i="2"/>
  <c r="N260" i="2"/>
  <c r="H260" i="2"/>
  <c r="I260" i="2"/>
  <c r="N527" i="2"/>
  <c r="I527" i="2"/>
  <c r="H527" i="2"/>
  <c r="O283" i="2"/>
  <c r="Q283" i="2" s="1"/>
  <c r="R283" i="2" s="1"/>
  <c r="S283" i="2" s="1"/>
  <c r="U283" i="2" s="1"/>
  <c r="O354" i="2"/>
  <c r="Q354" i="2" s="1"/>
  <c r="R354" i="2" s="1"/>
  <c r="P458" i="2"/>
  <c r="Q458" i="2" s="1"/>
  <c r="R458" i="2" s="1"/>
  <c r="L544" i="2"/>
  <c r="N544" i="2"/>
  <c r="H544" i="2"/>
  <c r="I544" i="2"/>
  <c r="N288" i="2"/>
  <c r="H288" i="2"/>
  <c r="I288" i="2"/>
  <c r="L462" i="2"/>
  <c r="N462" i="2"/>
  <c r="H462" i="2"/>
  <c r="I462" i="2"/>
  <c r="L206" i="2"/>
  <c r="N206" i="2"/>
  <c r="H206" i="2"/>
  <c r="I206" i="2"/>
  <c r="N549" i="2"/>
  <c r="H549" i="2"/>
  <c r="I549" i="2"/>
  <c r="L293" i="2"/>
  <c r="N293" i="2"/>
  <c r="H293" i="2"/>
  <c r="I293" i="2"/>
  <c r="L37" i="2"/>
  <c r="N37" i="2"/>
  <c r="H37" i="2"/>
  <c r="I37" i="2"/>
  <c r="L380" i="2"/>
  <c r="N380" i="2"/>
  <c r="H380" i="2"/>
  <c r="I380" i="2"/>
  <c r="L124" i="2"/>
  <c r="N124" i="2"/>
  <c r="H124" i="2"/>
  <c r="I124" i="2"/>
  <c r="L16" i="2"/>
  <c r="H16" i="2"/>
  <c r="I16" i="2"/>
  <c r="N16" i="2"/>
  <c r="I359" i="2"/>
  <c r="N359" i="2"/>
  <c r="H359" i="2"/>
  <c r="L103" i="2"/>
  <c r="N103" i="2"/>
  <c r="I103" i="2"/>
  <c r="H103" i="2"/>
  <c r="N392" i="2"/>
  <c r="H392" i="2"/>
  <c r="I392" i="2"/>
  <c r="L136" i="2"/>
  <c r="N136" i="2"/>
  <c r="H136" i="2"/>
  <c r="I136" i="2"/>
  <c r="L496" i="2"/>
  <c r="N496" i="2"/>
  <c r="H496" i="2"/>
  <c r="I496" i="2"/>
  <c r="L240" i="2"/>
  <c r="H240" i="2"/>
  <c r="N240" i="2"/>
  <c r="I240" i="2"/>
  <c r="N583" i="2"/>
  <c r="I583" i="2"/>
  <c r="H583" i="2"/>
  <c r="L327" i="2"/>
  <c r="N327" i="2"/>
  <c r="I327" i="2"/>
  <c r="H327" i="2"/>
  <c r="L71" i="2"/>
  <c r="H71" i="2"/>
  <c r="N71" i="2"/>
  <c r="I71" i="2"/>
  <c r="L182" i="2"/>
  <c r="H182" i="2"/>
  <c r="N182" i="2"/>
  <c r="I182" i="2"/>
  <c r="H525" i="2"/>
  <c r="N525" i="2"/>
  <c r="I525" i="2"/>
  <c r="L269" i="2"/>
  <c r="H269" i="2"/>
  <c r="N269" i="2"/>
  <c r="I269" i="2"/>
  <c r="N13" i="2"/>
  <c r="H13" i="2"/>
  <c r="I13" i="2"/>
  <c r="L356" i="2"/>
  <c r="N356" i="2"/>
  <c r="I356" i="2"/>
  <c r="H356" i="2"/>
  <c r="H100" i="2"/>
  <c r="N100" i="2"/>
  <c r="I100" i="2"/>
  <c r="L47" i="2"/>
  <c r="N47" i="2"/>
  <c r="H47" i="2"/>
  <c r="I47" i="2"/>
  <c r="N134" i="2"/>
  <c r="I134" i="2"/>
  <c r="H116" i="2"/>
  <c r="N116" i="2"/>
  <c r="I116" i="2"/>
  <c r="L104" i="2"/>
  <c r="N104" i="2"/>
  <c r="H104" i="2"/>
  <c r="I104" i="2"/>
  <c r="N557" i="2"/>
  <c r="H557" i="2"/>
  <c r="N230" i="2"/>
  <c r="H230" i="2"/>
  <c r="I230" i="2"/>
  <c r="L276" i="2"/>
  <c r="N276" i="2"/>
  <c r="H276" i="2"/>
  <c r="P186" i="2"/>
  <c r="Q186" i="2" s="1"/>
  <c r="R186" i="2" s="1"/>
  <c r="S186" i="2" s="1"/>
  <c r="U186" i="2" s="1"/>
  <c r="P490" i="2"/>
  <c r="Q490" i="2" s="1"/>
  <c r="R490" i="2" s="1"/>
  <c r="O513" i="2"/>
  <c r="Q513" i="2" s="1"/>
  <c r="R513" i="2" s="1"/>
  <c r="P210" i="2"/>
  <c r="Q210" i="2" s="1"/>
  <c r="R210" i="2" s="1"/>
  <c r="L288" i="2"/>
  <c r="L32" i="2"/>
  <c r="N32" i="2"/>
  <c r="I32" i="2"/>
  <c r="H32" i="2"/>
  <c r="L375" i="2"/>
  <c r="H375" i="2"/>
  <c r="N375" i="2"/>
  <c r="I375" i="2"/>
  <c r="L119" i="2"/>
  <c r="N119" i="2"/>
  <c r="I119" i="2"/>
  <c r="H119" i="2"/>
  <c r="L549" i="2"/>
  <c r="L464" i="2"/>
  <c r="N464" i="2"/>
  <c r="H464" i="2"/>
  <c r="I464" i="2"/>
  <c r="H208" i="2"/>
  <c r="I208" i="2"/>
  <c r="N208" i="2"/>
  <c r="L221" i="2"/>
  <c r="N221" i="2"/>
  <c r="I221" i="2"/>
  <c r="H221" i="2"/>
  <c r="L412" i="2"/>
  <c r="N412" i="2"/>
  <c r="I412" i="2"/>
  <c r="H412" i="2"/>
  <c r="L156" i="2"/>
  <c r="N156" i="2"/>
  <c r="H156" i="2"/>
  <c r="I156" i="2"/>
  <c r="L120" i="2"/>
  <c r="N120" i="2"/>
  <c r="I120" i="2"/>
  <c r="H120" i="2"/>
  <c r="N463" i="2"/>
  <c r="I463" i="2"/>
  <c r="H463" i="2"/>
  <c r="N422" i="2"/>
  <c r="I422" i="2"/>
  <c r="L189" i="2"/>
  <c r="N189" i="2"/>
  <c r="H189" i="2"/>
  <c r="N596" i="2"/>
  <c r="I596" i="2"/>
  <c r="L133" i="2"/>
  <c r="N133" i="2"/>
  <c r="H133" i="2"/>
  <c r="I133" i="2"/>
  <c r="L109" i="2"/>
  <c r="N109" i="2"/>
  <c r="H109" i="2"/>
  <c r="L429" i="2"/>
  <c r="N429" i="2"/>
  <c r="H429" i="2"/>
  <c r="I429" i="2"/>
  <c r="L278" i="2"/>
  <c r="N278" i="2"/>
  <c r="I278" i="2"/>
  <c r="H278" i="2"/>
  <c r="L445" i="2"/>
  <c r="N445" i="2"/>
  <c r="H445" i="2"/>
  <c r="P449" i="2"/>
  <c r="Q449" i="2" s="1"/>
  <c r="R449" i="2" s="1"/>
  <c r="L5" i="2"/>
  <c r="H5" i="2"/>
  <c r="N5" i="2"/>
  <c r="I5" i="2"/>
  <c r="L312" i="2"/>
  <c r="N312" i="2"/>
  <c r="H312" i="2"/>
  <c r="I312" i="2"/>
  <c r="L148" i="2"/>
  <c r="N148" i="2"/>
  <c r="H148" i="2"/>
  <c r="I148" i="2"/>
  <c r="N93" i="2"/>
  <c r="H93" i="2"/>
  <c r="I93" i="2"/>
  <c r="N447" i="2"/>
  <c r="H447" i="2"/>
  <c r="N294" i="2"/>
  <c r="P122" i="2"/>
  <c r="Q122" i="2" s="1"/>
  <c r="R122" i="2" s="1"/>
  <c r="O129" i="2"/>
  <c r="Q129" i="2" s="1"/>
  <c r="R129" i="2" s="1"/>
  <c r="O226" i="2"/>
  <c r="Q226" i="2" s="1"/>
  <c r="R226" i="2" s="1"/>
  <c r="P218" i="2"/>
  <c r="Q218" i="2" s="1"/>
  <c r="R218" i="2" s="1"/>
  <c r="L64" i="2"/>
  <c r="N64" i="2"/>
  <c r="I64" i="2"/>
  <c r="H64" i="2"/>
  <c r="N407" i="2"/>
  <c r="I407" i="2"/>
  <c r="H407" i="2"/>
  <c r="L151" i="2"/>
  <c r="N151" i="2"/>
  <c r="I151" i="2"/>
  <c r="H151" i="2"/>
  <c r="L472" i="2"/>
  <c r="N472" i="2"/>
  <c r="I472" i="2"/>
  <c r="H472" i="2"/>
  <c r="N431" i="2"/>
  <c r="H431" i="2"/>
  <c r="I431" i="2"/>
  <c r="L518" i="2"/>
  <c r="N518" i="2"/>
  <c r="I518" i="2"/>
  <c r="H518" i="2"/>
  <c r="L262" i="2"/>
  <c r="N262" i="2"/>
  <c r="I262" i="2"/>
  <c r="H262" i="2"/>
  <c r="N319" i="2"/>
  <c r="H319" i="2"/>
  <c r="N301" i="2"/>
  <c r="I301" i="2"/>
  <c r="I445" i="2"/>
  <c r="N504" i="2"/>
  <c r="H504" i="2"/>
  <c r="L56" i="2"/>
  <c r="N56" i="2"/>
  <c r="H56" i="2"/>
  <c r="N532" i="2"/>
  <c r="H532" i="2"/>
  <c r="I532" i="2"/>
  <c r="H294" i="2"/>
  <c r="I189" i="2"/>
  <c r="L509" i="2"/>
  <c r="N509" i="2"/>
  <c r="I509" i="2"/>
  <c r="N416" i="2"/>
  <c r="I416" i="2"/>
  <c r="H416" i="2"/>
  <c r="L160" i="2"/>
  <c r="N160" i="2"/>
  <c r="H160" i="2"/>
  <c r="I160" i="2"/>
  <c r="H590" i="2"/>
  <c r="N590" i="2"/>
  <c r="I590" i="2"/>
  <c r="L334" i="2"/>
  <c r="H334" i="2"/>
  <c r="I334" i="2"/>
  <c r="N334" i="2"/>
  <c r="H78" i="2"/>
  <c r="L78" i="2"/>
  <c r="I78" i="2"/>
  <c r="N78" i="2"/>
  <c r="L421" i="2"/>
  <c r="H421" i="2"/>
  <c r="I421" i="2"/>
  <c r="N421" i="2"/>
  <c r="L165" i="2"/>
  <c r="H165" i="2"/>
  <c r="N165" i="2"/>
  <c r="I165" i="2"/>
  <c r="N508" i="2"/>
  <c r="H508" i="2"/>
  <c r="I508" i="2"/>
  <c r="L252" i="2"/>
  <c r="N252" i="2"/>
  <c r="H252" i="2"/>
  <c r="I252" i="2"/>
  <c r="L144" i="2"/>
  <c r="N144" i="2"/>
  <c r="I144" i="2"/>
  <c r="H144" i="2"/>
  <c r="N487" i="2"/>
  <c r="I487" i="2"/>
  <c r="H487" i="2"/>
  <c r="N231" i="2"/>
  <c r="I231" i="2"/>
  <c r="H231" i="2"/>
  <c r="N520" i="2"/>
  <c r="H520" i="2"/>
  <c r="I520" i="2"/>
  <c r="L264" i="2"/>
  <c r="N264" i="2"/>
  <c r="H264" i="2"/>
  <c r="I264" i="2"/>
  <c r="H8" i="2"/>
  <c r="N8" i="2"/>
  <c r="I8" i="2"/>
  <c r="L368" i="2"/>
  <c r="H368" i="2"/>
  <c r="N368" i="2"/>
  <c r="I368" i="2"/>
  <c r="N455" i="2"/>
  <c r="H455" i="2"/>
  <c r="I455" i="2"/>
  <c r="L199" i="2"/>
  <c r="N199" i="2"/>
  <c r="H199" i="2"/>
  <c r="I199" i="2"/>
  <c r="N310" i="2"/>
  <c r="H310" i="2"/>
  <c r="I310" i="2"/>
  <c r="H54" i="2"/>
  <c r="L54" i="2"/>
  <c r="I54" i="2"/>
  <c r="N54" i="2"/>
  <c r="L397" i="2"/>
  <c r="H397" i="2"/>
  <c r="I397" i="2"/>
  <c r="N397" i="2"/>
  <c r="L141" i="2"/>
  <c r="H141" i="2"/>
  <c r="I141" i="2"/>
  <c r="N141" i="2"/>
  <c r="L484" i="2"/>
  <c r="H484" i="2"/>
  <c r="I484" i="2"/>
  <c r="N484" i="2"/>
  <c r="L228" i="2"/>
  <c r="H228" i="2"/>
  <c r="I228" i="2"/>
  <c r="N228" i="2"/>
  <c r="I512" i="2"/>
  <c r="N512" i="2"/>
  <c r="H512" i="2"/>
  <c r="L256" i="2"/>
  <c r="N256" i="2"/>
  <c r="I256" i="2"/>
  <c r="H256" i="2"/>
  <c r="N430" i="2"/>
  <c r="I430" i="2"/>
  <c r="L174" i="2"/>
  <c r="N174" i="2"/>
  <c r="H174" i="2"/>
  <c r="I174" i="2"/>
  <c r="L517" i="2"/>
  <c r="N517" i="2"/>
  <c r="I517" i="2"/>
  <c r="H517" i="2"/>
  <c r="L261" i="2"/>
  <c r="H261" i="2"/>
  <c r="N261" i="2"/>
  <c r="I261" i="2"/>
  <c r="L244" i="2"/>
  <c r="N244" i="2"/>
  <c r="I244" i="2"/>
  <c r="H244" i="2"/>
  <c r="I109" i="2"/>
  <c r="L503" i="2"/>
  <c r="H503" i="2"/>
  <c r="N503" i="2"/>
  <c r="I503" i="2"/>
  <c r="L247" i="2"/>
  <c r="N247" i="2"/>
  <c r="H247" i="2"/>
  <c r="I247" i="2"/>
  <c r="L590" i="2"/>
  <c r="N592" i="2"/>
  <c r="I592" i="2"/>
  <c r="H592" i="2"/>
  <c r="I336" i="2"/>
  <c r="N336" i="2"/>
  <c r="H336" i="2"/>
  <c r="L510" i="2"/>
  <c r="I510" i="2"/>
  <c r="H510" i="2"/>
  <c r="N510" i="2"/>
  <c r="L254" i="2"/>
  <c r="H254" i="2"/>
  <c r="I254" i="2"/>
  <c r="N254" i="2"/>
  <c r="L597" i="2"/>
  <c r="I597" i="2"/>
  <c r="N597" i="2"/>
  <c r="H597" i="2"/>
  <c r="L341" i="2"/>
  <c r="H341" i="2"/>
  <c r="I341" i="2"/>
  <c r="N341" i="2"/>
  <c r="N85" i="2"/>
  <c r="I85" i="2"/>
  <c r="H85" i="2"/>
  <c r="N428" i="2"/>
  <c r="H428" i="2"/>
  <c r="I428" i="2"/>
  <c r="L172" i="2"/>
  <c r="H172" i="2"/>
  <c r="N172" i="2"/>
  <c r="I172" i="2"/>
  <c r="L543" i="2"/>
  <c r="N543" i="2"/>
  <c r="H543" i="2"/>
  <c r="I543" i="2"/>
  <c r="L287" i="2"/>
  <c r="N287" i="2"/>
  <c r="H287" i="2"/>
  <c r="I287" i="2"/>
  <c r="N31" i="2"/>
  <c r="I31" i="2"/>
  <c r="L478" i="2"/>
  <c r="I478" i="2"/>
  <c r="N478" i="2"/>
  <c r="H478" i="2"/>
  <c r="L222" i="2"/>
  <c r="H222" i="2"/>
  <c r="I222" i="2"/>
  <c r="N222" i="2"/>
  <c r="H565" i="2"/>
  <c r="N565" i="2"/>
  <c r="I565" i="2"/>
  <c r="L309" i="2"/>
  <c r="N309" i="2"/>
  <c r="I309" i="2"/>
  <c r="H309" i="2"/>
  <c r="L53" i="2"/>
  <c r="N53" i="2"/>
  <c r="H53" i="2"/>
  <c r="I53" i="2"/>
  <c r="N396" i="2"/>
  <c r="H396" i="2"/>
  <c r="I396" i="2"/>
  <c r="L140" i="2"/>
  <c r="N140" i="2"/>
  <c r="H140" i="2"/>
  <c r="I140" i="2"/>
  <c r="L310" i="2"/>
  <c r="N408" i="2"/>
  <c r="I408" i="2"/>
  <c r="H408" i="2"/>
  <c r="L349" i="2"/>
  <c r="N349" i="2"/>
  <c r="I349" i="2"/>
  <c r="H349" i="2"/>
  <c r="N284" i="2"/>
  <c r="H284" i="2"/>
  <c r="I284" i="2"/>
  <c r="L28" i="2"/>
  <c r="H28" i="2"/>
  <c r="N28" i="2"/>
  <c r="I28" i="2"/>
  <c r="L552" i="2"/>
  <c r="N552" i="2"/>
  <c r="I552" i="2"/>
  <c r="H552" i="2"/>
  <c r="N388" i="2"/>
  <c r="H388" i="2"/>
  <c r="I388" i="2"/>
  <c r="I294" i="2"/>
  <c r="L580" i="2"/>
  <c r="N580" i="2"/>
  <c r="I580" i="2"/>
  <c r="H580" i="2"/>
  <c r="L440" i="2"/>
  <c r="N440" i="2"/>
  <c r="I440" i="2"/>
  <c r="H440" i="2"/>
  <c r="N335" i="2"/>
  <c r="I335" i="2"/>
  <c r="H335" i="2"/>
  <c r="L102" i="2"/>
  <c r="N102" i="2"/>
  <c r="H102" i="2"/>
  <c r="I102" i="2"/>
  <c r="L352" i="2"/>
  <c r="N352" i="2"/>
  <c r="H352" i="2"/>
  <c r="I352" i="2"/>
  <c r="L96" i="2"/>
  <c r="N96" i="2"/>
  <c r="H96" i="2"/>
  <c r="I96" i="2"/>
  <c r="L526" i="2"/>
  <c r="H526" i="2"/>
  <c r="N526" i="2"/>
  <c r="I526" i="2"/>
  <c r="L270" i="2"/>
  <c r="N270" i="2"/>
  <c r="H270" i="2"/>
  <c r="I270" i="2"/>
  <c r="H14" i="2"/>
  <c r="L14" i="2"/>
  <c r="N14" i="2"/>
  <c r="I14" i="2"/>
  <c r="L357" i="2"/>
  <c r="N357" i="2"/>
  <c r="I357" i="2"/>
  <c r="H357" i="2"/>
  <c r="L101" i="2"/>
  <c r="N101" i="2"/>
  <c r="H101" i="2"/>
  <c r="I101" i="2"/>
  <c r="L444" i="2"/>
  <c r="H444" i="2"/>
  <c r="N444" i="2"/>
  <c r="I444" i="2"/>
  <c r="L188" i="2"/>
  <c r="N188" i="2"/>
  <c r="I188" i="2"/>
  <c r="H188" i="2"/>
  <c r="L592" i="2"/>
  <c r="L336" i="2"/>
  <c r="L80" i="2"/>
  <c r="N80" i="2"/>
  <c r="I80" i="2"/>
  <c r="H80" i="2"/>
  <c r="L423" i="2"/>
  <c r="I423" i="2"/>
  <c r="H423" i="2"/>
  <c r="N423" i="2"/>
  <c r="L167" i="2"/>
  <c r="I167" i="2"/>
  <c r="H167" i="2"/>
  <c r="N167" i="2"/>
  <c r="L85" i="2"/>
  <c r="L456" i="2"/>
  <c r="N456" i="2"/>
  <c r="H456" i="2"/>
  <c r="I456" i="2"/>
  <c r="L200" i="2"/>
  <c r="H200" i="2"/>
  <c r="N200" i="2"/>
  <c r="I200" i="2"/>
  <c r="H560" i="2"/>
  <c r="N560" i="2"/>
  <c r="I560" i="2"/>
  <c r="L304" i="2"/>
  <c r="H304" i="2"/>
  <c r="I304" i="2"/>
  <c r="N304" i="2"/>
  <c r="H48" i="2"/>
  <c r="N48" i="2"/>
  <c r="I48" i="2"/>
  <c r="L391" i="2"/>
  <c r="N391" i="2"/>
  <c r="H391" i="2"/>
  <c r="I391" i="2"/>
  <c r="H135" i="2"/>
  <c r="I135" i="2"/>
  <c r="N135" i="2"/>
  <c r="L396" i="2"/>
  <c r="L246" i="2"/>
  <c r="N246" i="2"/>
  <c r="I246" i="2"/>
  <c r="H246" i="2"/>
  <c r="N589" i="2"/>
  <c r="H589" i="2"/>
  <c r="I589" i="2"/>
  <c r="L333" i="2"/>
  <c r="N333" i="2"/>
  <c r="H333" i="2"/>
  <c r="I333" i="2"/>
  <c r="N77" i="2"/>
  <c r="H77" i="2"/>
  <c r="I77" i="2"/>
  <c r="L420" i="2"/>
  <c r="N420" i="2"/>
  <c r="H420" i="2"/>
  <c r="I420" i="2"/>
  <c r="N164" i="2"/>
  <c r="H164" i="2"/>
  <c r="I164" i="2"/>
  <c r="L512" i="2"/>
  <c r="L599" i="2"/>
  <c r="I599" i="2"/>
  <c r="H599" i="2"/>
  <c r="N599" i="2"/>
  <c r="L343" i="2"/>
  <c r="I343" i="2"/>
  <c r="N343" i="2"/>
  <c r="H343" i="2"/>
  <c r="L87" i="2"/>
  <c r="N87" i="2"/>
  <c r="H87" i="2"/>
  <c r="I87" i="2"/>
  <c r="N280" i="2"/>
  <c r="I280" i="2"/>
  <c r="L495" i="2"/>
  <c r="N495" i="2"/>
  <c r="I495" i="2"/>
  <c r="H495" i="2"/>
  <c r="L582" i="2"/>
  <c r="N582" i="2"/>
  <c r="H582" i="2"/>
  <c r="I582" i="2"/>
  <c r="L326" i="2"/>
  <c r="N326" i="2"/>
  <c r="H326" i="2"/>
  <c r="I326" i="2"/>
  <c r="L285" i="2"/>
  <c r="N285" i="2"/>
  <c r="H285" i="2"/>
  <c r="I285" i="2"/>
  <c r="L93" i="2"/>
  <c r="L180" i="2"/>
  <c r="N180" i="2"/>
  <c r="H180" i="2"/>
  <c r="I180" i="2"/>
  <c r="L197" i="2"/>
  <c r="N197" i="2"/>
  <c r="H197" i="2"/>
  <c r="I197" i="2"/>
  <c r="L348" i="2"/>
  <c r="N348" i="2"/>
  <c r="H348" i="2"/>
  <c r="I348" i="2"/>
  <c r="L92" i="2"/>
  <c r="N92" i="2"/>
  <c r="H92" i="2"/>
  <c r="I92" i="2"/>
  <c r="N40" i="2"/>
  <c r="N493" i="2"/>
  <c r="I493" i="2"/>
  <c r="N511" i="2"/>
  <c r="I511" i="2"/>
  <c r="N406" i="2"/>
  <c r="I406" i="2"/>
  <c r="N168" i="2"/>
  <c r="N598" i="2"/>
  <c r="I598" i="2"/>
  <c r="N470" i="2"/>
  <c r="N68" i="2"/>
  <c r="N79" i="2"/>
  <c r="N486" i="2"/>
  <c r="L294" i="2"/>
  <c r="N317" i="2"/>
  <c r="N404" i="2"/>
  <c r="L212" i="2"/>
  <c r="N212" i="2"/>
  <c r="N20" i="2"/>
  <c r="L439" i="2"/>
  <c r="H439" i="2"/>
  <c r="N439" i="2"/>
  <c r="I439" i="2"/>
  <c r="L183" i="2"/>
  <c r="H183" i="2"/>
  <c r="N183" i="2"/>
  <c r="I183" i="2"/>
  <c r="L528" i="2"/>
  <c r="I528" i="2"/>
  <c r="N528" i="2"/>
  <c r="H528" i="2"/>
  <c r="L272" i="2"/>
  <c r="I272" i="2"/>
  <c r="H272" i="2"/>
  <c r="N272" i="2"/>
  <c r="L446" i="2"/>
  <c r="I446" i="2"/>
  <c r="H446" i="2"/>
  <c r="N446" i="2"/>
  <c r="L190" i="2"/>
  <c r="I190" i="2"/>
  <c r="N190" i="2"/>
  <c r="H190" i="2"/>
  <c r="L533" i="2"/>
  <c r="I533" i="2"/>
  <c r="H533" i="2"/>
  <c r="N533" i="2"/>
  <c r="L277" i="2"/>
  <c r="I277" i="2"/>
  <c r="N277" i="2"/>
  <c r="H277" i="2"/>
  <c r="L21" i="2"/>
  <c r="I21" i="2"/>
  <c r="N21" i="2"/>
  <c r="H21" i="2"/>
  <c r="L364" i="2"/>
  <c r="N364" i="2"/>
  <c r="H364" i="2"/>
  <c r="I364" i="2"/>
  <c r="N108" i="2"/>
  <c r="H108" i="2"/>
  <c r="I108" i="2"/>
  <c r="L392" i="2"/>
  <c r="L479" i="2"/>
  <c r="H479" i="2"/>
  <c r="N479" i="2"/>
  <c r="I479" i="2"/>
  <c r="L223" i="2"/>
  <c r="N223" i="2"/>
  <c r="H223" i="2"/>
  <c r="I223" i="2"/>
  <c r="L566" i="2"/>
  <c r="N566" i="2"/>
  <c r="I566" i="2"/>
  <c r="H566" i="2"/>
  <c r="N414" i="2"/>
  <c r="I414" i="2"/>
  <c r="H414" i="2"/>
  <c r="L158" i="2"/>
  <c r="N158" i="2"/>
  <c r="I158" i="2"/>
  <c r="H158" i="2"/>
  <c r="L501" i="2"/>
  <c r="N501" i="2"/>
  <c r="I501" i="2"/>
  <c r="H501" i="2"/>
  <c r="L245" i="2"/>
  <c r="H245" i="2"/>
  <c r="I245" i="2"/>
  <c r="N245" i="2"/>
  <c r="L588" i="2"/>
  <c r="N588" i="2"/>
  <c r="I588" i="2"/>
  <c r="H588" i="2"/>
  <c r="L332" i="2"/>
  <c r="N332" i="2"/>
  <c r="H332" i="2"/>
  <c r="I332" i="2"/>
  <c r="L76" i="2"/>
  <c r="N76" i="2"/>
  <c r="H76" i="2"/>
  <c r="I76" i="2"/>
  <c r="L164" i="2"/>
  <c r="H448" i="2"/>
  <c r="I448" i="2"/>
  <c r="N448" i="2"/>
  <c r="L192" i="2"/>
  <c r="N192" i="2"/>
  <c r="H192" i="2"/>
  <c r="I192" i="2"/>
  <c r="L366" i="2"/>
  <c r="H366" i="2"/>
  <c r="N366" i="2"/>
  <c r="I366" i="2"/>
  <c r="L110" i="2"/>
  <c r="H110" i="2"/>
  <c r="N110" i="2"/>
  <c r="I110" i="2"/>
  <c r="L453" i="2"/>
  <c r="N453" i="2"/>
  <c r="I453" i="2"/>
  <c r="H453" i="2"/>
  <c r="N600" i="2"/>
  <c r="I600" i="2"/>
  <c r="L408" i="2"/>
  <c r="N88" i="2"/>
  <c r="I88" i="2"/>
  <c r="N239" i="2"/>
  <c r="I239" i="2"/>
  <c r="L70" i="2"/>
  <c r="N70" i="2"/>
  <c r="H70" i="2"/>
  <c r="I70" i="2"/>
  <c r="N477" i="2"/>
  <c r="I477" i="2"/>
  <c r="L29" i="2"/>
  <c r="N29" i="2"/>
  <c r="I29" i="2"/>
  <c r="H29" i="2"/>
  <c r="L372" i="2"/>
  <c r="H372" i="2"/>
  <c r="N372" i="2"/>
  <c r="I372" i="2"/>
  <c r="N540" i="2"/>
  <c r="I540" i="2"/>
  <c r="N575" i="2"/>
  <c r="N534" i="2"/>
  <c r="N452" i="2"/>
  <c r="I45" i="2"/>
  <c r="N237" i="2"/>
  <c r="I237" i="2"/>
  <c r="N132" i="2"/>
  <c r="N173" i="2"/>
  <c r="L248" i="2"/>
  <c r="N248" i="2"/>
  <c r="I248" i="2"/>
  <c r="H248" i="2"/>
  <c r="N271" i="2"/>
  <c r="H38" i="2"/>
  <c r="N38" i="2"/>
  <c r="L38" i="2"/>
  <c r="N125" i="2"/>
  <c r="I452" i="2"/>
  <c r="H68" i="2"/>
  <c r="L382" i="2"/>
  <c r="N382" i="2"/>
  <c r="I382" i="2"/>
  <c r="H382" i="2"/>
  <c r="L126" i="2"/>
  <c r="N126" i="2"/>
  <c r="I126" i="2"/>
  <c r="H126" i="2"/>
  <c r="L469" i="2"/>
  <c r="N469" i="2"/>
  <c r="I469" i="2"/>
  <c r="H469" i="2"/>
  <c r="L213" i="2"/>
  <c r="N213" i="2"/>
  <c r="I213" i="2"/>
  <c r="H213" i="2"/>
  <c r="L556" i="2"/>
  <c r="N556" i="2"/>
  <c r="I556" i="2"/>
  <c r="H556" i="2"/>
  <c r="L300" i="2"/>
  <c r="N300" i="2"/>
  <c r="H300" i="2"/>
  <c r="I300" i="2"/>
  <c r="L44" i="2"/>
  <c r="N44" i="2"/>
  <c r="I44" i="2"/>
  <c r="H44" i="2"/>
  <c r="L415" i="2"/>
  <c r="H415" i="2"/>
  <c r="N415" i="2"/>
  <c r="I415" i="2"/>
  <c r="H159" i="2"/>
  <c r="I159" i="2"/>
  <c r="N159" i="2"/>
  <c r="L502" i="2"/>
  <c r="H502" i="2"/>
  <c r="N502" i="2"/>
  <c r="I502" i="2"/>
  <c r="L176" i="2"/>
  <c r="H176" i="2"/>
  <c r="N176" i="2"/>
  <c r="I176" i="2"/>
  <c r="L350" i="2"/>
  <c r="I350" i="2"/>
  <c r="H350" i="2"/>
  <c r="N350" i="2"/>
  <c r="N94" i="2"/>
  <c r="H94" i="2"/>
  <c r="I94" i="2"/>
  <c r="L437" i="2"/>
  <c r="H437" i="2"/>
  <c r="N437" i="2"/>
  <c r="I437" i="2"/>
  <c r="L181" i="2"/>
  <c r="N181" i="2"/>
  <c r="I181" i="2"/>
  <c r="H181" i="2"/>
  <c r="N524" i="2"/>
  <c r="I524" i="2"/>
  <c r="H524" i="2"/>
  <c r="L268" i="2"/>
  <c r="N268" i="2"/>
  <c r="H268" i="2"/>
  <c r="I268" i="2"/>
  <c r="H12" i="2"/>
  <c r="N12" i="2"/>
  <c r="I12" i="2"/>
  <c r="L100" i="2"/>
  <c r="H384" i="2"/>
  <c r="N384" i="2"/>
  <c r="I384" i="2"/>
  <c r="H128" i="2"/>
  <c r="I128" i="2"/>
  <c r="N128" i="2"/>
  <c r="N558" i="2"/>
  <c r="I558" i="2"/>
  <c r="H558" i="2"/>
  <c r="L302" i="2"/>
  <c r="N302" i="2"/>
  <c r="I302" i="2"/>
  <c r="H302" i="2"/>
  <c r="N46" i="2"/>
  <c r="I46" i="2"/>
  <c r="L389" i="2"/>
  <c r="N389" i="2"/>
  <c r="H389" i="2"/>
  <c r="I389" i="2"/>
  <c r="N216" i="2"/>
  <c r="I216" i="2"/>
  <c r="N175" i="2"/>
  <c r="H175" i="2"/>
  <c r="I175" i="2"/>
  <c r="N413" i="2"/>
  <c r="H413" i="2"/>
  <c r="I413" i="2"/>
  <c r="N564" i="2"/>
  <c r="I564" i="2"/>
  <c r="L308" i="2"/>
  <c r="N308" i="2"/>
  <c r="H308" i="2"/>
  <c r="I308" i="2"/>
  <c r="L116" i="2"/>
  <c r="L476" i="2"/>
  <c r="N476" i="2"/>
  <c r="I476" i="2"/>
  <c r="H476" i="2"/>
  <c r="L284" i="2"/>
  <c r="L342" i="2"/>
  <c r="N342" i="2"/>
  <c r="N365" i="2"/>
  <c r="N150" i="2"/>
  <c r="I150" i="2"/>
  <c r="N488" i="2"/>
  <c r="N360" i="2"/>
  <c r="N214" i="2"/>
  <c r="N516" i="2"/>
  <c r="L207" i="2"/>
  <c r="N207" i="2"/>
  <c r="H207" i="2"/>
  <c r="I207" i="2"/>
  <c r="N15" i="2"/>
  <c r="I15" i="2"/>
  <c r="L230" i="2"/>
  <c r="N253" i="2"/>
  <c r="I253" i="2"/>
  <c r="L532" i="2"/>
  <c r="N340" i="2"/>
  <c r="I342" i="2"/>
  <c r="H342" i="2"/>
  <c r="L480" i="2"/>
  <c r="H480" i="2"/>
  <c r="I480" i="2"/>
  <c r="N480" i="2"/>
  <c r="N224" i="2"/>
  <c r="H224" i="2"/>
  <c r="I224" i="2"/>
  <c r="L398" i="2"/>
  <c r="H398" i="2"/>
  <c r="N398" i="2"/>
  <c r="I398" i="2"/>
  <c r="L142" i="2"/>
  <c r="N142" i="2"/>
  <c r="I142" i="2"/>
  <c r="H142" i="2"/>
  <c r="L485" i="2"/>
  <c r="N485" i="2"/>
  <c r="H485" i="2"/>
  <c r="I485" i="2"/>
  <c r="L229" i="2"/>
  <c r="N229" i="2"/>
  <c r="H229" i="2"/>
  <c r="I229" i="2"/>
  <c r="N572" i="2"/>
  <c r="I572" i="2"/>
  <c r="H572" i="2"/>
  <c r="L316" i="2"/>
  <c r="H316" i="2"/>
  <c r="N316" i="2"/>
  <c r="I316" i="2"/>
  <c r="L60" i="2"/>
  <c r="N60" i="2"/>
  <c r="H60" i="2"/>
  <c r="I60" i="2"/>
  <c r="L551" i="2"/>
  <c r="N551" i="2"/>
  <c r="I551" i="2"/>
  <c r="H551" i="2"/>
  <c r="L295" i="2"/>
  <c r="N295" i="2"/>
  <c r="I295" i="2"/>
  <c r="H295" i="2"/>
  <c r="L39" i="2"/>
  <c r="N39" i="2"/>
  <c r="I39" i="2"/>
  <c r="H39" i="2"/>
  <c r="L584" i="2"/>
  <c r="N584" i="2"/>
  <c r="I584" i="2"/>
  <c r="H584" i="2"/>
  <c r="L328" i="2"/>
  <c r="N328" i="2"/>
  <c r="H328" i="2"/>
  <c r="I328" i="2"/>
  <c r="L72" i="2"/>
  <c r="N72" i="2"/>
  <c r="H72" i="2"/>
  <c r="I72" i="2"/>
  <c r="L432" i="2"/>
  <c r="H432" i="2"/>
  <c r="I432" i="2"/>
  <c r="N432" i="2"/>
  <c r="L519" i="2"/>
  <c r="N519" i="2"/>
  <c r="H519" i="2"/>
  <c r="I519" i="2"/>
  <c r="L263" i="2"/>
  <c r="H263" i="2"/>
  <c r="I263" i="2"/>
  <c r="N263" i="2"/>
  <c r="L7" i="2"/>
  <c r="H7" i="2"/>
  <c r="I7" i="2"/>
  <c r="N7" i="2"/>
  <c r="L94" i="2"/>
  <c r="N374" i="2"/>
  <c r="H374" i="2"/>
  <c r="I374" i="2"/>
  <c r="N118" i="2"/>
  <c r="H118" i="2"/>
  <c r="I118" i="2"/>
  <c r="L461" i="2"/>
  <c r="N461" i="2"/>
  <c r="H461" i="2"/>
  <c r="I461" i="2"/>
  <c r="L205" i="2"/>
  <c r="N205" i="2"/>
  <c r="H205" i="2"/>
  <c r="I205" i="2"/>
  <c r="L548" i="2"/>
  <c r="I548" i="2"/>
  <c r="N548" i="2"/>
  <c r="H548" i="2"/>
  <c r="L292" i="2"/>
  <c r="N292" i="2"/>
  <c r="H292" i="2"/>
  <c r="I292" i="2"/>
  <c r="L36" i="2"/>
  <c r="H36" i="2"/>
  <c r="N36" i="2"/>
  <c r="I36" i="2"/>
  <c r="L384" i="2"/>
  <c r="L128" i="2"/>
  <c r="L471" i="2"/>
  <c r="N471" i="2"/>
  <c r="H471" i="2"/>
  <c r="I471" i="2"/>
  <c r="L215" i="2"/>
  <c r="N215" i="2"/>
  <c r="I215" i="2"/>
  <c r="H215" i="2"/>
  <c r="L558" i="2"/>
  <c r="N536" i="2"/>
  <c r="I536" i="2"/>
  <c r="N24" i="2"/>
  <c r="I24" i="2"/>
  <c r="N367" i="2"/>
  <c r="H367" i="2"/>
  <c r="I367" i="2"/>
  <c r="L454" i="2"/>
  <c r="N454" i="2"/>
  <c r="H454" i="2"/>
  <c r="I454" i="2"/>
  <c r="L198" i="2"/>
  <c r="N198" i="2"/>
  <c r="H198" i="2"/>
  <c r="I198" i="2"/>
  <c r="N6" i="2"/>
  <c r="I6" i="2"/>
  <c r="L413" i="2"/>
  <c r="L52" i="2"/>
  <c r="N52" i="2"/>
  <c r="H52" i="2"/>
  <c r="I52" i="2"/>
  <c r="N69" i="2"/>
  <c r="H69" i="2"/>
  <c r="I69" i="2"/>
  <c r="L220" i="2"/>
  <c r="N220" i="2"/>
  <c r="H220" i="2"/>
  <c r="I220" i="2"/>
  <c r="N383" i="2"/>
  <c r="N4" i="2"/>
  <c r="N424" i="2"/>
  <c r="I424" i="2"/>
  <c r="N45" i="2"/>
  <c r="N184" i="2"/>
  <c r="N591" i="2"/>
  <c r="L399" i="2"/>
  <c r="N399" i="2"/>
  <c r="N573" i="2"/>
  <c r="N61" i="2"/>
  <c r="I516" i="2"/>
  <c r="N196" i="2"/>
  <c r="I40" i="2"/>
  <c r="L567" i="2"/>
  <c r="H567" i="2"/>
  <c r="I567" i="2"/>
  <c r="N567" i="2"/>
  <c r="L311" i="2"/>
  <c r="H311" i="2"/>
  <c r="N311" i="2"/>
  <c r="I311" i="2"/>
  <c r="L55" i="2"/>
  <c r="H55" i="2"/>
  <c r="N55" i="2"/>
  <c r="I55" i="2"/>
  <c r="I400" i="2"/>
  <c r="N400" i="2"/>
  <c r="H400" i="2"/>
  <c r="L487" i="2"/>
  <c r="N574" i="2"/>
  <c r="I574" i="2"/>
  <c r="H574" i="2"/>
  <c r="L318" i="2"/>
  <c r="N318" i="2"/>
  <c r="I318" i="2"/>
  <c r="H318" i="2"/>
  <c r="H62" i="2"/>
  <c r="N62" i="2"/>
  <c r="I62" i="2"/>
  <c r="L405" i="2"/>
  <c r="N405" i="2"/>
  <c r="I405" i="2"/>
  <c r="H405" i="2"/>
  <c r="L149" i="2"/>
  <c r="N149" i="2"/>
  <c r="I149" i="2"/>
  <c r="H149" i="2"/>
  <c r="L492" i="2"/>
  <c r="I492" i="2"/>
  <c r="N492" i="2"/>
  <c r="H492" i="2"/>
  <c r="L236" i="2"/>
  <c r="N236" i="2"/>
  <c r="H236" i="2"/>
  <c r="I236" i="2"/>
  <c r="L520" i="2"/>
  <c r="L8" i="2"/>
  <c r="L351" i="2"/>
  <c r="H351" i="2"/>
  <c r="N351" i="2"/>
  <c r="I351" i="2"/>
  <c r="L95" i="2"/>
  <c r="H95" i="2"/>
  <c r="N95" i="2"/>
  <c r="I95" i="2"/>
  <c r="L438" i="2"/>
  <c r="N438" i="2"/>
  <c r="H438" i="2"/>
  <c r="I438" i="2"/>
  <c r="L112" i="2"/>
  <c r="H112" i="2"/>
  <c r="I112" i="2"/>
  <c r="N112" i="2"/>
  <c r="L455" i="2"/>
  <c r="L542" i="2"/>
  <c r="N542" i="2"/>
  <c r="H542" i="2"/>
  <c r="I542" i="2"/>
  <c r="L286" i="2"/>
  <c r="N286" i="2"/>
  <c r="H286" i="2"/>
  <c r="I286" i="2"/>
  <c r="L30" i="2"/>
  <c r="N30" i="2"/>
  <c r="H30" i="2"/>
  <c r="I30" i="2"/>
  <c r="L373" i="2"/>
  <c r="N373" i="2"/>
  <c r="H373" i="2"/>
  <c r="I373" i="2"/>
  <c r="L117" i="2"/>
  <c r="N117" i="2"/>
  <c r="I117" i="2"/>
  <c r="H117" i="2"/>
  <c r="L460" i="2"/>
  <c r="N460" i="2"/>
  <c r="I460" i="2"/>
  <c r="H460" i="2"/>
  <c r="L204" i="2"/>
  <c r="N204" i="2"/>
  <c r="H204" i="2"/>
  <c r="I204" i="2"/>
  <c r="L118" i="2"/>
  <c r="L576" i="2"/>
  <c r="N576" i="2"/>
  <c r="I576" i="2"/>
  <c r="H576" i="2"/>
  <c r="L320" i="2"/>
  <c r="I320" i="2"/>
  <c r="H320" i="2"/>
  <c r="N320" i="2"/>
  <c r="N494" i="2"/>
  <c r="H494" i="2"/>
  <c r="I494" i="2"/>
  <c r="L238" i="2"/>
  <c r="N238" i="2"/>
  <c r="H238" i="2"/>
  <c r="I238" i="2"/>
  <c r="L581" i="2"/>
  <c r="N581" i="2"/>
  <c r="H581" i="2"/>
  <c r="I581" i="2"/>
  <c r="N325" i="2"/>
  <c r="I325" i="2"/>
  <c r="N344" i="2"/>
  <c r="I344" i="2"/>
  <c r="L111" i="2"/>
  <c r="N111" i="2"/>
  <c r="H111" i="2"/>
  <c r="I111" i="2"/>
  <c r="N157" i="2"/>
  <c r="I157" i="2"/>
  <c r="L500" i="2"/>
  <c r="N500" i="2"/>
  <c r="H500" i="2"/>
  <c r="I500" i="2"/>
  <c r="N296" i="2"/>
  <c r="N86" i="2"/>
  <c r="I470" i="2"/>
  <c r="N63" i="2"/>
  <c r="N232" i="2"/>
  <c r="N255" i="2"/>
  <c r="N22" i="2"/>
  <c r="N324" i="2"/>
  <c r="N191" i="2"/>
  <c r="N568" i="2"/>
  <c r="N376" i="2"/>
  <c r="L143" i="2"/>
  <c r="N143" i="2"/>
  <c r="N550" i="2"/>
  <c r="N358" i="2"/>
  <c r="N166" i="2"/>
  <c r="I166" i="2"/>
  <c r="N381" i="2"/>
  <c r="N468" i="2"/>
  <c r="N84" i="2"/>
  <c r="I360" i="2"/>
  <c r="I383" i="2"/>
  <c r="I132" i="2"/>
  <c r="Q107" i="2"/>
  <c r="R107" i="2" s="1"/>
  <c r="Q467" i="2"/>
  <c r="R467" i="2" s="1"/>
  <c r="Q211" i="2"/>
  <c r="R211" i="2" s="1"/>
  <c r="Q451" i="2"/>
  <c r="R451" i="2" s="1"/>
  <c r="Q195" i="2"/>
  <c r="R195" i="2" s="1"/>
  <c r="Q443" i="2"/>
  <c r="R443" i="2" s="1"/>
  <c r="Q171" i="2"/>
  <c r="R171" i="2" s="1"/>
  <c r="Q235" i="2"/>
  <c r="R235" i="2" s="1"/>
  <c r="Q531" i="2"/>
  <c r="R531" i="2" s="1"/>
  <c r="Q275" i="2"/>
  <c r="R275" i="2" s="1"/>
  <c r="Q515" i="2"/>
  <c r="R515" i="2" s="1"/>
  <c r="Q259" i="2"/>
  <c r="R259" i="2" s="1"/>
  <c r="Q595" i="2"/>
  <c r="R595" i="2" s="1"/>
  <c r="Q339" i="2"/>
  <c r="R339" i="2" s="1"/>
  <c r="Q83" i="2"/>
  <c r="R83" i="2" s="1"/>
  <c r="Q579" i="2"/>
  <c r="R579" i="2" s="1"/>
  <c r="Q323" i="2"/>
  <c r="R323" i="2" s="1"/>
  <c r="Q403" i="2"/>
  <c r="R403" i="2" s="1"/>
  <c r="Q491" i="2"/>
  <c r="R491" i="2" s="1"/>
  <c r="Q387" i="2"/>
  <c r="R387" i="2" s="1"/>
  <c r="Q555" i="2"/>
  <c r="R555" i="2" s="1"/>
  <c r="Q427" i="2"/>
  <c r="R427" i="2" s="1"/>
  <c r="Q131" i="2"/>
  <c r="R131" i="2" s="1"/>
  <c r="Q147" i="2"/>
  <c r="R147" i="2" s="1"/>
  <c r="Q299" i="2"/>
  <c r="R299" i="2" s="1"/>
  <c r="R2" i="2" l="1"/>
  <c r="S2" i="2" s="1"/>
  <c r="U2" i="2" s="1"/>
  <c r="O550" i="2"/>
  <c r="P550" i="2"/>
  <c r="O236" i="2"/>
  <c r="P236" i="2"/>
  <c r="O485" i="2"/>
  <c r="P485" i="2"/>
  <c r="P340" i="2"/>
  <c r="O340" i="2"/>
  <c r="O302" i="2"/>
  <c r="P302" i="2"/>
  <c r="O239" i="2"/>
  <c r="P239" i="2"/>
  <c r="P303" i="2"/>
  <c r="O303" i="2"/>
  <c r="O381" i="2"/>
  <c r="P381" i="2"/>
  <c r="O351" i="2"/>
  <c r="P351" i="2"/>
  <c r="P149" i="2"/>
  <c r="O149" i="2"/>
  <c r="P574" i="2"/>
  <c r="O574" i="2"/>
  <c r="O424" i="2"/>
  <c r="P424" i="2"/>
  <c r="P374" i="2"/>
  <c r="O374" i="2"/>
  <c r="O128" i="2"/>
  <c r="P128" i="2"/>
  <c r="P271" i="2"/>
  <c r="O271" i="2"/>
  <c r="P407" i="2"/>
  <c r="O407" i="2"/>
  <c r="P447" i="2"/>
  <c r="O447" i="2"/>
  <c r="O13" i="2"/>
  <c r="P13" i="2"/>
  <c r="O232" i="2"/>
  <c r="P232" i="2"/>
  <c r="P500" i="2"/>
  <c r="O500" i="2"/>
  <c r="O438" i="2"/>
  <c r="P438" i="2"/>
  <c r="O55" i="2"/>
  <c r="P55" i="2"/>
  <c r="P399" i="2"/>
  <c r="O399" i="2"/>
  <c r="P7" i="2"/>
  <c r="O7" i="2"/>
  <c r="O480" i="2"/>
  <c r="P480" i="2"/>
  <c r="P308" i="2"/>
  <c r="O308" i="2"/>
  <c r="P237" i="2"/>
  <c r="O237" i="2"/>
  <c r="O588" i="2"/>
  <c r="P588" i="2"/>
  <c r="O414" i="2"/>
  <c r="P414" i="2"/>
  <c r="P486" i="2"/>
  <c r="O486" i="2"/>
  <c r="O470" i="2"/>
  <c r="P470" i="2"/>
  <c r="P164" i="2"/>
  <c r="O164" i="2"/>
  <c r="P589" i="2"/>
  <c r="O589" i="2"/>
  <c r="P222" i="2"/>
  <c r="O222" i="2"/>
  <c r="P508" i="2"/>
  <c r="O508" i="2"/>
  <c r="O504" i="2"/>
  <c r="P504" i="2"/>
  <c r="L494" i="2"/>
  <c r="O422" i="2"/>
  <c r="P422" i="2"/>
  <c r="O460" i="2"/>
  <c r="P460" i="2"/>
  <c r="O24" i="2"/>
  <c r="P24" i="2"/>
  <c r="L12" i="2"/>
  <c r="P15" i="2"/>
  <c r="O15" i="2"/>
  <c r="L424" i="2"/>
  <c r="L13" i="2"/>
  <c r="P44" i="2"/>
  <c r="O44" i="2"/>
  <c r="L431" i="2"/>
  <c r="O40" i="2"/>
  <c r="P40" i="2"/>
  <c r="L31" i="2"/>
  <c r="O96" i="2"/>
  <c r="P96" i="2"/>
  <c r="P349" i="2"/>
  <c r="O349" i="2"/>
  <c r="L416" i="2"/>
  <c r="L400" i="2"/>
  <c r="P288" i="2"/>
  <c r="O288" i="2"/>
  <c r="O84" i="2"/>
  <c r="P84" i="2"/>
  <c r="O324" i="2"/>
  <c r="P324" i="2"/>
  <c r="O111" i="2"/>
  <c r="P111" i="2"/>
  <c r="L407" i="2"/>
  <c r="P576" i="2"/>
  <c r="O576" i="2"/>
  <c r="L374" i="2"/>
  <c r="P492" i="2"/>
  <c r="O492" i="2"/>
  <c r="L572" i="2"/>
  <c r="O61" i="2"/>
  <c r="P61" i="2"/>
  <c r="O591" i="2"/>
  <c r="P591" i="2"/>
  <c r="O220" i="2"/>
  <c r="P220" i="2"/>
  <c r="O519" i="2"/>
  <c r="P519" i="2"/>
  <c r="L159" i="2"/>
  <c r="P328" i="2"/>
  <c r="O328" i="2"/>
  <c r="P316" i="2"/>
  <c r="O316" i="2"/>
  <c r="O516" i="2"/>
  <c r="P516" i="2"/>
  <c r="P365" i="2"/>
  <c r="O365" i="2"/>
  <c r="O476" i="2"/>
  <c r="P476" i="2"/>
  <c r="O575" i="2"/>
  <c r="P575" i="2"/>
  <c r="O29" i="2"/>
  <c r="P29" i="2"/>
  <c r="O70" i="2"/>
  <c r="P70" i="2"/>
  <c r="P366" i="2"/>
  <c r="O366" i="2"/>
  <c r="P192" i="2"/>
  <c r="O192" i="2"/>
  <c r="L77" i="2"/>
  <c r="P245" i="2"/>
  <c r="O245" i="2"/>
  <c r="P277" i="2"/>
  <c r="O277" i="2"/>
  <c r="P190" i="2"/>
  <c r="O190" i="2"/>
  <c r="L359" i="2"/>
  <c r="O79" i="2"/>
  <c r="P79" i="2"/>
  <c r="L239" i="2"/>
  <c r="O87" i="2"/>
  <c r="P87" i="2"/>
  <c r="L565" i="2"/>
  <c r="P456" i="2"/>
  <c r="O456" i="2"/>
  <c r="O14" i="2"/>
  <c r="P14" i="2"/>
  <c r="O526" i="2"/>
  <c r="P526" i="2"/>
  <c r="P102" i="2"/>
  <c r="O102" i="2"/>
  <c r="O552" i="2"/>
  <c r="P552" i="2"/>
  <c r="P284" i="2"/>
  <c r="O284" i="2"/>
  <c r="P396" i="2"/>
  <c r="O396" i="2"/>
  <c r="O309" i="2"/>
  <c r="P309" i="2"/>
  <c r="L48" i="2"/>
  <c r="P287" i="2"/>
  <c r="O287" i="2"/>
  <c r="O510" i="2"/>
  <c r="P510" i="2"/>
  <c r="O336" i="2"/>
  <c r="P336" i="2"/>
  <c r="L508" i="2"/>
  <c r="P247" i="2"/>
  <c r="O247" i="2"/>
  <c r="L575" i="2"/>
  <c r="O261" i="2"/>
  <c r="P261" i="2"/>
  <c r="L62" i="2"/>
  <c r="P78" i="2"/>
  <c r="O78" i="2"/>
  <c r="P160" i="2"/>
  <c r="O160" i="2"/>
  <c r="O532" i="2"/>
  <c r="P532" i="2"/>
  <c r="P518" i="2"/>
  <c r="O518" i="2"/>
  <c r="L477" i="2"/>
  <c r="P109" i="2"/>
  <c r="O109" i="2"/>
  <c r="P596" i="2"/>
  <c r="O596" i="2"/>
  <c r="O120" i="2"/>
  <c r="P120" i="2"/>
  <c r="O464" i="2"/>
  <c r="P464" i="2"/>
  <c r="P47" i="2"/>
  <c r="O47" i="2"/>
  <c r="O269" i="2"/>
  <c r="P269" i="2"/>
  <c r="O182" i="2"/>
  <c r="P182" i="2"/>
  <c r="O327" i="2"/>
  <c r="P327" i="2"/>
  <c r="P16" i="2"/>
  <c r="O16" i="2"/>
  <c r="O124" i="2"/>
  <c r="P124" i="2"/>
  <c r="P37" i="2"/>
  <c r="O37" i="2"/>
  <c r="P549" i="2"/>
  <c r="O549" i="2"/>
  <c r="P462" i="2"/>
  <c r="O462" i="2"/>
  <c r="P390" i="2"/>
  <c r="O390" i="2"/>
  <c r="O270" i="2"/>
  <c r="P270" i="2"/>
  <c r="O484" i="2"/>
  <c r="P484" i="2"/>
  <c r="P143" i="2"/>
  <c r="O143" i="2"/>
  <c r="P286" i="2"/>
  <c r="O286" i="2"/>
  <c r="P4" i="2"/>
  <c r="O4" i="2"/>
  <c r="O454" i="2"/>
  <c r="P454" i="2"/>
  <c r="O469" i="2"/>
  <c r="P469" i="2"/>
  <c r="P180" i="2"/>
  <c r="O180" i="2"/>
  <c r="P580" i="2"/>
  <c r="O580" i="2"/>
  <c r="O310" i="2"/>
  <c r="P310" i="2"/>
  <c r="P557" i="2"/>
  <c r="O557" i="2"/>
  <c r="L448" i="2"/>
  <c r="O166" i="2"/>
  <c r="P166" i="2"/>
  <c r="L335" i="2"/>
  <c r="P63" i="2"/>
  <c r="O63" i="2"/>
  <c r="O157" i="2"/>
  <c r="P157" i="2"/>
  <c r="P325" i="2"/>
  <c r="O325" i="2"/>
  <c r="P238" i="2"/>
  <c r="O238" i="2"/>
  <c r="O95" i="2"/>
  <c r="P95" i="2"/>
  <c r="P405" i="2"/>
  <c r="O405" i="2"/>
  <c r="P318" i="2"/>
  <c r="O318" i="2"/>
  <c r="L224" i="2"/>
  <c r="O45" i="2"/>
  <c r="P45" i="2"/>
  <c r="P52" i="2"/>
  <c r="O52" i="2"/>
  <c r="L344" i="2"/>
  <c r="O292" i="2"/>
  <c r="P292" i="2"/>
  <c r="P205" i="2"/>
  <c r="O205" i="2"/>
  <c r="P118" i="2"/>
  <c r="O118" i="2"/>
  <c r="L524" i="2"/>
  <c r="L208" i="2"/>
  <c r="O229" i="2"/>
  <c r="P229" i="2"/>
  <c r="P142" i="2"/>
  <c r="O142" i="2"/>
  <c r="O253" i="2"/>
  <c r="P253" i="2"/>
  <c r="O488" i="2"/>
  <c r="P488" i="2"/>
  <c r="O564" i="2"/>
  <c r="P564" i="2"/>
  <c r="P216" i="2"/>
  <c r="O216" i="2"/>
  <c r="O46" i="2"/>
  <c r="P46" i="2"/>
  <c r="O558" i="2"/>
  <c r="P558" i="2"/>
  <c r="L525" i="2"/>
  <c r="O268" i="2"/>
  <c r="P268" i="2"/>
  <c r="O181" i="2"/>
  <c r="P181" i="2"/>
  <c r="O94" i="2"/>
  <c r="P94" i="2"/>
  <c r="L470" i="2"/>
  <c r="P88" i="2"/>
  <c r="O88" i="2"/>
  <c r="P453" i="2"/>
  <c r="O453" i="2"/>
  <c r="P364" i="2"/>
  <c r="O364" i="2"/>
  <c r="O183" i="2"/>
  <c r="P183" i="2"/>
  <c r="P317" i="2"/>
  <c r="O317" i="2"/>
  <c r="L436" i="2"/>
  <c r="L600" i="2"/>
  <c r="O391" i="2"/>
  <c r="P391" i="2"/>
  <c r="O167" i="2"/>
  <c r="P167" i="2"/>
  <c r="P188" i="2"/>
  <c r="O188" i="2"/>
  <c r="O101" i="2"/>
  <c r="P101" i="2"/>
  <c r="O172" i="2"/>
  <c r="P172" i="2"/>
  <c r="O597" i="2"/>
  <c r="P597" i="2"/>
  <c r="O174" i="2"/>
  <c r="P174" i="2"/>
  <c r="O228" i="2"/>
  <c r="P228" i="2"/>
  <c r="O141" i="2"/>
  <c r="P141" i="2"/>
  <c r="O54" i="2"/>
  <c r="P54" i="2"/>
  <c r="O8" i="2"/>
  <c r="P8" i="2"/>
  <c r="P487" i="2"/>
  <c r="O487" i="2"/>
  <c r="P165" i="2"/>
  <c r="O165" i="2"/>
  <c r="P590" i="2"/>
  <c r="O590" i="2"/>
  <c r="P472" i="2"/>
  <c r="O472" i="2"/>
  <c r="P151" i="2"/>
  <c r="O151" i="2"/>
  <c r="P64" i="2"/>
  <c r="O64" i="2"/>
  <c r="L381" i="2"/>
  <c r="P278" i="2"/>
  <c r="O278" i="2"/>
  <c r="P356" i="2"/>
  <c r="O356" i="2"/>
  <c r="L414" i="2"/>
  <c r="L108" i="2"/>
  <c r="P260" i="2"/>
  <c r="O260" i="2"/>
  <c r="P559" i="2"/>
  <c r="O559" i="2"/>
  <c r="L84" i="2"/>
  <c r="O572" i="2"/>
  <c r="P572" i="2"/>
  <c r="O524" i="2"/>
  <c r="P524" i="2"/>
  <c r="O285" i="2"/>
  <c r="P285" i="2"/>
  <c r="O423" i="2"/>
  <c r="P423" i="2"/>
  <c r="O319" i="2"/>
  <c r="P319" i="2"/>
  <c r="O436" i="2"/>
  <c r="P436" i="2"/>
  <c r="O509" i="2"/>
  <c r="P509" i="2"/>
  <c r="O116" i="2"/>
  <c r="P116" i="2"/>
  <c r="P468" i="2"/>
  <c r="O468" i="2"/>
  <c r="O376" i="2"/>
  <c r="P376" i="2"/>
  <c r="P22" i="2"/>
  <c r="O22" i="2"/>
  <c r="L69" i="2"/>
  <c r="P320" i="2"/>
  <c r="O320" i="2"/>
  <c r="O311" i="2"/>
  <c r="P311" i="2"/>
  <c r="P184" i="2"/>
  <c r="O184" i="2"/>
  <c r="O263" i="2"/>
  <c r="P263" i="2"/>
  <c r="O214" i="2"/>
  <c r="P214" i="2"/>
  <c r="O342" i="2"/>
  <c r="P342" i="2"/>
  <c r="O384" i="2"/>
  <c r="P384" i="2"/>
  <c r="P176" i="2"/>
  <c r="O176" i="2"/>
  <c r="P159" i="2"/>
  <c r="O159" i="2"/>
  <c r="O38" i="2"/>
  <c r="P38" i="2"/>
  <c r="P448" i="2"/>
  <c r="O448" i="2"/>
  <c r="L589" i="2"/>
  <c r="O332" i="2"/>
  <c r="P332" i="2"/>
  <c r="P158" i="2"/>
  <c r="O158" i="2"/>
  <c r="L583" i="2"/>
  <c r="P272" i="2"/>
  <c r="O272" i="2"/>
  <c r="P20" i="2"/>
  <c r="O20" i="2"/>
  <c r="L271" i="2"/>
  <c r="O598" i="2"/>
  <c r="P598" i="2"/>
  <c r="O511" i="2"/>
  <c r="P511" i="2"/>
  <c r="O326" i="2"/>
  <c r="P326" i="2"/>
  <c r="O420" i="2"/>
  <c r="P420" i="2"/>
  <c r="P333" i="2"/>
  <c r="O333" i="2"/>
  <c r="P246" i="2"/>
  <c r="O246" i="2"/>
  <c r="P440" i="2"/>
  <c r="O440" i="2"/>
  <c r="L560" i="2"/>
  <c r="O85" i="2"/>
  <c r="P85" i="2"/>
  <c r="P199" i="2"/>
  <c r="O199" i="2"/>
  <c r="P368" i="2"/>
  <c r="O368" i="2"/>
  <c r="O520" i="2"/>
  <c r="P520" i="2"/>
  <c r="L574" i="2"/>
  <c r="O252" i="2"/>
  <c r="P252" i="2"/>
  <c r="O301" i="2"/>
  <c r="P301" i="2"/>
  <c r="L175" i="2"/>
  <c r="O294" i="2"/>
  <c r="P294" i="2"/>
  <c r="P93" i="2"/>
  <c r="O93" i="2"/>
  <c r="P156" i="2"/>
  <c r="O156" i="2"/>
  <c r="O208" i="2"/>
  <c r="P208" i="2"/>
  <c r="P230" i="2"/>
  <c r="O230" i="2"/>
  <c r="P103" i="2"/>
  <c r="O103" i="2"/>
  <c r="P23" i="2"/>
  <c r="O23" i="2"/>
  <c r="P535" i="2"/>
  <c r="O535" i="2"/>
  <c r="L527" i="2"/>
  <c r="O541" i="2"/>
  <c r="P541" i="2"/>
  <c r="P581" i="2"/>
  <c r="O581" i="2"/>
  <c r="L568" i="2"/>
  <c r="P69" i="2"/>
  <c r="O69" i="2"/>
  <c r="P461" i="2"/>
  <c r="O461" i="2"/>
  <c r="P600" i="2"/>
  <c r="O600" i="2"/>
  <c r="O439" i="2"/>
  <c r="P439" i="2"/>
  <c r="O493" i="2"/>
  <c r="P493" i="2"/>
  <c r="O357" i="2"/>
  <c r="P357" i="2"/>
  <c r="O592" i="2"/>
  <c r="P592" i="2"/>
  <c r="O517" i="2"/>
  <c r="P517" i="2"/>
  <c r="O397" i="2"/>
  <c r="P397" i="2"/>
  <c r="P144" i="2"/>
  <c r="O144" i="2"/>
  <c r="L168" i="2"/>
  <c r="P431" i="2"/>
  <c r="O431" i="2"/>
  <c r="O5" i="2"/>
  <c r="P5" i="2"/>
  <c r="O276" i="2"/>
  <c r="P276" i="2"/>
  <c r="P359" i="2"/>
  <c r="O359" i="2"/>
  <c r="P527" i="2"/>
  <c r="O527" i="2"/>
  <c r="P191" i="2"/>
  <c r="O191" i="2"/>
  <c r="L367" i="2"/>
  <c r="O389" i="2"/>
  <c r="P389" i="2"/>
  <c r="P534" i="2"/>
  <c r="O534" i="2"/>
  <c r="O501" i="2"/>
  <c r="P501" i="2"/>
  <c r="O479" i="2"/>
  <c r="P479" i="2"/>
  <c r="P404" i="2"/>
  <c r="O404" i="2"/>
  <c r="O599" i="2"/>
  <c r="P599" i="2"/>
  <c r="O335" i="2"/>
  <c r="P335" i="2"/>
  <c r="L135" i="2"/>
  <c r="O455" i="2"/>
  <c r="P455" i="2"/>
  <c r="O264" i="2"/>
  <c r="P264" i="2"/>
  <c r="P148" i="2"/>
  <c r="O148" i="2"/>
  <c r="P412" i="2"/>
  <c r="O412" i="2"/>
  <c r="P375" i="2"/>
  <c r="O375" i="2"/>
  <c r="P373" i="2"/>
  <c r="O373" i="2"/>
  <c r="P6" i="2"/>
  <c r="O6" i="2"/>
  <c r="O39" i="2"/>
  <c r="P39" i="2"/>
  <c r="P502" i="2"/>
  <c r="O502" i="2"/>
  <c r="O556" i="2"/>
  <c r="P556" i="2"/>
  <c r="L463" i="2"/>
  <c r="O566" i="2"/>
  <c r="P566" i="2"/>
  <c r="O348" i="2"/>
  <c r="P348" i="2"/>
  <c r="O280" i="2"/>
  <c r="P280" i="2"/>
  <c r="O304" i="2"/>
  <c r="P304" i="2"/>
  <c r="P240" i="2"/>
  <c r="O240" i="2"/>
  <c r="O392" i="2"/>
  <c r="P392" i="2"/>
  <c r="P358" i="2"/>
  <c r="O358" i="2"/>
  <c r="P204" i="2"/>
  <c r="O204" i="2"/>
  <c r="P117" i="2"/>
  <c r="O117" i="2"/>
  <c r="P30" i="2"/>
  <c r="O30" i="2"/>
  <c r="O542" i="2"/>
  <c r="P542" i="2"/>
  <c r="P400" i="2"/>
  <c r="O400" i="2"/>
  <c r="P573" i="2"/>
  <c r="O573" i="2"/>
  <c r="P383" i="2"/>
  <c r="O383" i="2"/>
  <c r="O198" i="2"/>
  <c r="P198" i="2"/>
  <c r="O536" i="2"/>
  <c r="P536" i="2"/>
  <c r="O215" i="2"/>
  <c r="P215" i="2"/>
  <c r="P432" i="2"/>
  <c r="O432" i="2"/>
  <c r="O295" i="2"/>
  <c r="P295" i="2"/>
  <c r="O207" i="2"/>
  <c r="P207" i="2"/>
  <c r="O350" i="2"/>
  <c r="P350" i="2"/>
  <c r="P300" i="2"/>
  <c r="O300" i="2"/>
  <c r="O213" i="2"/>
  <c r="P213" i="2"/>
  <c r="O126" i="2"/>
  <c r="P126" i="2"/>
  <c r="O248" i="2"/>
  <c r="P248" i="2"/>
  <c r="O132" i="2"/>
  <c r="P132" i="2"/>
  <c r="O452" i="2"/>
  <c r="P452" i="2"/>
  <c r="O372" i="2"/>
  <c r="P372" i="2"/>
  <c r="O223" i="2"/>
  <c r="P223" i="2"/>
  <c r="P533" i="2"/>
  <c r="O533" i="2"/>
  <c r="P446" i="2"/>
  <c r="O446" i="2"/>
  <c r="O92" i="2"/>
  <c r="P92" i="2"/>
  <c r="P197" i="2"/>
  <c r="O197" i="2"/>
  <c r="O495" i="2"/>
  <c r="P495" i="2"/>
  <c r="O343" i="2"/>
  <c r="P343" i="2"/>
  <c r="P135" i="2"/>
  <c r="O135" i="2"/>
  <c r="P200" i="2"/>
  <c r="O200" i="2"/>
  <c r="L428" i="2"/>
  <c r="O80" i="2"/>
  <c r="P80" i="2"/>
  <c r="O352" i="2"/>
  <c r="P352" i="2"/>
  <c r="O28" i="2"/>
  <c r="P28" i="2"/>
  <c r="O408" i="2"/>
  <c r="P408" i="2"/>
  <c r="O565" i="2"/>
  <c r="P565" i="2"/>
  <c r="O478" i="2"/>
  <c r="P478" i="2"/>
  <c r="P503" i="2"/>
  <c r="O503" i="2"/>
  <c r="O256" i="2"/>
  <c r="P256" i="2"/>
  <c r="P56" i="2"/>
  <c r="O56" i="2"/>
  <c r="O189" i="2"/>
  <c r="P189" i="2"/>
  <c r="P119" i="2"/>
  <c r="O119" i="2"/>
  <c r="P32" i="2"/>
  <c r="O32" i="2"/>
  <c r="P104" i="2"/>
  <c r="O104" i="2"/>
  <c r="P134" i="2"/>
  <c r="O134" i="2"/>
  <c r="P71" i="2"/>
  <c r="O71" i="2"/>
  <c r="O136" i="2"/>
  <c r="P136" i="2"/>
  <c r="P544" i="2"/>
  <c r="O544" i="2"/>
  <c r="O127" i="2"/>
  <c r="P127" i="2"/>
  <c r="L388" i="2"/>
  <c r="P494" i="2"/>
  <c r="O494" i="2"/>
  <c r="O567" i="2"/>
  <c r="P567" i="2"/>
  <c r="P60" i="2"/>
  <c r="O60" i="2"/>
  <c r="O108" i="2"/>
  <c r="P108" i="2"/>
  <c r="P231" i="2"/>
  <c r="O231" i="2"/>
  <c r="O429" i="2"/>
  <c r="P429" i="2"/>
  <c r="O152" i="2"/>
  <c r="P152" i="2"/>
  <c r="P344" i="2"/>
  <c r="O344" i="2"/>
  <c r="O413" i="2"/>
  <c r="P413" i="2"/>
  <c r="P125" i="2"/>
  <c r="O125" i="2"/>
  <c r="P540" i="2"/>
  <c r="O540" i="2"/>
  <c r="O76" i="2"/>
  <c r="P76" i="2"/>
  <c r="O582" i="2"/>
  <c r="P582" i="2"/>
  <c r="P77" i="2"/>
  <c r="O77" i="2"/>
  <c r="P428" i="2"/>
  <c r="O428" i="2"/>
  <c r="O512" i="2"/>
  <c r="P512" i="2"/>
  <c r="O296" i="2"/>
  <c r="P296" i="2"/>
  <c r="P112" i="2"/>
  <c r="O112" i="2"/>
  <c r="L231" i="2"/>
  <c r="O471" i="2"/>
  <c r="P471" i="2"/>
  <c r="O551" i="2"/>
  <c r="P551" i="2"/>
  <c r="P415" i="2"/>
  <c r="O415" i="2"/>
  <c r="O382" i="2"/>
  <c r="P382" i="2"/>
  <c r="O173" i="2"/>
  <c r="P173" i="2"/>
  <c r="P528" i="2"/>
  <c r="O528" i="2"/>
  <c r="O406" i="2"/>
  <c r="P406" i="2"/>
  <c r="P279" i="2"/>
  <c r="O279" i="2"/>
  <c r="P568" i="2"/>
  <c r="O568" i="2"/>
  <c r="O255" i="2"/>
  <c r="P255" i="2"/>
  <c r="O86" i="2"/>
  <c r="P86" i="2"/>
  <c r="P62" i="2"/>
  <c r="O62" i="2"/>
  <c r="O196" i="2"/>
  <c r="P196" i="2"/>
  <c r="O367" i="2"/>
  <c r="P367" i="2"/>
  <c r="P36" i="2"/>
  <c r="O36" i="2"/>
  <c r="O548" i="2"/>
  <c r="P548" i="2"/>
  <c r="P72" i="2"/>
  <c r="O72" i="2"/>
  <c r="P584" i="2"/>
  <c r="O584" i="2"/>
  <c r="O398" i="2"/>
  <c r="P398" i="2"/>
  <c r="P224" i="2"/>
  <c r="O224" i="2"/>
  <c r="O360" i="2"/>
  <c r="P360" i="2"/>
  <c r="O150" i="2"/>
  <c r="P150" i="2"/>
  <c r="P175" i="2"/>
  <c r="O175" i="2"/>
  <c r="O12" i="2"/>
  <c r="P12" i="2"/>
  <c r="O437" i="2"/>
  <c r="P437" i="2"/>
  <c r="P477" i="2"/>
  <c r="O477" i="2"/>
  <c r="P110" i="2"/>
  <c r="O110" i="2"/>
  <c r="P21" i="2"/>
  <c r="O21" i="2"/>
  <c r="P212" i="2"/>
  <c r="O212" i="2"/>
  <c r="P68" i="2"/>
  <c r="O68" i="2"/>
  <c r="O168" i="2"/>
  <c r="P168" i="2"/>
  <c r="P48" i="2"/>
  <c r="O48" i="2"/>
  <c r="O560" i="2"/>
  <c r="P560" i="2"/>
  <c r="O444" i="2"/>
  <c r="P444" i="2"/>
  <c r="O388" i="2"/>
  <c r="P388" i="2"/>
  <c r="O140" i="2"/>
  <c r="P140" i="2"/>
  <c r="O53" i="2"/>
  <c r="P53" i="2"/>
  <c r="P31" i="2"/>
  <c r="O31" i="2"/>
  <c r="P543" i="2"/>
  <c r="O543" i="2"/>
  <c r="O341" i="2"/>
  <c r="P341" i="2"/>
  <c r="O254" i="2"/>
  <c r="P254" i="2"/>
  <c r="O244" i="2"/>
  <c r="P244" i="2"/>
  <c r="O430" i="2"/>
  <c r="P430" i="2"/>
  <c r="P421" i="2"/>
  <c r="O421" i="2"/>
  <c r="P334" i="2"/>
  <c r="O334" i="2"/>
  <c r="P416" i="2"/>
  <c r="O416" i="2"/>
  <c r="P262" i="2"/>
  <c r="O262" i="2"/>
  <c r="P312" i="2"/>
  <c r="O312" i="2"/>
  <c r="P445" i="2"/>
  <c r="O445" i="2"/>
  <c r="O133" i="2"/>
  <c r="P133" i="2"/>
  <c r="O463" i="2"/>
  <c r="P463" i="2"/>
  <c r="P221" i="2"/>
  <c r="O221" i="2"/>
  <c r="O100" i="2"/>
  <c r="P100" i="2"/>
  <c r="O525" i="2"/>
  <c r="P525" i="2"/>
  <c r="P583" i="2"/>
  <c r="O583" i="2"/>
  <c r="O496" i="2"/>
  <c r="P496" i="2"/>
  <c r="P380" i="2"/>
  <c r="O380" i="2"/>
  <c r="P293" i="2"/>
  <c r="O293" i="2"/>
  <c r="P206" i="2"/>
  <c r="O206" i="2"/>
  <c r="V539" i="2"/>
  <c r="X539" i="2"/>
  <c r="V114" i="2"/>
  <c r="X114" i="2"/>
  <c r="V186" i="2"/>
  <c r="X186" i="2"/>
  <c r="V99" i="2"/>
  <c r="X99" i="2"/>
  <c r="V51" i="2"/>
  <c r="X51" i="2"/>
  <c r="V283" i="2"/>
  <c r="X283" i="2"/>
  <c r="V450" i="2"/>
  <c r="X450" i="2"/>
  <c r="V442" i="2"/>
  <c r="X442" i="2"/>
  <c r="V363" i="2"/>
  <c r="X363" i="2"/>
  <c r="V355" i="2"/>
  <c r="X355" i="2"/>
  <c r="V27" i="2"/>
  <c r="X27" i="2"/>
  <c r="V273" i="2"/>
  <c r="X273" i="2"/>
  <c r="V473" i="2"/>
  <c r="X473" i="2"/>
  <c r="V370" i="2"/>
  <c r="X370" i="2"/>
  <c r="V529" i="2"/>
  <c r="X529" i="2"/>
  <c r="V17" i="2"/>
  <c r="X17" i="2"/>
  <c r="S138" i="2"/>
  <c r="U138" i="2" s="1"/>
  <c r="S233" i="2"/>
  <c r="U233" i="2" s="1"/>
  <c r="S329" i="2"/>
  <c r="U329" i="2" s="1"/>
  <c r="S593" i="2"/>
  <c r="U593" i="2" s="1"/>
  <c r="S115" i="2"/>
  <c r="U115" i="2" s="1"/>
  <c r="S203" i="2"/>
  <c r="U203" i="2" s="1"/>
  <c r="S178" i="2"/>
  <c r="U178" i="2" s="1"/>
  <c r="S290" i="2"/>
  <c r="U290" i="2" s="1"/>
  <c r="S347" i="2"/>
  <c r="U347" i="2" s="1"/>
  <c r="S394" i="2"/>
  <c r="U394" i="2" s="1"/>
  <c r="S123" i="2"/>
  <c r="U123" i="2" s="1"/>
  <c r="S81" i="2"/>
  <c r="U81" i="2" s="1"/>
  <c r="S489" i="2"/>
  <c r="U489" i="2" s="1"/>
  <c r="S67" i="2"/>
  <c r="U67" i="2" s="1"/>
  <c r="S426" i="2"/>
  <c r="U426" i="2" s="1"/>
  <c r="S201" i="2"/>
  <c r="U201" i="2" s="1"/>
  <c r="S266" i="2"/>
  <c r="U266" i="2" s="1"/>
  <c r="S82" i="2"/>
  <c r="U82" i="2" s="1"/>
  <c r="S259" i="2"/>
  <c r="U259" i="2" s="1"/>
  <c r="S19" i="2"/>
  <c r="U19" i="2" s="1"/>
  <c r="S393" i="2"/>
  <c r="U393" i="2" s="1"/>
  <c r="S179" i="2"/>
  <c r="U179" i="2" s="1"/>
  <c r="S274" i="2"/>
  <c r="U274" i="2" s="1"/>
  <c r="S451" i="2"/>
  <c r="U451" i="2" s="1"/>
  <c r="S185" i="2"/>
  <c r="U185" i="2" s="1"/>
  <c r="S211" i="2"/>
  <c r="U211" i="2" s="1"/>
  <c r="S585" i="2"/>
  <c r="U585" i="2" s="1"/>
  <c r="S145" i="2"/>
  <c r="U145" i="2" s="1"/>
  <c r="S553" i="2"/>
  <c r="U553" i="2" s="1"/>
  <c r="S474" i="2"/>
  <c r="U474" i="2" s="1"/>
  <c r="S410" i="2"/>
  <c r="U410" i="2" s="1"/>
  <c r="S425" i="2"/>
  <c r="U425" i="2" s="1"/>
  <c r="S547" i="2"/>
  <c r="U547" i="2" s="1"/>
  <c r="S195" i="2"/>
  <c r="U195" i="2" s="1"/>
  <c r="S305" i="2"/>
  <c r="U305" i="2" s="1"/>
  <c r="S234" i="2"/>
  <c r="U234" i="2" s="1"/>
  <c r="S419" i="2"/>
  <c r="U419" i="2" s="1"/>
  <c r="S161" i="2"/>
  <c r="U161" i="2" s="1"/>
  <c r="S66" i="2"/>
  <c r="U66" i="2" s="1"/>
  <c r="S537" i="2"/>
  <c r="U537" i="2" s="1"/>
  <c r="S307" i="2"/>
  <c r="U307" i="2" s="1"/>
  <c r="S289" i="2"/>
  <c r="U289" i="2" s="1"/>
  <c r="S34" i="2"/>
  <c r="U34" i="2" s="1"/>
  <c r="S163" i="2"/>
  <c r="U163" i="2" s="1"/>
  <c r="S146" i="2"/>
  <c r="U146" i="2" s="1"/>
  <c r="S323" i="2"/>
  <c r="U323" i="2" s="1"/>
  <c r="S57" i="2"/>
  <c r="U57" i="2" s="1"/>
  <c r="S83" i="2"/>
  <c r="U83" i="2" s="1"/>
  <c r="S457" i="2"/>
  <c r="U457" i="2" s="1"/>
  <c r="S522" i="2"/>
  <c r="U522" i="2" s="1"/>
  <c r="S338" i="2"/>
  <c r="U338" i="2" s="1"/>
  <c r="S515" i="2"/>
  <c r="U515" i="2" s="1"/>
  <c r="S249" i="2"/>
  <c r="U249" i="2" s="1"/>
  <c r="S275" i="2"/>
  <c r="U275" i="2" s="1"/>
  <c r="S50" i="2"/>
  <c r="U50" i="2" s="1"/>
  <c r="S209" i="2"/>
  <c r="U209" i="2" s="1"/>
  <c r="S435" i="2"/>
  <c r="U435" i="2" s="1"/>
  <c r="S530" i="2"/>
  <c r="U530" i="2" s="1"/>
  <c r="S441" i="2"/>
  <c r="U441" i="2" s="1"/>
  <c r="S467" i="2"/>
  <c r="U467" i="2" s="1"/>
  <c r="S242" i="2"/>
  <c r="U242" i="2" s="1"/>
  <c r="S401" i="2"/>
  <c r="U401" i="2" s="1"/>
  <c r="S417" i="2"/>
  <c r="U417" i="2" s="1"/>
  <c r="S601" i="2"/>
  <c r="U601" i="2" s="1"/>
  <c r="S427" i="2"/>
  <c r="U427" i="2" s="1"/>
  <c r="S458" i="2"/>
  <c r="U458" i="2" s="1"/>
  <c r="S459" i="2"/>
  <c r="U459" i="2" s="1"/>
  <c r="S9" i="2"/>
  <c r="U9" i="2" s="1"/>
  <c r="S25" i="2"/>
  <c r="U25" i="2" s="1"/>
  <c r="S41" i="2"/>
  <c r="U41" i="2" s="1"/>
  <c r="S546" i="2"/>
  <c r="U546" i="2" s="1"/>
  <c r="S402" i="2"/>
  <c r="U402" i="2" s="1"/>
  <c r="S579" i="2"/>
  <c r="U579" i="2" s="1"/>
  <c r="S313" i="2"/>
  <c r="U313" i="2" s="1"/>
  <c r="S339" i="2"/>
  <c r="U339" i="2" s="1"/>
  <c r="S594" i="2"/>
  <c r="U594" i="2" s="1"/>
  <c r="S505" i="2"/>
  <c r="U505" i="2" s="1"/>
  <c r="S531" i="2"/>
  <c r="U531" i="2" s="1"/>
  <c r="S306" i="2"/>
  <c r="U306" i="2" s="1"/>
  <c r="S465" i="2"/>
  <c r="U465" i="2" s="1"/>
  <c r="S187" i="2"/>
  <c r="U187" i="2" s="1"/>
  <c r="S113" i="2"/>
  <c r="U113" i="2" s="1"/>
  <c r="S98" i="2"/>
  <c r="U98" i="2" s="1"/>
  <c r="S498" i="2"/>
  <c r="U498" i="2" s="1"/>
  <c r="S153" i="2"/>
  <c r="U153" i="2" s="1"/>
  <c r="S58" i="2"/>
  <c r="U58" i="2" s="1"/>
  <c r="S89" i="2"/>
  <c r="U89" i="2" s="1"/>
  <c r="S371" i="2"/>
  <c r="U371" i="2" s="1"/>
  <c r="S74" i="2"/>
  <c r="U74" i="2" s="1"/>
  <c r="S321" i="2"/>
  <c r="U321" i="2" s="1"/>
  <c r="S49" i="2"/>
  <c r="U49" i="2" s="1"/>
  <c r="S91" i="2"/>
  <c r="U91" i="2" s="1"/>
  <c r="S210" i="2"/>
  <c r="U210" i="2" s="1"/>
  <c r="S250" i="2"/>
  <c r="U250" i="2" s="1"/>
  <c r="S59" i="2"/>
  <c r="U59" i="2" s="1"/>
  <c r="S569" i="2"/>
  <c r="U569" i="2" s="1"/>
  <c r="S595" i="2"/>
  <c r="U595" i="2" s="1"/>
  <c r="S578" i="2"/>
  <c r="U578" i="2" s="1"/>
  <c r="S386" i="2"/>
  <c r="U386" i="2" s="1"/>
  <c r="S251" i="2"/>
  <c r="U251" i="2" s="1"/>
  <c r="S177" i="2"/>
  <c r="U177" i="2" s="1"/>
  <c r="S162" i="2"/>
  <c r="U162" i="2" s="1"/>
  <c r="S562" i="2"/>
  <c r="U562" i="2" s="1"/>
  <c r="S345" i="2"/>
  <c r="U345" i="2" s="1"/>
  <c r="S122" i="2"/>
  <c r="U122" i="2" s="1"/>
  <c r="S443" i="2"/>
  <c r="U443" i="2" s="1"/>
  <c r="S369" i="2"/>
  <c r="U369" i="2" s="1"/>
  <c r="S354" i="2"/>
  <c r="U354" i="2" s="1"/>
  <c r="S129" i="2"/>
  <c r="U129" i="2" s="1"/>
  <c r="S155" i="2"/>
  <c r="U155" i="2" s="1"/>
  <c r="S194" i="2"/>
  <c r="U194" i="2" s="1"/>
  <c r="S314" i="2"/>
  <c r="U314" i="2" s="1"/>
  <c r="S499" i="2"/>
  <c r="U499" i="2" s="1"/>
  <c r="S395" i="2"/>
  <c r="U395" i="2" s="1"/>
  <c r="S602" i="2"/>
  <c r="U602" i="2" s="1"/>
  <c r="S362" i="2"/>
  <c r="U362" i="2" s="1"/>
  <c r="S18" i="2"/>
  <c r="U18" i="2" s="1"/>
  <c r="S43" i="2"/>
  <c r="U43" i="2" s="1"/>
  <c r="S265" i="2"/>
  <c r="U265" i="2" s="1"/>
  <c r="S330" i="2"/>
  <c r="U330" i="2" s="1"/>
  <c r="S297" i="2"/>
  <c r="U297" i="2" s="1"/>
  <c r="S563" i="2"/>
  <c r="U563" i="2" s="1"/>
  <c r="S147" i="2"/>
  <c r="U147" i="2" s="1"/>
  <c r="S131" i="2"/>
  <c r="U131" i="2" s="1"/>
  <c r="S490" i="2"/>
  <c r="U490" i="2" s="1"/>
  <c r="S337" i="2"/>
  <c r="U337" i="2" s="1"/>
  <c r="S561" i="2"/>
  <c r="U561" i="2" s="1"/>
  <c r="S379" i="2"/>
  <c r="U379" i="2" s="1"/>
  <c r="S65" i="2"/>
  <c r="U65" i="2" s="1"/>
  <c r="S315" i="2"/>
  <c r="U315" i="2" s="1"/>
  <c r="S241" i="2"/>
  <c r="U241" i="2" s="1"/>
  <c r="S226" i="2"/>
  <c r="U226" i="2" s="1"/>
  <c r="S507" i="2"/>
  <c r="U507" i="2" s="1"/>
  <c r="S433" i="2"/>
  <c r="U433" i="2" s="1"/>
  <c r="S418" i="2"/>
  <c r="U418" i="2" s="1"/>
  <c r="S193" i="2"/>
  <c r="U193" i="2" s="1"/>
  <c r="S219" i="2"/>
  <c r="U219" i="2" s="1"/>
  <c r="S322" i="2"/>
  <c r="U322" i="2" s="1"/>
  <c r="S378" i="2"/>
  <c r="U378" i="2" s="1"/>
  <c r="S26" i="2"/>
  <c r="U26" i="2" s="1"/>
  <c r="S11" i="2"/>
  <c r="U11" i="2" s="1"/>
  <c r="S385" i="2"/>
  <c r="U385" i="2" s="1"/>
  <c r="S411" i="2"/>
  <c r="U411" i="2" s="1"/>
  <c r="S107" i="2"/>
  <c r="U107" i="2" s="1"/>
  <c r="S570" i="2"/>
  <c r="U570" i="2" s="1"/>
  <c r="S121" i="2"/>
  <c r="U121" i="2" s="1"/>
  <c r="S10" i="2"/>
  <c r="U10" i="2" s="1"/>
  <c r="S587" i="2"/>
  <c r="U587" i="2" s="1"/>
  <c r="S554" i="2"/>
  <c r="U554" i="2" s="1"/>
  <c r="S377" i="2"/>
  <c r="U377" i="2" s="1"/>
  <c r="S409" i="2"/>
  <c r="U409" i="2" s="1"/>
  <c r="S586" i="2"/>
  <c r="U586" i="2" s="1"/>
  <c r="S466" i="2"/>
  <c r="U466" i="2" s="1"/>
  <c r="S225" i="2"/>
  <c r="U225" i="2" s="1"/>
  <c r="S387" i="2"/>
  <c r="U387" i="2" s="1"/>
  <c r="S403" i="2"/>
  <c r="U403" i="2" s="1"/>
  <c r="S514" i="2"/>
  <c r="U514" i="2" s="1"/>
  <c r="S571" i="2"/>
  <c r="U571" i="2" s="1"/>
  <c r="S497" i="2"/>
  <c r="U497" i="2" s="1"/>
  <c r="S482" i="2"/>
  <c r="U482" i="2" s="1"/>
  <c r="S257" i="2"/>
  <c r="U257" i="2" s="1"/>
  <c r="S97" i="2"/>
  <c r="U97" i="2" s="1"/>
  <c r="S90" i="2"/>
  <c r="U90" i="2" s="1"/>
  <c r="S75" i="2"/>
  <c r="U75" i="2" s="1"/>
  <c r="S449" i="2"/>
  <c r="U449" i="2" s="1"/>
  <c r="S475" i="2"/>
  <c r="U475" i="2" s="1"/>
  <c r="S235" i="2"/>
  <c r="U235" i="2" s="1"/>
  <c r="S35" i="2"/>
  <c r="U35" i="2" s="1"/>
  <c r="S217" i="2"/>
  <c r="U217" i="2" s="1"/>
  <c r="S105" i="2"/>
  <c r="U105" i="2" s="1"/>
  <c r="S282" i="2"/>
  <c r="U282" i="2" s="1"/>
  <c r="S281" i="2"/>
  <c r="U281" i="2" s="1"/>
  <c r="S267" i="2"/>
  <c r="U267" i="2" s="1"/>
  <c r="S42" i="2"/>
  <c r="U42" i="2" s="1"/>
  <c r="S227" i="2"/>
  <c r="U227" i="2" s="1"/>
  <c r="S202" i="2"/>
  <c r="U202" i="2" s="1"/>
  <c r="S521" i="2"/>
  <c r="U521" i="2" s="1"/>
  <c r="S434" i="2"/>
  <c r="U434" i="2" s="1"/>
  <c r="S170" i="2"/>
  <c r="U170" i="2" s="1"/>
  <c r="S137" i="2"/>
  <c r="U137" i="2" s="1"/>
  <c r="S171" i="2"/>
  <c r="U171" i="2" s="1"/>
  <c r="S218" i="2"/>
  <c r="U218" i="2" s="1"/>
  <c r="S299" i="2"/>
  <c r="U299" i="2" s="1"/>
  <c r="S243" i="2"/>
  <c r="U243" i="2" s="1"/>
  <c r="S33" i="2"/>
  <c r="U33" i="2" s="1"/>
  <c r="S506" i="2"/>
  <c r="U506" i="2" s="1"/>
  <c r="S481" i="2"/>
  <c r="U481" i="2" s="1"/>
  <c r="S555" i="2"/>
  <c r="U555" i="2" s="1"/>
  <c r="S577" i="2"/>
  <c r="U577" i="2" s="1"/>
  <c r="S491" i="2"/>
  <c r="U491" i="2" s="1"/>
  <c r="S545" i="2"/>
  <c r="U545" i="2" s="1"/>
  <c r="S154" i="2"/>
  <c r="U154" i="2" s="1"/>
  <c r="S139" i="2"/>
  <c r="U139" i="2" s="1"/>
  <c r="S513" i="2"/>
  <c r="U513" i="2" s="1"/>
  <c r="S353" i="2"/>
  <c r="U353" i="2" s="1"/>
  <c r="S169" i="2"/>
  <c r="U169" i="2" s="1"/>
  <c r="S346" i="2"/>
  <c r="U346" i="2" s="1"/>
  <c r="S130" i="2"/>
  <c r="U130" i="2" s="1"/>
  <c r="S331" i="2"/>
  <c r="U331" i="2" s="1"/>
  <c r="S106" i="2"/>
  <c r="U106" i="2" s="1"/>
  <c r="S291" i="2"/>
  <c r="U291" i="2" s="1"/>
  <c r="S258" i="2"/>
  <c r="U258" i="2" s="1"/>
  <c r="S361" i="2"/>
  <c r="U361" i="2" s="1"/>
  <c r="S3" i="2"/>
  <c r="U3" i="2" s="1"/>
  <c r="S538" i="2"/>
  <c r="U538" i="2" s="1"/>
  <c r="S523" i="2"/>
  <c r="U523" i="2" s="1"/>
  <c r="S298" i="2"/>
  <c r="U298" i="2" s="1"/>
  <c r="S73" i="2"/>
  <c r="U73" i="2" s="1"/>
  <c r="S483" i="2"/>
  <c r="U483" i="2" s="1"/>
  <c r="Q349" i="2" l="1"/>
  <c r="R349" i="2" s="1"/>
  <c r="S349" i="2" s="1"/>
  <c r="U349" i="2" s="1"/>
  <c r="Q44" i="2"/>
  <c r="R44" i="2" s="1"/>
  <c r="S44" i="2" s="1"/>
  <c r="U44" i="2" s="1"/>
  <c r="Q508" i="2"/>
  <c r="R508" i="2" s="1"/>
  <c r="S508" i="2" s="1"/>
  <c r="U508" i="2" s="1"/>
  <c r="V508" i="2" s="1"/>
  <c r="Q399" i="2"/>
  <c r="R399" i="2" s="1"/>
  <c r="S399" i="2" s="1"/>
  <c r="U399" i="2" s="1"/>
  <c r="V399" i="2" s="1"/>
  <c r="Q271" i="2"/>
  <c r="R271" i="2" s="1"/>
  <c r="S271" i="2" s="1"/>
  <c r="U271" i="2" s="1"/>
  <c r="V271" i="2" s="1"/>
  <c r="Q574" i="2"/>
  <c r="R574" i="2" s="1"/>
  <c r="S574" i="2" s="1"/>
  <c r="U574" i="2" s="1"/>
  <c r="V574" i="2" s="1"/>
  <c r="Q303" i="2"/>
  <c r="R303" i="2" s="1"/>
  <c r="S303" i="2" s="1"/>
  <c r="U303" i="2" s="1"/>
  <c r="V303" i="2" s="1"/>
  <c r="Q374" i="2"/>
  <c r="R374" i="2" s="1"/>
  <c r="S374" i="2" s="1"/>
  <c r="U374" i="2" s="1"/>
  <c r="X374" i="2" s="1"/>
  <c r="Q164" i="2"/>
  <c r="R164" i="2" s="1"/>
  <c r="S164" i="2" s="1"/>
  <c r="U164" i="2" s="1"/>
  <c r="Q407" i="2"/>
  <c r="R407" i="2" s="1"/>
  <c r="S407" i="2" s="1"/>
  <c r="U407" i="2" s="1"/>
  <c r="Q340" i="2"/>
  <c r="R340" i="2" s="1"/>
  <c r="S340" i="2" s="1"/>
  <c r="U340" i="2" s="1"/>
  <c r="X340" i="2" s="1"/>
  <c r="Q222" i="2"/>
  <c r="R222" i="2" s="1"/>
  <c r="S222" i="2" s="1"/>
  <c r="U222" i="2" s="1"/>
  <c r="V222" i="2" s="1"/>
  <c r="Q486" i="2"/>
  <c r="R486" i="2" s="1"/>
  <c r="S486" i="2" s="1"/>
  <c r="U486" i="2" s="1"/>
  <c r="V486" i="2" s="1"/>
  <c r="Q302" i="2"/>
  <c r="R302" i="2" s="1"/>
  <c r="S302" i="2" s="1"/>
  <c r="U302" i="2" s="1"/>
  <c r="V302" i="2" s="1"/>
  <c r="Q549" i="2"/>
  <c r="R549" i="2" s="1"/>
  <c r="S549" i="2" s="1"/>
  <c r="U549" i="2" s="1"/>
  <c r="V549" i="2" s="1"/>
  <c r="Q277" i="2"/>
  <c r="R277" i="2" s="1"/>
  <c r="S277" i="2" s="1"/>
  <c r="U277" i="2" s="1"/>
  <c r="X277" i="2" s="1"/>
  <c r="Q69" i="2"/>
  <c r="R69" i="2" s="1"/>
  <c r="S69" i="2" s="1"/>
  <c r="U69" i="2" s="1"/>
  <c r="V69" i="2" s="1"/>
  <c r="Q535" i="2"/>
  <c r="R535" i="2" s="1"/>
  <c r="S535" i="2" s="1"/>
  <c r="U535" i="2" s="1"/>
  <c r="X535" i="2" s="1"/>
  <c r="Q448" i="2"/>
  <c r="R448" i="2" s="1"/>
  <c r="S448" i="2" s="1"/>
  <c r="U448" i="2" s="1"/>
  <c r="V448" i="2" s="1"/>
  <c r="Q460" i="2"/>
  <c r="R460" i="2" s="1"/>
  <c r="S460" i="2" s="1"/>
  <c r="U460" i="2" s="1"/>
  <c r="V460" i="2" s="1"/>
  <c r="Q231" i="2"/>
  <c r="R231" i="2" s="1"/>
  <c r="S231" i="2" s="1"/>
  <c r="U231" i="2" s="1"/>
  <c r="X231" i="2" s="1"/>
  <c r="Q494" i="2"/>
  <c r="R494" i="2" s="1"/>
  <c r="S494" i="2" s="1"/>
  <c r="U494" i="2" s="1"/>
  <c r="V494" i="2" s="1"/>
  <c r="Q200" i="2"/>
  <c r="R200" i="2" s="1"/>
  <c r="S200" i="2" s="1"/>
  <c r="U200" i="2" s="1"/>
  <c r="V200" i="2" s="1"/>
  <c r="Q197" i="2"/>
  <c r="R197" i="2" s="1"/>
  <c r="S197" i="2" s="1"/>
  <c r="U197" i="2" s="1"/>
  <c r="V197" i="2" s="1"/>
  <c r="Q573" i="2"/>
  <c r="R573" i="2" s="1"/>
  <c r="S573" i="2" s="1"/>
  <c r="U573" i="2" s="1"/>
  <c r="V573" i="2" s="1"/>
  <c r="Q117" i="2"/>
  <c r="R117" i="2" s="1"/>
  <c r="S117" i="2" s="1"/>
  <c r="U117" i="2" s="1"/>
  <c r="V117" i="2" s="1"/>
  <c r="Q100" i="2"/>
  <c r="R100" i="2" s="1"/>
  <c r="S100" i="2" s="1"/>
  <c r="U100" i="2" s="1"/>
  <c r="V100" i="2" s="1"/>
  <c r="Q254" i="2"/>
  <c r="R254" i="2" s="1"/>
  <c r="S254" i="2" s="1"/>
  <c r="U254" i="2" s="1"/>
  <c r="V254" i="2" s="1"/>
  <c r="Q53" i="2"/>
  <c r="R53" i="2" s="1"/>
  <c r="S53" i="2" s="1"/>
  <c r="U53" i="2" s="1"/>
  <c r="V53" i="2" s="1"/>
  <c r="Q560" i="2"/>
  <c r="R560" i="2" s="1"/>
  <c r="S560" i="2" s="1"/>
  <c r="U560" i="2" s="1"/>
  <c r="V560" i="2" s="1"/>
  <c r="Q24" i="2"/>
  <c r="R24" i="2" s="1"/>
  <c r="S24" i="2" s="1"/>
  <c r="U24" i="2" s="1"/>
  <c r="V24" i="2" s="1"/>
  <c r="Q440" i="2"/>
  <c r="R440" i="2" s="1"/>
  <c r="S440" i="2" s="1"/>
  <c r="U440" i="2" s="1"/>
  <c r="X440" i="2" s="1"/>
  <c r="Q22" i="2"/>
  <c r="R22" i="2" s="1"/>
  <c r="S22" i="2" s="1"/>
  <c r="U22" i="2" s="1"/>
  <c r="X22" i="2" s="1"/>
  <c r="Q412" i="2"/>
  <c r="R412" i="2" s="1"/>
  <c r="S412" i="2" s="1"/>
  <c r="U412" i="2" s="1"/>
  <c r="V412" i="2" s="1"/>
  <c r="Q5" i="2"/>
  <c r="R5" i="2" s="1"/>
  <c r="S5" i="2" s="1"/>
  <c r="U5" i="2" s="1"/>
  <c r="V5" i="2" s="1"/>
  <c r="Q309" i="2"/>
  <c r="R309" i="2" s="1"/>
  <c r="S309" i="2" s="1"/>
  <c r="U309" i="2" s="1"/>
  <c r="V309" i="2" s="1"/>
  <c r="Q373" i="2"/>
  <c r="R373" i="2" s="1"/>
  <c r="S373" i="2" s="1"/>
  <c r="U373" i="2" s="1"/>
  <c r="V373" i="2" s="1"/>
  <c r="Q359" i="2"/>
  <c r="R359" i="2" s="1"/>
  <c r="S359" i="2" s="1"/>
  <c r="U359" i="2" s="1"/>
  <c r="V359" i="2" s="1"/>
  <c r="Q270" i="2"/>
  <c r="R270" i="2" s="1"/>
  <c r="S270" i="2" s="1"/>
  <c r="U270" i="2" s="1"/>
  <c r="X270" i="2" s="1"/>
  <c r="Q182" i="2"/>
  <c r="R182" i="2" s="1"/>
  <c r="S182" i="2" s="1"/>
  <c r="U182" i="2" s="1"/>
  <c r="X182" i="2" s="1"/>
  <c r="Q120" i="2"/>
  <c r="R120" i="2" s="1"/>
  <c r="S120" i="2" s="1"/>
  <c r="U120" i="2" s="1"/>
  <c r="X120" i="2" s="1"/>
  <c r="Q519" i="2"/>
  <c r="R519" i="2" s="1"/>
  <c r="S519" i="2" s="1"/>
  <c r="U519" i="2" s="1"/>
  <c r="V519" i="2" s="1"/>
  <c r="Q381" i="2"/>
  <c r="R381" i="2" s="1"/>
  <c r="S381" i="2" s="1"/>
  <c r="U381" i="2" s="1"/>
  <c r="V381" i="2" s="1"/>
  <c r="Q152" i="2"/>
  <c r="R152" i="2" s="1"/>
  <c r="S152" i="2" s="1"/>
  <c r="U152" i="2" s="1"/>
  <c r="V152" i="2" s="1"/>
  <c r="Q280" i="2"/>
  <c r="R280" i="2" s="1"/>
  <c r="S280" i="2" s="1"/>
  <c r="U280" i="2" s="1"/>
  <c r="V280" i="2" s="1"/>
  <c r="Q502" i="2"/>
  <c r="R502" i="2" s="1"/>
  <c r="S502" i="2" s="1"/>
  <c r="U502" i="2" s="1"/>
  <c r="V502" i="2" s="1"/>
  <c r="Q375" i="2"/>
  <c r="R375" i="2" s="1"/>
  <c r="S375" i="2" s="1"/>
  <c r="U375" i="2" s="1"/>
  <c r="V375" i="2" s="1"/>
  <c r="Q389" i="2"/>
  <c r="R389" i="2" s="1"/>
  <c r="S389" i="2" s="1"/>
  <c r="U389" i="2" s="1"/>
  <c r="V389" i="2" s="1"/>
  <c r="Q357" i="2"/>
  <c r="R357" i="2" s="1"/>
  <c r="S357" i="2" s="1"/>
  <c r="U357" i="2" s="1"/>
  <c r="V357" i="2" s="1"/>
  <c r="Q294" i="2"/>
  <c r="R294" i="2" s="1"/>
  <c r="S294" i="2" s="1"/>
  <c r="U294" i="2" s="1"/>
  <c r="V294" i="2" s="1"/>
  <c r="Q520" i="2"/>
  <c r="R520" i="2" s="1"/>
  <c r="S520" i="2" s="1"/>
  <c r="U520" i="2" s="1"/>
  <c r="V520" i="2" s="1"/>
  <c r="Q263" i="2"/>
  <c r="R263" i="2" s="1"/>
  <c r="S263" i="2" s="1"/>
  <c r="U263" i="2" s="1"/>
  <c r="V263" i="2" s="1"/>
  <c r="Q220" i="2"/>
  <c r="R220" i="2" s="1"/>
  <c r="S220" i="2" s="1"/>
  <c r="U220" i="2" s="1"/>
  <c r="V220" i="2" s="1"/>
  <c r="Q470" i="2"/>
  <c r="R470" i="2" s="1"/>
  <c r="S470" i="2" s="1"/>
  <c r="U470" i="2" s="1"/>
  <c r="V470" i="2" s="1"/>
  <c r="Q496" i="2"/>
  <c r="R496" i="2" s="1"/>
  <c r="S496" i="2" s="1"/>
  <c r="U496" i="2" s="1"/>
  <c r="V496" i="2" s="1"/>
  <c r="Q12" i="2"/>
  <c r="R12" i="2" s="1"/>
  <c r="S12" i="2" s="1"/>
  <c r="U12" i="2" s="1"/>
  <c r="X12" i="2" s="1"/>
  <c r="Q548" i="2"/>
  <c r="R548" i="2" s="1"/>
  <c r="S548" i="2" s="1"/>
  <c r="U548" i="2" s="1"/>
  <c r="X548" i="2" s="1"/>
  <c r="Q206" i="2"/>
  <c r="R206" i="2" s="1"/>
  <c r="S206" i="2" s="1"/>
  <c r="U206" i="2" s="1"/>
  <c r="X206" i="2" s="1"/>
  <c r="Q583" i="2"/>
  <c r="R583" i="2" s="1"/>
  <c r="S583" i="2" s="1"/>
  <c r="U583" i="2" s="1"/>
  <c r="V583" i="2" s="1"/>
  <c r="Q262" i="2"/>
  <c r="R262" i="2" s="1"/>
  <c r="S262" i="2" s="1"/>
  <c r="U262" i="2" s="1"/>
  <c r="V262" i="2" s="1"/>
  <c r="Q543" i="2"/>
  <c r="R543" i="2" s="1"/>
  <c r="S543" i="2" s="1"/>
  <c r="U543" i="2" s="1"/>
  <c r="V543" i="2" s="1"/>
  <c r="Q110" i="2"/>
  <c r="R110" i="2" s="1"/>
  <c r="S110" i="2" s="1"/>
  <c r="U110" i="2" s="1"/>
  <c r="V110" i="2" s="1"/>
  <c r="Q175" i="2"/>
  <c r="R175" i="2" s="1"/>
  <c r="S175" i="2" s="1"/>
  <c r="U175" i="2" s="1"/>
  <c r="X175" i="2" s="1"/>
  <c r="Q36" i="2"/>
  <c r="R36" i="2" s="1"/>
  <c r="S36" i="2" s="1"/>
  <c r="U36" i="2" s="1"/>
  <c r="V36" i="2" s="1"/>
  <c r="Q293" i="2"/>
  <c r="R293" i="2" s="1"/>
  <c r="S293" i="2" s="1"/>
  <c r="U293" i="2" s="1"/>
  <c r="X293" i="2" s="1"/>
  <c r="Q416" i="2"/>
  <c r="R416" i="2" s="1"/>
  <c r="S416" i="2" s="1"/>
  <c r="U416" i="2" s="1"/>
  <c r="V416" i="2" s="1"/>
  <c r="Q31" i="2"/>
  <c r="R31" i="2" s="1"/>
  <c r="S31" i="2" s="1"/>
  <c r="U31" i="2" s="1"/>
  <c r="V31" i="2" s="1"/>
  <c r="Q68" i="2"/>
  <c r="R68" i="2" s="1"/>
  <c r="S68" i="2" s="1"/>
  <c r="U68" i="2" s="1"/>
  <c r="V68" i="2" s="1"/>
  <c r="Q477" i="2"/>
  <c r="R477" i="2" s="1"/>
  <c r="S477" i="2" s="1"/>
  <c r="U477" i="2" s="1"/>
  <c r="V477" i="2" s="1"/>
  <c r="Q584" i="2"/>
  <c r="R584" i="2" s="1"/>
  <c r="S584" i="2" s="1"/>
  <c r="U584" i="2" s="1"/>
  <c r="V584" i="2" s="1"/>
  <c r="Q255" i="2"/>
  <c r="R255" i="2" s="1"/>
  <c r="S255" i="2" s="1"/>
  <c r="U255" i="2" s="1"/>
  <c r="V255" i="2" s="1"/>
  <c r="Q462" i="2"/>
  <c r="R462" i="2" s="1"/>
  <c r="S462" i="2" s="1"/>
  <c r="U462" i="2" s="1"/>
  <c r="V462" i="2" s="1"/>
  <c r="Q16" i="2"/>
  <c r="R16" i="2" s="1"/>
  <c r="S16" i="2" s="1"/>
  <c r="U16" i="2" s="1"/>
  <c r="V16" i="2" s="1"/>
  <c r="Q47" i="2"/>
  <c r="R47" i="2" s="1"/>
  <c r="S47" i="2" s="1"/>
  <c r="U47" i="2" s="1"/>
  <c r="X47" i="2" s="1"/>
  <c r="Q109" i="2"/>
  <c r="R109" i="2" s="1"/>
  <c r="S109" i="2" s="1"/>
  <c r="U109" i="2" s="1"/>
  <c r="V109" i="2" s="1"/>
  <c r="Q552" i="2"/>
  <c r="R552" i="2" s="1"/>
  <c r="S552" i="2" s="1"/>
  <c r="U552" i="2" s="1"/>
  <c r="V552" i="2" s="1"/>
  <c r="Q190" i="2"/>
  <c r="R190" i="2" s="1"/>
  <c r="S190" i="2" s="1"/>
  <c r="U190" i="2" s="1"/>
  <c r="V190" i="2" s="1"/>
  <c r="Q575" i="2"/>
  <c r="R575" i="2" s="1"/>
  <c r="S575" i="2" s="1"/>
  <c r="U575" i="2" s="1"/>
  <c r="X575" i="2" s="1"/>
  <c r="Q576" i="2"/>
  <c r="R576" i="2" s="1"/>
  <c r="S576" i="2" s="1"/>
  <c r="U576" i="2" s="1"/>
  <c r="V576" i="2" s="1"/>
  <c r="Q84" i="2"/>
  <c r="R84" i="2" s="1"/>
  <c r="S84" i="2" s="1"/>
  <c r="U84" i="2" s="1"/>
  <c r="V84" i="2" s="1"/>
  <c r="Q463" i="2"/>
  <c r="R463" i="2" s="1"/>
  <c r="S463" i="2" s="1"/>
  <c r="U463" i="2" s="1"/>
  <c r="V463" i="2" s="1"/>
  <c r="Q429" i="2"/>
  <c r="R429" i="2" s="1"/>
  <c r="S429" i="2" s="1"/>
  <c r="U429" i="2" s="1"/>
  <c r="V429" i="2" s="1"/>
  <c r="Q308" i="2"/>
  <c r="R308" i="2" s="1"/>
  <c r="S308" i="2" s="1"/>
  <c r="U308" i="2" s="1"/>
  <c r="V308" i="2" s="1"/>
  <c r="Q476" i="2"/>
  <c r="R476" i="2" s="1"/>
  <c r="S476" i="2" s="1"/>
  <c r="U476" i="2" s="1"/>
  <c r="V476" i="2" s="1"/>
  <c r="Q350" i="2"/>
  <c r="R350" i="2" s="1"/>
  <c r="S350" i="2" s="1"/>
  <c r="U350" i="2" s="1"/>
  <c r="X350" i="2" s="1"/>
  <c r="Q422" i="2"/>
  <c r="R422" i="2" s="1"/>
  <c r="S422" i="2" s="1"/>
  <c r="U422" i="2" s="1"/>
  <c r="V422" i="2" s="1"/>
  <c r="Q551" i="2"/>
  <c r="R551" i="2" s="1"/>
  <c r="S551" i="2" s="1"/>
  <c r="U551" i="2" s="1"/>
  <c r="X551" i="2" s="1"/>
  <c r="Q344" i="2"/>
  <c r="R344" i="2" s="1"/>
  <c r="S344" i="2" s="1"/>
  <c r="U344" i="2" s="1"/>
  <c r="V344" i="2" s="1"/>
  <c r="Q28" i="2"/>
  <c r="R28" i="2" s="1"/>
  <c r="S28" i="2" s="1"/>
  <c r="U28" i="2" s="1"/>
  <c r="V28" i="2" s="1"/>
  <c r="Q135" i="2"/>
  <c r="R135" i="2" s="1"/>
  <c r="S135" i="2" s="1"/>
  <c r="U135" i="2" s="1"/>
  <c r="V135" i="2" s="1"/>
  <c r="Q400" i="2"/>
  <c r="R400" i="2" s="1"/>
  <c r="S400" i="2" s="1"/>
  <c r="U400" i="2" s="1"/>
  <c r="X400" i="2" s="1"/>
  <c r="Q204" i="2"/>
  <c r="R204" i="2" s="1"/>
  <c r="S204" i="2" s="1"/>
  <c r="U204" i="2" s="1"/>
  <c r="V204" i="2" s="1"/>
  <c r="Q600" i="2"/>
  <c r="R600" i="2" s="1"/>
  <c r="S600" i="2" s="1"/>
  <c r="U600" i="2" s="1"/>
  <c r="X600" i="2" s="1"/>
  <c r="Q159" i="2"/>
  <c r="R159" i="2" s="1"/>
  <c r="S159" i="2" s="1"/>
  <c r="U159" i="2" s="1"/>
  <c r="V159" i="2" s="1"/>
  <c r="Q320" i="2"/>
  <c r="R320" i="2" s="1"/>
  <c r="S320" i="2" s="1"/>
  <c r="U320" i="2" s="1"/>
  <c r="V320" i="2" s="1"/>
  <c r="Q356" i="2"/>
  <c r="R356" i="2" s="1"/>
  <c r="S356" i="2" s="1"/>
  <c r="U356" i="2" s="1"/>
  <c r="X356" i="2" s="1"/>
  <c r="Q580" i="2"/>
  <c r="R580" i="2" s="1"/>
  <c r="S580" i="2" s="1"/>
  <c r="U580" i="2" s="1"/>
  <c r="X580" i="2" s="1"/>
  <c r="Q4" i="2"/>
  <c r="R4" i="2" s="1"/>
  <c r="S4" i="2" s="1"/>
  <c r="U4" i="2" s="1"/>
  <c r="V4" i="2" s="1"/>
  <c r="W4" i="2" s="1"/>
  <c r="Q589" i="2"/>
  <c r="R589" i="2" s="1"/>
  <c r="S589" i="2" s="1"/>
  <c r="U589" i="2" s="1"/>
  <c r="V589" i="2" s="1"/>
  <c r="Q414" i="2"/>
  <c r="R414" i="2" s="1"/>
  <c r="S414" i="2" s="1"/>
  <c r="U414" i="2" s="1"/>
  <c r="X414" i="2" s="1"/>
  <c r="Q480" i="2"/>
  <c r="R480" i="2" s="1"/>
  <c r="S480" i="2" s="1"/>
  <c r="U480" i="2" s="1"/>
  <c r="X480" i="2" s="1"/>
  <c r="Q438" i="2"/>
  <c r="R438" i="2" s="1"/>
  <c r="S438" i="2" s="1"/>
  <c r="U438" i="2" s="1"/>
  <c r="X438" i="2" s="1"/>
  <c r="Q351" i="2"/>
  <c r="R351" i="2" s="1"/>
  <c r="S351" i="2" s="1"/>
  <c r="U351" i="2" s="1"/>
  <c r="V351" i="2" s="1"/>
  <c r="Q550" i="2"/>
  <c r="R550" i="2" s="1"/>
  <c r="S550" i="2" s="1"/>
  <c r="U550" i="2" s="1"/>
  <c r="V550" i="2" s="1"/>
  <c r="Q48" i="2"/>
  <c r="R48" i="2" s="1"/>
  <c r="S48" i="2" s="1"/>
  <c r="U48" i="2" s="1"/>
  <c r="V48" i="2" s="1"/>
  <c r="Q224" i="2"/>
  <c r="R224" i="2" s="1"/>
  <c r="S224" i="2" s="1"/>
  <c r="U224" i="2" s="1"/>
  <c r="V224" i="2" s="1"/>
  <c r="Q173" i="2"/>
  <c r="R173" i="2" s="1"/>
  <c r="S173" i="2" s="1"/>
  <c r="U173" i="2" s="1"/>
  <c r="V173" i="2" s="1"/>
  <c r="Q471" i="2"/>
  <c r="R471" i="2" s="1"/>
  <c r="S471" i="2" s="1"/>
  <c r="U471" i="2" s="1"/>
  <c r="V471" i="2" s="1"/>
  <c r="Q428" i="2"/>
  <c r="R428" i="2" s="1"/>
  <c r="S428" i="2" s="1"/>
  <c r="U428" i="2" s="1"/>
  <c r="V428" i="2" s="1"/>
  <c r="Q540" i="2"/>
  <c r="R540" i="2" s="1"/>
  <c r="S540" i="2" s="1"/>
  <c r="U540" i="2" s="1"/>
  <c r="V540" i="2" s="1"/>
  <c r="Q60" i="2"/>
  <c r="R60" i="2" s="1"/>
  <c r="S60" i="2" s="1"/>
  <c r="U60" i="2" s="1"/>
  <c r="V60" i="2" s="1"/>
  <c r="Q127" i="2"/>
  <c r="R127" i="2" s="1"/>
  <c r="S127" i="2" s="1"/>
  <c r="U127" i="2" s="1"/>
  <c r="V127" i="2" s="1"/>
  <c r="Q189" i="2"/>
  <c r="R189" i="2" s="1"/>
  <c r="S189" i="2" s="1"/>
  <c r="U189" i="2" s="1"/>
  <c r="X189" i="2" s="1"/>
  <c r="Q478" i="2"/>
  <c r="R478" i="2" s="1"/>
  <c r="S478" i="2" s="1"/>
  <c r="U478" i="2" s="1"/>
  <c r="V478" i="2" s="1"/>
  <c r="Q352" i="2"/>
  <c r="R352" i="2" s="1"/>
  <c r="S352" i="2" s="1"/>
  <c r="U352" i="2" s="1"/>
  <c r="V352" i="2" s="1"/>
  <c r="Q446" i="2"/>
  <c r="R446" i="2" s="1"/>
  <c r="S446" i="2" s="1"/>
  <c r="U446" i="2" s="1"/>
  <c r="X446" i="2" s="1"/>
  <c r="Q358" i="2"/>
  <c r="R358" i="2" s="1"/>
  <c r="S358" i="2" s="1"/>
  <c r="U358" i="2" s="1"/>
  <c r="V358" i="2" s="1"/>
  <c r="Q423" i="2"/>
  <c r="R423" i="2" s="1"/>
  <c r="S423" i="2" s="1"/>
  <c r="U423" i="2" s="1"/>
  <c r="V423" i="2" s="1"/>
  <c r="Q559" i="2"/>
  <c r="R559" i="2" s="1"/>
  <c r="S559" i="2" s="1"/>
  <c r="U559" i="2" s="1"/>
  <c r="V559" i="2" s="1"/>
  <c r="Q278" i="2"/>
  <c r="R278" i="2" s="1"/>
  <c r="S278" i="2" s="1"/>
  <c r="U278" i="2" s="1"/>
  <c r="V278" i="2" s="1"/>
  <c r="Q8" i="2"/>
  <c r="R8" i="2" s="1"/>
  <c r="S8" i="2" s="1"/>
  <c r="U8" i="2" s="1"/>
  <c r="X8" i="2" s="1"/>
  <c r="Q174" i="2"/>
  <c r="R174" i="2" s="1"/>
  <c r="S174" i="2" s="1"/>
  <c r="U174" i="2" s="1"/>
  <c r="V174" i="2" s="1"/>
  <c r="Q564" i="2"/>
  <c r="R564" i="2" s="1"/>
  <c r="S564" i="2" s="1"/>
  <c r="U564" i="2" s="1"/>
  <c r="X564" i="2" s="1"/>
  <c r="Q229" i="2"/>
  <c r="R229" i="2" s="1"/>
  <c r="S229" i="2" s="1"/>
  <c r="U229" i="2" s="1"/>
  <c r="V229" i="2" s="1"/>
  <c r="Q292" i="2"/>
  <c r="R292" i="2" s="1"/>
  <c r="S292" i="2" s="1"/>
  <c r="U292" i="2" s="1"/>
  <c r="Q180" i="2"/>
  <c r="R180" i="2" s="1"/>
  <c r="S180" i="2" s="1"/>
  <c r="U180" i="2" s="1"/>
  <c r="V180" i="2" s="1"/>
  <c r="Q390" i="2"/>
  <c r="R390" i="2" s="1"/>
  <c r="S390" i="2" s="1"/>
  <c r="U390" i="2" s="1"/>
  <c r="V390" i="2" s="1"/>
  <c r="Q596" i="2"/>
  <c r="R596" i="2" s="1"/>
  <c r="S596" i="2" s="1"/>
  <c r="U596" i="2" s="1"/>
  <c r="V596" i="2" s="1"/>
  <c r="Q287" i="2"/>
  <c r="R287" i="2" s="1"/>
  <c r="S287" i="2" s="1"/>
  <c r="U287" i="2" s="1"/>
  <c r="V287" i="2" s="1"/>
  <c r="Q343" i="2"/>
  <c r="R343" i="2" s="1"/>
  <c r="S343" i="2" s="1"/>
  <c r="U343" i="2" s="1"/>
  <c r="V343" i="2" s="1"/>
  <c r="Q304" i="2"/>
  <c r="R304" i="2" s="1"/>
  <c r="S304" i="2" s="1"/>
  <c r="U304" i="2" s="1"/>
  <c r="V304" i="2" s="1"/>
  <c r="Q599" i="2"/>
  <c r="R599" i="2" s="1"/>
  <c r="S599" i="2" s="1"/>
  <c r="U599" i="2" s="1"/>
  <c r="X599" i="2" s="1"/>
  <c r="Q592" i="2"/>
  <c r="R592" i="2" s="1"/>
  <c r="S592" i="2" s="1"/>
  <c r="U592" i="2" s="1"/>
  <c r="V592" i="2" s="1"/>
  <c r="Q85" i="2"/>
  <c r="R85" i="2" s="1"/>
  <c r="S85" i="2" s="1"/>
  <c r="U85" i="2" s="1"/>
  <c r="V85" i="2" s="1"/>
  <c r="Q214" i="2"/>
  <c r="R214" i="2" s="1"/>
  <c r="S214" i="2" s="1"/>
  <c r="U214" i="2" s="1"/>
  <c r="X214" i="2" s="1"/>
  <c r="Q319" i="2"/>
  <c r="R319" i="2" s="1"/>
  <c r="S319" i="2" s="1"/>
  <c r="U319" i="2" s="1"/>
  <c r="X319" i="2" s="1"/>
  <c r="Q572" i="2"/>
  <c r="R572" i="2" s="1"/>
  <c r="S572" i="2" s="1"/>
  <c r="U572" i="2" s="1"/>
  <c r="V572" i="2" s="1"/>
  <c r="Q228" i="2"/>
  <c r="R228" i="2" s="1"/>
  <c r="S228" i="2" s="1"/>
  <c r="U228" i="2" s="1"/>
  <c r="X228" i="2" s="1"/>
  <c r="Q101" i="2"/>
  <c r="R101" i="2" s="1"/>
  <c r="S101" i="2" s="1"/>
  <c r="U101" i="2" s="1"/>
  <c r="V101" i="2" s="1"/>
  <c r="Q96" i="2"/>
  <c r="R96" i="2" s="1"/>
  <c r="S96" i="2" s="1"/>
  <c r="U96" i="2" s="1"/>
  <c r="V96" i="2" s="1"/>
  <c r="Q13" i="2"/>
  <c r="R13" i="2" s="1"/>
  <c r="S13" i="2" s="1"/>
  <c r="U13" i="2" s="1"/>
  <c r="V13" i="2" s="1"/>
  <c r="Q128" i="2"/>
  <c r="R128" i="2" s="1"/>
  <c r="S128" i="2" s="1"/>
  <c r="U128" i="2" s="1"/>
  <c r="V128" i="2" s="1"/>
  <c r="Q149" i="2"/>
  <c r="R149" i="2" s="1"/>
  <c r="S149" i="2" s="1"/>
  <c r="U149" i="2" s="1"/>
  <c r="V149" i="2" s="1"/>
  <c r="Q239" i="2"/>
  <c r="R239" i="2" s="1"/>
  <c r="S239" i="2" s="1"/>
  <c r="U239" i="2" s="1"/>
  <c r="X239" i="2" s="1"/>
  <c r="Q236" i="2"/>
  <c r="R236" i="2" s="1"/>
  <c r="S236" i="2" s="1"/>
  <c r="U236" i="2" s="1"/>
  <c r="V236" i="2" s="1"/>
  <c r="Q430" i="2"/>
  <c r="R430" i="2" s="1"/>
  <c r="S430" i="2" s="1"/>
  <c r="U430" i="2" s="1"/>
  <c r="V430" i="2" s="1"/>
  <c r="Q388" i="2"/>
  <c r="R388" i="2" s="1"/>
  <c r="S388" i="2" s="1"/>
  <c r="U388" i="2" s="1"/>
  <c r="V388" i="2" s="1"/>
  <c r="Q168" i="2"/>
  <c r="R168" i="2" s="1"/>
  <c r="S168" i="2" s="1"/>
  <c r="U168" i="2" s="1"/>
  <c r="V168" i="2" s="1"/>
  <c r="Q398" i="2"/>
  <c r="R398" i="2" s="1"/>
  <c r="S398" i="2" s="1"/>
  <c r="U398" i="2" s="1"/>
  <c r="X398" i="2" s="1"/>
  <c r="Q382" i="2"/>
  <c r="R382" i="2" s="1"/>
  <c r="S382" i="2" s="1"/>
  <c r="U382" i="2" s="1"/>
  <c r="V382" i="2" s="1"/>
  <c r="Q112" i="2"/>
  <c r="R112" i="2" s="1"/>
  <c r="S112" i="2" s="1"/>
  <c r="U112" i="2" s="1"/>
  <c r="X112" i="2" s="1"/>
  <c r="Q77" i="2"/>
  <c r="R77" i="2" s="1"/>
  <c r="S77" i="2" s="1"/>
  <c r="U77" i="2" s="1"/>
  <c r="X77" i="2" s="1"/>
  <c r="Q125" i="2"/>
  <c r="R125" i="2" s="1"/>
  <c r="S125" i="2" s="1"/>
  <c r="U125" i="2" s="1"/>
  <c r="V125" i="2" s="1"/>
  <c r="Q565" i="2"/>
  <c r="R565" i="2" s="1"/>
  <c r="S565" i="2" s="1"/>
  <c r="U565" i="2" s="1"/>
  <c r="V565" i="2" s="1"/>
  <c r="Q80" i="2"/>
  <c r="R80" i="2" s="1"/>
  <c r="S80" i="2" s="1"/>
  <c r="U80" i="2" s="1"/>
  <c r="V80" i="2" s="1"/>
  <c r="Q533" i="2"/>
  <c r="R533" i="2" s="1"/>
  <c r="S533" i="2" s="1"/>
  <c r="U533" i="2" s="1"/>
  <c r="V533" i="2" s="1"/>
  <c r="Q300" i="2"/>
  <c r="R300" i="2" s="1"/>
  <c r="S300" i="2" s="1"/>
  <c r="U300" i="2" s="1"/>
  <c r="X300" i="2" s="1"/>
  <c r="Q432" i="2"/>
  <c r="R432" i="2" s="1"/>
  <c r="S432" i="2" s="1"/>
  <c r="U432" i="2" s="1"/>
  <c r="X432" i="2" s="1"/>
  <c r="Q383" i="2"/>
  <c r="R383" i="2" s="1"/>
  <c r="S383" i="2" s="1"/>
  <c r="U383" i="2" s="1"/>
  <c r="V383" i="2" s="1"/>
  <c r="Q30" i="2"/>
  <c r="R30" i="2" s="1"/>
  <c r="S30" i="2" s="1"/>
  <c r="U30" i="2" s="1"/>
  <c r="V30" i="2" s="1"/>
  <c r="Q264" i="2"/>
  <c r="R264" i="2" s="1"/>
  <c r="S264" i="2" s="1"/>
  <c r="U264" i="2" s="1"/>
  <c r="V264" i="2" s="1"/>
  <c r="Q461" i="2"/>
  <c r="R461" i="2" s="1"/>
  <c r="S461" i="2" s="1"/>
  <c r="U461" i="2" s="1"/>
  <c r="V461" i="2" s="1"/>
  <c r="Q526" i="2"/>
  <c r="R526" i="2" s="1"/>
  <c r="S526" i="2" s="1"/>
  <c r="U526" i="2" s="1"/>
  <c r="V526" i="2" s="1"/>
  <c r="Q245" i="2"/>
  <c r="R245" i="2" s="1"/>
  <c r="S245" i="2" s="1"/>
  <c r="U245" i="2" s="1"/>
  <c r="V245" i="2" s="1"/>
  <c r="Q70" i="2"/>
  <c r="R70" i="2" s="1"/>
  <c r="S70" i="2" s="1"/>
  <c r="U70" i="2" s="1"/>
  <c r="V70" i="2" s="1"/>
  <c r="Q111" i="2"/>
  <c r="R111" i="2" s="1"/>
  <c r="Q288" i="2"/>
  <c r="R288" i="2" s="1"/>
  <c r="S288" i="2" s="1"/>
  <c r="U288" i="2" s="1"/>
  <c r="V288" i="2" s="1"/>
  <c r="Q15" i="2"/>
  <c r="R15" i="2" s="1"/>
  <c r="S15" i="2" s="1"/>
  <c r="U15" i="2" s="1"/>
  <c r="V15" i="2" s="1"/>
  <c r="Q525" i="2"/>
  <c r="R525" i="2" s="1"/>
  <c r="S525" i="2" s="1"/>
  <c r="U525" i="2" s="1"/>
  <c r="V525" i="2" s="1"/>
  <c r="Q133" i="2"/>
  <c r="R133" i="2" s="1"/>
  <c r="S133" i="2" s="1"/>
  <c r="U133" i="2" s="1"/>
  <c r="V133" i="2" s="1"/>
  <c r="Q244" i="2"/>
  <c r="R244" i="2" s="1"/>
  <c r="S244" i="2" s="1"/>
  <c r="U244" i="2" s="1"/>
  <c r="X244" i="2" s="1"/>
  <c r="Q444" i="2"/>
  <c r="R444" i="2" s="1"/>
  <c r="S444" i="2" s="1"/>
  <c r="U444" i="2" s="1"/>
  <c r="V444" i="2" s="1"/>
  <c r="Q150" i="2"/>
  <c r="R150" i="2" s="1"/>
  <c r="S150" i="2" s="1"/>
  <c r="U150" i="2" s="1"/>
  <c r="V150" i="2" s="1"/>
  <c r="Q367" i="2"/>
  <c r="R367" i="2" s="1"/>
  <c r="S367" i="2" s="1"/>
  <c r="U367" i="2" s="1"/>
  <c r="V367" i="2" s="1"/>
  <c r="Q406" i="2"/>
  <c r="R406" i="2" s="1"/>
  <c r="S406" i="2" s="1"/>
  <c r="U406" i="2" s="1"/>
  <c r="X406" i="2" s="1"/>
  <c r="Q136" i="2"/>
  <c r="R136" i="2" s="1"/>
  <c r="S136" i="2" s="1"/>
  <c r="U136" i="2" s="1"/>
  <c r="V136" i="2" s="1"/>
  <c r="Q256" i="2"/>
  <c r="R256" i="2" s="1"/>
  <c r="S256" i="2" s="1"/>
  <c r="U256" i="2" s="1"/>
  <c r="V256" i="2" s="1"/>
  <c r="Q408" i="2"/>
  <c r="R408" i="2" s="1"/>
  <c r="S408" i="2" s="1"/>
  <c r="U408" i="2" s="1"/>
  <c r="V408" i="2" s="1"/>
  <c r="Q455" i="2"/>
  <c r="R455" i="2" s="1"/>
  <c r="S455" i="2" s="1"/>
  <c r="U455" i="2" s="1"/>
  <c r="V455" i="2" s="1"/>
  <c r="Q532" i="2"/>
  <c r="R532" i="2" s="1"/>
  <c r="S532" i="2" s="1"/>
  <c r="U532" i="2" s="1"/>
  <c r="V532" i="2" s="1"/>
  <c r="Q14" i="2"/>
  <c r="R14" i="2" s="1"/>
  <c r="S14" i="2" s="1"/>
  <c r="U14" i="2" s="1"/>
  <c r="V14" i="2" s="1"/>
  <c r="Q79" i="2"/>
  <c r="R79" i="2" s="1"/>
  <c r="S79" i="2" s="1"/>
  <c r="U79" i="2" s="1"/>
  <c r="V79" i="2" s="1"/>
  <c r="Q29" i="2"/>
  <c r="R29" i="2" s="1"/>
  <c r="S29" i="2" s="1"/>
  <c r="U29" i="2" s="1"/>
  <c r="V29" i="2" s="1"/>
  <c r="Q516" i="2"/>
  <c r="R516" i="2" s="1"/>
  <c r="S516" i="2" s="1"/>
  <c r="U516" i="2" s="1"/>
  <c r="Q324" i="2"/>
  <c r="R324" i="2" s="1"/>
  <c r="S324" i="2" s="1"/>
  <c r="U324" i="2" s="1"/>
  <c r="V324" i="2" s="1"/>
  <c r="Q40" i="2"/>
  <c r="R40" i="2" s="1"/>
  <c r="S40" i="2" s="1"/>
  <c r="U40" i="2" s="1"/>
  <c r="V40" i="2" s="1"/>
  <c r="B3" i="2"/>
  <c r="Q380" i="2"/>
  <c r="R380" i="2" s="1"/>
  <c r="S380" i="2" s="1"/>
  <c r="U380" i="2" s="1"/>
  <c r="V380" i="2" s="1"/>
  <c r="Q445" i="2"/>
  <c r="R445" i="2" s="1"/>
  <c r="S445" i="2" s="1"/>
  <c r="U445" i="2" s="1"/>
  <c r="V445" i="2" s="1"/>
  <c r="Q334" i="2"/>
  <c r="R334" i="2" s="1"/>
  <c r="S334" i="2" s="1"/>
  <c r="U334" i="2" s="1"/>
  <c r="V334" i="2" s="1"/>
  <c r="Q212" i="2"/>
  <c r="R212" i="2" s="1"/>
  <c r="S212" i="2" s="1"/>
  <c r="U212" i="2" s="1"/>
  <c r="X212" i="2" s="1"/>
  <c r="Q437" i="2"/>
  <c r="R437" i="2" s="1"/>
  <c r="S437" i="2" s="1"/>
  <c r="U437" i="2" s="1"/>
  <c r="X437" i="2" s="1"/>
  <c r="Q72" i="2"/>
  <c r="R72" i="2" s="1"/>
  <c r="S72" i="2" s="1"/>
  <c r="U72" i="2" s="1"/>
  <c r="V72" i="2" s="1"/>
  <c r="Q568" i="2"/>
  <c r="R568" i="2" s="1"/>
  <c r="S568" i="2" s="1"/>
  <c r="U568" i="2" s="1"/>
  <c r="V568" i="2" s="1"/>
  <c r="Q582" i="2"/>
  <c r="R582" i="2" s="1"/>
  <c r="S582" i="2" s="1"/>
  <c r="U582" i="2" s="1"/>
  <c r="X582" i="2" s="1"/>
  <c r="Q413" i="2"/>
  <c r="R413" i="2" s="1"/>
  <c r="S413" i="2" s="1"/>
  <c r="U413" i="2" s="1"/>
  <c r="V413" i="2" s="1"/>
  <c r="Q503" i="2"/>
  <c r="R503" i="2" s="1"/>
  <c r="S503" i="2" s="1"/>
  <c r="U503" i="2" s="1"/>
  <c r="V503" i="2" s="1"/>
  <c r="Q392" i="2"/>
  <c r="R392" i="2" s="1"/>
  <c r="S392" i="2" s="1"/>
  <c r="U392" i="2" s="1"/>
  <c r="V392" i="2" s="1"/>
  <c r="Q348" i="2"/>
  <c r="R348" i="2" s="1"/>
  <c r="S348" i="2" s="1"/>
  <c r="U348" i="2" s="1"/>
  <c r="V348" i="2" s="1"/>
  <c r="Q479" i="2"/>
  <c r="R479" i="2" s="1"/>
  <c r="S479" i="2" s="1"/>
  <c r="U479" i="2" s="1"/>
  <c r="X479" i="2" s="1"/>
  <c r="Q191" i="2"/>
  <c r="R191" i="2" s="1"/>
  <c r="S191" i="2" s="1"/>
  <c r="U191" i="2" s="1"/>
  <c r="V191" i="2" s="1"/>
  <c r="Q397" i="2"/>
  <c r="R397" i="2" s="1"/>
  <c r="S397" i="2" s="1"/>
  <c r="U397" i="2" s="1"/>
  <c r="X397" i="2" s="1"/>
  <c r="Q493" i="2"/>
  <c r="R493" i="2" s="1"/>
  <c r="S493" i="2" s="1"/>
  <c r="U493" i="2" s="1"/>
  <c r="X493" i="2" s="1"/>
  <c r="Q208" i="2"/>
  <c r="R208" i="2" s="1"/>
  <c r="S208" i="2" s="1"/>
  <c r="U208" i="2" s="1"/>
  <c r="V208" i="2" s="1"/>
  <c r="Q246" i="2"/>
  <c r="R246" i="2" s="1"/>
  <c r="S246" i="2" s="1"/>
  <c r="U246" i="2" s="1"/>
  <c r="V246" i="2" s="1"/>
  <c r="Q384" i="2"/>
  <c r="R384" i="2" s="1"/>
  <c r="S384" i="2" s="1"/>
  <c r="U384" i="2" s="1"/>
  <c r="V384" i="2" s="1"/>
  <c r="Q285" i="2"/>
  <c r="R285" i="2" s="1"/>
  <c r="S285" i="2" s="1"/>
  <c r="U285" i="2" s="1"/>
  <c r="Q260" i="2"/>
  <c r="R260" i="2" s="1"/>
  <c r="S260" i="2" s="1"/>
  <c r="U260" i="2" s="1"/>
  <c r="V260" i="2" s="1"/>
  <c r="Q54" i="2"/>
  <c r="R54" i="2" s="1"/>
  <c r="S54" i="2" s="1"/>
  <c r="U54" i="2" s="1"/>
  <c r="V54" i="2" s="1"/>
  <c r="Q597" i="2"/>
  <c r="R597" i="2" s="1"/>
  <c r="S597" i="2" s="1"/>
  <c r="U597" i="2" s="1"/>
  <c r="V597" i="2" s="1"/>
  <c r="Q167" i="2"/>
  <c r="R167" i="2" s="1"/>
  <c r="S167" i="2" s="1"/>
  <c r="U167" i="2" s="1"/>
  <c r="V167" i="2" s="1"/>
  <c r="Q183" i="2"/>
  <c r="R183" i="2" s="1"/>
  <c r="S183" i="2" s="1"/>
  <c r="U183" i="2" s="1"/>
  <c r="V183" i="2" s="1"/>
  <c r="Q558" i="2"/>
  <c r="R558" i="2" s="1"/>
  <c r="S558" i="2" s="1"/>
  <c r="U558" i="2" s="1"/>
  <c r="V558" i="2" s="1"/>
  <c r="Q488" i="2"/>
  <c r="R488" i="2" s="1"/>
  <c r="S488" i="2" s="1"/>
  <c r="U488" i="2" s="1"/>
  <c r="V488" i="2" s="1"/>
  <c r="Q52" i="2"/>
  <c r="R52" i="2" s="1"/>
  <c r="S52" i="2" s="1"/>
  <c r="U52" i="2" s="1"/>
  <c r="V52" i="2" s="1"/>
  <c r="Q157" i="2"/>
  <c r="R157" i="2" s="1"/>
  <c r="S157" i="2" s="1"/>
  <c r="U157" i="2" s="1"/>
  <c r="X157" i="2" s="1"/>
  <c r="Q557" i="2"/>
  <c r="R557" i="2" s="1"/>
  <c r="S557" i="2" s="1"/>
  <c r="U557" i="2" s="1"/>
  <c r="V557" i="2" s="1"/>
  <c r="Q143" i="2"/>
  <c r="R143" i="2" s="1"/>
  <c r="Q504" i="2"/>
  <c r="R504" i="2" s="1"/>
  <c r="S504" i="2" s="1"/>
  <c r="U504" i="2" s="1"/>
  <c r="V504" i="2" s="1"/>
  <c r="Q588" i="2"/>
  <c r="R588" i="2" s="1"/>
  <c r="S588" i="2" s="1"/>
  <c r="U588" i="2" s="1"/>
  <c r="V588" i="2" s="1"/>
  <c r="Q424" i="2"/>
  <c r="R424" i="2" s="1"/>
  <c r="S424" i="2" s="1"/>
  <c r="U424" i="2" s="1"/>
  <c r="V424" i="2" s="1"/>
  <c r="Q221" i="2"/>
  <c r="R221" i="2" s="1"/>
  <c r="S221" i="2" s="1"/>
  <c r="U221" i="2" s="1"/>
  <c r="V221" i="2" s="1"/>
  <c r="Q312" i="2"/>
  <c r="R312" i="2" s="1"/>
  <c r="S312" i="2" s="1"/>
  <c r="U312" i="2" s="1"/>
  <c r="V312" i="2" s="1"/>
  <c r="Q421" i="2"/>
  <c r="R421" i="2" s="1"/>
  <c r="S421" i="2" s="1"/>
  <c r="U421" i="2" s="1"/>
  <c r="V421" i="2" s="1"/>
  <c r="Q140" i="2"/>
  <c r="R140" i="2" s="1"/>
  <c r="S140" i="2" s="1"/>
  <c r="U140" i="2" s="1"/>
  <c r="V140" i="2" s="1"/>
  <c r="Q21" i="2"/>
  <c r="R21" i="2" s="1"/>
  <c r="S21" i="2" s="1"/>
  <c r="U21" i="2" s="1"/>
  <c r="V21" i="2" s="1"/>
  <c r="Q62" i="2"/>
  <c r="R62" i="2" s="1"/>
  <c r="S62" i="2" s="1"/>
  <c r="U62" i="2" s="1"/>
  <c r="V62" i="2" s="1"/>
  <c r="Q108" i="2"/>
  <c r="R108" i="2" s="1"/>
  <c r="S108" i="2" s="1"/>
  <c r="U108" i="2" s="1"/>
  <c r="X108" i="2" s="1"/>
  <c r="Q566" i="2"/>
  <c r="R566" i="2" s="1"/>
  <c r="S566" i="2" s="1"/>
  <c r="U566" i="2" s="1"/>
  <c r="V566" i="2" s="1"/>
  <c r="Q6" i="2"/>
  <c r="R6" i="2" s="1"/>
  <c r="S6" i="2" s="1"/>
  <c r="U6" i="2" s="1"/>
  <c r="X6" i="2" s="1"/>
  <c r="Q148" i="2"/>
  <c r="R148" i="2" s="1"/>
  <c r="S148" i="2" s="1"/>
  <c r="U148" i="2" s="1"/>
  <c r="V148" i="2" s="1"/>
  <c r="Q335" i="2"/>
  <c r="R335" i="2" s="1"/>
  <c r="S335" i="2" s="1"/>
  <c r="U335" i="2" s="1"/>
  <c r="V335" i="2" s="1"/>
  <c r="Q501" i="2"/>
  <c r="R501" i="2" s="1"/>
  <c r="S501" i="2" s="1"/>
  <c r="U501" i="2" s="1"/>
  <c r="V501" i="2" s="1"/>
  <c r="Q527" i="2"/>
  <c r="R527" i="2" s="1"/>
  <c r="S527" i="2" s="1"/>
  <c r="U527" i="2" s="1"/>
  <c r="V527" i="2" s="1"/>
  <c r="Q431" i="2"/>
  <c r="R431" i="2" s="1"/>
  <c r="S431" i="2" s="1"/>
  <c r="U431" i="2" s="1"/>
  <c r="X431" i="2" s="1"/>
  <c r="Q517" i="2"/>
  <c r="R517" i="2" s="1"/>
  <c r="S517" i="2" s="1"/>
  <c r="U517" i="2" s="1"/>
  <c r="V517" i="2" s="1"/>
  <c r="Q439" i="2"/>
  <c r="R439" i="2" s="1"/>
  <c r="S439" i="2" s="1"/>
  <c r="U439" i="2" s="1"/>
  <c r="V439" i="2" s="1"/>
  <c r="Q581" i="2"/>
  <c r="R581" i="2" s="1"/>
  <c r="S581" i="2" s="1"/>
  <c r="U581" i="2" s="1"/>
  <c r="V581" i="2" s="1"/>
  <c r="Q23" i="2"/>
  <c r="R23" i="2" s="1"/>
  <c r="S23" i="2" s="1"/>
  <c r="U23" i="2" s="1"/>
  <c r="X23" i="2" s="1"/>
  <c r="Q333" i="2"/>
  <c r="R333" i="2" s="1"/>
  <c r="S333" i="2" s="1"/>
  <c r="U333" i="2" s="1"/>
  <c r="V333" i="2" s="1"/>
  <c r="Q158" i="2"/>
  <c r="R158" i="2" s="1"/>
  <c r="S158" i="2" s="1"/>
  <c r="U158" i="2" s="1"/>
  <c r="V158" i="2" s="1"/>
  <c r="Q38" i="2"/>
  <c r="R38" i="2" s="1"/>
  <c r="S38" i="2" s="1"/>
  <c r="U38" i="2" s="1"/>
  <c r="V38" i="2" s="1"/>
  <c r="Q342" i="2"/>
  <c r="R342" i="2" s="1"/>
  <c r="S342" i="2" s="1"/>
  <c r="U342" i="2" s="1"/>
  <c r="X342" i="2" s="1"/>
  <c r="Q311" i="2"/>
  <c r="R311" i="2" s="1"/>
  <c r="S311" i="2" s="1"/>
  <c r="U311" i="2" s="1"/>
  <c r="V311" i="2" s="1"/>
  <c r="Q468" i="2"/>
  <c r="R468" i="2" s="1"/>
  <c r="S468" i="2" s="1"/>
  <c r="U468" i="2" s="1"/>
  <c r="V468" i="2" s="1"/>
  <c r="Q436" i="2"/>
  <c r="R436" i="2" s="1"/>
  <c r="S436" i="2" s="1"/>
  <c r="U436" i="2" s="1"/>
  <c r="V436" i="2" s="1"/>
  <c r="Q524" i="2"/>
  <c r="R524" i="2" s="1"/>
  <c r="S524" i="2" s="1"/>
  <c r="U524" i="2" s="1"/>
  <c r="V524" i="2" s="1"/>
  <c r="Q141" i="2"/>
  <c r="R141" i="2" s="1"/>
  <c r="S141" i="2" s="1"/>
  <c r="U141" i="2" s="1"/>
  <c r="V141" i="2" s="1"/>
  <c r="Q172" i="2"/>
  <c r="R172" i="2" s="1"/>
  <c r="S172" i="2" s="1"/>
  <c r="U172" i="2" s="1"/>
  <c r="V172" i="2" s="1"/>
  <c r="Q391" i="2"/>
  <c r="R391" i="2" s="1"/>
  <c r="S391" i="2" s="1"/>
  <c r="U391" i="2" s="1"/>
  <c r="V391" i="2" s="1"/>
  <c r="Q46" i="2"/>
  <c r="R46" i="2" s="1"/>
  <c r="S46" i="2" s="1"/>
  <c r="U46" i="2" s="1"/>
  <c r="X46" i="2" s="1"/>
  <c r="Q253" i="2"/>
  <c r="R253" i="2" s="1"/>
  <c r="S253" i="2" s="1"/>
  <c r="U253" i="2" s="1"/>
  <c r="X253" i="2" s="1"/>
  <c r="Q95" i="2"/>
  <c r="R95" i="2" s="1"/>
  <c r="S95" i="2" s="1"/>
  <c r="U95" i="2" s="1"/>
  <c r="V95" i="2" s="1"/>
  <c r="Q232" i="2"/>
  <c r="R232" i="2" s="1"/>
  <c r="S232" i="2" s="1"/>
  <c r="U232" i="2" s="1"/>
  <c r="V232" i="2" s="1"/>
  <c r="Q415" i="2"/>
  <c r="R415" i="2" s="1"/>
  <c r="S415" i="2" s="1"/>
  <c r="U415" i="2" s="1"/>
  <c r="V415" i="2" s="1"/>
  <c r="Q567" i="2"/>
  <c r="R567" i="2" s="1"/>
  <c r="S567" i="2" s="1"/>
  <c r="U567" i="2" s="1"/>
  <c r="X567" i="2" s="1"/>
  <c r="Q32" i="2"/>
  <c r="R32" i="2" s="1"/>
  <c r="S32" i="2" s="1"/>
  <c r="U32" i="2" s="1"/>
  <c r="X32" i="2" s="1"/>
  <c r="Q495" i="2"/>
  <c r="R495" i="2" s="1"/>
  <c r="S495" i="2" s="1"/>
  <c r="U495" i="2" s="1"/>
  <c r="V495" i="2" s="1"/>
  <c r="Q132" i="2"/>
  <c r="R132" i="2" s="1"/>
  <c r="S132" i="2" s="1"/>
  <c r="U132" i="2" s="1"/>
  <c r="X132" i="2" s="1"/>
  <c r="Q156" i="2"/>
  <c r="R156" i="2" s="1"/>
  <c r="S156" i="2" s="1"/>
  <c r="U156" i="2" s="1"/>
  <c r="V156" i="2" s="1"/>
  <c r="Q301" i="2"/>
  <c r="R301" i="2" s="1"/>
  <c r="S301" i="2" s="1"/>
  <c r="U301" i="2" s="1"/>
  <c r="X301" i="2" s="1"/>
  <c r="Q199" i="2"/>
  <c r="R199" i="2" s="1"/>
  <c r="S199" i="2" s="1"/>
  <c r="U199" i="2" s="1"/>
  <c r="V199" i="2" s="1"/>
  <c r="Q511" i="2"/>
  <c r="R511" i="2" s="1"/>
  <c r="S511" i="2" s="1"/>
  <c r="U511" i="2" s="1"/>
  <c r="V511" i="2" s="1"/>
  <c r="Q376" i="2"/>
  <c r="R376" i="2" s="1"/>
  <c r="S376" i="2" s="1"/>
  <c r="U376" i="2" s="1"/>
  <c r="X376" i="2" s="1"/>
  <c r="Q116" i="2"/>
  <c r="R116" i="2" s="1"/>
  <c r="S116" i="2" s="1"/>
  <c r="U116" i="2" s="1"/>
  <c r="V116" i="2" s="1"/>
  <c r="Q472" i="2"/>
  <c r="R472" i="2" s="1"/>
  <c r="S472" i="2" s="1"/>
  <c r="U472" i="2" s="1"/>
  <c r="X472" i="2" s="1"/>
  <c r="Q188" i="2"/>
  <c r="R188" i="2" s="1"/>
  <c r="S188" i="2" s="1"/>
  <c r="U188" i="2" s="1"/>
  <c r="V188" i="2" s="1"/>
  <c r="Q317" i="2"/>
  <c r="R317" i="2" s="1"/>
  <c r="S317" i="2" s="1"/>
  <c r="U317" i="2" s="1"/>
  <c r="V317" i="2" s="1"/>
  <c r="Q88" i="2"/>
  <c r="R88" i="2" s="1"/>
  <c r="S88" i="2" s="1"/>
  <c r="U88" i="2" s="1"/>
  <c r="V88" i="2" s="1"/>
  <c r="Q268" i="2"/>
  <c r="R268" i="2" s="1"/>
  <c r="S268" i="2" s="1"/>
  <c r="U268" i="2" s="1"/>
  <c r="X268" i="2" s="1"/>
  <c r="Q318" i="2"/>
  <c r="R318" i="2" s="1"/>
  <c r="S318" i="2" s="1"/>
  <c r="U318" i="2" s="1"/>
  <c r="V318" i="2" s="1"/>
  <c r="Q325" i="2"/>
  <c r="R325" i="2" s="1"/>
  <c r="S325" i="2" s="1"/>
  <c r="U325" i="2" s="1"/>
  <c r="V325" i="2" s="1"/>
  <c r="Q166" i="2"/>
  <c r="R166" i="2" s="1"/>
  <c r="S166" i="2" s="1"/>
  <c r="U166" i="2" s="1"/>
  <c r="V166" i="2" s="1"/>
  <c r="Q310" i="2"/>
  <c r="R310" i="2" s="1"/>
  <c r="S310" i="2" s="1"/>
  <c r="U310" i="2" s="1"/>
  <c r="V310" i="2" s="1"/>
  <c r="Q454" i="2"/>
  <c r="R454" i="2" s="1"/>
  <c r="S454" i="2" s="1"/>
  <c r="U454" i="2" s="1"/>
  <c r="V454" i="2" s="1"/>
  <c r="Q78" i="2"/>
  <c r="R78" i="2" s="1"/>
  <c r="S78" i="2" s="1"/>
  <c r="U78" i="2" s="1"/>
  <c r="V78" i="2" s="1"/>
  <c r="Q102" i="2"/>
  <c r="R102" i="2" s="1"/>
  <c r="S102" i="2" s="1"/>
  <c r="U102" i="2" s="1"/>
  <c r="X102" i="2" s="1"/>
  <c r="Q366" i="2"/>
  <c r="R366" i="2" s="1"/>
  <c r="S366" i="2" s="1"/>
  <c r="U366" i="2" s="1"/>
  <c r="V366" i="2" s="1"/>
  <c r="Q328" i="2"/>
  <c r="R328" i="2" s="1"/>
  <c r="S328" i="2" s="1"/>
  <c r="U328" i="2" s="1"/>
  <c r="V328" i="2" s="1"/>
  <c r="Q591" i="2"/>
  <c r="R591" i="2" s="1"/>
  <c r="S591" i="2" s="1"/>
  <c r="U591" i="2" s="1"/>
  <c r="X591" i="2" s="1"/>
  <c r="Q7" i="2"/>
  <c r="R7" i="2" s="1"/>
  <c r="S7" i="2" s="1"/>
  <c r="U7" i="2" s="1"/>
  <c r="X7" i="2" s="1"/>
  <c r="Q500" i="2"/>
  <c r="R500" i="2" s="1"/>
  <c r="S500" i="2" s="1"/>
  <c r="U500" i="2" s="1"/>
  <c r="X500" i="2" s="1"/>
  <c r="Q447" i="2"/>
  <c r="R447" i="2" s="1"/>
  <c r="S447" i="2" s="1"/>
  <c r="U447" i="2" s="1"/>
  <c r="B4" i="2"/>
  <c r="Q360" i="2"/>
  <c r="R360" i="2" s="1"/>
  <c r="S360" i="2" s="1"/>
  <c r="U360" i="2" s="1"/>
  <c r="Q196" i="2"/>
  <c r="R196" i="2" s="1"/>
  <c r="S196" i="2" s="1"/>
  <c r="U196" i="2" s="1"/>
  <c r="V196" i="2" s="1"/>
  <c r="Q528" i="2"/>
  <c r="R528" i="2" s="1"/>
  <c r="S528" i="2" s="1"/>
  <c r="U528" i="2" s="1"/>
  <c r="V528" i="2" s="1"/>
  <c r="Q296" i="2"/>
  <c r="R296" i="2" s="1"/>
  <c r="S296" i="2" s="1"/>
  <c r="U296" i="2" s="1"/>
  <c r="X296" i="2" s="1"/>
  <c r="Q71" i="2"/>
  <c r="R71" i="2" s="1"/>
  <c r="S71" i="2" s="1"/>
  <c r="U71" i="2" s="1"/>
  <c r="Q119" i="2"/>
  <c r="R119" i="2" s="1"/>
  <c r="S119" i="2" s="1"/>
  <c r="U119" i="2" s="1"/>
  <c r="V119" i="2" s="1"/>
  <c r="Q223" i="2"/>
  <c r="R223" i="2" s="1"/>
  <c r="S223" i="2" s="1"/>
  <c r="U223" i="2" s="1"/>
  <c r="X223" i="2" s="1"/>
  <c r="Q248" i="2"/>
  <c r="R248" i="2" s="1"/>
  <c r="S248" i="2" s="1"/>
  <c r="U248" i="2" s="1"/>
  <c r="V248" i="2" s="1"/>
  <c r="Q215" i="2"/>
  <c r="R215" i="2" s="1"/>
  <c r="S215" i="2" s="1"/>
  <c r="U215" i="2" s="1"/>
  <c r="X215" i="2" s="1"/>
  <c r="Q556" i="2"/>
  <c r="R556" i="2" s="1"/>
  <c r="S556" i="2" s="1"/>
  <c r="U556" i="2" s="1"/>
  <c r="V556" i="2" s="1"/>
  <c r="Q534" i="2"/>
  <c r="R534" i="2" s="1"/>
  <c r="S534" i="2" s="1"/>
  <c r="U534" i="2" s="1"/>
  <c r="Q103" i="2"/>
  <c r="R103" i="2" s="1"/>
  <c r="S103" i="2" s="1"/>
  <c r="U103" i="2" s="1"/>
  <c r="V103" i="2" s="1"/>
  <c r="Q93" i="2"/>
  <c r="R93" i="2" s="1"/>
  <c r="S93" i="2" s="1"/>
  <c r="U93" i="2" s="1"/>
  <c r="V93" i="2" s="1"/>
  <c r="Q252" i="2"/>
  <c r="R252" i="2" s="1"/>
  <c r="S252" i="2" s="1"/>
  <c r="U252" i="2" s="1"/>
  <c r="X252" i="2" s="1"/>
  <c r="Q598" i="2"/>
  <c r="R598" i="2" s="1"/>
  <c r="S598" i="2" s="1"/>
  <c r="U598" i="2" s="1"/>
  <c r="X598" i="2" s="1"/>
  <c r="Q509" i="2"/>
  <c r="R509" i="2" s="1"/>
  <c r="S509" i="2" s="1"/>
  <c r="U509" i="2" s="1"/>
  <c r="V509" i="2" s="1"/>
  <c r="Q590" i="2"/>
  <c r="R590" i="2" s="1"/>
  <c r="S590" i="2" s="1"/>
  <c r="U590" i="2" s="1"/>
  <c r="V590" i="2" s="1"/>
  <c r="Q405" i="2"/>
  <c r="R405" i="2" s="1"/>
  <c r="S405" i="2" s="1"/>
  <c r="U405" i="2" s="1"/>
  <c r="V405" i="2" s="1"/>
  <c r="Q484" i="2"/>
  <c r="R484" i="2" s="1"/>
  <c r="S484" i="2" s="1"/>
  <c r="U484" i="2" s="1"/>
  <c r="V484" i="2" s="1"/>
  <c r="Q327" i="2"/>
  <c r="R327" i="2" s="1"/>
  <c r="S327" i="2" s="1"/>
  <c r="U327" i="2" s="1"/>
  <c r="X327" i="2" s="1"/>
  <c r="Q464" i="2"/>
  <c r="R464" i="2" s="1"/>
  <c r="S464" i="2" s="1"/>
  <c r="U464" i="2" s="1"/>
  <c r="V464" i="2" s="1"/>
  <c r="Q518" i="2"/>
  <c r="R518" i="2" s="1"/>
  <c r="S518" i="2" s="1"/>
  <c r="U518" i="2" s="1"/>
  <c r="V518" i="2" s="1"/>
  <c r="Q336" i="2"/>
  <c r="R336" i="2" s="1"/>
  <c r="S336" i="2" s="1"/>
  <c r="U336" i="2" s="1"/>
  <c r="V336" i="2" s="1"/>
  <c r="Q396" i="2"/>
  <c r="R396" i="2" s="1"/>
  <c r="S396" i="2" s="1"/>
  <c r="U396" i="2" s="1"/>
  <c r="V396" i="2" s="1"/>
  <c r="Q87" i="2"/>
  <c r="R87" i="2" s="1"/>
  <c r="S87" i="2" s="1"/>
  <c r="U87" i="2" s="1"/>
  <c r="X87" i="2" s="1"/>
  <c r="Q365" i="2"/>
  <c r="R365" i="2" s="1"/>
  <c r="S365" i="2" s="1"/>
  <c r="U365" i="2" s="1"/>
  <c r="Q61" i="2"/>
  <c r="R61" i="2" s="1"/>
  <c r="S61" i="2" s="1"/>
  <c r="U61" i="2" s="1"/>
  <c r="V61" i="2" s="1"/>
  <c r="Q237" i="2"/>
  <c r="R237" i="2" s="1"/>
  <c r="S237" i="2" s="1"/>
  <c r="U237" i="2" s="1"/>
  <c r="V237" i="2" s="1"/>
  <c r="Q286" i="2"/>
  <c r="R286" i="2" s="1"/>
  <c r="S286" i="2" s="1"/>
  <c r="U286" i="2" s="1"/>
  <c r="V286" i="2" s="1"/>
  <c r="Q37" i="2"/>
  <c r="R37" i="2" s="1"/>
  <c r="S37" i="2" s="1"/>
  <c r="U37" i="2" s="1"/>
  <c r="V37" i="2" s="1"/>
  <c r="Q341" i="2"/>
  <c r="R341" i="2" s="1"/>
  <c r="S341" i="2" s="1"/>
  <c r="U341" i="2" s="1"/>
  <c r="V341" i="2" s="1"/>
  <c r="Q512" i="2"/>
  <c r="R512" i="2" s="1"/>
  <c r="S512" i="2" s="1"/>
  <c r="U512" i="2" s="1"/>
  <c r="V512" i="2" s="1"/>
  <c r="Q76" i="2"/>
  <c r="R76" i="2" s="1"/>
  <c r="S76" i="2" s="1"/>
  <c r="U76" i="2" s="1"/>
  <c r="Q134" i="2"/>
  <c r="R134" i="2" s="1"/>
  <c r="S134" i="2" s="1"/>
  <c r="U134" i="2" s="1"/>
  <c r="V134" i="2" s="1"/>
  <c r="Q92" i="2"/>
  <c r="R92" i="2" s="1"/>
  <c r="S92" i="2" s="1"/>
  <c r="U92" i="2" s="1"/>
  <c r="X92" i="2" s="1"/>
  <c r="Q372" i="2"/>
  <c r="R372" i="2" s="1"/>
  <c r="S372" i="2" s="1"/>
  <c r="U372" i="2" s="1"/>
  <c r="V372" i="2" s="1"/>
  <c r="Q126" i="2"/>
  <c r="R126" i="2" s="1"/>
  <c r="S126" i="2" s="1"/>
  <c r="U126" i="2" s="1"/>
  <c r="V126" i="2" s="1"/>
  <c r="Q207" i="2"/>
  <c r="R207" i="2" s="1"/>
  <c r="S207" i="2" s="1"/>
  <c r="U207" i="2" s="1"/>
  <c r="V207" i="2" s="1"/>
  <c r="Q536" i="2"/>
  <c r="R536" i="2" s="1"/>
  <c r="S536" i="2" s="1"/>
  <c r="U536" i="2" s="1"/>
  <c r="V536" i="2" s="1"/>
  <c r="Q404" i="2"/>
  <c r="R404" i="2" s="1"/>
  <c r="S404" i="2" s="1"/>
  <c r="U404" i="2" s="1"/>
  <c r="V404" i="2" s="1"/>
  <c r="Q144" i="2"/>
  <c r="R144" i="2" s="1"/>
  <c r="S144" i="2" s="1"/>
  <c r="U144" i="2" s="1"/>
  <c r="V144" i="2" s="1"/>
  <c r="Q541" i="2"/>
  <c r="R541" i="2" s="1"/>
  <c r="S541" i="2" s="1"/>
  <c r="U541" i="2" s="1"/>
  <c r="X541" i="2" s="1"/>
  <c r="Q230" i="2"/>
  <c r="R230" i="2" s="1"/>
  <c r="S230" i="2" s="1"/>
  <c r="U230" i="2" s="1"/>
  <c r="V230" i="2" s="1"/>
  <c r="Q420" i="2"/>
  <c r="R420" i="2" s="1"/>
  <c r="S420" i="2" s="1"/>
  <c r="U420" i="2" s="1"/>
  <c r="V420" i="2" s="1"/>
  <c r="Q20" i="2"/>
  <c r="R20" i="2" s="1"/>
  <c r="S20" i="2" s="1"/>
  <c r="U20" i="2" s="1"/>
  <c r="V20" i="2" s="1"/>
  <c r="Q332" i="2"/>
  <c r="R332" i="2" s="1"/>
  <c r="S332" i="2" s="1"/>
  <c r="U332" i="2" s="1"/>
  <c r="X332" i="2" s="1"/>
  <c r="Q176" i="2"/>
  <c r="R176" i="2" s="1"/>
  <c r="S176" i="2" s="1"/>
  <c r="U176" i="2" s="1"/>
  <c r="X176" i="2" s="1"/>
  <c r="Q64" i="2"/>
  <c r="R64" i="2" s="1"/>
  <c r="S64" i="2" s="1"/>
  <c r="U64" i="2" s="1"/>
  <c r="V64" i="2" s="1"/>
  <c r="Q165" i="2"/>
  <c r="R165" i="2" s="1"/>
  <c r="S165" i="2" s="1"/>
  <c r="U165" i="2" s="1"/>
  <c r="V165" i="2" s="1"/>
  <c r="Q364" i="2"/>
  <c r="R364" i="2" s="1"/>
  <c r="S364" i="2" s="1"/>
  <c r="U364" i="2" s="1"/>
  <c r="X364" i="2" s="1"/>
  <c r="Q94" i="2"/>
  <c r="R94" i="2" s="1"/>
  <c r="S94" i="2" s="1"/>
  <c r="U94" i="2" s="1"/>
  <c r="X94" i="2" s="1"/>
  <c r="Q118" i="2"/>
  <c r="R118" i="2" s="1"/>
  <c r="S118" i="2" s="1"/>
  <c r="U118" i="2" s="1"/>
  <c r="V118" i="2" s="1"/>
  <c r="Q63" i="2"/>
  <c r="R63" i="2" s="1"/>
  <c r="S63" i="2" s="1"/>
  <c r="U63" i="2" s="1"/>
  <c r="X63" i="2" s="1"/>
  <c r="Q261" i="2"/>
  <c r="R261" i="2" s="1"/>
  <c r="S261" i="2" s="1"/>
  <c r="U261" i="2" s="1"/>
  <c r="V261" i="2" s="1"/>
  <c r="Q510" i="2"/>
  <c r="R510" i="2" s="1"/>
  <c r="S510" i="2" s="1"/>
  <c r="U510" i="2" s="1"/>
  <c r="V510" i="2" s="1"/>
  <c r="Q284" i="2"/>
  <c r="R284" i="2" s="1"/>
  <c r="S284" i="2" s="1"/>
  <c r="U284" i="2" s="1"/>
  <c r="Q492" i="2"/>
  <c r="R492" i="2" s="1"/>
  <c r="S492" i="2" s="1"/>
  <c r="U492" i="2" s="1"/>
  <c r="V492" i="2" s="1"/>
  <c r="Q55" i="2"/>
  <c r="R55" i="2" s="1"/>
  <c r="S55" i="2" s="1"/>
  <c r="U55" i="2" s="1"/>
  <c r="X55" i="2" s="1"/>
  <c r="Q485" i="2"/>
  <c r="R485" i="2" s="1"/>
  <c r="S485" i="2" s="1"/>
  <c r="U485" i="2" s="1"/>
  <c r="V485" i="2" s="1"/>
  <c r="Q86" i="2"/>
  <c r="R86" i="2" s="1"/>
  <c r="S86" i="2" s="1"/>
  <c r="U86" i="2" s="1"/>
  <c r="V86" i="2" s="1"/>
  <c r="Q279" i="2"/>
  <c r="R279" i="2" s="1"/>
  <c r="S279" i="2" s="1"/>
  <c r="U279" i="2" s="1"/>
  <c r="V279" i="2" s="1"/>
  <c r="Q544" i="2"/>
  <c r="R544" i="2" s="1"/>
  <c r="S544" i="2" s="1"/>
  <c r="U544" i="2" s="1"/>
  <c r="V544" i="2" s="1"/>
  <c r="Q104" i="2"/>
  <c r="R104" i="2" s="1"/>
  <c r="S104" i="2" s="1"/>
  <c r="U104" i="2" s="1"/>
  <c r="Q56" i="2"/>
  <c r="R56" i="2" s="1"/>
  <c r="S56" i="2" s="1"/>
  <c r="U56" i="2" s="1"/>
  <c r="X56" i="2" s="1"/>
  <c r="Q452" i="2"/>
  <c r="R452" i="2" s="1"/>
  <c r="S452" i="2" s="1"/>
  <c r="U452" i="2" s="1"/>
  <c r="X452" i="2" s="1"/>
  <c r="Q213" i="2"/>
  <c r="R213" i="2" s="1"/>
  <c r="S213" i="2" s="1"/>
  <c r="U213" i="2" s="1"/>
  <c r="X213" i="2" s="1"/>
  <c r="Q295" i="2"/>
  <c r="R295" i="2" s="1"/>
  <c r="S295" i="2" s="1"/>
  <c r="U295" i="2" s="1"/>
  <c r="V295" i="2" s="1"/>
  <c r="Q198" i="2"/>
  <c r="R198" i="2" s="1"/>
  <c r="S198" i="2" s="1"/>
  <c r="U198" i="2" s="1"/>
  <c r="V198" i="2" s="1"/>
  <c r="Q542" i="2"/>
  <c r="R542" i="2" s="1"/>
  <c r="S542" i="2" s="1"/>
  <c r="U542" i="2" s="1"/>
  <c r="X542" i="2" s="1"/>
  <c r="Q240" i="2"/>
  <c r="R240" i="2" s="1"/>
  <c r="S240" i="2" s="1"/>
  <c r="U240" i="2" s="1"/>
  <c r="V240" i="2" s="1"/>
  <c r="Q39" i="2"/>
  <c r="R39" i="2" s="1"/>
  <c r="S39" i="2" s="1"/>
  <c r="U39" i="2" s="1"/>
  <c r="V39" i="2" s="1"/>
  <c r="Q276" i="2"/>
  <c r="R276" i="2" s="1"/>
  <c r="S276" i="2" s="1"/>
  <c r="U276" i="2" s="1"/>
  <c r="V276" i="2" s="1"/>
  <c r="Q368" i="2"/>
  <c r="R368" i="2" s="1"/>
  <c r="S368" i="2" s="1"/>
  <c r="U368" i="2" s="1"/>
  <c r="Q326" i="2"/>
  <c r="R326" i="2" s="1"/>
  <c r="S326" i="2" s="1"/>
  <c r="U326" i="2" s="1"/>
  <c r="V326" i="2" s="1"/>
  <c r="Q272" i="2"/>
  <c r="R272" i="2" s="1"/>
  <c r="S272" i="2" s="1"/>
  <c r="U272" i="2" s="1"/>
  <c r="V272" i="2" s="1"/>
  <c r="Q184" i="2"/>
  <c r="R184" i="2" s="1"/>
  <c r="S184" i="2" s="1"/>
  <c r="U184" i="2" s="1"/>
  <c r="X184" i="2" s="1"/>
  <c r="Q151" i="2"/>
  <c r="R151" i="2" s="1"/>
  <c r="S151" i="2" s="1"/>
  <c r="U151" i="2" s="1"/>
  <c r="V151" i="2" s="1"/>
  <c r="Q487" i="2"/>
  <c r="R487" i="2" s="1"/>
  <c r="S487" i="2" s="1"/>
  <c r="U487" i="2" s="1"/>
  <c r="V487" i="2" s="1"/>
  <c r="Q453" i="2"/>
  <c r="R453" i="2" s="1"/>
  <c r="S453" i="2" s="1"/>
  <c r="U453" i="2" s="1"/>
  <c r="V453" i="2" s="1"/>
  <c r="Q181" i="2"/>
  <c r="R181" i="2" s="1"/>
  <c r="S181" i="2" s="1"/>
  <c r="U181" i="2" s="1"/>
  <c r="V181" i="2" s="1"/>
  <c r="Q216" i="2"/>
  <c r="R216" i="2" s="1"/>
  <c r="S216" i="2" s="1"/>
  <c r="U216" i="2" s="1"/>
  <c r="V216" i="2" s="1"/>
  <c r="Q142" i="2"/>
  <c r="R142" i="2" s="1"/>
  <c r="S142" i="2" s="1"/>
  <c r="U142" i="2" s="1"/>
  <c r="V142" i="2" s="1"/>
  <c r="Q205" i="2"/>
  <c r="R205" i="2" s="1"/>
  <c r="S205" i="2" s="1"/>
  <c r="U205" i="2" s="1"/>
  <c r="V205" i="2" s="1"/>
  <c r="Q45" i="2"/>
  <c r="R45" i="2" s="1"/>
  <c r="S45" i="2" s="1"/>
  <c r="U45" i="2" s="1"/>
  <c r="X45" i="2" s="1"/>
  <c r="Q238" i="2"/>
  <c r="R238" i="2" s="1"/>
  <c r="S238" i="2" s="1"/>
  <c r="U238" i="2" s="1"/>
  <c r="V238" i="2" s="1"/>
  <c r="Q469" i="2"/>
  <c r="R469" i="2" s="1"/>
  <c r="S469" i="2" s="1"/>
  <c r="U469" i="2" s="1"/>
  <c r="X469" i="2" s="1"/>
  <c r="Q124" i="2"/>
  <c r="R124" i="2" s="1"/>
  <c r="S124" i="2" s="1"/>
  <c r="U124" i="2" s="1"/>
  <c r="X124" i="2" s="1"/>
  <c r="Q269" i="2"/>
  <c r="R269" i="2" s="1"/>
  <c r="S269" i="2" s="1"/>
  <c r="U269" i="2" s="1"/>
  <c r="V269" i="2" s="1"/>
  <c r="Q160" i="2"/>
  <c r="R160" i="2" s="1"/>
  <c r="S160" i="2" s="1"/>
  <c r="U160" i="2" s="1"/>
  <c r="V160" i="2" s="1"/>
  <c r="Q247" i="2"/>
  <c r="R247" i="2" s="1"/>
  <c r="S247" i="2" s="1"/>
  <c r="U247" i="2" s="1"/>
  <c r="V247" i="2" s="1"/>
  <c r="Q456" i="2"/>
  <c r="R456" i="2" s="1"/>
  <c r="S456" i="2" s="1"/>
  <c r="U456" i="2" s="1"/>
  <c r="V456" i="2" s="1"/>
  <c r="Q192" i="2"/>
  <c r="R192" i="2" s="1"/>
  <c r="S192" i="2" s="1"/>
  <c r="U192" i="2" s="1"/>
  <c r="V192" i="2" s="1"/>
  <c r="Q316" i="2"/>
  <c r="R316" i="2" s="1"/>
  <c r="S316" i="2" s="1"/>
  <c r="U316" i="2" s="1"/>
  <c r="V316" i="2" s="1"/>
  <c r="V545" i="2"/>
  <c r="X545" i="2"/>
  <c r="V217" i="2"/>
  <c r="X217" i="2"/>
  <c r="V315" i="2"/>
  <c r="X315" i="2"/>
  <c r="V354" i="2"/>
  <c r="X354" i="2"/>
  <c r="V546" i="2"/>
  <c r="X546" i="2"/>
  <c r="V483" i="2"/>
  <c r="X483" i="2"/>
  <c r="V523" i="2"/>
  <c r="X523" i="2"/>
  <c r="V258" i="2"/>
  <c r="X258" i="2"/>
  <c r="V353" i="2"/>
  <c r="X353" i="2"/>
  <c r="V491" i="2"/>
  <c r="X491" i="2"/>
  <c r="V170" i="2"/>
  <c r="X170" i="2"/>
  <c r="V35" i="2"/>
  <c r="X35" i="2"/>
  <c r="V75" i="2"/>
  <c r="X75" i="2"/>
  <c r="V497" i="2"/>
  <c r="X497" i="2"/>
  <c r="V586" i="2"/>
  <c r="X586" i="2"/>
  <c r="V219" i="2"/>
  <c r="X219" i="2"/>
  <c r="V433" i="2"/>
  <c r="X433" i="2"/>
  <c r="V122" i="2"/>
  <c r="X122" i="2"/>
  <c r="V91" i="2"/>
  <c r="X91" i="2"/>
  <c r="V531" i="2"/>
  <c r="X531" i="2"/>
  <c r="V594" i="2"/>
  <c r="X594" i="2"/>
  <c r="V313" i="2"/>
  <c r="X313" i="2"/>
  <c r="V41" i="2"/>
  <c r="X41" i="2"/>
  <c r="V401" i="2"/>
  <c r="X401" i="2"/>
  <c r="V441" i="2"/>
  <c r="X441" i="2"/>
  <c r="V323" i="2"/>
  <c r="X323" i="2"/>
  <c r="V195" i="2"/>
  <c r="X195" i="2"/>
  <c r="V553" i="2"/>
  <c r="X553" i="2"/>
  <c r="V585" i="2"/>
  <c r="X585" i="2"/>
  <c r="V259" i="2"/>
  <c r="X259" i="2"/>
  <c r="V426" i="2"/>
  <c r="X426" i="2"/>
  <c r="V489" i="2"/>
  <c r="X489" i="2"/>
  <c r="V138" i="2"/>
  <c r="X138" i="2"/>
  <c r="V97" i="2"/>
  <c r="X97" i="2"/>
  <c r="V411" i="2"/>
  <c r="X411" i="2"/>
  <c r="V330" i="2"/>
  <c r="X330" i="2"/>
  <c r="V66" i="2"/>
  <c r="X66" i="2"/>
  <c r="V291" i="2"/>
  <c r="X291" i="2"/>
  <c r="V154" i="2"/>
  <c r="X154" i="2"/>
  <c r="V577" i="2"/>
  <c r="X577" i="2"/>
  <c r="V243" i="2"/>
  <c r="X243" i="2"/>
  <c r="V281" i="2"/>
  <c r="X281" i="2"/>
  <c r="V387" i="2"/>
  <c r="X387" i="2"/>
  <c r="V554" i="2"/>
  <c r="X554" i="2"/>
  <c r="V349" i="2"/>
  <c r="X349" i="2"/>
  <c r="V65" i="2"/>
  <c r="X65" i="2"/>
  <c r="V147" i="2"/>
  <c r="X147" i="2"/>
  <c r="V395" i="2"/>
  <c r="X395" i="2"/>
  <c r="V194" i="2"/>
  <c r="X194" i="2"/>
  <c r="V162" i="2"/>
  <c r="X162" i="2"/>
  <c r="V578" i="2"/>
  <c r="X578" i="2"/>
  <c r="V74" i="2"/>
  <c r="X74" i="2"/>
  <c r="V25" i="2"/>
  <c r="X25" i="2"/>
  <c r="V427" i="2"/>
  <c r="X427" i="2"/>
  <c r="V209" i="2"/>
  <c r="X209" i="2"/>
  <c r="V249" i="2"/>
  <c r="X249" i="2"/>
  <c r="V457" i="2"/>
  <c r="X457" i="2"/>
  <c r="V34" i="2"/>
  <c r="X34" i="2"/>
  <c r="V161" i="2"/>
  <c r="X161" i="2"/>
  <c r="V547" i="2"/>
  <c r="X547" i="2"/>
  <c r="V393" i="2"/>
  <c r="X393" i="2"/>
  <c r="V178" i="2"/>
  <c r="X178" i="2"/>
  <c r="V593" i="2"/>
  <c r="X593" i="2"/>
  <c r="V106" i="2"/>
  <c r="X106" i="2"/>
  <c r="V322" i="2"/>
  <c r="X322" i="2"/>
  <c r="V43" i="2"/>
  <c r="X43" i="2"/>
  <c r="V435" i="2"/>
  <c r="X435" i="2"/>
  <c r="V537" i="2"/>
  <c r="X537" i="2"/>
  <c r="V290" i="2"/>
  <c r="X290" i="2"/>
  <c r="V434" i="2"/>
  <c r="X434" i="2"/>
  <c r="V282" i="2"/>
  <c r="X282" i="2"/>
  <c r="V235" i="2"/>
  <c r="X235" i="2"/>
  <c r="V571" i="2"/>
  <c r="X571" i="2"/>
  <c r="V409" i="2"/>
  <c r="X409" i="2"/>
  <c r="V121" i="2"/>
  <c r="X121" i="2"/>
  <c r="V385" i="2"/>
  <c r="X385" i="2"/>
  <c r="V507" i="2"/>
  <c r="X507" i="2"/>
  <c r="V226" i="2"/>
  <c r="X226" i="2"/>
  <c r="V379" i="2"/>
  <c r="X379" i="2"/>
  <c r="V563" i="2"/>
  <c r="X563" i="2"/>
  <c r="V265" i="2"/>
  <c r="X265" i="2"/>
  <c r="V155" i="2"/>
  <c r="X155" i="2"/>
  <c r="V369" i="2"/>
  <c r="X369" i="2"/>
  <c r="V345" i="2"/>
  <c r="X345" i="2"/>
  <c r="V49" i="2"/>
  <c r="X49" i="2"/>
  <c r="V58" i="2"/>
  <c r="X58" i="2"/>
  <c r="V98" i="2"/>
  <c r="X98" i="2"/>
  <c r="V579" i="2"/>
  <c r="X579" i="2"/>
  <c r="V9" i="2"/>
  <c r="X9" i="2"/>
  <c r="V211" i="2"/>
  <c r="X211" i="2"/>
  <c r="V274" i="2"/>
  <c r="X274" i="2"/>
  <c r="V394" i="2"/>
  <c r="X394" i="2"/>
  <c r="V203" i="2"/>
  <c r="X203" i="2"/>
  <c r="V33" i="2"/>
  <c r="X33" i="2"/>
  <c r="V89" i="2"/>
  <c r="X89" i="2"/>
  <c r="V163" i="2"/>
  <c r="X163" i="2"/>
  <c r="V474" i="2"/>
  <c r="X474" i="2"/>
  <c r="V123" i="2"/>
  <c r="X123" i="2"/>
  <c r="V331" i="2"/>
  <c r="X331" i="2"/>
  <c r="V538" i="2"/>
  <c r="X538" i="2"/>
  <c r="V130" i="2"/>
  <c r="X130" i="2"/>
  <c r="V506" i="2"/>
  <c r="X506" i="2"/>
  <c r="V299" i="2"/>
  <c r="X299" i="2"/>
  <c r="V475" i="2"/>
  <c r="X475" i="2"/>
  <c r="V90" i="2"/>
  <c r="X90" i="2"/>
  <c r="V257" i="2"/>
  <c r="X257" i="2"/>
  <c r="V514" i="2"/>
  <c r="X514" i="2"/>
  <c r="V193" i="2"/>
  <c r="X193" i="2"/>
  <c r="V297" i="2"/>
  <c r="X297" i="2"/>
  <c r="V562" i="2"/>
  <c r="X562" i="2"/>
  <c r="V595" i="2"/>
  <c r="X595" i="2"/>
  <c r="V59" i="2"/>
  <c r="X59" i="2"/>
  <c r="V465" i="2"/>
  <c r="X465" i="2"/>
  <c r="V505" i="2"/>
  <c r="X505" i="2"/>
  <c r="V459" i="2"/>
  <c r="X459" i="2"/>
  <c r="V242" i="2"/>
  <c r="X242" i="2"/>
  <c r="V515" i="2"/>
  <c r="X515" i="2"/>
  <c r="V83" i="2"/>
  <c r="X83" i="2"/>
  <c r="V146" i="2"/>
  <c r="X146" i="2"/>
  <c r="V289" i="2"/>
  <c r="X289" i="2"/>
  <c r="V419" i="2"/>
  <c r="X419" i="2"/>
  <c r="V19" i="2"/>
  <c r="X19" i="2"/>
  <c r="V82" i="2"/>
  <c r="X82" i="2"/>
  <c r="V267" i="2"/>
  <c r="X267" i="2"/>
  <c r="V164" i="2"/>
  <c r="X164" i="2"/>
  <c r="V314" i="2"/>
  <c r="X314" i="2"/>
  <c r="V417" i="2"/>
  <c r="X417" i="2"/>
  <c r="V73" i="2"/>
  <c r="X73" i="2"/>
  <c r="V513" i="2"/>
  <c r="X513" i="2"/>
  <c r="V570" i="2"/>
  <c r="X570" i="2"/>
  <c r="V11" i="2"/>
  <c r="X11" i="2"/>
  <c r="V337" i="2"/>
  <c r="X337" i="2"/>
  <c r="V18" i="2"/>
  <c r="X18" i="2"/>
  <c r="V443" i="2"/>
  <c r="X443" i="2"/>
  <c r="V177" i="2"/>
  <c r="X177" i="2"/>
  <c r="V250" i="2"/>
  <c r="X250" i="2"/>
  <c r="V321" i="2"/>
  <c r="X321" i="2"/>
  <c r="V153" i="2"/>
  <c r="X153" i="2"/>
  <c r="V50" i="2"/>
  <c r="X50" i="2"/>
  <c r="V234" i="2"/>
  <c r="X234" i="2"/>
  <c r="V425" i="2"/>
  <c r="X425" i="2"/>
  <c r="V179" i="2"/>
  <c r="X179" i="2"/>
  <c r="V266" i="2"/>
  <c r="X266" i="2"/>
  <c r="V81" i="2"/>
  <c r="X81" i="2"/>
  <c r="V115" i="2"/>
  <c r="X115" i="2"/>
  <c r="V169" i="2"/>
  <c r="X169" i="2"/>
  <c r="V227" i="2"/>
  <c r="X227" i="2"/>
  <c r="V602" i="2"/>
  <c r="X602" i="2"/>
  <c r="V522" i="2"/>
  <c r="X522" i="2"/>
  <c r="V451" i="2"/>
  <c r="X451" i="2"/>
  <c r="V521" i="2"/>
  <c r="X521" i="2"/>
  <c r="V377" i="2"/>
  <c r="X377" i="2"/>
  <c r="V3" i="2"/>
  <c r="W3" i="2" s="1"/>
  <c r="X3" i="2"/>
  <c r="Y3" i="2" s="1"/>
  <c r="V137" i="2"/>
  <c r="X137" i="2"/>
  <c r="V202" i="2"/>
  <c r="X202" i="2"/>
  <c r="V42" i="2"/>
  <c r="X42" i="2"/>
  <c r="V105" i="2"/>
  <c r="X105" i="2"/>
  <c r="V482" i="2"/>
  <c r="X482" i="2"/>
  <c r="V225" i="2"/>
  <c r="X225" i="2"/>
  <c r="V466" i="2"/>
  <c r="X466" i="2"/>
  <c r="V10" i="2"/>
  <c r="X10" i="2"/>
  <c r="V378" i="2"/>
  <c r="X378" i="2"/>
  <c r="V418" i="2"/>
  <c r="X418" i="2"/>
  <c r="V241" i="2"/>
  <c r="X241" i="2"/>
  <c r="V490" i="2"/>
  <c r="X490" i="2"/>
  <c r="V129" i="2"/>
  <c r="X129" i="2"/>
  <c r="V371" i="2"/>
  <c r="X371" i="2"/>
  <c r="V498" i="2"/>
  <c r="X498" i="2"/>
  <c r="V113" i="2"/>
  <c r="X113" i="2"/>
  <c r="V339" i="2"/>
  <c r="X339" i="2"/>
  <c r="V402" i="2"/>
  <c r="X402" i="2"/>
  <c r="V458" i="2"/>
  <c r="X458" i="2"/>
  <c r="V601" i="2"/>
  <c r="X601" i="2"/>
  <c r="V467" i="2"/>
  <c r="X467" i="2"/>
  <c r="V530" i="2"/>
  <c r="X530" i="2"/>
  <c r="V44" i="2"/>
  <c r="X44" i="2"/>
  <c r="V307" i="2"/>
  <c r="X307" i="2"/>
  <c r="V305" i="2"/>
  <c r="X305" i="2"/>
  <c r="V145" i="2"/>
  <c r="X145" i="2"/>
  <c r="V185" i="2"/>
  <c r="X185" i="2"/>
  <c r="V67" i="2"/>
  <c r="X67" i="2"/>
  <c r="V329" i="2"/>
  <c r="X329" i="2"/>
  <c r="V218" i="2"/>
  <c r="X218" i="2"/>
  <c r="V26" i="2"/>
  <c r="X26" i="2"/>
  <c r="V131" i="2"/>
  <c r="X131" i="2"/>
  <c r="V386" i="2"/>
  <c r="X386" i="2"/>
  <c r="V187" i="2"/>
  <c r="X187" i="2"/>
  <c r="V346" i="2"/>
  <c r="X346" i="2"/>
  <c r="V555" i="2"/>
  <c r="X555" i="2"/>
  <c r="V171" i="2"/>
  <c r="X171" i="2"/>
  <c r="V403" i="2"/>
  <c r="X403" i="2"/>
  <c r="V587" i="2"/>
  <c r="X587" i="2"/>
  <c r="V298" i="2"/>
  <c r="X298" i="2"/>
  <c r="V361" i="2"/>
  <c r="X361" i="2"/>
  <c r="V139" i="2"/>
  <c r="X139" i="2"/>
  <c r="V481" i="2"/>
  <c r="X481" i="2"/>
  <c r="V449" i="2"/>
  <c r="X449" i="2"/>
  <c r="V107" i="2"/>
  <c r="X107" i="2"/>
  <c r="V561" i="2"/>
  <c r="X561" i="2"/>
  <c r="V362" i="2"/>
  <c r="X362" i="2"/>
  <c r="V499" i="2"/>
  <c r="X499" i="2"/>
  <c r="V251" i="2"/>
  <c r="X251" i="2"/>
  <c r="V569" i="2"/>
  <c r="X569" i="2"/>
  <c r="V210" i="2"/>
  <c r="X210" i="2"/>
  <c r="V306" i="2"/>
  <c r="X306" i="2"/>
  <c r="V407" i="2"/>
  <c r="X407" i="2"/>
  <c r="V275" i="2"/>
  <c r="X275" i="2"/>
  <c r="V338" i="2"/>
  <c r="X338" i="2"/>
  <c r="V57" i="2"/>
  <c r="X57" i="2"/>
  <c r="V410" i="2"/>
  <c r="X410" i="2"/>
  <c r="V201" i="2"/>
  <c r="X201" i="2"/>
  <c r="V347" i="2"/>
  <c r="X347" i="2"/>
  <c r="V233" i="2"/>
  <c r="X233" i="2"/>
  <c r="V2" i="2"/>
  <c r="X2" i="2"/>
  <c r="Y2" i="2" s="1"/>
  <c r="X508" i="2" l="1"/>
  <c r="V340" i="2"/>
  <c r="X13" i="2"/>
  <c r="X53" i="2"/>
  <c r="V231" i="2"/>
  <c r="X574" i="2"/>
  <c r="V600" i="2"/>
  <c r="V599" i="2"/>
  <c r="X533" i="2"/>
  <c r="X222" i="2"/>
  <c r="X399" i="2"/>
  <c r="X229" i="2"/>
  <c r="X311" i="2"/>
  <c r="X96" i="2"/>
  <c r="X517" i="2"/>
  <c r="V253" i="2"/>
  <c r="V46" i="2"/>
  <c r="X549" i="2"/>
  <c r="X302" i="2"/>
  <c r="X280" i="2"/>
  <c r="X477" i="2"/>
  <c r="V480" i="2"/>
  <c r="X220" i="2"/>
  <c r="X271" i="2"/>
  <c r="X543" i="2"/>
  <c r="V350" i="2"/>
  <c r="X183" i="2"/>
  <c r="X422" i="2"/>
  <c r="X486" i="2"/>
  <c r="X358" i="2"/>
  <c r="X190" i="2"/>
  <c r="X200" i="2"/>
  <c r="X471" i="2"/>
  <c r="X303" i="2"/>
  <c r="X532" i="2"/>
  <c r="X380" i="2"/>
  <c r="X503" i="2"/>
  <c r="X245" i="2"/>
  <c r="X312" i="2"/>
  <c r="V446" i="2"/>
  <c r="V374" i="2"/>
  <c r="V301" i="2"/>
  <c r="V575" i="2"/>
  <c r="V213" i="2"/>
  <c r="X196" i="2"/>
  <c r="X24" i="2"/>
  <c r="V108" i="2"/>
  <c r="V277" i="2"/>
  <c r="X255" i="2"/>
  <c r="V270" i="2"/>
  <c r="X573" i="2"/>
  <c r="V22" i="2"/>
  <c r="X408" i="2"/>
  <c r="X174" i="2"/>
  <c r="V437" i="2"/>
  <c r="V293" i="2"/>
  <c r="V400" i="2"/>
  <c r="X520" i="2"/>
  <c r="X597" i="2"/>
  <c r="V535" i="2"/>
  <c r="X103" i="2"/>
  <c r="V580" i="2"/>
  <c r="X100" i="2"/>
  <c r="V591" i="2"/>
  <c r="X261" i="2"/>
  <c r="V567" i="2"/>
  <c r="X30" i="2"/>
  <c r="X357" i="2"/>
  <c r="V479" i="2"/>
  <c r="X136" i="2"/>
  <c r="V77" i="2"/>
  <c r="X247" i="2"/>
  <c r="X463" i="2"/>
  <c r="X510" i="2"/>
  <c r="X127" i="2"/>
  <c r="V376" i="2"/>
  <c r="V327" i="2"/>
  <c r="X69" i="2"/>
  <c r="X278" i="2"/>
  <c r="W2" i="2"/>
  <c r="V548" i="2"/>
  <c r="V319" i="2"/>
  <c r="V397" i="2"/>
  <c r="V228" i="2"/>
  <c r="X316" i="2"/>
  <c r="X366" i="2"/>
  <c r="X596" i="2"/>
  <c r="X15" i="2"/>
  <c r="V120" i="2"/>
  <c r="V239" i="2"/>
  <c r="X28" i="2"/>
  <c r="X325" i="2"/>
  <c r="X260" i="2"/>
  <c r="V94" i="2"/>
  <c r="X589" i="2"/>
  <c r="X308" i="2"/>
  <c r="X430" i="2"/>
  <c r="X478" i="2"/>
  <c r="X495" i="2"/>
  <c r="X40" i="2"/>
  <c r="X109" i="2"/>
  <c r="V252" i="2"/>
  <c r="X224" i="2"/>
  <c r="X391" i="2"/>
  <c r="X568" i="2"/>
  <c r="X448" i="2"/>
  <c r="X5" i="2"/>
  <c r="Y5" i="2" s="1"/>
  <c r="X381" i="2"/>
  <c r="X461" i="2"/>
  <c r="X31" i="2"/>
  <c r="X343" i="2"/>
  <c r="X133" i="2"/>
  <c r="X310" i="2"/>
  <c r="X198" i="2"/>
  <c r="V472" i="2"/>
  <c r="X565" i="2"/>
  <c r="X583" i="2"/>
  <c r="X527" i="2"/>
  <c r="V500" i="2"/>
  <c r="X142" i="2"/>
  <c r="X158" i="2"/>
  <c r="V92" i="2"/>
  <c r="V296" i="2"/>
  <c r="V157" i="2"/>
  <c r="X230" i="2"/>
  <c r="V55" i="2"/>
  <c r="X172" i="2"/>
  <c r="X237" i="2"/>
  <c r="X326" i="2"/>
  <c r="V542" i="2"/>
  <c r="X16" i="2"/>
  <c r="X454" i="2"/>
  <c r="X140" i="2"/>
  <c r="X429" i="2"/>
  <c r="V32" i="2"/>
  <c r="X501" i="2"/>
  <c r="V7" i="2"/>
  <c r="X117" i="2"/>
  <c r="X412" i="2"/>
  <c r="X464" i="2"/>
  <c r="X294" i="2"/>
  <c r="V300" i="2"/>
  <c r="X428" i="2"/>
  <c r="X37" i="2"/>
  <c r="V564" i="2"/>
  <c r="V102" i="2"/>
  <c r="X238" i="2"/>
  <c r="X560" i="2"/>
  <c r="X584" i="2"/>
  <c r="X70" i="2"/>
  <c r="X359" i="2"/>
  <c r="V438" i="2"/>
  <c r="V223" i="2"/>
  <c r="X558" i="2"/>
  <c r="X502" i="2"/>
  <c r="X309" i="2"/>
  <c r="V598" i="2"/>
  <c r="V332" i="2"/>
  <c r="X279" i="2"/>
  <c r="X262" i="2"/>
  <c r="V431" i="2"/>
  <c r="X254" i="2"/>
  <c r="V132" i="2"/>
  <c r="X460" i="2"/>
  <c r="X336" i="2"/>
  <c r="V414" i="2"/>
  <c r="X188" i="2"/>
  <c r="X52" i="2"/>
  <c r="X148" i="2"/>
  <c r="V214" i="2"/>
  <c r="V23" i="2"/>
  <c r="X524" i="2"/>
  <c r="V6" i="2"/>
  <c r="V175" i="2"/>
  <c r="X556" i="2"/>
  <c r="X246" i="2"/>
  <c r="V112" i="2"/>
  <c r="X375" i="2"/>
  <c r="V432" i="2"/>
  <c r="V440" i="2"/>
  <c r="X197" i="2"/>
  <c r="X232" i="2"/>
  <c r="X496" i="2"/>
  <c r="X14" i="2"/>
  <c r="X405" i="2"/>
  <c r="X592" i="2"/>
  <c r="X199" i="2"/>
  <c r="V268" i="2"/>
  <c r="V398" i="2"/>
  <c r="X526" i="2"/>
  <c r="V212" i="2"/>
  <c r="X453" i="2"/>
  <c r="X110" i="2"/>
  <c r="X151" i="2"/>
  <c r="V406" i="2"/>
  <c r="X207" i="2"/>
  <c r="X134" i="2"/>
  <c r="X173" i="2"/>
  <c r="X159" i="2"/>
  <c r="X424" i="2"/>
  <c r="X445" i="2"/>
  <c r="X494" i="2"/>
  <c r="V356" i="2"/>
  <c r="X150" i="2"/>
  <c r="X470" i="2"/>
  <c r="V182" i="2"/>
  <c r="X389" i="2"/>
  <c r="X344" i="2"/>
  <c r="X29" i="2"/>
  <c r="V215" i="2"/>
  <c r="X390" i="2"/>
  <c r="V551" i="2"/>
  <c r="V12" i="2"/>
  <c r="V124" i="2"/>
  <c r="X544" i="2"/>
  <c r="X492" i="2"/>
  <c r="V8" i="2"/>
  <c r="X518" i="2"/>
  <c r="X588" i="2"/>
  <c r="X590" i="2"/>
  <c r="X462" i="2"/>
  <c r="X165" i="2"/>
  <c r="X559" i="2"/>
  <c r="V342" i="2"/>
  <c r="X519" i="2"/>
  <c r="X269" i="2"/>
  <c r="X168" i="2"/>
  <c r="X36" i="2"/>
  <c r="X60" i="2"/>
  <c r="X88" i="2"/>
  <c r="X348" i="2"/>
  <c r="X144" i="2"/>
  <c r="X276" i="2"/>
  <c r="X436" i="2"/>
  <c r="X181" i="2"/>
  <c r="V176" i="2"/>
  <c r="X288" i="2"/>
  <c r="X413" i="2"/>
  <c r="X581" i="2"/>
  <c r="X4" i="2"/>
  <c r="Y4" i="2" s="1"/>
  <c r="X149" i="2"/>
  <c r="V189" i="2"/>
  <c r="X84" i="2"/>
  <c r="X550" i="2"/>
  <c r="V206" i="2"/>
  <c r="X119" i="2"/>
  <c r="X208" i="2"/>
  <c r="X62" i="2"/>
  <c r="X221" i="2"/>
  <c r="X383" i="2"/>
  <c r="X444" i="2"/>
  <c r="V56" i="2"/>
  <c r="X373" i="2"/>
  <c r="X287" i="2"/>
  <c r="V47" i="2"/>
  <c r="V87" i="2"/>
  <c r="X21" i="2"/>
  <c r="X388" i="2"/>
  <c r="X167" i="2"/>
  <c r="V493" i="2"/>
  <c r="V582" i="2"/>
  <c r="V364" i="2"/>
  <c r="V541" i="2"/>
  <c r="V244" i="2"/>
  <c r="X455" i="2"/>
  <c r="X476" i="2"/>
  <c r="X352" i="2"/>
  <c r="X304" i="2"/>
  <c r="X93" i="2"/>
  <c r="X39" i="2"/>
  <c r="X116" i="2"/>
  <c r="X416" i="2"/>
  <c r="X204" i="2"/>
  <c r="X48" i="2"/>
  <c r="X101" i="2"/>
  <c r="X166" i="2"/>
  <c r="X264" i="2"/>
  <c r="X557" i="2"/>
  <c r="X80" i="2"/>
  <c r="X263" i="2"/>
  <c r="X528" i="2"/>
  <c r="X552" i="2"/>
  <c r="X216" i="2"/>
  <c r="X135" i="2"/>
  <c r="X512" i="2"/>
  <c r="X404" i="2"/>
  <c r="X64" i="2"/>
  <c r="X38" i="2"/>
  <c r="X152" i="2"/>
  <c r="X504" i="2"/>
  <c r="X68" i="2"/>
  <c r="V452" i="2"/>
  <c r="X128" i="2"/>
  <c r="X351" i="2"/>
  <c r="X156" i="2"/>
  <c r="X79" i="2"/>
  <c r="X160" i="2"/>
  <c r="V292" i="2"/>
  <c r="X292" i="2"/>
  <c r="X468" i="2"/>
  <c r="X180" i="2"/>
  <c r="X286" i="2"/>
  <c r="X392" i="2"/>
  <c r="X576" i="2"/>
  <c r="X566" i="2"/>
  <c r="X367" i="2"/>
  <c r="X384" i="2"/>
  <c r="X126" i="2"/>
  <c r="X439" i="2"/>
  <c r="V63" i="2"/>
  <c r="X192" i="2"/>
  <c r="X20" i="2"/>
  <c r="X95" i="2"/>
  <c r="X382" i="2"/>
  <c r="X86" i="2"/>
  <c r="X85" i="2"/>
  <c r="X317" i="2"/>
  <c r="X320" i="2"/>
  <c r="X540" i="2"/>
  <c r="X396" i="2"/>
  <c r="X334" i="2"/>
  <c r="X488" i="2"/>
  <c r="X423" i="2"/>
  <c r="V45" i="2"/>
  <c r="V184" i="2"/>
  <c r="X324" i="2"/>
  <c r="X72" i="2"/>
  <c r="X335" i="2"/>
  <c r="X318" i="2"/>
  <c r="V516" i="2"/>
  <c r="X516" i="2"/>
  <c r="X511" i="2"/>
  <c r="X536" i="2"/>
  <c r="X572" i="2"/>
  <c r="X328" i="2"/>
  <c r="V469" i="2"/>
  <c r="X256" i="2"/>
  <c r="X54" i="2"/>
  <c r="S111" i="2"/>
  <c r="U111" i="2" s="1"/>
  <c r="X240" i="2"/>
  <c r="X525" i="2"/>
  <c r="X236" i="2"/>
  <c r="X141" i="2"/>
  <c r="X487" i="2"/>
  <c r="X333" i="2"/>
  <c r="X191" i="2"/>
  <c r="X61" i="2"/>
  <c r="X125" i="2"/>
  <c r="X421" i="2"/>
  <c r="X341" i="2"/>
  <c r="X484" i="2"/>
  <c r="X415" i="2"/>
  <c r="S143" i="2"/>
  <c r="U143" i="2" s="1"/>
  <c r="V285" i="2"/>
  <c r="X285" i="2"/>
  <c r="X447" i="2"/>
  <c r="V447" i="2"/>
  <c r="X456" i="2"/>
  <c r="V368" i="2"/>
  <c r="X368" i="2"/>
  <c r="X76" i="2"/>
  <c r="V76" i="2"/>
  <c r="X71" i="2"/>
  <c r="V71" i="2"/>
  <c r="X372" i="2"/>
  <c r="X118" i="2"/>
  <c r="X485" i="2"/>
  <c r="X78" i="2"/>
  <c r="V104" i="2"/>
  <c r="X104" i="2"/>
  <c r="V284" i="2"/>
  <c r="X284" i="2"/>
  <c r="X534" i="2"/>
  <c r="V534" i="2"/>
  <c r="X295" i="2"/>
  <c r="X205" i="2"/>
  <c r="X248" i="2"/>
  <c r="X509" i="2"/>
  <c r="X272" i="2"/>
  <c r="V365" i="2"/>
  <c r="X365" i="2"/>
  <c r="X420" i="2"/>
  <c r="X360" i="2"/>
  <c r="V360" i="2"/>
  <c r="V111" i="2" l="1"/>
  <c r="X111" i="2"/>
  <c r="V143" i="2"/>
  <c r="X14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<sst xmlns="http://schemas.openxmlformats.org/spreadsheetml/2006/main" count="188" uniqueCount="124">
  <si>
    <t>V_in</t>
  </si>
  <si>
    <t>V_in0</t>
  </si>
  <si>
    <t>Point</t>
  </si>
  <si>
    <t>T_test</t>
  </si>
  <si>
    <t>E_V_in</t>
  </si>
  <si>
    <t>V_ref-</t>
  </si>
  <si>
    <t>V_ref+</t>
  </si>
  <si>
    <t>Bit</t>
  </si>
  <si>
    <t>D_out</t>
  </si>
  <si>
    <t>D_out_rnd</t>
  </si>
  <si>
    <t>D_bit</t>
  </si>
  <si>
    <t>T_test_error</t>
  </si>
  <si>
    <t>VDD</t>
  </si>
  <si>
    <t>GND</t>
  </si>
  <si>
    <t>FSR</t>
  </si>
  <si>
    <t>DR</t>
  </si>
  <si>
    <t>Offset Error</t>
  </si>
  <si>
    <t>LSB</t>
  </si>
  <si>
    <t>LSB/°C</t>
  </si>
  <si>
    <t>Offsetpower-supplyrejection</t>
  </si>
  <si>
    <t>LSB/V</t>
  </si>
  <si>
    <t>SPS</t>
  </si>
  <si>
    <t>Bits</t>
  </si>
  <si>
    <t>Resolution</t>
  </si>
  <si>
    <t>% (FS=±2.048Vat25°C)</t>
  </si>
  <si>
    <t>Gain drift</t>
  </si>
  <si>
    <t>Gain error</t>
  </si>
  <si>
    <t>Offset drift</t>
  </si>
  <si>
    <t>ppm/°C</t>
  </si>
  <si>
    <t>Gainpower-supplyrejection</t>
  </si>
  <si>
    <t>ppm/V</t>
  </si>
  <si>
    <t>Common-moderejection</t>
  </si>
  <si>
    <t>dB</t>
  </si>
  <si>
    <t>DIGITAL INPUT/OUTPUT</t>
  </si>
  <si>
    <t>VIH</t>
  </si>
  <si>
    <t>0.7VDD</t>
  </si>
  <si>
    <t>VIL</t>
  </si>
  <si>
    <t>GND-0.5</t>
  </si>
  <si>
    <t>0.3VDD</t>
  </si>
  <si>
    <t>Quá trình Calib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</si>
  <si>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</si>
  <si>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</si>
  <si>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</si>
  <si>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</si>
  <si>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</si>
  <si>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</si>
  <si>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</si>
  <si>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</si>
  <si>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Measurament</t>
  </si>
  <si>
    <t>Standard</t>
  </si>
  <si>
    <t>V_i_error</t>
  </si>
  <si>
    <t>Error</t>
  </si>
  <si>
    <t>E_V_error</t>
  </si>
  <si>
    <t>Step</t>
  </si>
  <si>
    <t>T_s</t>
  </si>
  <si>
    <t>T_i</t>
  </si>
  <si>
    <t>T_error_ab</t>
  </si>
  <si>
    <t>T_error_re</t>
  </si>
  <si>
    <t>V_s</t>
  </si>
  <si>
    <t>V_i</t>
  </si>
  <si>
    <t>V_error_re</t>
  </si>
  <si>
    <t>V_error_re_max</t>
  </si>
  <si>
    <t>V_error_re_min</t>
  </si>
  <si>
    <t>ADC - ADS1115</t>
  </si>
  <si>
    <t>Offset Voltage_for_T</t>
  </si>
  <si>
    <t>V</t>
  </si>
  <si>
    <t>Gain Error for T</t>
  </si>
  <si>
    <t>%</t>
  </si>
  <si>
    <t>T_calib</t>
  </si>
  <si>
    <t>Delat_T</t>
  </si>
  <si>
    <t>V_offset</t>
  </si>
  <si>
    <t>Gain_drift</t>
  </si>
  <si>
    <t>V_adc</t>
  </si>
  <si>
    <t>D_out_f</t>
  </si>
  <si>
    <t>INL</t>
  </si>
  <si>
    <t>Random_Noise</t>
  </si>
  <si>
    <t>V_adc_noadjust</t>
  </si>
  <si>
    <t>V_adc_adjust</t>
  </si>
  <si>
    <t>Error_V_adc_noadjust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</si>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</sst>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0000000000"/>
    <numFmt numFmtId="165" formatCode="0.000%"/>
    <numFmt numFmtId="166" formatCode="0.0000%"/>
    <numFmt numFmtId="167" formatCode="0.000000E+00"/>
    <numFmt numFmtId="168" formatCode="0.000000"/>
    <numFmt numFmtId="169" formatCode="0.00000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2" borderId="0" applyNumberFormat="0" applyBorder="0" applyAlignment="0" applyProtection="0"/>
    <xf numFmtId="0" fontId="4" fillId="3" borderId="1" applyNumberFormat="0" applyAlignment="0" applyProtection="0"/>
    <xf numFmtId="0" fontId="6" fillId="7" borderId="2" applyNumberFormat="0" applyAlignment="0" applyProtection="0"/>
  </cellStyleXfs>
  <cellXfs count="28">
    <xf numFmtId="0" fontId="0" fillId="0" borderId="0" xfId="0"/>
    <xf numFmtId="164" fontId="0" fillId="0" borderId="0" xfId="0" applyNumberFormat="1"/>
    <xf numFmtId="0" fontId="1" fillId="0" borderId="0" xfId="0" applyFont="1"/>
    <xf numFmtId="9" fontId="0" fillId="0" borderId="0" xfId="2" applyFont="1"/>
    <xf numFmtId="165" fontId="0" fillId="0" borderId="0" xfId="2" applyNumberFormat="1" applyFont="1"/>
    <xf numFmtId="166" fontId="0" fillId="0" borderId="0" xfId="2" applyNumberFormat="1" applyFont="1"/>
    <xf numFmtId="167" fontId="0" fillId="0" borderId="0" xfId="0" applyNumberFormat="1"/>
    <xf numFmtId="9" fontId="0" fillId="0" borderId="0" xfId="0" applyNumberFormat="1"/>
    <xf numFmtId="2" fontId="0" fillId="0" borderId="0" xfId="1" applyNumberFormat="1" applyFont="1"/>
    <xf numFmtId="0" fontId="0" fillId="0" borderId="0" xfId="2" applyNumberFormat="1" applyFont="1"/>
    <xf numFmtId="168" fontId="0" fillId="0" borderId="0" xfId="0" applyNumberFormat="1"/>
    <xf numFmtId="0" fontId="3" fillId="2" borderId="0" xfId="3"/>
    <xf numFmtId="168" fontId="3" fillId="2" borderId="0" xfId="3" applyNumberFormat="1"/>
    <xf numFmtId="0" fontId="4" fillId="3" borderId="1" xfId="4"/>
    <xf numFmtId="0" fontId="0" fillId="4" borderId="0" xfId="0" applyFill="1"/>
    <xf numFmtId="10" fontId="0" fillId="0" borderId="0" xfId="0" applyNumberFormat="1"/>
    <xf numFmtId="169" fontId="0" fillId="0" borderId="0" xfId="0" applyNumberFormat="1"/>
    <xf numFmtId="169" fontId="0" fillId="0" borderId="0" xfId="2" applyNumberFormat="1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6" fillId="7" borderId="2" xfId="5"/>
  </cellXfs>
  <cellStyles count="6">
    <cellStyle name="Check Cell" xfId="5" builtinId="23"/>
    <cellStyle name="Comma" xfId="1" builtinId="3"/>
    <cellStyle name="Input" xfId="4" builtinId="20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7E4DC-5EE8-4453-A34C-599724914DD1}">
  <sheetPr codeName="Sheet1"/>
  <dimension ref="A1:O602"/>
  <sheetViews>
    <sheetView workbookViewId="0">
      <pane ySplit="1" topLeftCell="A2" activePane="bottomLeft" state="frozen"/>
      <selection pane="bottomLeft" activeCell="A25" sqref="A25:A32"/>
    </sheetView>
  </sheetViews>
  <sheetFormatPr defaultRowHeight="15" x14ac:dyDescent="0.25"/>
  <cols>
    <col min="1" max="1" width="33.85546875" customWidth="1"/>
    <col min="2" max="2" width="21.140625" customWidth="1"/>
    <col min="3" max="3" width="26.42578125" customWidth="1"/>
    <col min="6" max="6" width="11.5703125" customWidth="1"/>
    <col min="7" max="7" width="18.140625" customWidth="1"/>
    <col min="8" max="8" width="14.7109375" customWidth="1"/>
    <col min="9" max="11" width="15.140625" customWidth="1"/>
    <col min="12" max="12" width="14.140625" customWidth="1"/>
    <col min="13" max="13" width="12.85546875" customWidth="1"/>
    <col min="14" max="14" width="28.28515625" customWidth="1"/>
    <col min="15" max="15" width="15.28515625" customWidth="1"/>
  </cols>
  <sheetData>
    <row r="1" spans="1:15" x14ac:dyDescent="0.25">
      <c r="A1" t="s">
        <v>51</v>
      </c>
      <c r="B1" s="7">
        <v>0.05</v>
      </c>
      <c r="D1" t="s">
        <v>2</v>
      </c>
      <c r="E1" t="s">
        <v>3</v>
      </c>
      <c r="F1" t="s">
        <v>11</v>
      </c>
      <c r="G1" t="s">
        <v>1</v>
      </c>
      <c r="H1" t="s">
        <v>0</v>
      </c>
      <c r="I1" t="s">
        <v>4</v>
      </c>
      <c r="J1" t="s">
        <v>50</v>
      </c>
      <c r="K1" t="s">
        <v>52</v>
      </c>
      <c r="L1" t="s">
        <v>8</v>
      </c>
      <c r="M1" t="s">
        <v>9</v>
      </c>
      <c r="N1" t="s">
        <v>10</v>
      </c>
    </row>
    <row r="2" spans="1:15" x14ac:dyDescent="0.25">
      <c r="A2" t="s">
        <v>5</v>
      </c>
      <c r="B2">
        <v>-0.5</v>
      </c>
      <c r="C2" s="5">
        <f ca="1">ABS(E2-F2)/E2</f>
        <v>0</v>
      </c>
      <c r="D2">
        <v>0</v>
      </c>
      <c r="E2">
        <f>0.1*D2+20</f>
        <v>20</v>
      </c>
      <c r="F2">
        <f ca="1">0.1*D2+20 + (RANDBETWEEN(-5,5)/100)*D2</f>
        <v>20</v>
      </c>
      <c r="G2" s="1">
        <f>1/12*E2-5/3</f>
        <v>0</v>
      </c>
      <c r="H2" s="6">
        <f ca="1">1/12*F2-5/3</f>
        <v>0</v>
      </c>
      <c r="I2" s="5">
        <f ca="1">ABS(G2-H2)</f>
        <v>0</v>
      </c>
      <c r="J2" s="8">
        <f ca="1" xml:space="preserve"> G2 * (1 + $B$1 * IF(RANDBETWEEN(0,1)=0,-1,1))</f>
        <v>0</v>
      </c>
      <c r="K2" s="5">
        <f ca="1">ABS(G2-J2)</f>
        <v>0</v>
      </c>
      <c r="L2">
        <f ca="1">(H2-$B$2)/($B$3-$B$2)*(2^$B$4)</f>
        <v>5461.333333333333</v>
      </c>
      <c r="M2">
        <f ca="1">ROUND(L2,0)</f>
        <v>5461</v>
      </c>
      <c r="N2" t="str">
        <f ca="1">_xlfn.BASE(M2,2,$B$4)</f>
        <v>0001010101010101</v>
      </c>
      <c r="O2">
        <f ca="1">VALUE(LEFT(N2,9))</f>
        <v>101010</v>
      </c>
    </row>
    <row r="3" spans="1:15" x14ac:dyDescent="0.25">
      <c r="A3" t="s">
        <v>6</v>
      </c>
      <c r="B3">
        <v>5.5</v>
      </c>
      <c r="C3" s="5">
        <f t="shared" ref="C3:C6" ca="1" si="0">ABS(E3-F3)/E3</f>
        <v>2.4875621890547614E-3</v>
      </c>
      <c r="D3">
        <v>1</v>
      </c>
      <c r="E3">
        <f t="shared" ref="E3:E66" si="1">0.1*D3+20</f>
        <v>20.100000000000001</v>
      </c>
      <c r="F3">
        <f t="shared" ref="F3:F66" ca="1" si="2">0.1*D3+20 + (RANDBETWEEN(-5,5)/100)*D3</f>
        <v>20.150000000000002</v>
      </c>
      <c r="G3" s="1">
        <f t="shared" ref="G3:G66" si="3">1/12*E3-5/3</f>
        <v>8.3333333333333037E-3</v>
      </c>
      <c r="H3" s="6">
        <f t="shared" ref="H3:H66" ca="1" si="4">1/12*F3-5/3</f>
        <v>1.2499999999999956E-2</v>
      </c>
      <c r="I3" s="5">
        <f ca="1">ABS(G3-H3)</f>
        <v>4.1666666666666519E-3</v>
      </c>
      <c r="J3" s="8">
        <f t="shared" ref="J3:J66" ca="1" si="5" xml:space="preserve"> G3 * (1 + $B$1 * IF(RANDBETWEEN(0,1)=0,-1,1))</f>
        <v>7.9166666666666378E-3</v>
      </c>
      <c r="K3" s="5">
        <f t="shared" ref="K3:K66" ca="1" si="6">ABS(G3-J3)</f>
        <v>4.1666666666666588E-4</v>
      </c>
      <c r="L3">
        <f t="shared" ref="L3:L66" ca="1" si="7">(H3-$B$2)/($B$3-$B$2)*(2^$B$4)</f>
        <v>5597.8666666666659</v>
      </c>
      <c r="M3">
        <f t="shared" ref="M3:M66" ca="1" si="8">ROUND(L3,0)</f>
        <v>5598</v>
      </c>
      <c r="N3" t="str">
        <f t="shared" ref="N3:N66" ca="1" si="9">_xlfn.BASE(M3,2,$B$4)</f>
        <v>0001010111011110</v>
      </c>
      <c r="O3">
        <f t="shared" ref="O3:O66" ca="1" si="10">VALUE(LEFT(N3,9))</f>
        <v>101011</v>
      </c>
    </row>
    <row r="4" spans="1:15" x14ac:dyDescent="0.25">
      <c r="A4" t="s">
        <v>7</v>
      </c>
      <c r="B4">
        <v>16</v>
      </c>
      <c r="C4" s="5">
        <f t="shared" ca="1" si="0"/>
        <v>1.9801980198019382E-3</v>
      </c>
      <c r="D4">
        <v>2</v>
      </c>
      <c r="E4">
        <f t="shared" si="1"/>
        <v>20.2</v>
      </c>
      <c r="F4">
        <f t="shared" ca="1" si="2"/>
        <v>20.16</v>
      </c>
      <c r="G4" s="1">
        <f t="shared" si="3"/>
        <v>1.6666666666666385E-2</v>
      </c>
      <c r="H4" s="6">
        <f t="shared" ca="1" si="4"/>
        <v>1.3333333333333197E-2</v>
      </c>
      <c r="I4" s="5">
        <f t="shared" ref="I4:I66" ca="1" si="11">ABS(G4-H4)</f>
        <v>3.3333333333331883E-3</v>
      </c>
      <c r="J4" s="8">
        <f t="shared" ca="1" si="5"/>
        <v>1.7499999999999707E-2</v>
      </c>
      <c r="K4" s="5">
        <f t="shared" ca="1" si="6"/>
        <v>8.3333333333332135E-4</v>
      </c>
      <c r="L4">
        <f t="shared" ca="1" si="7"/>
        <v>5606.9688888888877</v>
      </c>
      <c r="M4">
        <f t="shared" ca="1" si="8"/>
        <v>5607</v>
      </c>
      <c r="N4" t="str">
        <f t="shared" ca="1" si="9"/>
        <v>0001010111100111</v>
      </c>
      <c r="O4">
        <f t="shared" ca="1" si="10"/>
        <v>101011</v>
      </c>
    </row>
    <row r="5" spans="1:15" x14ac:dyDescent="0.25">
      <c r="A5" t="s">
        <v>12</v>
      </c>
      <c r="B5">
        <v>5</v>
      </c>
      <c r="C5" s="5">
        <f t="shared" ca="1" si="0"/>
        <v>5.9113300492611327E-3</v>
      </c>
      <c r="D5">
        <v>3</v>
      </c>
      <c r="E5">
        <f t="shared" si="1"/>
        <v>20.3</v>
      </c>
      <c r="F5">
        <f t="shared" ca="1" si="2"/>
        <v>20.420000000000002</v>
      </c>
      <c r="G5" s="1">
        <f t="shared" si="3"/>
        <v>2.4999999999999911E-2</v>
      </c>
      <c r="H5" s="6">
        <f t="shared" ca="1" si="4"/>
        <v>3.499999999999992E-2</v>
      </c>
      <c r="I5" s="5">
        <f t="shared" ca="1" si="11"/>
        <v>1.0000000000000009E-2</v>
      </c>
      <c r="J5" s="8">
        <f t="shared" ca="1" si="5"/>
        <v>2.3749999999999914E-2</v>
      </c>
      <c r="K5" s="5">
        <f t="shared" ca="1" si="6"/>
        <v>1.2499999999999976E-3</v>
      </c>
      <c r="L5">
        <f t="shared" ca="1" si="7"/>
        <v>5843.6266666666661</v>
      </c>
      <c r="M5">
        <f t="shared" ca="1" si="8"/>
        <v>5844</v>
      </c>
      <c r="N5" t="str">
        <f t="shared" ca="1" si="9"/>
        <v>0001011011010100</v>
      </c>
      <c r="O5">
        <f t="shared" ca="1" si="10"/>
        <v>101101</v>
      </c>
    </row>
    <row r="6" spans="1:15" x14ac:dyDescent="0.25">
      <c r="A6" t="s">
        <v>13</v>
      </c>
      <c r="B6">
        <v>0</v>
      </c>
      <c r="C6" s="5">
        <f t="shared" ca="1" si="0"/>
        <v>5.8823529411765199E-3</v>
      </c>
      <c r="D6">
        <v>4</v>
      </c>
      <c r="E6">
        <f t="shared" si="1"/>
        <v>20.399999999999999</v>
      </c>
      <c r="F6">
        <f t="shared" ca="1" si="2"/>
        <v>20.279999999999998</v>
      </c>
      <c r="G6" s="1">
        <f t="shared" si="3"/>
        <v>3.3333333333332993E-2</v>
      </c>
      <c r="H6" s="6">
        <f t="shared" ca="1" si="4"/>
        <v>2.3333333333332984E-2</v>
      </c>
      <c r="I6" s="5">
        <f t="shared" ca="1" si="11"/>
        <v>1.0000000000000009E-2</v>
      </c>
      <c r="J6" s="8">
        <f t="shared" ca="1" si="5"/>
        <v>3.1666666666666343E-2</v>
      </c>
      <c r="K6" s="5">
        <f t="shared" ca="1" si="6"/>
        <v>1.6666666666666496E-3</v>
      </c>
      <c r="L6">
        <f t="shared" ca="1" si="7"/>
        <v>5716.1955555555514</v>
      </c>
      <c r="M6">
        <f t="shared" ca="1" si="8"/>
        <v>5716</v>
      </c>
      <c r="N6" t="str">
        <f t="shared" ca="1" si="9"/>
        <v>0001011001010100</v>
      </c>
      <c r="O6">
        <f t="shared" ca="1" si="10"/>
        <v>101100</v>
      </c>
    </row>
    <row r="7" spans="1:15" x14ac:dyDescent="0.25">
      <c r="A7" t="s">
        <v>23</v>
      </c>
      <c r="B7">
        <v>16</v>
      </c>
      <c r="C7" t="s">
        <v>22</v>
      </c>
      <c r="D7">
        <v>5</v>
      </c>
      <c r="E7">
        <f t="shared" si="1"/>
        <v>20.5</v>
      </c>
      <c r="F7">
        <f t="shared" ca="1" si="2"/>
        <v>20.7</v>
      </c>
      <c r="G7" s="1">
        <f t="shared" si="3"/>
        <v>4.1666666666666519E-2</v>
      </c>
      <c r="H7" s="6">
        <f t="shared" ca="1" si="4"/>
        <v>5.8333333333333126E-2</v>
      </c>
      <c r="I7" s="5">
        <f t="shared" ca="1" si="11"/>
        <v>1.6666666666666607E-2</v>
      </c>
      <c r="J7" s="8">
        <f t="shared" ca="1" si="5"/>
        <v>4.3749999999999845E-2</v>
      </c>
      <c r="K7" s="5">
        <f t="shared" ca="1" si="6"/>
        <v>2.0833333333333259E-3</v>
      </c>
      <c r="L7">
        <f t="shared" ca="1" si="7"/>
        <v>6098.4888888888863</v>
      </c>
      <c r="M7">
        <f t="shared" ca="1" si="8"/>
        <v>6098</v>
      </c>
      <c r="N7" t="str">
        <f t="shared" ca="1" si="9"/>
        <v>0001011111010010</v>
      </c>
      <c r="O7">
        <f t="shared" ca="1" si="10"/>
        <v>101111</v>
      </c>
    </row>
    <row r="8" spans="1:15" x14ac:dyDescent="0.25">
      <c r="A8" t="s">
        <v>14</v>
      </c>
      <c r="B8">
        <v>6.1440000000000001</v>
      </c>
      <c r="D8">
        <v>6</v>
      </c>
      <c r="E8">
        <f t="shared" si="1"/>
        <v>20.6</v>
      </c>
      <c r="F8">
        <f t="shared" ca="1" si="2"/>
        <v>20.3</v>
      </c>
      <c r="G8" s="1">
        <f t="shared" si="3"/>
        <v>5.0000000000000044E-2</v>
      </c>
      <c r="H8" s="6">
        <f t="shared" ca="1" si="4"/>
        <v>2.4999999999999911E-2</v>
      </c>
      <c r="I8" s="5">
        <f t="shared" ca="1" si="11"/>
        <v>2.5000000000000133E-2</v>
      </c>
      <c r="J8" s="8">
        <f t="shared" ca="1" si="5"/>
        <v>5.2500000000000047E-2</v>
      </c>
      <c r="K8" s="5">
        <f t="shared" ca="1" si="6"/>
        <v>2.5000000000000022E-3</v>
      </c>
      <c r="L8">
        <f t="shared" ca="1" si="7"/>
        <v>5734.3999999999987</v>
      </c>
      <c r="M8">
        <f t="shared" ca="1" si="8"/>
        <v>5734</v>
      </c>
      <c r="N8" t="str">
        <f t="shared" ca="1" si="9"/>
        <v>0001011001100110</v>
      </c>
      <c r="O8">
        <f t="shared" ca="1" si="10"/>
        <v>101100</v>
      </c>
    </row>
    <row r="9" spans="1:15" x14ac:dyDescent="0.25">
      <c r="A9" t="s">
        <v>15</v>
      </c>
      <c r="B9">
        <v>250</v>
      </c>
      <c r="C9" t="s">
        <v>21</v>
      </c>
      <c r="D9">
        <v>7</v>
      </c>
      <c r="E9">
        <f t="shared" si="1"/>
        <v>20.7</v>
      </c>
      <c r="F9">
        <f t="shared" ca="1" si="2"/>
        <v>21.05</v>
      </c>
      <c r="G9" s="1">
        <f t="shared" si="3"/>
        <v>5.8333333333333126E-2</v>
      </c>
      <c r="H9" s="6">
        <f t="shared" ca="1" si="4"/>
        <v>8.7499999999999911E-2</v>
      </c>
      <c r="I9" s="5">
        <f t="shared" ca="1" si="11"/>
        <v>2.9166666666666785E-2</v>
      </c>
      <c r="J9" s="8">
        <f t="shared" ca="1" si="5"/>
        <v>5.5416666666666468E-2</v>
      </c>
      <c r="K9" s="5">
        <f t="shared" ca="1" si="6"/>
        <v>2.9166666666666577E-3</v>
      </c>
      <c r="L9">
        <f t="shared" ca="1" si="7"/>
        <v>6417.0666666666657</v>
      </c>
      <c r="M9">
        <f t="shared" ca="1" si="8"/>
        <v>6417</v>
      </c>
      <c r="N9" t="str">
        <f t="shared" ca="1" si="9"/>
        <v>0001100100010001</v>
      </c>
      <c r="O9">
        <f t="shared" ca="1" si="10"/>
        <v>110010</v>
      </c>
    </row>
    <row r="10" spans="1:15" x14ac:dyDescent="0.25">
      <c r="A10" t="s">
        <v>16</v>
      </c>
      <c r="B10">
        <v>3</v>
      </c>
      <c r="C10" t="s">
        <v>17</v>
      </c>
      <c r="D10">
        <v>8</v>
      </c>
      <c r="E10">
        <f t="shared" si="1"/>
        <v>20.8</v>
      </c>
      <c r="F10">
        <f t="shared" ca="1" si="2"/>
        <v>20.720000000000002</v>
      </c>
      <c r="G10" s="1">
        <f t="shared" si="3"/>
        <v>6.6666666666666652E-2</v>
      </c>
      <c r="H10" s="6">
        <f t="shared" ca="1" si="4"/>
        <v>6.0000000000000053E-2</v>
      </c>
      <c r="I10" s="5">
        <f t="shared" ca="1" si="11"/>
        <v>6.6666666666665986E-3</v>
      </c>
      <c r="J10" s="8">
        <f t="shared" ca="1" si="5"/>
        <v>6.9999999999999993E-2</v>
      </c>
      <c r="K10" s="5">
        <f t="shared" ca="1" si="6"/>
        <v>3.3333333333333409E-3</v>
      </c>
      <c r="L10">
        <f t="shared" ca="1" si="7"/>
        <v>6116.6933333333336</v>
      </c>
      <c r="M10">
        <f t="shared" ca="1" si="8"/>
        <v>6117</v>
      </c>
      <c r="N10" t="str">
        <f t="shared" ca="1" si="9"/>
        <v>0001011111100101</v>
      </c>
      <c r="O10">
        <f t="shared" ca="1" si="10"/>
        <v>101111</v>
      </c>
    </row>
    <row r="11" spans="1:15" x14ac:dyDescent="0.25">
      <c r="A11" t="s">
        <v>27</v>
      </c>
      <c r="B11">
        <v>5.0000000000000001E-3</v>
      </c>
      <c r="C11" t="s">
        <v>18</v>
      </c>
      <c r="D11">
        <v>9</v>
      </c>
      <c r="E11">
        <f t="shared" si="1"/>
        <v>20.9</v>
      </c>
      <c r="F11">
        <f t="shared" ca="1" si="2"/>
        <v>21.349999999999998</v>
      </c>
      <c r="G11" s="1">
        <f t="shared" si="3"/>
        <v>7.4999999999999734E-2</v>
      </c>
      <c r="H11" s="6">
        <f t="shared" ca="1" si="4"/>
        <v>0.1124999999999996</v>
      </c>
      <c r="I11" s="5">
        <f t="shared" ca="1" si="11"/>
        <v>3.7499999999999867E-2</v>
      </c>
      <c r="J11" s="8">
        <f t="shared" ca="1" si="5"/>
        <v>7.8749999999999723E-2</v>
      </c>
      <c r="K11" s="5">
        <f t="shared" ca="1" si="6"/>
        <v>3.7499999999999895E-3</v>
      </c>
      <c r="L11">
        <f t="shared" ca="1" si="7"/>
        <v>6690.1333333333287</v>
      </c>
      <c r="M11">
        <f t="shared" ca="1" si="8"/>
        <v>6690</v>
      </c>
      <c r="N11" t="str">
        <f t="shared" ca="1" si="9"/>
        <v>0001101000100010</v>
      </c>
      <c r="O11">
        <f t="shared" ca="1" si="10"/>
        <v>110100</v>
      </c>
    </row>
    <row r="12" spans="1:15" x14ac:dyDescent="0.25">
      <c r="A12" t="s">
        <v>19</v>
      </c>
      <c r="B12">
        <v>1</v>
      </c>
      <c r="C12" t="s">
        <v>20</v>
      </c>
      <c r="D12">
        <v>10</v>
      </c>
      <c r="E12">
        <f t="shared" si="1"/>
        <v>21</v>
      </c>
      <c r="F12">
        <f t="shared" ca="1" si="2"/>
        <v>21.1</v>
      </c>
      <c r="G12" s="1">
        <f t="shared" si="3"/>
        <v>8.3333333333333259E-2</v>
      </c>
      <c r="H12" s="6">
        <f t="shared" ca="1" si="4"/>
        <v>9.1666666666666563E-2</v>
      </c>
      <c r="I12" s="5">
        <f t="shared" ca="1" si="11"/>
        <v>8.3333333333333037E-3</v>
      </c>
      <c r="J12" s="8">
        <f t="shared" ca="1" si="5"/>
        <v>8.7499999999999925E-2</v>
      </c>
      <c r="K12" s="5">
        <f t="shared" ca="1" si="6"/>
        <v>4.1666666666666657E-3</v>
      </c>
      <c r="L12">
        <f t="shared" ca="1" si="7"/>
        <v>6462.5777777777766</v>
      </c>
      <c r="M12">
        <f t="shared" ca="1" si="8"/>
        <v>6463</v>
      </c>
      <c r="N12" t="str">
        <f t="shared" ca="1" si="9"/>
        <v>0001100100111111</v>
      </c>
      <c r="O12">
        <f t="shared" ca="1" si="10"/>
        <v>110010</v>
      </c>
    </row>
    <row r="13" spans="1:15" x14ac:dyDescent="0.25">
      <c r="A13" t="s">
        <v>26</v>
      </c>
      <c r="B13">
        <v>0.15</v>
      </c>
      <c r="C13" t="s">
        <v>24</v>
      </c>
      <c r="D13">
        <v>11</v>
      </c>
      <c r="E13">
        <f t="shared" si="1"/>
        <v>21.1</v>
      </c>
      <c r="F13">
        <f t="shared" ca="1" si="2"/>
        <v>21.650000000000002</v>
      </c>
      <c r="G13" s="1">
        <f t="shared" si="3"/>
        <v>9.1666666666666563E-2</v>
      </c>
      <c r="H13" s="6">
        <f t="shared" ca="1" si="4"/>
        <v>0.13749999999999996</v>
      </c>
      <c r="I13" s="5">
        <f t="shared" ca="1" si="11"/>
        <v>4.5833333333333393E-2</v>
      </c>
      <c r="J13" s="8">
        <f t="shared" ca="1" si="5"/>
        <v>9.6249999999999891E-2</v>
      </c>
      <c r="K13" s="5">
        <f t="shared" ca="1" si="6"/>
        <v>4.5833333333333282E-3</v>
      </c>
      <c r="L13">
        <f t="shared" ca="1" si="7"/>
        <v>6963.2</v>
      </c>
      <c r="M13">
        <f t="shared" ca="1" si="8"/>
        <v>6963</v>
      </c>
      <c r="N13" t="str">
        <f t="shared" ca="1" si="9"/>
        <v>0001101100110011</v>
      </c>
      <c r="O13">
        <f t="shared" ca="1" si="10"/>
        <v>110110</v>
      </c>
    </row>
    <row r="14" spans="1:15" x14ac:dyDescent="0.25">
      <c r="A14" t="s">
        <v>25</v>
      </c>
      <c r="B14">
        <v>5</v>
      </c>
      <c r="C14" t="s">
        <v>28</v>
      </c>
      <c r="D14">
        <v>12</v>
      </c>
      <c r="E14">
        <f t="shared" si="1"/>
        <v>21.2</v>
      </c>
      <c r="F14">
        <f t="shared" ca="1" si="2"/>
        <v>21.32</v>
      </c>
      <c r="G14" s="1">
        <f t="shared" si="3"/>
        <v>9.9999999999999867E-2</v>
      </c>
      <c r="H14" s="6">
        <f t="shared" ca="1" si="4"/>
        <v>0.10999999999999988</v>
      </c>
      <c r="I14" s="5">
        <f t="shared" ca="1" si="11"/>
        <v>1.0000000000000009E-2</v>
      </c>
      <c r="J14" s="8">
        <f t="shared" ca="1" si="5"/>
        <v>9.4999999999999862E-2</v>
      </c>
      <c r="K14" s="5">
        <f t="shared" ca="1" si="6"/>
        <v>5.0000000000000044E-3</v>
      </c>
      <c r="L14">
        <f t="shared" ca="1" si="7"/>
        <v>6662.826666666665</v>
      </c>
      <c r="M14">
        <f t="shared" ca="1" si="8"/>
        <v>6663</v>
      </c>
      <c r="N14" t="str">
        <f t="shared" ca="1" si="9"/>
        <v>0001101000000111</v>
      </c>
      <c r="O14">
        <f t="shared" ca="1" si="10"/>
        <v>110100</v>
      </c>
    </row>
    <row r="15" spans="1:15" x14ac:dyDescent="0.25">
      <c r="A15" t="s">
        <v>29</v>
      </c>
      <c r="B15">
        <v>80</v>
      </c>
      <c r="C15" t="s">
        <v>30</v>
      </c>
      <c r="D15">
        <v>13</v>
      </c>
      <c r="E15">
        <f t="shared" si="1"/>
        <v>21.3</v>
      </c>
      <c r="F15">
        <f t="shared" ca="1" si="2"/>
        <v>21.69</v>
      </c>
      <c r="G15" s="1">
        <f t="shared" si="3"/>
        <v>0.10833333333333317</v>
      </c>
      <c r="H15" s="6">
        <f t="shared" ca="1" si="4"/>
        <v>0.14083333333333337</v>
      </c>
      <c r="I15" s="5">
        <f t="shared" ca="1" si="11"/>
        <v>3.2500000000000195E-2</v>
      </c>
      <c r="J15" s="8">
        <f t="shared" ca="1" si="5"/>
        <v>0.1029166666666665</v>
      </c>
      <c r="K15" s="5">
        <f t="shared" ca="1" si="6"/>
        <v>5.4166666666666669E-3</v>
      </c>
      <c r="L15">
        <f t="shared" ca="1" si="7"/>
        <v>6999.6088888888889</v>
      </c>
      <c r="M15">
        <f t="shared" ca="1" si="8"/>
        <v>7000</v>
      </c>
      <c r="N15" t="str">
        <f t="shared" ca="1" si="9"/>
        <v>0001101101011000</v>
      </c>
      <c r="O15">
        <f t="shared" ca="1" si="10"/>
        <v>110110</v>
      </c>
    </row>
    <row r="16" spans="1:15" x14ac:dyDescent="0.25">
      <c r="A16" t="s">
        <v>31</v>
      </c>
      <c r="B16">
        <v>90</v>
      </c>
      <c r="C16" t="s">
        <v>32</v>
      </c>
      <c r="D16">
        <v>14</v>
      </c>
      <c r="E16">
        <f t="shared" si="1"/>
        <v>21.4</v>
      </c>
      <c r="F16">
        <f t="shared" ca="1" si="2"/>
        <v>21.259999999999998</v>
      </c>
      <c r="G16" s="1">
        <f t="shared" si="3"/>
        <v>0.11666666666666647</v>
      </c>
      <c r="H16" s="6">
        <f t="shared" ca="1" si="4"/>
        <v>0.10499999999999976</v>
      </c>
      <c r="I16" s="5">
        <f t="shared" ca="1" si="11"/>
        <v>1.1666666666666714E-2</v>
      </c>
      <c r="J16" s="8">
        <f t="shared" ca="1" si="5"/>
        <v>0.1224999999999998</v>
      </c>
      <c r="K16" s="5">
        <f t="shared" ca="1" si="6"/>
        <v>5.8333333333333293E-3</v>
      </c>
      <c r="L16">
        <f t="shared" ca="1" si="7"/>
        <v>6608.2133333333304</v>
      </c>
      <c r="M16">
        <f t="shared" ca="1" si="8"/>
        <v>6608</v>
      </c>
      <c r="N16" t="str">
        <f t="shared" ca="1" si="9"/>
        <v>0001100111010000</v>
      </c>
      <c r="O16">
        <f t="shared" ca="1" si="10"/>
        <v>110011</v>
      </c>
    </row>
    <row r="17" spans="1:15" x14ac:dyDescent="0.25">
      <c r="A17" s="2" t="s">
        <v>33</v>
      </c>
      <c r="D17">
        <v>15</v>
      </c>
      <c r="E17">
        <f t="shared" si="1"/>
        <v>21.5</v>
      </c>
      <c r="F17">
        <f t="shared" ca="1" si="2"/>
        <v>20.9</v>
      </c>
      <c r="G17" s="1">
        <f t="shared" si="3"/>
        <v>0.12499999999999978</v>
      </c>
      <c r="H17" s="6">
        <f t="shared" ca="1" si="4"/>
        <v>7.4999999999999734E-2</v>
      </c>
      <c r="I17" s="5">
        <f t="shared" ca="1" si="11"/>
        <v>5.0000000000000044E-2</v>
      </c>
      <c r="J17" s="8">
        <f t="shared" ca="1" si="5"/>
        <v>0.11874999999999979</v>
      </c>
      <c r="K17" s="5">
        <f t="shared" ca="1" si="6"/>
        <v>6.2499999999999917E-3</v>
      </c>
      <c r="L17">
        <f t="shared" ca="1" si="7"/>
        <v>6280.5333333333301</v>
      </c>
      <c r="M17">
        <f t="shared" ca="1" si="8"/>
        <v>6281</v>
      </c>
      <c r="N17" t="str">
        <f t="shared" ca="1" si="9"/>
        <v>0001100010001001</v>
      </c>
      <c r="O17">
        <f t="shared" ca="1" si="10"/>
        <v>110001</v>
      </c>
    </row>
    <row r="18" spans="1:15" x14ac:dyDescent="0.25">
      <c r="A18" t="s">
        <v>34</v>
      </c>
      <c r="B18" t="s">
        <v>35</v>
      </c>
      <c r="C18">
        <v>5.5</v>
      </c>
      <c r="D18">
        <v>16</v>
      </c>
      <c r="E18">
        <f t="shared" si="1"/>
        <v>21.6</v>
      </c>
      <c r="F18">
        <f t="shared" ca="1" si="2"/>
        <v>20.96</v>
      </c>
      <c r="G18" s="1">
        <f t="shared" si="3"/>
        <v>0.1333333333333333</v>
      </c>
      <c r="H18" s="6">
        <f t="shared" ca="1" si="4"/>
        <v>7.9999999999999849E-2</v>
      </c>
      <c r="I18" s="5">
        <f t="shared" ca="1" si="11"/>
        <v>5.3333333333333455E-2</v>
      </c>
      <c r="J18" s="8">
        <f t="shared" ca="1" si="5"/>
        <v>0.12666666666666662</v>
      </c>
      <c r="K18" s="5">
        <f t="shared" ca="1" si="6"/>
        <v>6.6666666666666818E-3</v>
      </c>
      <c r="L18">
        <f t="shared" ca="1" si="7"/>
        <v>6335.1466666666647</v>
      </c>
      <c r="M18">
        <f t="shared" ca="1" si="8"/>
        <v>6335</v>
      </c>
      <c r="N18" t="str">
        <f t="shared" ca="1" si="9"/>
        <v>0001100010111111</v>
      </c>
      <c r="O18">
        <f t="shared" ca="1" si="10"/>
        <v>110001</v>
      </c>
    </row>
    <row r="19" spans="1:15" x14ac:dyDescent="0.25">
      <c r="A19" t="s">
        <v>36</v>
      </c>
      <c r="B19" t="s">
        <v>37</v>
      </c>
      <c r="C19" t="s">
        <v>38</v>
      </c>
      <c r="D19">
        <v>17</v>
      </c>
      <c r="E19">
        <f t="shared" si="1"/>
        <v>21.7</v>
      </c>
      <c r="F19">
        <f t="shared" ca="1" si="2"/>
        <v>22.21</v>
      </c>
      <c r="G19" s="1">
        <f t="shared" si="3"/>
        <v>0.14166666666666639</v>
      </c>
      <c r="H19" s="6">
        <f t="shared" ca="1" si="4"/>
        <v>0.18416666666666659</v>
      </c>
      <c r="I19" s="5">
        <f t="shared" ca="1" si="11"/>
        <v>4.2500000000000204E-2</v>
      </c>
      <c r="J19" s="8">
        <f t="shared" ca="1" si="5"/>
        <v>0.14874999999999972</v>
      </c>
      <c r="K19" s="5">
        <f t="shared" ca="1" si="6"/>
        <v>7.0833333333333304E-3</v>
      </c>
      <c r="L19">
        <f t="shared" ca="1" si="7"/>
        <v>7472.9244444444439</v>
      </c>
      <c r="M19">
        <f t="shared" ca="1" si="8"/>
        <v>7473</v>
      </c>
      <c r="N19" t="str">
        <f t="shared" ca="1" si="9"/>
        <v>0001110100110001</v>
      </c>
      <c r="O19">
        <f t="shared" ca="1" si="10"/>
        <v>111010</v>
      </c>
    </row>
    <row r="20" spans="1:15" x14ac:dyDescent="0.25">
      <c r="D20">
        <v>18</v>
      </c>
      <c r="E20">
        <f t="shared" si="1"/>
        <v>21.8</v>
      </c>
      <c r="F20">
        <f t="shared" ca="1" si="2"/>
        <v>21.8</v>
      </c>
      <c r="G20" s="1">
        <f t="shared" si="3"/>
        <v>0.14999999999999991</v>
      </c>
      <c r="H20" s="6">
        <f t="shared" ca="1" si="4"/>
        <v>0.14999999999999991</v>
      </c>
      <c r="I20" s="5">
        <f t="shared" ca="1" si="11"/>
        <v>0</v>
      </c>
      <c r="J20" s="8">
        <f t="shared" ca="1" si="5"/>
        <v>0.1424999999999999</v>
      </c>
      <c r="K20" s="5">
        <f t="shared" ca="1" si="6"/>
        <v>7.5000000000000067E-3</v>
      </c>
      <c r="L20">
        <f t="shared" ca="1" si="7"/>
        <v>7099.7333333333327</v>
      </c>
      <c r="M20">
        <f t="shared" ca="1" si="8"/>
        <v>7100</v>
      </c>
      <c r="N20" t="str">
        <f t="shared" ca="1" si="9"/>
        <v>0001101110111100</v>
      </c>
      <c r="O20">
        <f t="shared" ca="1" si="10"/>
        <v>110111</v>
      </c>
    </row>
    <row r="21" spans="1:15" x14ac:dyDescent="0.25">
      <c r="D21">
        <v>19</v>
      </c>
      <c r="E21">
        <f t="shared" si="1"/>
        <v>21.9</v>
      </c>
      <c r="F21">
        <f t="shared" ca="1" si="2"/>
        <v>21.709999999999997</v>
      </c>
      <c r="G21" s="1">
        <f t="shared" si="3"/>
        <v>0.15833333333333299</v>
      </c>
      <c r="H21" s="6">
        <f t="shared" ca="1" si="4"/>
        <v>0.14249999999999963</v>
      </c>
      <c r="I21" s="5">
        <f t="shared" ca="1" si="11"/>
        <v>1.5833333333333366E-2</v>
      </c>
      <c r="J21" s="8">
        <f t="shared" ca="1" si="5"/>
        <v>0.15041666666666634</v>
      </c>
      <c r="K21" s="5">
        <f t="shared" ca="1" si="6"/>
        <v>7.9166666666666552E-3</v>
      </c>
      <c r="L21">
        <f t="shared" ca="1" si="7"/>
        <v>7017.813333333329</v>
      </c>
      <c r="M21">
        <f t="shared" ca="1" si="8"/>
        <v>7018</v>
      </c>
      <c r="N21" t="str">
        <f t="shared" ca="1" si="9"/>
        <v>0001101101101010</v>
      </c>
      <c r="O21">
        <f t="shared" ca="1" si="10"/>
        <v>110110</v>
      </c>
    </row>
    <row r="22" spans="1:15" x14ac:dyDescent="0.25">
      <c r="D22">
        <v>20</v>
      </c>
      <c r="E22">
        <f t="shared" si="1"/>
        <v>22</v>
      </c>
      <c r="F22">
        <f t="shared" ca="1" si="2"/>
        <v>22.8</v>
      </c>
      <c r="G22" s="1">
        <f t="shared" si="3"/>
        <v>0.16666666666666652</v>
      </c>
      <c r="H22" s="6">
        <f t="shared" ca="1" si="4"/>
        <v>0.23333333333333317</v>
      </c>
      <c r="I22" s="5">
        <f t="shared" ca="1" si="11"/>
        <v>6.6666666666666652E-2</v>
      </c>
      <c r="J22" s="8">
        <f t="shared" ca="1" si="5"/>
        <v>0.17499999999999985</v>
      </c>
      <c r="K22" s="5">
        <f t="shared" ca="1" si="6"/>
        <v>8.3333333333333315E-3</v>
      </c>
      <c r="L22">
        <f t="shared" ca="1" si="7"/>
        <v>8009.9555555555535</v>
      </c>
      <c r="M22">
        <f t="shared" ca="1" si="8"/>
        <v>8010</v>
      </c>
      <c r="N22" t="str">
        <f t="shared" ca="1" si="9"/>
        <v>0001111101001010</v>
      </c>
      <c r="O22">
        <f t="shared" ca="1" si="10"/>
        <v>111110</v>
      </c>
    </row>
    <row r="23" spans="1:15" x14ac:dyDescent="0.25">
      <c r="D23">
        <v>21</v>
      </c>
      <c r="E23">
        <f t="shared" si="1"/>
        <v>22.1</v>
      </c>
      <c r="F23">
        <f t="shared" ca="1" si="2"/>
        <v>23.150000000000002</v>
      </c>
      <c r="G23" s="1">
        <f t="shared" si="3"/>
        <v>0.17500000000000004</v>
      </c>
      <c r="H23" s="6">
        <f t="shared" ca="1" si="4"/>
        <v>0.26249999999999996</v>
      </c>
      <c r="I23" s="5">
        <f t="shared" ca="1" si="11"/>
        <v>8.7499999999999911E-2</v>
      </c>
      <c r="J23" s="8">
        <f t="shared" ca="1" si="5"/>
        <v>0.18375000000000005</v>
      </c>
      <c r="K23" s="5">
        <f t="shared" ca="1" si="6"/>
        <v>8.7500000000000078E-3</v>
      </c>
      <c r="L23">
        <f t="shared" ca="1" si="7"/>
        <v>8328.5333333333328</v>
      </c>
      <c r="M23">
        <f t="shared" ca="1" si="8"/>
        <v>8329</v>
      </c>
      <c r="N23" t="str">
        <f t="shared" ca="1" si="9"/>
        <v>0010000010001001</v>
      </c>
      <c r="O23">
        <f t="shared" ca="1" si="10"/>
        <v>1000001</v>
      </c>
    </row>
    <row r="24" spans="1:15" x14ac:dyDescent="0.25">
      <c r="A24" s="2" t="s">
        <v>39</v>
      </c>
      <c r="B24" t="s">
        <v>48</v>
      </c>
      <c r="C24" t="s">
        <v>49</v>
      </c>
      <c r="D24">
        <v>22</v>
      </c>
      <c r="E24">
        <f t="shared" si="1"/>
        <v>22.2</v>
      </c>
      <c r="F24">
        <f t="shared" ca="1" si="2"/>
        <v>22.86</v>
      </c>
      <c r="G24" s="1">
        <f t="shared" si="3"/>
        <v>0.18333333333333313</v>
      </c>
      <c r="H24" s="6">
        <f t="shared" ca="1" si="4"/>
        <v>0.23833333333333306</v>
      </c>
      <c r="I24" s="5">
        <f t="shared" ca="1" si="11"/>
        <v>5.4999999999999938E-2</v>
      </c>
      <c r="J24" s="8">
        <f t="shared" ca="1" si="5"/>
        <v>0.19249999999999978</v>
      </c>
      <c r="K24" s="5">
        <f t="shared" ca="1" si="6"/>
        <v>9.1666666666666563E-3</v>
      </c>
      <c r="L24">
        <f t="shared" ca="1" si="7"/>
        <v>8064.5688888888862</v>
      </c>
      <c r="M24">
        <f t="shared" ca="1" si="8"/>
        <v>8065</v>
      </c>
      <c r="N24" t="str">
        <f t="shared" ca="1" si="9"/>
        <v>0001111110000001</v>
      </c>
      <c r="O24">
        <f t="shared" ca="1" si="10"/>
        <v>111111</v>
      </c>
    </row>
    <row r="25" spans="1:15" x14ac:dyDescent="0.25">
      <c r="A25" t="s">
        <v>40</v>
      </c>
      <c r="B25">
        <f ca="1">1/12*F2-5/3</f>
        <v>0</v>
      </c>
      <c r="C25">
        <v>0</v>
      </c>
      <c r="D25">
        <v>23</v>
      </c>
      <c r="E25">
        <f t="shared" si="1"/>
        <v>22.3</v>
      </c>
      <c r="F25">
        <f t="shared" ca="1" si="2"/>
        <v>23.45</v>
      </c>
      <c r="G25" s="1">
        <f t="shared" si="3"/>
        <v>0.19166666666666665</v>
      </c>
      <c r="H25" s="6">
        <f t="shared" ca="1" si="4"/>
        <v>0.28749999999999987</v>
      </c>
      <c r="I25" s="5">
        <f t="shared" ca="1" si="11"/>
        <v>9.5833333333333215E-2</v>
      </c>
      <c r="J25" s="8">
        <f t="shared" ca="1" si="5"/>
        <v>0.18208333333333332</v>
      </c>
      <c r="K25" s="5">
        <f t="shared" ca="1" si="6"/>
        <v>9.5833333333333326E-3</v>
      </c>
      <c r="L25">
        <f t="shared" ca="1" si="7"/>
        <v>8601.5999999999985</v>
      </c>
      <c r="M25">
        <f t="shared" ca="1" si="8"/>
        <v>8602</v>
      </c>
      <c r="N25" t="str">
        <f t="shared" ca="1" si="9"/>
        <v>0010000110011010</v>
      </c>
      <c r="O25">
        <f t="shared" ca="1" si="10"/>
        <v>1000011</v>
      </c>
    </row>
    <row r="26" spans="1:15" x14ac:dyDescent="0.25">
      <c r="A26" t="s">
        <v>41</v>
      </c>
      <c r="C26">
        <v>5</v>
      </c>
      <c r="D26">
        <v>24</v>
      </c>
      <c r="E26">
        <f t="shared" si="1"/>
        <v>22.4</v>
      </c>
      <c r="F26">
        <f t="shared" ca="1" si="2"/>
        <v>22.88</v>
      </c>
      <c r="G26" s="1">
        <f t="shared" si="3"/>
        <v>0.19999999999999973</v>
      </c>
      <c r="H26" s="6">
        <f t="shared" ca="1" si="4"/>
        <v>0.23999999999999977</v>
      </c>
      <c r="I26" s="5">
        <f t="shared" ca="1" si="11"/>
        <v>4.0000000000000036E-2</v>
      </c>
      <c r="J26" s="8">
        <f t="shared" ca="1" si="5"/>
        <v>0.18999999999999972</v>
      </c>
      <c r="K26" s="5">
        <f t="shared" ca="1" si="6"/>
        <v>1.0000000000000009E-2</v>
      </c>
      <c r="L26">
        <f t="shared" ca="1" si="7"/>
        <v>8082.7733333333308</v>
      </c>
      <c r="M26">
        <f t="shared" ca="1" si="8"/>
        <v>8083</v>
      </c>
      <c r="N26" t="str">
        <f t="shared" ca="1" si="9"/>
        <v>0001111110010011</v>
      </c>
      <c r="O26">
        <f t="shared" ca="1" si="10"/>
        <v>111111</v>
      </c>
    </row>
    <row r="27" spans="1:15" x14ac:dyDescent="0.25">
      <c r="A27" t="s">
        <v>42</v>
      </c>
      <c r="C27">
        <v>0</v>
      </c>
      <c r="D27">
        <v>25</v>
      </c>
      <c r="E27">
        <f t="shared" si="1"/>
        <v>22.5</v>
      </c>
      <c r="F27">
        <f t="shared" ca="1" si="2"/>
        <v>21.5</v>
      </c>
      <c r="G27" s="1">
        <f t="shared" si="3"/>
        <v>0.20833333333333326</v>
      </c>
      <c r="H27" s="6">
        <f t="shared" ca="1" si="4"/>
        <v>0.12499999999999978</v>
      </c>
      <c r="I27" s="5">
        <f t="shared" ca="1" si="11"/>
        <v>8.3333333333333481E-2</v>
      </c>
      <c r="J27" s="8">
        <f t="shared" ca="1" si="5"/>
        <v>0.21874999999999994</v>
      </c>
      <c r="K27" s="5">
        <f t="shared" ca="1" si="6"/>
        <v>1.0416666666666685E-2</v>
      </c>
      <c r="L27">
        <f t="shared" ca="1" si="7"/>
        <v>6826.6666666666642</v>
      </c>
      <c r="M27">
        <f t="shared" ca="1" si="8"/>
        <v>6827</v>
      </c>
      <c r="N27" t="str">
        <f t="shared" ca="1" si="9"/>
        <v>0001101010101011</v>
      </c>
      <c r="O27">
        <f t="shared" ca="1" si="10"/>
        <v>110101</v>
      </c>
    </row>
    <row r="28" spans="1:15" x14ac:dyDescent="0.25">
      <c r="A28" t="s">
        <v>43</v>
      </c>
      <c r="C28">
        <v>5</v>
      </c>
      <c r="D28">
        <v>26</v>
      </c>
      <c r="E28">
        <f t="shared" si="1"/>
        <v>22.6</v>
      </c>
      <c r="F28">
        <f t="shared" ca="1" si="2"/>
        <v>22.6</v>
      </c>
      <c r="G28" s="1">
        <f t="shared" si="3"/>
        <v>0.21666666666666656</v>
      </c>
      <c r="H28" s="6">
        <f t="shared" ca="1" si="4"/>
        <v>0.21666666666666656</v>
      </c>
      <c r="I28" s="5">
        <f t="shared" ca="1" si="11"/>
        <v>0</v>
      </c>
      <c r="J28" s="8">
        <f t="shared" ca="1" si="5"/>
        <v>0.20583333333333323</v>
      </c>
      <c r="K28" s="5">
        <f t="shared" ca="1" si="6"/>
        <v>1.0833333333333334E-2</v>
      </c>
      <c r="L28">
        <f t="shared" ca="1" si="7"/>
        <v>7827.9111111111097</v>
      </c>
      <c r="M28">
        <f t="shared" ca="1" si="8"/>
        <v>7828</v>
      </c>
      <c r="N28" t="str">
        <f t="shared" ca="1" si="9"/>
        <v>0001111010010100</v>
      </c>
      <c r="O28">
        <f t="shared" ca="1" si="10"/>
        <v>111101</v>
      </c>
    </row>
    <row r="29" spans="1:15" x14ac:dyDescent="0.25">
      <c r="A29" t="s">
        <v>44</v>
      </c>
      <c r="C29">
        <v>0</v>
      </c>
      <c r="D29">
        <v>27</v>
      </c>
      <c r="E29">
        <f t="shared" si="1"/>
        <v>22.7</v>
      </c>
      <c r="F29">
        <f t="shared" ca="1" si="2"/>
        <v>21.619999999999997</v>
      </c>
      <c r="G29" s="1">
        <f t="shared" si="3"/>
        <v>0.22499999999999987</v>
      </c>
      <c r="H29" s="6">
        <f t="shared" ca="1" si="4"/>
        <v>0.13499999999999956</v>
      </c>
      <c r="I29" s="5">
        <f t="shared" ca="1" si="11"/>
        <v>9.0000000000000302E-2</v>
      </c>
      <c r="J29" s="8">
        <f t="shared" ca="1" si="5"/>
        <v>0.23624999999999988</v>
      </c>
      <c r="K29" s="5">
        <f t="shared" ca="1" si="6"/>
        <v>1.125000000000001E-2</v>
      </c>
      <c r="L29">
        <f t="shared" ca="1" si="7"/>
        <v>6935.8933333333289</v>
      </c>
      <c r="M29">
        <f t="shared" ca="1" si="8"/>
        <v>6936</v>
      </c>
      <c r="N29" t="str">
        <f t="shared" ca="1" si="9"/>
        <v>0001101100011000</v>
      </c>
      <c r="O29">
        <f t="shared" ca="1" si="10"/>
        <v>110110</v>
      </c>
    </row>
    <row r="30" spans="1:15" x14ac:dyDescent="0.25">
      <c r="A30" t="s">
        <v>45</v>
      </c>
      <c r="C30">
        <v>5</v>
      </c>
      <c r="D30">
        <v>28</v>
      </c>
      <c r="E30">
        <f t="shared" si="1"/>
        <v>22.8</v>
      </c>
      <c r="F30">
        <f t="shared" ca="1" si="2"/>
        <v>21.68</v>
      </c>
      <c r="G30" s="1">
        <f t="shared" si="3"/>
        <v>0.23333333333333317</v>
      </c>
      <c r="H30" s="6">
        <f t="shared" ca="1" si="4"/>
        <v>0.1399999999999999</v>
      </c>
      <c r="I30" s="5">
        <f t="shared" ca="1" si="11"/>
        <v>9.3333333333333268E-2</v>
      </c>
      <c r="J30" s="8">
        <f t="shared" ca="1" si="5"/>
        <v>0.22166666666666651</v>
      </c>
      <c r="K30" s="5">
        <f t="shared" ca="1" si="6"/>
        <v>1.1666666666666659E-2</v>
      </c>
      <c r="L30">
        <f t="shared" ca="1" si="7"/>
        <v>6990.5066666666653</v>
      </c>
      <c r="M30">
        <f t="shared" ca="1" si="8"/>
        <v>6991</v>
      </c>
      <c r="N30" t="str">
        <f t="shared" ca="1" si="9"/>
        <v>0001101101001111</v>
      </c>
      <c r="O30">
        <f t="shared" ca="1" si="10"/>
        <v>110110</v>
      </c>
    </row>
    <row r="31" spans="1:15" x14ac:dyDescent="0.25">
      <c r="A31" t="s">
        <v>46</v>
      </c>
      <c r="C31">
        <v>0</v>
      </c>
      <c r="D31">
        <v>29</v>
      </c>
      <c r="E31">
        <f t="shared" si="1"/>
        <v>22.9</v>
      </c>
      <c r="F31">
        <f t="shared" ca="1" si="2"/>
        <v>21.45</v>
      </c>
      <c r="G31" s="1">
        <f t="shared" si="3"/>
        <v>0.24166666666666647</v>
      </c>
      <c r="H31" s="6">
        <f t="shared" ca="1" si="4"/>
        <v>0.12083333333333313</v>
      </c>
      <c r="I31" s="5">
        <f t="shared" ca="1" si="11"/>
        <v>0.12083333333333335</v>
      </c>
      <c r="J31" s="8">
        <f t="shared" ca="1" si="5"/>
        <v>0.25374999999999981</v>
      </c>
      <c r="K31" s="5">
        <f t="shared" ca="1" si="6"/>
        <v>1.2083333333333335E-2</v>
      </c>
      <c r="L31">
        <f t="shared" ca="1" si="7"/>
        <v>6781.1555555555533</v>
      </c>
      <c r="M31">
        <f t="shared" ca="1" si="8"/>
        <v>6781</v>
      </c>
      <c r="N31" t="str">
        <f t="shared" ca="1" si="9"/>
        <v>0001101001111101</v>
      </c>
      <c r="O31">
        <f t="shared" ca="1" si="10"/>
        <v>110100</v>
      </c>
    </row>
    <row r="32" spans="1:15" x14ac:dyDescent="0.25">
      <c r="A32" t="s">
        <v>47</v>
      </c>
      <c r="C32">
        <v>5</v>
      </c>
      <c r="D32">
        <v>30</v>
      </c>
      <c r="E32">
        <f t="shared" si="1"/>
        <v>23</v>
      </c>
      <c r="F32">
        <f t="shared" ca="1" si="2"/>
        <v>21.8</v>
      </c>
      <c r="G32" s="1">
        <f t="shared" si="3"/>
        <v>0.24999999999999978</v>
      </c>
      <c r="H32" s="6">
        <f t="shared" ca="1" si="4"/>
        <v>0.14999999999999991</v>
      </c>
      <c r="I32" s="5">
        <f t="shared" ca="1" si="11"/>
        <v>9.9999999999999867E-2</v>
      </c>
      <c r="J32" s="8">
        <f t="shared" ca="1" si="5"/>
        <v>0.26249999999999979</v>
      </c>
      <c r="K32" s="5">
        <f t="shared" ca="1" si="6"/>
        <v>1.2500000000000011E-2</v>
      </c>
      <c r="L32">
        <f t="shared" ca="1" si="7"/>
        <v>7099.7333333333327</v>
      </c>
      <c r="M32">
        <f t="shared" ca="1" si="8"/>
        <v>7100</v>
      </c>
      <c r="N32" t="str">
        <f t="shared" ca="1" si="9"/>
        <v>0001101110111100</v>
      </c>
      <c r="O32">
        <f t="shared" ca="1" si="10"/>
        <v>110111</v>
      </c>
    </row>
    <row r="33" spans="4:15" x14ac:dyDescent="0.25">
      <c r="D33">
        <v>31</v>
      </c>
      <c r="E33">
        <f t="shared" si="1"/>
        <v>23.1</v>
      </c>
      <c r="F33">
        <f t="shared" ca="1" si="2"/>
        <v>23.41</v>
      </c>
      <c r="G33" s="1">
        <f t="shared" si="3"/>
        <v>0.2583333333333333</v>
      </c>
      <c r="H33" s="6">
        <f t="shared" ca="1" si="4"/>
        <v>0.28416666666666646</v>
      </c>
      <c r="I33" s="5">
        <f t="shared" ca="1" si="11"/>
        <v>2.5833333333333153E-2</v>
      </c>
      <c r="J33" s="8">
        <f t="shared" ca="1" si="5"/>
        <v>0.27124999999999999</v>
      </c>
      <c r="K33" s="5">
        <f t="shared" ca="1" si="6"/>
        <v>1.2916666666666687E-2</v>
      </c>
      <c r="L33">
        <f t="shared" ca="1" si="7"/>
        <v>8565.1911111111094</v>
      </c>
      <c r="M33">
        <f t="shared" ca="1" si="8"/>
        <v>8565</v>
      </c>
      <c r="N33" t="str">
        <f t="shared" ca="1" si="9"/>
        <v>0010000101110101</v>
      </c>
      <c r="O33">
        <f t="shared" ca="1" si="10"/>
        <v>1000010</v>
      </c>
    </row>
    <row r="34" spans="4:15" x14ac:dyDescent="0.25">
      <c r="D34">
        <v>32</v>
      </c>
      <c r="E34">
        <f t="shared" si="1"/>
        <v>23.2</v>
      </c>
      <c r="F34">
        <f t="shared" ca="1" si="2"/>
        <v>24.16</v>
      </c>
      <c r="G34" s="1">
        <f t="shared" si="3"/>
        <v>0.26666666666666639</v>
      </c>
      <c r="H34" s="6">
        <f t="shared" ca="1" si="4"/>
        <v>0.34666666666666646</v>
      </c>
      <c r="I34" s="5">
        <f t="shared" ca="1" si="11"/>
        <v>8.0000000000000071E-2</v>
      </c>
      <c r="J34" s="8">
        <f t="shared" ca="1" si="5"/>
        <v>0.25333333333333308</v>
      </c>
      <c r="K34" s="5">
        <f t="shared" ca="1" si="6"/>
        <v>1.3333333333333308E-2</v>
      </c>
      <c r="L34">
        <f t="shared" ca="1" si="7"/>
        <v>9247.8577777777755</v>
      </c>
      <c r="M34">
        <f t="shared" ca="1" si="8"/>
        <v>9248</v>
      </c>
      <c r="N34" t="str">
        <f t="shared" ca="1" si="9"/>
        <v>0010010000100000</v>
      </c>
      <c r="O34">
        <f t="shared" ca="1" si="10"/>
        <v>1001000</v>
      </c>
    </row>
    <row r="35" spans="4:15" x14ac:dyDescent="0.25">
      <c r="D35">
        <v>33</v>
      </c>
      <c r="E35">
        <f t="shared" si="1"/>
        <v>23.3</v>
      </c>
      <c r="F35">
        <f t="shared" ca="1" si="2"/>
        <v>21.650000000000002</v>
      </c>
      <c r="G35" s="1">
        <f t="shared" si="3"/>
        <v>0.27499999999999991</v>
      </c>
      <c r="H35" s="6">
        <f t="shared" ca="1" si="4"/>
        <v>0.13749999999999996</v>
      </c>
      <c r="I35" s="5">
        <f t="shared" ca="1" si="11"/>
        <v>0.13749999999999996</v>
      </c>
      <c r="J35" s="8">
        <f t="shared" ca="1" si="5"/>
        <v>0.2887499999999999</v>
      </c>
      <c r="K35" s="5">
        <f t="shared" ca="1" si="6"/>
        <v>1.3749999999999984E-2</v>
      </c>
      <c r="L35">
        <f t="shared" ca="1" si="7"/>
        <v>6963.2</v>
      </c>
      <c r="M35">
        <f t="shared" ca="1" si="8"/>
        <v>6963</v>
      </c>
      <c r="N35" t="str">
        <f t="shared" ca="1" si="9"/>
        <v>0001101100110011</v>
      </c>
      <c r="O35">
        <f t="shared" ca="1" si="10"/>
        <v>110110</v>
      </c>
    </row>
    <row r="36" spans="4:15" x14ac:dyDescent="0.25">
      <c r="D36">
        <v>34</v>
      </c>
      <c r="E36">
        <f t="shared" si="1"/>
        <v>23.4</v>
      </c>
      <c r="F36">
        <f t="shared" ca="1" si="2"/>
        <v>23.4</v>
      </c>
      <c r="G36" s="1">
        <f t="shared" si="3"/>
        <v>0.28333333333333299</v>
      </c>
      <c r="H36" s="6">
        <f t="shared" ca="1" si="4"/>
        <v>0.28333333333333299</v>
      </c>
      <c r="I36" s="5">
        <f t="shared" ca="1" si="11"/>
        <v>0</v>
      </c>
      <c r="J36" s="8">
        <f t="shared" ca="1" si="5"/>
        <v>0.29749999999999965</v>
      </c>
      <c r="K36" s="5">
        <f t="shared" ca="1" si="6"/>
        <v>1.4166666666666661E-2</v>
      </c>
      <c r="L36">
        <f t="shared" ca="1" si="7"/>
        <v>8556.0888888888858</v>
      </c>
      <c r="M36">
        <f t="shared" ca="1" si="8"/>
        <v>8556</v>
      </c>
      <c r="N36" t="str">
        <f t="shared" ca="1" si="9"/>
        <v>0010000101101100</v>
      </c>
      <c r="O36">
        <f t="shared" ca="1" si="10"/>
        <v>1000010</v>
      </c>
    </row>
    <row r="37" spans="4:15" x14ac:dyDescent="0.25">
      <c r="D37">
        <v>35</v>
      </c>
      <c r="E37">
        <f t="shared" si="1"/>
        <v>23.5</v>
      </c>
      <c r="F37">
        <f t="shared" ca="1" si="2"/>
        <v>22.45</v>
      </c>
      <c r="G37" s="1">
        <f t="shared" si="3"/>
        <v>0.29166666666666652</v>
      </c>
      <c r="H37" s="6">
        <f t="shared" ca="1" si="4"/>
        <v>0.20416666666666639</v>
      </c>
      <c r="I37" s="5">
        <f t="shared" ca="1" si="11"/>
        <v>8.7500000000000133E-2</v>
      </c>
      <c r="J37" s="8">
        <f t="shared" ca="1" si="5"/>
        <v>0.27708333333333318</v>
      </c>
      <c r="K37" s="5">
        <f t="shared" ca="1" si="6"/>
        <v>1.4583333333333337E-2</v>
      </c>
      <c r="L37">
        <f t="shared" ca="1" si="7"/>
        <v>7691.377777777775</v>
      </c>
      <c r="M37">
        <f t="shared" ca="1" si="8"/>
        <v>7691</v>
      </c>
      <c r="N37" t="str">
        <f t="shared" ca="1" si="9"/>
        <v>0001111000001011</v>
      </c>
      <c r="O37">
        <f t="shared" ca="1" si="10"/>
        <v>111100</v>
      </c>
    </row>
    <row r="38" spans="4:15" x14ac:dyDescent="0.25">
      <c r="D38">
        <v>36</v>
      </c>
      <c r="E38">
        <f t="shared" si="1"/>
        <v>23.6</v>
      </c>
      <c r="F38">
        <f t="shared" ca="1" si="2"/>
        <v>24.68</v>
      </c>
      <c r="G38" s="1">
        <f t="shared" si="3"/>
        <v>0.30000000000000004</v>
      </c>
      <c r="H38" s="6">
        <f t="shared" ca="1" si="4"/>
        <v>0.3899999999999999</v>
      </c>
      <c r="I38" s="5">
        <f t="shared" ca="1" si="11"/>
        <v>8.9999999999999858E-2</v>
      </c>
      <c r="J38" s="8">
        <f t="shared" ca="1" si="5"/>
        <v>0.28500000000000003</v>
      </c>
      <c r="K38" s="5">
        <f t="shared" ca="1" si="6"/>
        <v>1.5000000000000013E-2</v>
      </c>
      <c r="L38">
        <f t="shared" ca="1" si="7"/>
        <v>9721.1733333333323</v>
      </c>
      <c r="M38">
        <f t="shared" ca="1" si="8"/>
        <v>9721</v>
      </c>
      <c r="N38" t="str">
        <f t="shared" ca="1" si="9"/>
        <v>0010010111111001</v>
      </c>
      <c r="O38">
        <f t="shared" ca="1" si="10"/>
        <v>1001011</v>
      </c>
    </row>
    <row r="39" spans="4:15" x14ac:dyDescent="0.25">
      <c r="D39">
        <v>37</v>
      </c>
      <c r="E39">
        <f t="shared" si="1"/>
        <v>23.7</v>
      </c>
      <c r="F39">
        <f t="shared" ca="1" si="2"/>
        <v>22.59</v>
      </c>
      <c r="G39" s="1">
        <f t="shared" si="3"/>
        <v>0.30833333333333313</v>
      </c>
      <c r="H39" s="6">
        <f t="shared" ca="1" si="4"/>
        <v>0.2158333333333331</v>
      </c>
      <c r="I39" s="5">
        <f t="shared" ca="1" si="11"/>
        <v>9.2500000000000027E-2</v>
      </c>
      <c r="J39" s="8">
        <f t="shared" ca="1" si="5"/>
        <v>0.32374999999999982</v>
      </c>
      <c r="K39" s="5">
        <f t="shared" ca="1" si="6"/>
        <v>1.541666666666669E-2</v>
      </c>
      <c r="L39">
        <f t="shared" ca="1" si="7"/>
        <v>7818.808888888886</v>
      </c>
      <c r="M39">
        <f t="shared" ca="1" si="8"/>
        <v>7819</v>
      </c>
      <c r="N39" t="str">
        <f t="shared" ca="1" si="9"/>
        <v>0001111010001011</v>
      </c>
      <c r="O39">
        <f t="shared" ca="1" si="10"/>
        <v>111101</v>
      </c>
    </row>
    <row r="40" spans="4:15" x14ac:dyDescent="0.25">
      <c r="D40">
        <v>38</v>
      </c>
      <c r="E40">
        <f t="shared" si="1"/>
        <v>23.8</v>
      </c>
      <c r="F40">
        <f t="shared" ca="1" si="2"/>
        <v>23.42</v>
      </c>
      <c r="G40" s="1">
        <f t="shared" si="3"/>
        <v>0.31666666666666665</v>
      </c>
      <c r="H40" s="6">
        <f t="shared" ca="1" si="4"/>
        <v>0.28499999999999992</v>
      </c>
      <c r="I40" s="5">
        <f t="shared" ca="1" si="11"/>
        <v>3.1666666666666732E-2</v>
      </c>
      <c r="J40" s="8">
        <f t="shared" ca="1" si="5"/>
        <v>0.33250000000000002</v>
      </c>
      <c r="K40" s="5">
        <f t="shared" ca="1" si="6"/>
        <v>1.5833333333333366E-2</v>
      </c>
      <c r="L40">
        <f t="shared" ca="1" si="7"/>
        <v>8574.2933333333331</v>
      </c>
      <c r="M40">
        <f t="shared" ca="1" si="8"/>
        <v>8574</v>
      </c>
      <c r="N40" t="str">
        <f t="shared" ca="1" si="9"/>
        <v>0010000101111110</v>
      </c>
      <c r="O40">
        <f t="shared" ca="1" si="10"/>
        <v>1000010</v>
      </c>
    </row>
    <row r="41" spans="4:15" x14ac:dyDescent="0.25">
      <c r="D41">
        <v>39</v>
      </c>
      <c r="E41">
        <f t="shared" si="1"/>
        <v>23.9</v>
      </c>
      <c r="F41">
        <f t="shared" ca="1" si="2"/>
        <v>23.509999999999998</v>
      </c>
      <c r="G41" s="1">
        <f t="shared" si="3"/>
        <v>0.32499999999999973</v>
      </c>
      <c r="H41" s="6">
        <f t="shared" ca="1" si="4"/>
        <v>0.29249999999999976</v>
      </c>
      <c r="I41" s="5">
        <f t="shared" ca="1" si="11"/>
        <v>3.2499999999999973E-2</v>
      </c>
      <c r="J41" s="8">
        <f t="shared" ca="1" si="5"/>
        <v>0.34124999999999972</v>
      </c>
      <c r="K41" s="5">
        <f t="shared" ca="1" si="6"/>
        <v>1.6249999999999987E-2</v>
      </c>
      <c r="L41">
        <f t="shared" ca="1" si="7"/>
        <v>8656.2133333333313</v>
      </c>
      <c r="M41">
        <f t="shared" ca="1" si="8"/>
        <v>8656</v>
      </c>
      <c r="N41" t="str">
        <f t="shared" ca="1" si="9"/>
        <v>0010000111010000</v>
      </c>
      <c r="O41">
        <f t="shared" ca="1" si="10"/>
        <v>1000011</v>
      </c>
    </row>
    <row r="42" spans="4:15" x14ac:dyDescent="0.25">
      <c r="D42">
        <v>40</v>
      </c>
      <c r="E42">
        <f t="shared" si="1"/>
        <v>24</v>
      </c>
      <c r="F42">
        <f t="shared" ca="1" si="2"/>
        <v>23.6</v>
      </c>
      <c r="G42" s="1">
        <f t="shared" si="3"/>
        <v>0.33333333333333326</v>
      </c>
      <c r="H42" s="6">
        <f t="shared" ca="1" si="4"/>
        <v>0.30000000000000004</v>
      </c>
      <c r="I42" s="5">
        <f t="shared" ca="1" si="11"/>
        <v>3.3333333333333215E-2</v>
      </c>
      <c r="J42" s="8">
        <f t="shared" ca="1" si="5"/>
        <v>0.3166666666666666</v>
      </c>
      <c r="K42" s="5">
        <f t="shared" ca="1" si="6"/>
        <v>1.6666666666666663E-2</v>
      </c>
      <c r="L42">
        <f t="shared" ca="1" si="7"/>
        <v>8738.1333333333332</v>
      </c>
      <c r="M42">
        <f t="shared" ca="1" si="8"/>
        <v>8738</v>
      </c>
      <c r="N42" t="str">
        <f t="shared" ca="1" si="9"/>
        <v>0010001000100010</v>
      </c>
      <c r="O42">
        <f t="shared" ca="1" si="10"/>
        <v>1000100</v>
      </c>
    </row>
    <row r="43" spans="4:15" x14ac:dyDescent="0.25">
      <c r="D43">
        <v>41</v>
      </c>
      <c r="E43">
        <f t="shared" si="1"/>
        <v>24.1</v>
      </c>
      <c r="F43">
        <f t="shared" ca="1" si="2"/>
        <v>25.330000000000002</v>
      </c>
      <c r="G43" s="1">
        <f t="shared" si="3"/>
        <v>0.34166666666666656</v>
      </c>
      <c r="H43" s="6">
        <f t="shared" ca="1" si="4"/>
        <v>0.4441666666666666</v>
      </c>
      <c r="I43" s="5">
        <f t="shared" ca="1" si="11"/>
        <v>0.10250000000000004</v>
      </c>
      <c r="J43" s="8">
        <f t="shared" ca="1" si="5"/>
        <v>0.3587499999999999</v>
      </c>
      <c r="K43" s="5">
        <f t="shared" ca="1" si="6"/>
        <v>1.7083333333333339E-2</v>
      </c>
      <c r="L43">
        <f t="shared" ca="1" si="7"/>
        <v>10312.817777777776</v>
      </c>
      <c r="M43">
        <f t="shared" ca="1" si="8"/>
        <v>10313</v>
      </c>
      <c r="N43" t="str">
        <f t="shared" ca="1" si="9"/>
        <v>0010100001001001</v>
      </c>
      <c r="O43">
        <f t="shared" ca="1" si="10"/>
        <v>1010000</v>
      </c>
    </row>
    <row r="44" spans="4:15" x14ac:dyDescent="0.25">
      <c r="D44">
        <v>42</v>
      </c>
      <c r="E44">
        <f t="shared" si="1"/>
        <v>24.2</v>
      </c>
      <c r="F44">
        <f t="shared" ca="1" si="2"/>
        <v>25.88</v>
      </c>
      <c r="G44" s="1">
        <f t="shared" si="3"/>
        <v>0.34999999999999987</v>
      </c>
      <c r="H44" s="6">
        <f t="shared" ca="1" si="4"/>
        <v>0.48999999999999955</v>
      </c>
      <c r="I44" s="5">
        <f t="shared" ca="1" si="11"/>
        <v>0.13999999999999968</v>
      </c>
      <c r="J44" s="8">
        <f t="shared" ca="1" si="5"/>
        <v>0.36749999999999988</v>
      </c>
      <c r="K44" s="5">
        <f t="shared" ca="1" si="6"/>
        <v>1.7500000000000016E-2</v>
      </c>
      <c r="L44">
        <f t="shared" ca="1" si="7"/>
        <v>10813.439999999995</v>
      </c>
      <c r="M44">
        <f t="shared" ca="1" si="8"/>
        <v>10813</v>
      </c>
      <c r="N44" t="str">
        <f t="shared" ca="1" si="9"/>
        <v>0010101000111101</v>
      </c>
      <c r="O44">
        <f t="shared" ca="1" si="10"/>
        <v>1010100</v>
      </c>
    </row>
    <row r="45" spans="4:15" x14ac:dyDescent="0.25">
      <c r="D45">
        <v>43</v>
      </c>
      <c r="E45">
        <f t="shared" si="1"/>
        <v>24.3</v>
      </c>
      <c r="F45">
        <f t="shared" ca="1" si="2"/>
        <v>23.87</v>
      </c>
      <c r="G45" s="1">
        <f t="shared" si="3"/>
        <v>0.35833333333333317</v>
      </c>
      <c r="H45" s="6">
        <f t="shared" ca="1" si="4"/>
        <v>0.32250000000000001</v>
      </c>
      <c r="I45" s="5">
        <f t="shared" ca="1" si="11"/>
        <v>3.5833333333333162E-2</v>
      </c>
      <c r="J45" s="8">
        <f t="shared" ca="1" si="5"/>
        <v>0.34041666666666648</v>
      </c>
      <c r="K45" s="5">
        <f t="shared" ca="1" si="6"/>
        <v>1.7916666666666692E-2</v>
      </c>
      <c r="L45">
        <f t="shared" ca="1" si="7"/>
        <v>8983.8933333333334</v>
      </c>
      <c r="M45">
        <f t="shared" ca="1" si="8"/>
        <v>8984</v>
      </c>
      <c r="N45" t="str">
        <f t="shared" ca="1" si="9"/>
        <v>0010001100011000</v>
      </c>
      <c r="O45">
        <f t="shared" ca="1" si="10"/>
        <v>1000110</v>
      </c>
    </row>
    <row r="46" spans="4:15" x14ac:dyDescent="0.25">
      <c r="D46">
        <v>44</v>
      </c>
      <c r="E46">
        <f t="shared" si="1"/>
        <v>24.4</v>
      </c>
      <c r="F46">
        <f t="shared" ca="1" si="2"/>
        <v>25.279999999999998</v>
      </c>
      <c r="G46" s="1">
        <f t="shared" si="3"/>
        <v>0.36666666666666647</v>
      </c>
      <c r="H46" s="6">
        <f t="shared" ca="1" si="4"/>
        <v>0.43999999999999972</v>
      </c>
      <c r="I46" s="5">
        <f t="shared" ca="1" si="11"/>
        <v>7.333333333333325E-2</v>
      </c>
      <c r="J46" s="8">
        <f t="shared" ca="1" si="5"/>
        <v>0.34833333333333316</v>
      </c>
      <c r="K46" s="5">
        <f t="shared" ca="1" si="6"/>
        <v>1.8333333333333313E-2</v>
      </c>
      <c r="L46">
        <f t="shared" ca="1" si="7"/>
        <v>10267.306666666664</v>
      </c>
      <c r="M46">
        <f t="shared" ca="1" si="8"/>
        <v>10267</v>
      </c>
      <c r="N46" t="str">
        <f t="shared" ca="1" si="9"/>
        <v>0010100000011011</v>
      </c>
      <c r="O46">
        <f t="shared" ca="1" si="10"/>
        <v>1010000</v>
      </c>
    </row>
    <row r="47" spans="4:15" x14ac:dyDescent="0.25">
      <c r="D47">
        <v>45</v>
      </c>
      <c r="E47">
        <f t="shared" si="1"/>
        <v>24.5</v>
      </c>
      <c r="F47">
        <f t="shared" ca="1" si="2"/>
        <v>22.7</v>
      </c>
      <c r="G47" s="1">
        <f t="shared" si="3"/>
        <v>0.37499999999999978</v>
      </c>
      <c r="H47" s="6">
        <f t="shared" ca="1" si="4"/>
        <v>0.22499999999999987</v>
      </c>
      <c r="I47" s="5">
        <f t="shared" ca="1" si="11"/>
        <v>0.14999999999999991</v>
      </c>
      <c r="J47" s="8">
        <f t="shared" ca="1" si="5"/>
        <v>0.39374999999999977</v>
      </c>
      <c r="K47" s="5">
        <f t="shared" ca="1" si="6"/>
        <v>1.8749999999999989E-2</v>
      </c>
      <c r="L47">
        <f t="shared" ca="1" si="7"/>
        <v>7918.9333333333316</v>
      </c>
      <c r="M47">
        <f t="shared" ca="1" si="8"/>
        <v>7919</v>
      </c>
      <c r="N47" t="str">
        <f t="shared" ca="1" si="9"/>
        <v>0001111011101111</v>
      </c>
      <c r="O47">
        <f t="shared" ca="1" si="10"/>
        <v>111101</v>
      </c>
    </row>
    <row r="48" spans="4:15" x14ac:dyDescent="0.25">
      <c r="D48">
        <v>46</v>
      </c>
      <c r="E48">
        <f t="shared" si="1"/>
        <v>24.6</v>
      </c>
      <c r="F48">
        <f t="shared" ca="1" si="2"/>
        <v>25.520000000000003</v>
      </c>
      <c r="G48" s="1">
        <f t="shared" si="3"/>
        <v>0.38333333333333308</v>
      </c>
      <c r="H48" s="6">
        <f t="shared" ca="1" si="4"/>
        <v>0.46000000000000019</v>
      </c>
      <c r="I48" s="5">
        <f t="shared" ca="1" si="11"/>
        <v>7.6666666666667105E-2</v>
      </c>
      <c r="J48" s="8">
        <f t="shared" ca="1" si="5"/>
        <v>0.36416666666666642</v>
      </c>
      <c r="K48" s="5">
        <f t="shared" ca="1" si="6"/>
        <v>1.9166666666666665E-2</v>
      </c>
      <c r="L48">
        <f t="shared" ca="1" si="7"/>
        <v>10485.760000000002</v>
      </c>
      <c r="M48">
        <f t="shared" ca="1" si="8"/>
        <v>10486</v>
      </c>
      <c r="N48" t="str">
        <f t="shared" ca="1" si="9"/>
        <v>0010100011110110</v>
      </c>
      <c r="O48">
        <f t="shared" ca="1" si="10"/>
        <v>1010001</v>
      </c>
    </row>
    <row r="49" spans="4:15" x14ac:dyDescent="0.25">
      <c r="D49">
        <v>47</v>
      </c>
      <c r="E49">
        <f t="shared" si="1"/>
        <v>24.7</v>
      </c>
      <c r="F49">
        <f t="shared" ca="1" si="2"/>
        <v>22.349999999999998</v>
      </c>
      <c r="G49" s="1">
        <f t="shared" si="3"/>
        <v>0.39166666666666639</v>
      </c>
      <c r="H49" s="6">
        <f t="shared" ca="1" si="4"/>
        <v>0.19583333333333308</v>
      </c>
      <c r="I49" s="5">
        <f t="shared" ca="1" si="11"/>
        <v>0.1958333333333333</v>
      </c>
      <c r="J49" s="8">
        <f t="shared" ca="1" si="5"/>
        <v>0.37208333333333304</v>
      </c>
      <c r="K49" s="5">
        <f t="shared" ca="1" si="6"/>
        <v>1.9583333333333341E-2</v>
      </c>
      <c r="L49">
        <f t="shared" ca="1" si="7"/>
        <v>7600.3555555555531</v>
      </c>
      <c r="M49">
        <f t="shared" ca="1" si="8"/>
        <v>7600</v>
      </c>
      <c r="N49" t="str">
        <f t="shared" ca="1" si="9"/>
        <v>0001110110110000</v>
      </c>
      <c r="O49">
        <f t="shared" ca="1" si="10"/>
        <v>111011</v>
      </c>
    </row>
    <row r="50" spans="4:15" x14ac:dyDescent="0.25">
      <c r="D50">
        <v>48</v>
      </c>
      <c r="E50">
        <f t="shared" si="1"/>
        <v>24.8</v>
      </c>
      <c r="F50">
        <f t="shared" ca="1" si="2"/>
        <v>24.8</v>
      </c>
      <c r="G50" s="1">
        <f t="shared" si="3"/>
        <v>0.39999999999999969</v>
      </c>
      <c r="H50" s="6">
        <f t="shared" ca="1" si="4"/>
        <v>0.39999999999999969</v>
      </c>
      <c r="I50" s="5">
        <f t="shared" ca="1" si="11"/>
        <v>0</v>
      </c>
      <c r="J50" s="8">
        <f t="shared" ca="1" si="5"/>
        <v>0.41999999999999971</v>
      </c>
      <c r="K50" s="5">
        <f t="shared" ca="1" si="6"/>
        <v>2.0000000000000018E-2</v>
      </c>
      <c r="L50">
        <f t="shared" ca="1" si="7"/>
        <v>9830.399999999996</v>
      </c>
      <c r="M50">
        <f t="shared" ca="1" si="8"/>
        <v>9830</v>
      </c>
      <c r="N50" t="str">
        <f t="shared" ca="1" si="9"/>
        <v>0010011001100110</v>
      </c>
      <c r="O50">
        <f t="shared" ca="1" si="10"/>
        <v>1001100</v>
      </c>
    </row>
    <row r="51" spans="4:15" x14ac:dyDescent="0.25">
      <c r="D51">
        <v>49</v>
      </c>
      <c r="E51">
        <f t="shared" si="1"/>
        <v>24.9</v>
      </c>
      <c r="F51">
        <f t="shared" ca="1" si="2"/>
        <v>22.939999999999998</v>
      </c>
      <c r="G51" s="1">
        <f t="shared" si="3"/>
        <v>0.40833333333333299</v>
      </c>
      <c r="H51" s="6">
        <f t="shared" ca="1" si="4"/>
        <v>0.24499999999999966</v>
      </c>
      <c r="I51" s="5">
        <f t="shared" ca="1" si="11"/>
        <v>0.16333333333333333</v>
      </c>
      <c r="J51" s="8">
        <f t="shared" ca="1" si="5"/>
        <v>0.42874999999999969</v>
      </c>
      <c r="K51" s="5">
        <f t="shared" ca="1" si="6"/>
        <v>2.0416666666666694E-2</v>
      </c>
      <c r="L51">
        <f t="shared" ca="1" si="7"/>
        <v>8137.3866666666627</v>
      </c>
      <c r="M51">
        <f t="shared" ca="1" si="8"/>
        <v>8137</v>
      </c>
      <c r="N51" t="str">
        <f t="shared" ca="1" si="9"/>
        <v>0001111111001001</v>
      </c>
      <c r="O51">
        <f t="shared" ca="1" si="10"/>
        <v>111111</v>
      </c>
    </row>
    <row r="52" spans="4:15" x14ac:dyDescent="0.25">
      <c r="D52">
        <v>50</v>
      </c>
      <c r="E52">
        <f t="shared" si="1"/>
        <v>25</v>
      </c>
      <c r="F52">
        <f t="shared" ca="1" si="2"/>
        <v>23</v>
      </c>
      <c r="G52" s="1">
        <f t="shared" si="3"/>
        <v>0.4166666666666663</v>
      </c>
      <c r="H52" s="6">
        <f t="shared" ca="1" si="4"/>
        <v>0.24999999999999978</v>
      </c>
      <c r="I52" s="5">
        <f t="shared" ca="1" si="11"/>
        <v>0.16666666666666652</v>
      </c>
      <c r="J52" s="8">
        <f t="shared" ca="1" si="5"/>
        <v>0.39583333333333298</v>
      </c>
      <c r="K52" s="5">
        <f t="shared" ca="1" si="6"/>
        <v>2.0833333333333315E-2</v>
      </c>
      <c r="L52">
        <f t="shared" ca="1" si="7"/>
        <v>8191.9999999999973</v>
      </c>
      <c r="M52">
        <f t="shared" ca="1" si="8"/>
        <v>8192</v>
      </c>
      <c r="N52" t="str">
        <f t="shared" ca="1" si="9"/>
        <v>0010000000000000</v>
      </c>
      <c r="O52">
        <f t="shared" ca="1" si="10"/>
        <v>1000000</v>
      </c>
    </row>
    <row r="53" spans="4:15" x14ac:dyDescent="0.25">
      <c r="D53">
        <v>51</v>
      </c>
      <c r="E53">
        <f t="shared" si="1"/>
        <v>25.1</v>
      </c>
      <c r="F53">
        <f t="shared" ca="1" si="2"/>
        <v>22.55</v>
      </c>
      <c r="G53" s="1">
        <f t="shared" si="3"/>
        <v>0.42500000000000004</v>
      </c>
      <c r="H53" s="6">
        <f t="shared" ca="1" si="4"/>
        <v>0.21249999999999991</v>
      </c>
      <c r="I53" s="5">
        <f t="shared" ca="1" si="11"/>
        <v>0.21250000000000013</v>
      </c>
      <c r="J53" s="8">
        <f t="shared" ca="1" si="5"/>
        <v>0.40375</v>
      </c>
      <c r="K53" s="5">
        <f t="shared" ca="1" si="6"/>
        <v>2.1250000000000047E-2</v>
      </c>
      <c r="L53">
        <f t="shared" ca="1" si="7"/>
        <v>7782.3999999999987</v>
      </c>
      <c r="M53">
        <f t="shared" ca="1" si="8"/>
        <v>7782</v>
      </c>
      <c r="N53" t="str">
        <f t="shared" ca="1" si="9"/>
        <v>0001111001100110</v>
      </c>
      <c r="O53">
        <f t="shared" ca="1" si="10"/>
        <v>111100</v>
      </c>
    </row>
    <row r="54" spans="4:15" x14ac:dyDescent="0.25">
      <c r="D54">
        <v>52</v>
      </c>
      <c r="E54">
        <f t="shared" si="1"/>
        <v>25.2</v>
      </c>
      <c r="F54">
        <f t="shared" ca="1" si="2"/>
        <v>27.28</v>
      </c>
      <c r="G54" s="1">
        <f t="shared" si="3"/>
        <v>0.4333333333333329</v>
      </c>
      <c r="H54" s="6">
        <f t="shared" ca="1" si="4"/>
        <v>0.60666666666666669</v>
      </c>
      <c r="I54" s="5">
        <f t="shared" ca="1" si="11"/>
        <v>0.17333333333333378</v>
      </c>
      <c r="J54" s="8">
        <f t="shared" ca="1" si="5"/>
        <v>0.41166666666666624</v>
      </c>
      <c r="K54" s="5">
        <f t="shared" ca="1" si="6"/>
        <v>2.1666666666666667E-2</v>
      </c>
      <c r="L54">
        <f t="shared" ca="1" si="7"/>
        <v>12087.751111111111</v>
      </c>
      <c r="M54">
        <f t="shared" ca="1" si="8"/>
        <v>12088</v>
      </c>
      <c r="N54" t="str">
        <f t="shared" ca="1" si="9"/>
        <v>0010111100111000</v>
      </c>
      <c r="O54">
        <f t="shared" ca="1" si="10"/>
        <v>1011110</v>
      </c>
    </row>
    <row r="55" spans="4:15" x14ac:dyDescent="0.25">
      <c r="D55">
        <v>53</v>
      </c>
      <c r="E55">
        <f t="shared" si="1"/>
        <v>25.3</v>
      </c>
      <c r="F55">
        <f t="shared" ca="1" si="2"/>
        <v>22.65</v>
      </c>
      <c r="G55" s="1">
        <f t="shared" si="3"/>
        <v>0.44166666666666665</v>
      </c>
      <c r="H55" s="6">
        <f t="shared" ca="1" si="4"/>
        <v>0.22083333333333299</v>
      </c>
      <c r="I55" s="5">
        <f t="shared" ca="1" si="11"/>
        <v>0.22083333333333366</v>
      </c>
      <c r="J55" s="8">
        <f t="shared" ca="1" si="5"/>
        <v>0.46375</v>
      </c>
      <c r="K55" s="5">
        <f t="shared" ca="1" si="6"/>
        <v>2.2083333333333344E-2</v>
      </c>
      <c r="L55">
        <f t="shared" ca="1" si="7"/>
        <v>7873.4222222222188</v>
      </c>
      <c r="M55">
        <f t="shared" ca="1" si="8"/>
        <v>7873</v>
      </c>
      <c r="N55" t="str">
        <f t="shared" ca="1" si="9"/>
        <v>0001111011000001</v>
      </c>
      <c r="O55">
        <f t="shared" ca="1" si="10"/>
        <v>111101</v>
      </c>
    </row>
    <row r="56" spans="4:15" x14ac:dyDescent="0.25">
      <c r="D56">
        <v>54</v>
      </c>
      <c r="E56">
        <f t="shared" si="1"/>
        <v>25.4</v>
      </c>
      <c r="F56">
        <f t="shared" ca="1" si="2"/>
        <v>27.02</v>
      </c>
      <c r="G56" s="1">
        <f t="shared" si="3"/>
        <v>0.44999999999999951</v>
      </c>
      <c r="H56" s="6">
        <f t="shared" ca="1" si="4"/>
        <v>0.58499999999999974</v>
      </c>
      <c r="I56" s="5">
        <f t="shared" ca="1" si="11"/>
        <v>0.13500000000000023</v>
      </c>
      <c r="J56" s="8">
        <f t="shared" ca="1" si="5"/>
        <v>0.42749999999999949</v>
      </c>
      <c r="K56" s="5">
        <f t="shared" ca="1" si="6"/>
        <v>2.250000000000002E-2</v>
      </c>
      <c r="L56">
        <f t="shared" ca="1" si="7"/>
        <v>11851.093333333331</v>
      </c>
      <c r="M56">
        <f t="shared" ca="1" si="8"/>
        <v>11851</v>
      </c>
      <c r="N56" t="str">
        <f t="shared" ca="1" si="9"/>
        <v>0010111001001011</v>
      </c>
      <c r="O56">
        <f t="shared" ca="1" si="10"/>
        <v>1011100</v>
      </c>
    </row>
    <row r="57" spans="4:15" x14ac:dyDescent="0.25">
      <c r="D57">
        <v>55</v>
      </c>
      <c r="E57">
        <f t="shared" si="1"/>
        <v>25.5</v>
      </c>
      <c r="F57">
        <f t="shared" ca="1" si="2"/>
        <v>28.25</v>
      </c>
      <c r="G57" s="1">
        <f t="shared" si="3"/>
        <v>0.45833333333333326</v>
      </c>
      <c r="H57" s="6">
        <f t="shared" ca="1" si="4"/>
        <v>0.68749999999999978</v>
      </c>
      <c r="I57" s="5">
        <f t="shared" ca="1" si="11"/>
        <v>0.22916666666666652</v>
      </c>
      <c r="J57" s="8">
        <f t="shared" ca="1" si="5"/>
        <v>0.48124999999999996</v>
      </c>
      <c r="K57" s="5">
        <f t="shared" ca="1" si="6"/>
        <v>2.2916666666666696E-2</v>
      </c>
      <c r="L57">
        <f t="shared" ca="1" si="7"/>
        <v>12970.666666666664</v>
      </c>
      <c r="M57">
        <f t="shared" ca="1" si="8"/>
        <v>12971</v>
      </c>
      <c r="N57" t="str">
        <f t="shared" ca="1" si="9"/>
        <v>0011001010101011</v>
      </c>
      <c r="O57">
        <f t="shared" ca="1" si="10"/>
        <v>1100101</v>
      </c>
    </row>
    <row r="58" spans="4:15" x14ac:dyDescent="0.25">
      <c r="D58">
        <v>56</v>
      </c>
      <c r="E58">
        <f t="shared" si="1"/>
        <v>25.6</v>
      </c>
      <c r="F58">
        <f t="shared" ca="1" si="2"/>
        <v>25.040000000000003</v>
      </c>
      <c r="G58" s="1">
        <f t="shared" si="3"/>
        <v>0.46666666666666656</v>
      </c>
      <c r="H58" s="6">
        <f t="shared" ca="1" si="4"/>
        <v>0.42000000000000015</v>
      </c>
      <c r="I58" s="5">
        <f t="shared" ca="1" si="11"/>
        <v>4.6666666666666412E-2</v>
      </c>
      <c r="J58" s="8">
        <f t="shared" ca="1" si="5"/>
        <v>0.48999999999999994</v>
      </c>
      <c r="K58" s="5">
        <f t="shared" ca="1" si="6"/>
        <v>2.3333333333333373E-2</v>
      </c>
      <c r="L58">
        <f t="shared" ca="1" si="7"/>
        <v>10048.853333333334</v>
      </c>
      <c r="M58">
        <f t="shared" ca="1" si="8"/>
        <v>10049</v>
      </c>
      <c r="N58" t="str">
        <f t="shared" ca="1" si="9"/>
        <v>0010011101000001</v>
      </c>
      <c r="O58">
        <f t="shared" ca="1" si="10"/>
        <v>1001110</v>
      </c>
    </row>
    <row r="59" spans="4:15" x14ac:dyDescent="0.25">
      <c r="D59">
        <v>57</v>
      </c>
      <c r="E59">
        <f t="shared" si="1"/>
        <v>25.7</v>
      </c>
      <c r="F59">
        <f t="shared" ca="1" si="2"/>
        <v>24.56</v>
      </c>
      <c r="G59" s="1">
        <f t="shared" si="3"/>
        <v>0.47499999999999987</v>
      </c>
      <c r="H59" s="6">
        <f t="shared" ca="1" si="4"/>
        <v>0.37999999999999967</v>
      </c>
      <c r="I59" s="5">
        <f t="shared" ca="1" si="11"/>
        <v>9.5000000000000195E-2</v>
      </c>
      <c r="J59" s="8">
        <f t="shared" ca="1" si="5"/>
        <v>0.45124999999999987</v>
      </c>
      <c r="K59" s="5">
        <f t="shared" ca="1" si="6"/>
        <v>2.3749999999999993E-2</v>
      </c>
      <c r="L59">
        <f t="shared" ca="1" si="7"/>
        <v>9611.9466666666631</v>
      </c>
      <c r="M59">
        <f t="shared" ca="1" si="8"/>
        <v>9612</v>
      </c>
      <c r="N59" t="str">
        <f t="shared" ca="1" si="9"/>
        <v>0010010110001100</v>
      </c>
      <c r="O59">
        <f t="shared" ca="1" si="10"/>
        <v>1001011</v>
      </c>
    </row>
    <row r="60" spans="4:15" x14ac:dyDescent="0.25">
      <c r="D60">
        <v>58</v>
      </c>
      <c r="E60">
        <f t="shared" si="1"/>
        <v>25.8</v>
      </c>
      <c r="F60">
        <f t="shared" ca="1" si="2"/>
        <v>27.54</v>
      </c>
      <c r="G60" s="1">
        <f t="shared" si="3"/>
        <v>0.48333333333333317</v>
      </c>
      <c r="H60" s="6">
        <f t="shared" ca="1" si="4"/>
        <v>0.62833333333333319</v>
      </c>
      <c r="I60" s="5">
        <f t="shared" ca="1" si="11"/>
        <v>0.14500000000000002</v>
      </c>
      <c r="J60" s="8">
        <f t="shared" ca="1" si="5"/>
        <v>0.4591666666666665</v>
      </c>
      <c r="K60" s="5">
        <f t="shared" ca="1" si="6"/>
        <v>2.416666666666667E-2</v>
      </c>
      <c r="L60">
        <f t="shared" ca="1" si="7"/>
        <v>12324.408888888887</v>
      </c>
      <c r="M60">
        <f t="shared" ca="1" si="8"/>
        <v>12324</v>
      </c>
      <c r="N60" t="str">
        <f t="shared" ca="1" si="9"/>
        <v>0011000000100100</v>
      </c>
      <c r="O60">
        <f t="shared" ca="1" si="10"/>
        <v>1100000</v>
      </c>
    </row>
    <row r="61" spans="4:15" x14ac:dyDescent="0.25">
      <c r="D61">
        <v>59</v>
      </c>
      <c r="E61">
        <f t="shared" si="1"/>
        <v>25.9</v>
      </c>
      <c r="F61">
        <f t="shared" ca="1" si="2"/>
        <v>28.849999999999998</v>
      </c>
      <c r="G61" s="1">
        <f t="shared" si="3"/>
        <v>0.49166666666666647</v>
      </c>
      <c r="H61" s="6">
        <f t="shared" ca="1" si="4"/>
        <v>0.7374999999999996</v>
      </c>
      <c r="I61" s="5">
        <f t="shared" ca="1" si="11"/>
        <v>0.24583333333333313</v>
      </c>
      <c r="J61" s="8">
        <f t="shared" ca="1" si="5"/>
        <v>0.51624999999999976</v>
      </c>
      <c r="K61" s="5">
        <f t="shared" ca="1" si="6"/>
        <v>2.458333333333329E-2</v>
      </c>
      <c r="L61">
        <f t="shared" ca="1" si="7"/>
        <v>13516.799999999996</v>
      </c>
      <c r="M61">
        <f t="shared" ca="1" si="8"/>
        <v>13517</v>
      </c>
      <c r="N61" t="str">
        <f t="shared" ca="1" si="9"/>
        <v>0011010011001101</v>
      </c>
      <c r="O61">
        <f t="shared" ca="1" si="10"/>
        <v>1101001</v>
      </c>
    </row>
    <row r="62" spans="4:15" x14ac:dyDescent="0.25">
      <c r="D62">
        <v>60</v>
      </c>
      <c r="E62">
        <f t="shared" si="1"/>
        <v>26</v>
      </c>
      <c r="F62">
        <f t="shared" ca="1" si="2"/>
        <v>26</v>
      </c>
      <c r="G62" s="1">
        <f t="shared" si="3"/>
        <v>0.49999999999999978</v>
      </c>
      <c r="H62" s="6">
        <f t="shared" ca="1" si="4"/>
        <v>0.49999999999999978</v>
      </c>
      <c r="I62" s="5">
        <f t="shared" ca="1" si="11"/>
        <v>0</v>
      </c>
      <c r="J62" s="8">
        <f t="shared" ca="1" si="5"/>
        <v>0.5249999999999998</v>
      </c>
      <c r="K62" s="5">
        <f t="shared" ca="1" si="6"/>
        <v>2.5000000000000022E-2</v>
      </c>
      <c r="L62">
        <f t="shared" ca="1" si="7"/>
        <v>10922.666666666664</v>
      </c>
      <c r="M62">
        <f t="shared" ca="1" si="8"/>
        <v>10923</v>
      </c>
      <c r="N62" t="str">
        <f t="shared" ca="1" si="9"/>
        <v>0010101010101011</v>
      </c>
      <c r="O62">
        <f t="shared" ca="1" si="10"/>
        <v>1010101</v>
      </c>
    </row>
    <row r="63" spans="4:15" x14ac:dyDescent="0.25">
      <c r="D63">
        <v>61</v>
      </c>
      <c r="E63">
        <f t="shared" si="1"/>
        <v>26.1</v>
      </c>
      <c r="F63">
        <f t="shared" ca="1" si="2"/>
        <v>23.05</v>
      </c>
      <c r="G63" s="1">
        <f t="shared" si="3"/>
        <v>0.50833333333333308</v>
      </c>
      <c r="H63" s="6">
        <f t="shared" ca="1" si="4"/>
        <v>0.25416666666666665</v>
      </c>
      <c r="I63" s="5">
        <f t="shared" ca="1" si="11"/>
        <v>0.25416666666666643</v>
      </c>
      <c r="J63" s="8">
        <f t="shared" ca="1" si="5"/>
        <v>0.53374999999999972</v>
      </c>
      <c r="K63" s="5">
        <f t="shared" ca="1" si="6"/>
        <v>2.5416666666666643E-2</v>
      </c>
      <c r="L63">
        <f t="shared" ca="1" si="7"/>
        <v>8237.5111111111109</v>
      </c>
      <c r="M63">
        <f t="shared" ca="1" si="8"/>
        <v>8238</v>
      </c>
      <c r="N63" t="str">
        <f t="shared" ca="1" si="9"/>
        <v>0010000000101110</v>
      </c>
      <c r="O63">
        <f t="shared" ca="1" si="10"/>
        <v>1000000</v>
      </c>
    </row>
    <row r="64" spans="4:15" x14ac:dyDescent="0.25">
      <c r="D64">
        <v>62</v>
      </c>
      <c r="E64">
        <f t="shared" si="1"/>
        <v>26.2</v>
      </c>
      <c r="F64">
        <f t="shared" ca="1" si="2"/>
        <v>28.68</v>
      </c>
      <c r="G64" s="1">
        <f t="shared" si="3"/>
        <v>0.51666666666666639</v>
      </c>
      <c r="H64" s="6">
        <f t="shared" ca="1" si="4"/>
        <v>0.72333333333333294</v>
      </c>
      <c r="I64" s="5">
        <f t="shared" ca="1" si="11"/>
        <v>0.20666666666666655</v>
      </c>
      <c r="J64" s="8">
        <f t="shared" ca="1" si="5"/>
        <v>0.49083333333333307</v>
      </c>
      <c r="K64" s="5">
        <f t="shared" ca="1" si="6"/>
        <v>2.5833333333333319E-2</v>
      </c>
      <c r="L64">
        <f t="shared" ca="1" si="7"/>
        <v>13362.062222222217</v>
      </c>
      <c r="M64">
        <f t="shared" ca="1" si="8"/>
        <v>13362</v>
      </c>
      <c r="N64" t="str">
        <f t="shared" ca="1" si="9"/>
        <v>0011010000110010</v>
      </c>
      <c r="O64">
        <f t="shared" ca="1" si="10"/>
        <v>1101000</v>
      </c>
    </row>
    <row r="65" spans="4:15" x14ac:dyDescent="0.25">
      <c r="D65">
        <v>63</v>
      </c>
      <c r="E65">
        <f t="shared" si="1"/>
        <v>26.3</v>
      </c>
      <c r="F65">
        <f t="shared" ca="1" si="2"/>
        <v>27.560000000000002</v>
      </c>
      <c r="G65" s="1">
        <f t="shared" si="3"/>
        <v>0.52499999999999969</v>
      </c>
      <c r="H65" s="6">
        <f t="shared" ca="1" si="4"/>
        <v>0.63000000000000012</v>
      </c>
      <c r="I65" s="5">
        <f t="shared" ca="1" si="11"/>
        <v>0.10500000000000043</v>
      </c>
      <c r="J65" s="8">
        <f t="shared" ca="1" si="5"/>
        <v>0.49874999999999969</v>
      </c>
      <c r="K65" s="5">
        <f t="shared" ca="1" si="6"/>
        <v>2.6249999999999996E-2</v>
      </c>
      <c r="L65">
        <f t="shared" ca="1" si="7"/>
        <v>12342.613333333335</v>
      </c>
      <c r="M65">
        <f t="shared" ca="1" si="8"/>
        <v>12343</v>
      </c>
      <c r="N65" t="str">
        <f t="shared" ca="1" si="9"/>
        <v>0011000000110111</v>
      </c>
      <c r="O65">
        <f t="shared" ca="1" si="10"/>
        <v>1100000</v>
      </c>
    </row>
    <row r="66" spans="4:15" x14ac:dyDescent="0.25">
      <c r="D66">
        <v>64</v>
      </c>
      <c r="E66">
        <f t="shared" si="1"/>
        <v>26.4</v>
      </c>
      <c r="F66">
        <f t="shared" ca="1" si="2"/>
        <v>24.479999999999997</v>
      </c>
      <c r="G66" s="1">
        <f t="shared" si="3"/>
        <v>0.53333333333333299</v>
      </c>
      <c r="H66" s="6">
        <f t="shared" ca="1" si="4"/>
        <v>0.37333333333333285</v>
      </c>
      <c r="I66" s="5">
        <f t="shared" ca="1" si="11"/>
        <v>0.16000000000000014</v>
      </c>
      <c r="J66" s="8">
        <f t="shared" ca="1" si="5"/>
        <v>0.55999999999999972</v>
      </c>
      <c r="K66" s="5">
        <f t="shared" ca="1" si="6"/>
        <v>2.6666666666666727E-2</v>
      </c>
      <c r="L66">
        <f t="shared" ca="1" si="7"/>
        <v>9539.128888888883</v>
      </c>
      <c r="M66">
        <f t="shared" ca="1" si="8"/>
        <v>9539</v>
      </c>
      <c r="N66" t="str">
        <f t="shared" ca="1" si="9"/>
        <v>0010010101000011</v>
      </c>
      <c r="O66">
        <f t="shared" ca="1" si="10"/>
        <v>1001010</v>
      </c>
    </row>
    <row r="67" spans="4:15" x14ac:dyDescent="0.25">
      <c r="D67">
        <v>65</v>
      </c>
      <c r="E67">
        <f t="shared" ref="E67:E130" si="12">0.1*D67+20</f>
        <v>26.5</v>
      </c>
      <c r="F67">
        <f t="shared" ref="F67:F130" ca="1" si="13">0.1*D67+20 + (RANDBETWEEN(-5,5)/100)*D67</f>
        <v>29.1</v>
      </c>
      <c r="G67" s="1">
        <f t="shared" ref="G67:G130" si="14">1/12*E67-5/3</f>
        <v>0.5416666666666663</v>
      </c>
      <c r="H67" s="6">
        <f t="shared" ref="H67:H130" ca="1" si="15">1/12*F67-5/3</f>
        <v>0.75833333333333308</v>
      </c>
      <c r="I67" s="5">
        <f t="shared" ref="I67:I130" ca="1" si="16">ABS(G67-H67)</f>
        <v>0.21666666666666679</v>
      </c>
      <c r="J67" s="8">
        <f t="shared" ref="J67:J130" ca="1" si="17" xml:space="preserve"> G67 * (1 + $B$1 * IF(RANDBETWEEN(0,1)=0,-1,1))</f>
        <v>0.51458333333333295</v>
      </c>
      <c r="K67" s="5">
        <f t="shared" ref="K67:K130" ca="1" si="18">ABS(G67-J67)</f>
        <v>2.7083333333333348E-2</v>
      </c>
      <c r="L67">
        <f t="shared" ref="L67:L130" ca="1" si="19">(H67-$B$2)/($B$3-$B$2)*(2^$B$4)</f>
        <v>13744.355555555552</v>
      </c>
      <c r="M67">
        <f t="shared" ref="M67:M130" ca="1" si="20">ROUND(L67,0)</f>
        <v>13744</v>
      </c>
      <c r="N67" t="str">
        <f t="shared" ref="N67:N130" ca="1" si="21">_xlfn.BASE(M67,2,$B$4)</f>
        <v>0011010110110000</v>
      </c>
      <c r="O67">
        <f t="shared" ref="O67:O130" ca="1" si="22">VALUE(LEFT(N67,9))</f>
        <v>1101011</v>
      </c>
    </row>
    <row r="68" spans="4:15" x14ac:dyDescent="0.25">
      <c r="D68">
        <v>66</v>
      </c>
      <c r="E68">
        <f t="shared" si="12"/>
        <v>26.6</v>
      </c>
      <c r="F68">
        <f t="shared" ca="1" si="13"/>
        <v>23.3</v>
      </c>
      <c r="G68" s="1">
        <f t="shared" si="14"/>
        <v>0.55000000000000004</v>
      </c>
      <c r="H68" s="6">
        <f t="shared" ca="1" si="15"/>
        <v>0.27499999999999991</v>
      </c>
      <c r="I68" s="5">
        <f t="shared" ca="1" si="16"/>
        <v>0.27500000000000013</v>
      </c>
      <c r="J68" s="8">
        <f t="shared" ca="1" si="17"/>
        <v>0.57750000000000012</v>
      </c>
      <c r="K68" s="5">
        <f t="shared" ca="1" si="18"/>
        <v>2.750000000000008E-2</v>
      </c>
      <c r="L68">
        <f t="shared" ca="1" si="19"/>
        <v>8465.0666666666657</v>
      </c>
      <c r="M68">
        <f t="shared" ca="1" si="20"/>
        <v>8465</v>
      </c>
      <c r="N68" t="str">
        <f t="shared" ca="1" si="21"/>
        <v>0010000100010001</v>
      </c>
      <c r="O68">
        <f t="shared" ca="1" si="22"/>
        <v>1000010</v>
      </c>
    </row>
    <row r="69" spans="4:15" x14ac:dyDescent="0.25">
      <c r="D69">
        <v>67</v>
      </c>
      <c r="E69">
        <f t="shared" si="12"/>
        <v>26.7</v>
      </c>
      <c r="F69">
        <f t="shared" ca="1" si="13"/>
        <v>28.04</v>
      </c>
      <c r="G69" s="1">
        <f t="shared" si="14"/>
        <v>0.5583333333333329</v>
      </c>
      <c r="H69" s="6">
        <f t="shared" ca="1" si="15"/>
        <v>0.66999999999999971</v>
      </c>
      <c r="I69" s="5">
        <f t="shared" ca="1" si="16"/>
        <v>0.1116666666666668</v>
      </c>
      <c r="J69" s="8">
        <f t="shared" ca="1" si="17"/>
        <v>0.5304166666666662</v>
      </c>
      <c r="K69" s="5">
        <f t="shared" ca="1" si="18"/>
        <v>2.7916666666666701E-2</v>
      </c>
      <c r="L69">
        <f t="shared" ca="1" si="19"/>
        <v>12779.519999999997</v>
      </c>
      <c r="M69">
        <f t="shared" ca="1" si="20"/>
        <v>12780</v>
      </c>
      <c r="N69" t="str">
        <f t="shared" ca="1" si="21"/>
        <v>0011000111101100</v>
      </c>
      <c r="O69">
        <f t="shared" ca="1" si="22"/>
        <v>1100011</v>
      </c>
    </row>
    <row r="70" spans="4:15" x14ac:dyDescent="0.25">
      <c r="D70">
        <v>68</v>
      </c>
      <c r="E70">
        <f t="shared" si="12"/>
        <v>26.8</v>
      </c>
      <c r="F70">
        <f t="shared" ca="1" si="13"/>
        <v>26.8</v>
      </c>
      <c r="G70" s="1">
        <f t="shared" si="14"/>
        <v>0.56666666666666665</v>
      </c>
      <c r="H70" s="6">
        <f t="shared" ca="1" si="15"/>
        <v>0.56666666666666665</v>
      </c>
      <c r="I70" s="5">
        <f t="shared" ca="1" si="16"/>
        <v>0</v>
      </c>
      <c r="J70" s="8">
        <f t="shared" ca="1" si="17"/>
        <v>0.59499999999999997</v>
      </c>
      <c r="K70" s="5">
        <f t="shared" ca="1" si="18"/>
        <v>2.8333333333333321E-2</v>
      </c>
      <c r="L70">
        <f t="shared" ca="1" si="19"/>
        <v>11650.844444444445</v>
      </c>
      <c r="M70">
        <f t="shared" ca="1" si="20"/>
        <v>11651</v>
      </c>
      <c r="N70" t="str">
        <f t="shared" ca="1" si="21"/>
        <v>0010110110000011</v>
      </c>
      <c r="O70">
        <f t="shared" ca="1" si="22"/>
        <v>1011011</v>
      </c>
    </row>
    <row r="71" spans="4:15" x14ac:dyDescent="0.25">
      <c r="D71">
        <v>69</v>
      </c>
      <c r="E71">
        <f t="shared" si="12"/>
        <v>26.9</v>
      </c>
      <c r="F71">
        <f t="shared" ca="1" si="13"/>
        <v>23.45</v>
      </c>
      <c r="G71" s="1">
        <f t="shared" si="14"/>
        <v>0.57499999999999951</v>
      </c>
      <c r="H71" s="6">
        <f t="shared" ca="1" si="15"/>
        <v>0.28749999999999987</v>
      </c>
      <c r="I71" s="5">
        <f t="shared" ca="1" si="16"/>
        <v>0.28749999999999964</v>
      </c>
      <c r="J71" s="8">
        <f t="shared" ca="1" si="17"/>
        <v>0.54624999999999946</v>
      </c>
      <c r="K71" s="5">
        <f t="shared" ca="1" si="18"/>
        <v>2.8750000000000053E-2</v>
      </c>
      <c r="L71">
        <f t="shared" ca="1" si="19"/>
        <v>8601.5999999999985</v>
      </c>
      <c r="M71">
        <f t="shared" ca="1" si="20"/>
        <v>8602</v>
      </c>
      <c r="N71" t="str">
        <f t="shared" ca="1" si="21"/>
        <v>0010000110011010</v>
      </c>
      <c r="O71">
        <f t="shared" ca="1" si="22"/>
        <v>1000011</v>
      </c>
    </row>
    <row r="72" spans="4:15" x14ac:dyDescent="0.25">
      <c r="D72">
        <v>70</v>
      </c>
      <c r="E72">
        <f t="shared" si="12"/>
        <v>27</v>
      </c>
      <c r="F72">
        <f t="shared" ca="1" si="13"/>
        <v>24.9</v>
      </c>
      <c r="G72" s="1">
        <f t="shared" si="14"/>
        <v>0.58333333333333326</v>
      </c>
      <c r="H72" s="6">
        <f t="shared" ca="1" si="15"/>
        <v>0.40833333333333299</v>
      </c>
      <c r="I72" s="5">
        <f t="shared" ca="1" si="16"/>
        <v>0.17500000000000027</v>
      </c>
      <c r="J72" s="8">
        <f t="shared" ca="1" si="17"/>
        <v>0.61249999999999993</v>
      </c>
      <c r="K72" s="5">
        <f t="shared" ca="1" si="18"/>
        <v>2.9166666666666674E-2</v>
      </c>
      <c r="L72">
        <f t="shared" ca="1" si="19"/>
        <v>9921.4222222222179</v>
      </c>
      <c r="M72">
        <f t="shared" ca="1" si="20"/>
        <v>9921</v>
      </c>
      <c r="N72" t="str">
        <f t="shared" ca="1" si="21"/>
        <v>0010011011000001</v>
      </c>
      <c r="O72">
        <f t="shared" ca="1" si="22"/>
        <v>1001101</v>
      </c>
    </row>
    <row r="73" spans="4:15" x14ac:dyDescent="0.25">
      <c r="D73">
        <v>71</v>
      </c>
      <c r="E73">
        <f t="shared" si="12"/>
        <v>27.1</v>
      </c>
      <c r="F73">
        <f t="shared" ca="1" si="13"/>
        <v>27.810000000000002</v>
      </c>
      <c r="G73" s="1">
        <f t="shared" si="14"/>
        <v>0.59166666666666656</v>
      </c>
      <c r="H73" s="6">
        <f t="shared" ca="1" si="15"/>
        <v>0.65083333333333315</v>
      </c>
      <c r="I73" s="5">
        <f t="shared" ca="1" si="16"/>
        <v>5.916666666666659E-2</v>
      </c>
      <c r="J73" s="8">
        <f t="shared" ca="1" si="17"/>
        <v>0.62124999999999997</v>
      </c>
      <c r="K73" s="5">
        <f t="shared" ca="1" si="18"/>
        <v>2.9583333333333406E-2</v>
      </c>
      <c r="L73">
        <f t="shared" ca="1" si="19"/>
        <v>12570.168888888888</v>
      </c>
      <c r="M73">
        <f t="shared" ca="1" si="20"/>
        <v>12570</v>
      </c>
      <c r="N73" t="str">
        <f t="shared" ca="1" si="21"/>
        <v>0011000100011010</v>
      </c>
      <c r="O73">
        <f t="shared" ca="1" si="22"/>
        <v>1100010</v>
      </c>
    </row>
    <row r="74" spans="4:15" x14ac:dyDescent="0.25">
      <c r="D74">
        <v>72</v>
      </c>
      <c r="E74">
        <f t="shared" si="12"/>
        <v>27.2</v>
      </c>
      <c r="F74">
        <f t="shared" ca="1" si="13"/>
        <v>30.08</v>
      </c>
      <c r="G74" s="1">
        <f t="shared" si="14"/>
        <v>0.59999999999999987</v>
      </c>
      <c r="H74" s="6">
        <f t="shared" ca="1" si="15"/>
        <v>0.83999999999999964</v>
      </c>
      <c r="I74" s="5">
        <f t="shared" ca="1" si="16"/>
        <v>0.23999999999999977</v>
      </c>
      <c r="J74" s="8">
        <f t="shared" ca="1" si="17"/>
        <v>0.56999999999999984</v>
      </c>
      <c r="K74" s="5">
        <f t="shared" ca="1" si="18"/>
        <v>3.0000000000000027E-2</v>
      </c>
      <c r="L74">
        <f t="shared" ca="1" si="19"/>
        <v>14636.373333333329</v>
      </c>
      <c r="M74">
        <f t="shared" ca="1" si="20"/>
        <v>14636</v>
      </c>
      <c r="N74" t="str">
        <f t="shared" ca="1" si="21"/>
        <v>0011100100101100</v>
      </c>
      <c r="O74">
        <f t="shared" ca="1" si="22"/>
        <v>1110010</v>
      </c>
    </row>
    <row r="75" spans="4:15" x14ac:dyDescent="0.25">
      <c r="D75">
        <v>73</v>
      </c>
      <c r="E75">
        <f t="shared" si="12"/>
        <v>27.3</v>
      </c>
      <c r="F75">
        <f t="shared" ca="1" si="13"/>
        <v>25.11</v>
      </c>
      <c r="G75" s="1">
        <f t="shared" si="14"/>
        <v>0.60833333333333317</v>
      </c>
      <c r="H75" s="6">
        <f t="shared" ca="1" si="15"/>
        <v>0.42583333333333306</v>
      </c>
      <c r="I75" s="5">
        <f t="shared" ca="1" si="16"/>
        <v>0.18250000000000011</v>
      </c>
      <c r="J75" s="8">
        <f t="shared" ca="1" si="17"/>
        <v>0.63874999999999982</v>
      </c>
      <c r="K75" s="5">
        <f t="shared" ca="1" si="18"/>
        <v>3.0416666666666647E-2</v>
      </c>
      <c r="L75">
        <f t="shared" ca="1" si="19"/>
        <v>10112.568888888885</v>
      </c>
      <c r="M75">
        <f t="shared" ca="1" si="20"/>
        <v>10113</v>
      </c>
      <c r="N75" t="str">
        <f t="shared" ca="1" si="21"/>
        <v>0010011110000001</v>
      </c>
      <c r="O75">
        <f t="shared" ca="1" si="22"/>
        <v>1001111</v>
      </c>
    </row>
    <row r="76" spans="4:15" x14ac:dyDescent="0.25">
      <c r="D76">
        <v>74</v>
      </c>
      <c r="E76">
        <f t="shared" si="12"/>
        <v>27.4</v>
      </c>
      <c r="F76">
        <f t="shared" ca="1" si="13"/>
        <v>28.139999999999997</v>
      </c>
      <c r="G76" s="1">
        <f t="shared" si="14"/>
        <v>0.61666666666666647</v>
      </c>
      <c r="H76" s="6">
        <f t="shared" ca="1" si="15"/>
        <v>0.67833333333333301</v>
      </c>
      <c r="I76" s="5">
        <f t="shared" ca="1" si="16"/>
        <v>6.1666666666666536E-2</v>
      </c>
      <c r="J76" s="8">
        <f t="shared" ca="1" si="17"/>
        <v>0.5858333333333331</v>
      </c>
      <c r="K76" s="5">
        <f t="shared" ca="1" si="18"/>
        <v>3.0833333333333379E-2</v>
      </c>
      <c r="L76">
        <f t="shared" ca="1" si="19"/>
        <v>12870.542222222219</v>
      </c>
      <c r="M76">
        <f t="shared" ca="1" si="20"/>
        <v>12871</v>
      </c>
      <c r="N76" t="str">
        <f t="shared" ca="1" si="21"/>
        <v>0011001001000111</v>
      </c>
      <c r="O76">
        <f t="shared" ca="1" si="22"/>
        <v>1100100</v>
      </c>
    </row>
    <row r="77" spans="4:15" x14ac:dyDescent="0.25">
      <c r="D77">
        <v>75</v>
      </c>
      <c r="E77">
        <f t="shared" si="12"/>
        <v>27.5</v>
      </c>
      <c r="F77">
        <f t="shared" ca="1" si="13"/>
        <v>25.25</v>
      </c>
      <c r="G77" s="1">
        <f t="shared" si="14"/>
        <v>0.62499999999999978</v>
      </c>
      <c r="H77" s="6">
        <f t="shared" ca="1" si="15"/>
        <v>0.43749999999999978</v>
      </c>
      <c r="I77" s="5">
        <f t="shared" ca="1" si="16"/>
        <v>0.1875</v>
      </c>
      <c r="J77" s="8">
        <f t="shared" ca="1" si="17"/>
        <v>0.65624999999999978</v>
      </c>
      <c r="K77" s="5">
        <f t="shared" ca="1" si="18"/>
        <v>3.125E-2</v>
      </c>
      <c r="L77">
        <f t="shared" ca="1" si="19"/>
        <v>10239.999999999998</v>
      </c>
      <c r="M77">
        <f t="shared" ca="1" si="20"/>
        <v>10240</v>
      </c>
      <c r="N77" t="str">
        <f t="shared" ca="1" si="21"/>
        <v>0010100000000000</v>
      </c>
      <c r="O77">
        <f t="shared" ca="1" si="22"/>
        <v>1010000</v>
      </c>
    </row>
    <row r="78" spans="4:15" x14ac:dyDescent="0.25">
      <c r="D78">
        <v>76</v>
      </c>
      <c r="E78">
        <f t="shared" si="12"/>
        <v>27.6</v>
      </c>
      <c r="F78">
        <f t="shared" ca="1" si="13"/>
        <v>26.080000000000002</v>
      </c>
      <c r="G78" s="1">
        <f t="shared" si="14"/>
        <v>0.63333333333333308</v>
      </c>
      <c r="H78" s="6">
        <f t="shared" ca="1" si="15"/>
        <v>0.5066666666666666</v>
      </c>
      <c r="I78" s="5">
        <f t="shared" ca="1" si="16"/>
        <v>0.12666666666666648</v>
      </c>
      <c r="J78" s="8">
        <f t="shared" ca="1" si="17"/>
        <v>0.66499999999999981</v>
      </c>
      <c r="K78" s="5">
        <f t="shared" ca="1" si="18"/>
        <v>3.1666666666666732E-2</v>
      </c>
      <c r="L78">
        <f t="shared" ca="1" si="19"/>
        <v>10995.484444444444</v>
      </c>
      <c r="M78">
        <f t="shared" ca="1" si="20"/>
        <v>10995</v>
      </c>
      <c r="N78" t="str">
        <f t="shared" ca="1" si="21"/>
        <v>0010101011110011</v>
      </c>
      <c r="O78">
        <f t="shared" ca="1" si="22"/>
        <v>1010101</v>
      </c>
    </row>
    <row r="79" spans="4:15" x14ac:dyDescent="0.25">
      <c r="D79">
        <v>77</v>
      </c>
      <c r="E79">
        <f t="shared" si="12"/>
        <v>27.7</v>
      </c>
      <c r="F79">
        <f t="shared" ca="1" si="13"/>
        <v>30.009999999999998</v>
      </c>
      <c r="G79" s="1">
        <f t="shared" si="14"/>
        <v>0.64166666666666639</v>
      </c>
      <c r="H79" s="6">
        <f t="shared" ca="1" si="15"/>
        <v>0.83416666666666628</v>
      </c>
      <c r="I79" s="5">
        <f t="shared" ca="1" si="16"/>
        <v>0.19249999999999989</v>
      </c>
      <c r="J79" s="8">
        <f t="shared" ca="1" si="17"/>
        <v>0.67374999999999974</v>
      </c>
      <c r="K79" s="5">
        <f t="shared" ca="1" si="18"/>
        <v>3.2083333333333353E-2</v>
      </c>
      <c r="L79">
        <f t="shared" ca="1" si="19"/>
        <v>14572.657777777773</v>
      </c>
      <c r="M79">
        <f t="shared" ca="1" si="20"/>
        <v>14573</v>
      </c>
      <c r="N79" t="str">
        <f t="shared" ca="1" si="21"/>
        <v>0011100011101101</v>
      </c>
      <c r="O79">
        <f t="shared" ca="1" si="22"/>
        <v>1110001</v>
      </c>
    </row>
    <row r="80" spans="4:15" x14ac:dyDescent="0.25">
      <c r="D80">
        <v>78</v>
      </c>
      <c r="E80">
        <f t="shared" si="12"/>
        <v>27.8</v>
      </c>
      <c r="F80">
        <f t="shared" ca="1" si="13"/>
        <v>25.46</v>
      </c>
      <c r="G80" s="1">
        <f t="shared" si="14"/>
        <v>0.64999999999999969</v>
      </c>
      <c r="H80" s="6">
        <f t="shared" ca="1" si="15"/>
        <v>0.45499999999999985</v>
      </c>
      <c r="I80" s="5">
        <f t="shared" ca="1" si="16"/>
        <v>0.19499999999999984</v>
      </c>
      <c r="J80" s="8">
        <f t="shared" ca="1" si="17"/>
        <v>0.68249999999999966</v>
      </c>
      <c r="K80" s="5">
        <f t="shared" ca="1" si="18"/>
        <v>3.2499999999999973E-2</v>
      </c>
      <c r="L80">
        <f t="shared" ca="1" si="19"/>
        <v>10431.146666666666</v>
      </c>
      <c r="M80">
        <f t="shared" ca="1" si="20"/>
        <v>10431</v>
      </c>
      <c r="N80" t="str">
        <f t="shared" ca="1" si="21"/>
        <v>0010100010111111</v>
      </c>
      <c r="O80">
        <f t="shared" ca="1" si="22"/>
        <v>1010001</v>
      </c>
    </row>
    <row r="81" spans="4:15" x14ac:dyDescent="0.25">
      <c r="D81">
        <v>79</v>
      </c>
      <c r="E81">
        <f t="shared" si="12"/>
        <v>27.9</v>
      </c>
      <c r="F81">
        <f t="shared" ca="1" si="13"/>
        <v>28.689999999999998</v>
      </c>
      <c r="G81" s="1">
        <f t="shared" si="14"/>
        <v>0.65833333333333299</v>
      </c>
      <c r="H81" s="6">
        <f t="shared" ca="1" si="15"/>
        <v>0.7241666666666664</v>
      </c>
      <c r="I81" s="5">
        <f t="shared" ca="1" si="16"/>
        <v>6.583333333333341E-2</v>
      </c>
      <c r="J81" s="8">
        <f t="shared" ca="1" si="17"/>
        <v>0.62541666666666629</v>
      </c>
      <c r="K81" s="5">
        <f t="shared" ca="1" si="18"/>
        <v>3.2916666666666705E-2</v>
      </c>
      <c r="L81">
        <f t="shared" ca="1" si="19"/>
        <v>13371.164444444441</v>
      </c>
      <c r="M81">
        <f t="shared" ca="1" si="20"/>
        <v>13371</v>
      </c>
      <c r="N81" t="str">
        <f t="shared" ca="1" si="21"/>
        <v>0011010000111011</v>
      </c>
      <c r="O81">
        <f t="shared" ca="1" si="22"/>
        <v>1101000</v>
      </c>
    </row>
    <row r="82" spans="4:15" x14ac:dyDescent="0.25">
      <c r="D82">
        <v>80</v>
      </c>
      <c r="E82">
        <f t="shared" si="12"/>
        <v>28</v>
      </c>
      <c r="F82">
        <f t="shared" ca="1" si="13"/>
        <v>24</v>
      </c>
      <c r="G82" s="1">
        <f t="shared" si="14"/>
        <v>0.6666666666666663</v>
      </c>
      <c r="H82" s="6">
        <f t="shared" ca="1" si="15"/>
        <v>0.33333333333333326</v>
      </c>
      <c r="I82" s="5">
        <f t="shared" ca="1" si="16"/>
        <v>0.33333333333333304</v>
      </c>
      <c r="J82" s="8">
        <f t="shared" ca="1" si="17"/>
        <v>0.69999999999999962</v>
      </c>
      <c r="K82" s="5">
        <f t="shared" ca="1" si="18"/>
        <v>3.3333333333333326E-2</v>
      </c>
      <c r="L82">
        <f t="shared" ca="1" si="19"/>
        <v>9102.2222222222208</v>
      </c>
      <c r="M82">
        <f t="shared" ca="1" si="20"/>
        <v>9102</v>
      </c>
      <c r="N82" t="str">
        <f t="shared" ca="1" si="21"/>
        <v>0010001110001110</v>
      </c>
      <c r="O82">
        <f t="shared" ca="1" si="22"/>
        <v>1000111</v>
      </c>
    </row>
    <row r="83" spans="4:15" x14ac:dyDescent="0.25">
      <c r="D83">
        <v>81</v>
      </c>
      <c r="E83">
        <f t="shared" si="12"/>
        <v>28.1</v>
      </c>
      <c r="F83">
        <f t="shared" ca="1" si="13"/>
        <v>32.15</v>
      </c>
      <c r="G83" s="1">
        <f t="shared" si="14"/>
        <v>0.67500000000000004</v>
      </c>
      <c r="H83" s="6">
        <f t="shared" ca="1" si="15"/>
        <v>1.0124999999999995</v>
      </c>
      <c r="I83" s="5">
        <f t="shared" ca="1" si="16"/>
        <v>0.33749999999999947</v>
      </c>
      <c r="J83" s="8">
        <f t="shared" ca="1" si="17"/>
        <v>0.64124999999999999</v>
      </c>
      <c r="K83" s="5">
        <f t="shared" ca="1" si="18"/>
        <v>3.3750000000000058E-2</v>
      </c>
      <c r="L83">
        <f t="shared" ca="1" si="19"/>
        <v>16520.533333333329</v>
      </c>
      <c r="M83">
        <f t="shared" ca="1" si="20"/>
        <v>16521</v>
      </c>
      <c r="N83" t="str">
        <f t="shared" ca="1" si="21"/>
        <v>0100000010001001</v>
      </c>
      <c r="O83">
        <f t="shared" ca="1" si="22"/>
        <v>10000001</v>
      </c>
    </row>
    <row r="84" spans="4:15" x14ac:dyDescent="0.25">
      <c r="D84">
        <v>82</v>
      </c>
      <c r="E84">
        <f t="shared" si="12"/>
        <v>28.200000000000003</v>
      </c>
      <c r="F84">
        <f t="shared" ca="1" si="13"/>
        <v>32.300000000000004</v>
      </c>
      <c r="G84" s="1">
        <f t="shared" si="14"/>
        <v>0.68333333333333335</v>
      </c>
      <c r="H84" s="6">
        <f t="shared" ca="1" si="15"/>
        <v>1.0250000000000001</v>
      </c>
      <c r="I84" s="5">
        <f t="shared" ca="1" si="16"/>
        <v>0.34166666666666679</v>
      </c>
      <c r="J84" s="8">
        <f t="shared" ca="1" si="17"/>
        <v>0.64916666666666667</v>
      </c>
      <c r="K84" s="5">
        <f t="shared" ca="1" si="18"/>
        <v>3.4166666666666679E-2</v>
      </c>
      <c r="L84">
        <f t="shared" ca="1" si="19"/>
        <v>16657.066666666669</v>
      </c>
      <c r="M84">
        <f t="shared" ca="1" si="20"/>
        <v>16657</v>
      </c>
      <c r="N84" t="str">
        <f t="shared" ca="1" si="21"/>
        <v>0100000100010001</v>
      </c>
      <c r="O84">
        <f t="shared" ca="1" si="22"/>
        <v>10000010</v>
      </c>
    </row>
    <row r="85" spans="4:15" x14ac:dyDescent="0.25">
      <c r="D85">
        <v>83</v>
      </c>
      <c r="E85">
        <f t="shared" si="12"/>
        <v>28.3</v>
      </c>
      <c r="F85">
        <f t="shared" ca="1" si="13"/>
        <v>32.450000000000003</v>
      </c>
      <c r="G85" s="1">
        <f t="shared" si="14"/>
        <v>0.69166666666666665</v>
      </c>
      <c r="H85" s="6">
        <f t="shared" ca="1" si="15"/>
        <v>1.0374999999999999</v>
      </c>
      <c r="I85" s="5">
        <f t="shared" ca="1" si="16"/>
        <v>0.34583333333333321</v>
      </c>
      <c r="J85" s="8">
        <f t="shared" ca="1" si="17"/>
        <v>0.65708333333333324</v>
      </c>
      <c r="K85" s="5">
        <f t="shared" ca="1" si="18"/>
        <v>3.458333333333341E-2</v>
      </c>
      <c r="L85">
        <f t="shared" ca="1" si="19"/>
        <v>16793.599999999999</v>
      </c>
      <c r="M85">
        <f t="shared" ca="1" si="20"/>
        <v>16794</v>
      </c>
      <c r="N85" t="str">
        <f t="shared" ca="1" si="21"/>
        <v>0100000110011010</v>
      </c>
      <c r="O85">
        <f t="shared" ca="1" si="22"/>
        <v>10000011</v>
      </c>
    </row>
    <row r="86" spans="4:15" x14ac:dyDescent="0.25">
      <c r="D86">
        <v>84</v>
      </c>
      <c r="E86">
        <f t="shared" si="12"/>
        <v>28.4</v>
      </c>
      <c r="F86">
        <f t="shared" ca="1" si="13"/>
        <v>32.6</v>
      </c>
      <c r="G86" s="1">
        <f t="shared" si="14"/>
        <v>0.69999999999999951</v>
      </c>
      <c r="H86" s="6">
        <f t="shared" ca="1" si="15"/>
        <v>1.05</v>
      </c>
      <c r="I86" s="5">
        <f t="shared" ca="1" si="16"/>
        <v>0.35000000000000053</v>
      </c>
      <c r="J86" s="8">
        <f t="shared" ca="1" si="17"/>
        <v>0.66499999999999948</v>
      </c>
      <c r="K86" s="5">
        <f t="shared" ca="1" si="18"/>
        <v>3.5000000000000031E-2</v>
      </c>
      <c r="L86">
        <f t="shared" ca="1" si="19"/>
        <v>16930.133333333335</v>
      </c>
      <c r="M86">
        <f t="shared" ca="1" si="20"/>
        <v>16930</v>
      </c>
      <c r="N86" t="str">
        <f t="shared" ca="1" si="21"/>
        <v>0100001000100010</v>
      </c>
      <c r="O86">
        <f t="shared" ca="1" si="22"/>
        <v>10000100</v>
      </c>
    </row>
    <row r="87" spans="4:15" x14ac:dyDescent="0.25">
      <c r="D87">
        <v>85</v>
      </c>
      <c r="E87">
        <f t="shared" si="12"/>
        <v>28.5</v>
      </c>
      <c r="F87">
        <f t="shared" ca="1" si="13"/>
        <v>27.65</v>
      </c>
      <c r="G87" s="1">
        <f t="shared" si="14"/>
        <v>0.70833333333333326</v>
      </c>
      <c r="H87" s="6">
        <f t="shared" ca="1" si="15"/>
        <v>0.63749999999999951</v>
      </c>
      <c r="I87" s="5">
        <f t="shared" ca="1" si="16"/>
        <v>7.0833333333333748E-2</v>
      </c>
      <c r="J87" s="8">
        <f t="shared" ca="1" si="17"/>
        <v>0.74374999999999991</v>
      </c>
      <c r="K87" s="5">
        <f t="shared" ca="1" si="18"/>
        <v>3.5416666666666652E-2</v>
      </c>
      <c r="L87">
        <f t="shared" ca="1" si="19"/>
        <v>12424.533333333327</v>
      </c>
      <c r="M87">
        <f t="shared" ca="1" si="20"/>
        <v>12425</v>
      </c>
      <c r="N87" t="str">
        <f t="shared" ca="1" si="21"/>
        <v>0011000010001001</v>
      </c>
      <c r="O87">
        <f t="shared" ca="1" si="22"/>
        <v>1100001</v>
      </c>
    </row>
    <row r="88" spans="4:15" x14ac:dyDescent="0.25">
      <c r="D88">
        <v>86</v>
      </c>
      <c r="E88">
        <f t="shared" si="12"/>
        <v>28.6</v>
      </c>
      <c r="F88">
        <f t="shared" ca="1" si="13"/>
        <v>25.16</v>
      </c>
      <c r="G88" s="1">
        <f t="shared" si="14"/>
        <v>0.71666666666666656</v>
      </c>
      <c r="H88" s="6">
        <f t="shared" ca="1" si="15"/>
        <v>0.42999999999999994</v>
      </c>
      <c r="I88" s="5">
        <f t="shared" ca="1" si="16"/>
        <v>0.28666666666666663</v>
      </c>
      <c r="J88" s="8">
        <f t="shared" ca="1" si="17"/>
        <v>0.68083333333333318</v>
      </c>
      <c r="K88" s="5">
        <f t="shared" ca="1" si="18"/>
        <v>3.5833333333333384E-2</v>
      </c>
      <c r="L88">
        <f t="shared" ca="1" si="19"/>
        <v>10158.08</v>
      </c>
      <c r="M88">
        <f t="shared" ca="1" si="20"/>
        <v>10158</v>
      </c>
      <c r="N88" t="str">
        <f t="shared" ca="1" si="21"/>
        <v>0010011110101110</v>
      </c>
      <c r="O88">
        <f t="shared" ca="1" si="22"/>
        <v>1001111</v>
      </c>
    </row>
    <row r="89" spans="4:15" x14ac:dyDescent="0.25">
      <c r="D89">
        <v>87</v>
      </c>
      <c r="E89">
        <f t="shared" si="12"/>
        <v>28.700000000000003</v>
      </c>
      <c r="F89">
        <f t="shared" ca="1" si="13"/>
        <v>33.050000000000004</v>
      </c>
      <c r="G89" s="1">
        <f t="shared" si="14"/>
        <v>0.72499999999999987</v>
      </c>
      <c r="H89" s="6">
        <f t="shared" ca="1" si="15"/>
        <v>1.0875000000000001</v>
      </c>
      <c r="I89" s="5">
        <f t="shared" ca="1" si="16"/>
        <v>0.36250000000000027</v>
      </c>
      <c r="J89" s="8">
        <f t="shared" ca="1" si="17"/>
        <v>0.76124999999999987</v>
      </c>
      <c r="K89" s="5">
        <f t="shared" ca="1" si="18"/>
        <v>3.6250000000000004E-2</v>
      </c>
      <c r="L89">
        <f t="shared" ca="1" si="19"/>
        <v>17339.733333333334</v>
      </c>
      <c r="M89">
        <f t="shared" ca="1" si="20"/>
        <v>17340</v>
      </c>
      <c r="N89" t="str">
        <f t="shared" ca="1" si="21"/>
        <v>0100001110111100</v>
      </c>
      <c r="O89">
        <f t="shared" ca="1" si="22"/>
        <v>10000111</v>
      </c>
    </row>
    <row r="90" spans="4:15" x14ac:dyDescent="0.25">
      <c r="D90">
        <v>88</v>
      </c>
      <c r="E90">
        <f t="shared" si="12"/>
        <v>28.8</v>
      </c>
      <c r="F90">
        <f t="shared" ca="1" si="13"/>
        <v>27.92</v>
      </c>
      <c r="G90" s="1">
        <f t="shared" si="14"/>
        <v>0.73333333333333317</v>
      </c>
      <c r="H90" s="6">
        <f t="shared" ca="1" si="15"/>
        <v>0.65999999999999992</v>
      </c>
      <c r="I90" s="5">
        <f t="shared" ca="1" si="16"/>
        <v>7.333333333333325E-2</v>
      </c>
      <c r="J90" s="8">
        <f t="shared" ca="1" si="17"/>
        <v>0.76999999999999991</v>
      </c>
      <c r="K90" s="5">
        <f t="shared" ca="1" si="18"/>
        <v>3.6666666666666736E-2</v>
      </c>
      <c r="L90">
        <f t="shared" ca="1" si="19"/>
        <v>12670.293333333333</v>
      </c>
      <c r="M90">
        <f t="shared" ca="1" si="20"/>
        <v>12670</v>
      </c>
      <c r="N90" t="str">
        <f t="shared" ca="1" si="21"/>
        <v>0011000101111110</v>
      </c>
      <c r="O90">
        <f t="shared" ca="1" si="22"/>
        <v>1100010</v>
      </c>
    </row>
    <row r="91" spans="4:15" x14ac:dyDescent="0.25">
      <c r="D91">
        <v>89</v>
      </c>
      <c r="E91">
        <f t="shared" si="12"/>
        <v>28.9</v>
      </c>
      <c r="F91">
        <f t="shared" ca="1" si="13"/>
        <v>28.009999999999998</v>
      </c>
      <c r="G91" s="1">
        <f t="shared" si="14"/>
        <v>0.74166666666666647</v>
      </c>
      <c r="H91" s="6">
        <f t="shared" ca="1" si="15"/>
        <v>0.66749999999999976</v>
      </c>
      <c r="I91" s="5">
        <f t="shared" ca="1" si="16"/>
        <v>7.4166666666666714E-2</v>
      </c>
      <c r="J91" s="8">
        <f t="shared" ca="1" si="17"/>
        <v>0.70458333333333312</v>
      </c>
      <c r="K91" s="5">
        <f t="shared" ca="1" si="18"/>
        <v>3.7083333333333357E-2</v>
      </c>
      <c r="L91">
        <f t="shared" ca="1" si="19"/>
        <v>12752.213333333331</v>
      </c>
      <c r="M91">
        <f t="shared" ca="1" si="20"/>
        <v>12752</v>
      </c>
      <c r="N91" t="str">
        <f t="shared" ca="1" si="21"/>
        <v>0011000111010000</v>
      </c>
      <c r="O91">
        <f t="shared" ca="1" si="22"/>
        <v>1100011</v>
      </c>
    </row>
    <row r="92" spans="4:15" x14ac:dyDescent="0.25">
      <c r="D92">
        <v>90</v>
      </c>
      <c r="E92">
        <f t="shared" si="12"/>
        <v>29</v>
      </c>
      <c r="F92">
        <f t="shared" ca="1" si="13"/>
        <v>25.4</v>
      </c>
      <c r="G92" s="1">
        <f t="shared" si="14"/>
        <v>0.74999999999999978</v>
      </c>
      <c r="H92" s="6">
        <f t="shared" ca="1" si="15"/>
        <v>0.44999999999999951</v>
      </c>
      <c r="I92" s="5">
        <f t="shared" ca="1" si="16"/>
        <v>0.30000000000000027</v>
      </c>
      <c r="J92" s="8">
        <f t="shared" ca="1" si="17"/>
        <v>0.78749999999999976</v>
      </c>
      <c r="K92" s="5">
        <f t="shared" ca="1" si="18"/>
        <v>3.7499999999999978E-2</v>
      </c>
      <c r="L92">
        <f t="shared" ca="1" si="19"/>
        <v>10376.533333333327</v>
      </c>
      <c r="M92">
        <f t="shared" ca="1" si="20"/>
        <v>10377</v>
      </c>
      <c r="N92" t="str">
        <f t="shared" ca="1" si="21"/>
        <v>0010100010001001</v>
      </c>
      <c r="O92">
        <f t="shared" ca="1" si="22"/>
        <v>1010001</v>
      </c>
    </row>
    <row r="93" spans="4:15" x14ac:dyDescent="0.25">
      <c r="D93">
        <v>91</v>
      </c>
      <c r="E93">
        <f t="shared" si="12"/>
        <v>29.1</v>
      </c>
      <c r="F93">
        <f t="shared" ca="1" si="13"/>
        <v>33.65</v>
      </c>
      <c r="G93" s="1">
        <f t="shared" si="14"/>
        <v>0.75833333333333308</v>
      </c>
      <c r="H93" s="6">
        <f t="shared" ca="1" si="15"/>
        <v>1.1374999999999995</v>
      </c>
      <c r="I93" s="5">
        <f t="shared" ca="1" si="16"/>
        <v>0.37916666666666643</v>
      </c>
      <c r="J93" s="8">
        <f t="shared" ca="1" si="17"/>
        <v>0.79624999999999979</v>
      </c>
      <c r="K93" s="5">
        <f t="shared" ca="1" si="18"/>
        <v>3.791666666666671E-2</v>
      </c>
      <c r="L93">
        <f t="shared" ca="1" si="19"/>
        <v>17885.866666666661</v>
      </c>
      <c r="M93">
        <f t="shared" ca="1" si="20"/>
        <v>17886</v>
      </c>
      <c r="N93" t="str">
        <f t="shared" ca="1" si="21"/>
        <v>0100010111011110</v>
      </c>
      <c r="O93">
        <f t="shared" ca="1" si="22"/>
        <v>10001011</v>
      </c>
    </row>
    <row r="94" spans="4:15" x14ac:dyDescent="0.25">
      <c r="D94">
        <v>92</v>
      </c>
      <c r="E94">
        <f t="shared" si="12"/>
        <v>29.200000000000003</v>
      </c>
      <c r="F94">
        <f t="shared" ca="1" si="13"/>
        <v>24.6</v>
      </c>
      <c r="G94" s="1">
        <f t="shared" si="14"/>
        <v>0.76666666666666683</v>
      </c>
      <c r="H94" s="6">
        <f t="shared" ca="1" si="15"/>
        <v>0.38333333333333308</v>
      </c>
      <c r="I94" s="5">
        <f t="shared" ca="1" si="16"/>
        <v>0.38333333333333375</v>
      </c>
      <c r="J94" s="8">
        <f t="shared" ca="1" si="17"/>
        <v>0.7283333333333335</v>
      </c>
      <c r="K94" s="5">
        <f t="shared" ca="1" si="18"/>
        <v>3.833333333333333E-2</v>
      </c>
      <c r="L94">
        <f t="shared" ca="1" si="19"/>
        <v>9648.3555555555522</v>
      </c>
      <c r="M94">
        <f t="shared" ca="1" si="20"/>
        <v>9648</v>
      </c>
      <c r="N94" t="str">
        <f t="shared" ca="1" si="21"/>
        <v>0010010110110000</v>
      </c>
      <c r="O94">
        <f t="shared" ca="1" si="22"/>
        <v>1001011</v>
      </c>
    </row>
    <row r="95" spans="4:15" x14ac:dyDescent="0.25">
      <c r="D95">
        <v>93</v>
      </c>
      <c r="E95">
        <f t="shared" si="12"/>
        <v>29.3</v>
      </c>
      <c r="F95">
        <f t="shared" ca="1" si="13"/>
        <v>24.65</v>
      </c>
      <c r="G95" s="1">
        <f t="shared" si="14"/>
        <v>0.77499999999999969</v>
      </c>
      <c r="H95" s="6">
        <f t="shared" ca="1" si="15"/>
        <v>0.38749999999999951</v>
      </c>
      <c r="I95" s="5">
        <f t="shared" ca="1" si="16"/>
        <v>0.38750000000000018</v>
      </c>
      <c r="J95" s="8">
        <f t="shared" ca="1" si="17"/>
        <v>0.73624999999999963</v>
      </c>
      <c r="K95" s="5">
        <f t="shared" ca="1" si="18"/>
        <v>3.8750000000000062E-2</v>
      </c>
      <c r="L95">
        <f t="shared" ca="1" si="19"/>
        <v>9693.8666666666613</v>
      </c>
      <c r="M95">
        <f t="shared" ca="1" si="20"/>
        <v>9694</v>
      </c>
      <c r="N95" t="str">
        <f t="shared" ca="1" si="21"/>
        <v>0010010111011110</v>
      </c>
      <c r="O95">
        <f t="shared" ca="1" si="22"/>
        <v>1001011</v>
      </c>
    </row>
    <row r="96" spans="4:15" x14ac:dyDescent="0.25">
      <c r="D96">
        <v>94</v>
      </c>
      <c r="E96">
        <f t="shared" si="12"/>
        <v>29.4</v>
      </c>
      <c r="F96">
        <f t="shared" ca="1" si="13"/>
        <v>24.7</v>
      </c>
      <c r="G96" s="1">
        <f t="shared" si="14"/>
        <v>0.78333333333333299</v>
      </c>
      <c r="H96" s="6">
        <f t="shared" ca="1" si="15"/>
        <v>0.39166666666666639</v>
      </c>
      <c r="I96" s="5">
        <f t="shared" ca="1" si="16"/>
        <v>0.39166666666666661</v>
      </c>
      <c r="J96" s="8">
        <f t="shared" ca="1" si="17"/>
        <v>0.74416666666666631</v>
      </c>
      <c r="K96" s="5">
        <f t="shared" ca="1" si="18"/>
        <v>3.9166666666666683E-2</v>
      </c>
      <c r="L96">
        <f t="shared" ca="1" si="19"/>
        <v>9739.3777777777741</v>
      </c>
      <c r="M96">
        <f t="shared" ca="1" si="20"/>
        <v>9739</v>
      </c>
      <c r="N96" t="str">
        <f t="shared" ca="1" si="21"/>
        <v>0010011000001011</v>
      </c>
      <c r="O96">
        <f t="shared" ca="1" si="22"/>
        <v>1001100</v>
      </c>
    </row>
    <row r="97" spans="4:15" x14ac:dyDescent="0.25">
      <c r="D97">
        <v>95</v>
      </c>
      <c r="E97">
        <f t="shared" si="12"/>
        <v>29.5</v>
      </c>
      <c r="F97">
        <f t="shared" ca="1" si="13"/>
        <v>33.299999999999997</v>
      </c>
      <c r="G97" s="1">
        <f t="shared" si="14"/>
        <v>0.7916666666666663</v>
      </c>
      <c r="H97" s="6">
        <f t="shared" ca="1" si="15"/>
        <v>1.1083333333333327</v>
      </c>
      <c r="I97" s="5">
        <f t="shared" ca="1" si="16"/>
        <v>0.31666666666666643</v>
      </c>
      <c r="J97" s="8">
        <f t="shared" ca="1" si="17"/>
        <v>0.8312499999999996</v>
      </c>
      <c r="K97" s="5">
        <f t="shared" ca="1" si="18"/>
        <v>3.9583333333333304E-2</v>
      </c>
      <c r="L97">
        <f t="shared" ca="1" si="19"/>
        <v>17567.288888888881</v>
      </c>
      <c r="M97">
        <f t="shared" ca="1" si="20"/>
        <v>17567</v>
      </c>
      <c r="N97" t="str">
        <f t="shared" ca="1" si="21"/>
        <v>0100010010011111</v>
      </c>
      <c r="O97">
        <f t="shared" ca="1" si="22"/>
        <v>10001001</v>
      </c>
    </row>
    <row r="98" spans="4:15" x14ac:dyDescent="0.25">
      <c r="D98">
        <v>96</v>
      </c>
      <c r="E98">
        <f t="shared" si="12"/>
        <v>29.6</v>
      </c>
      <c r="F98">
        <f t="shared" ca="1" si="13"/>
        <v>33.44</v>
      </c>
      <c r="G98" s="1">
        <f t="shared" si="14"/>
        <v>0.8</v>
      </c>
      <c r="H98" s="6">
        <f t="shared" ca="1" si="15"/>
        <v>1.1199999999999994</v>
      </c>
      <c r="I98" s="5">
        <f t="shared" ca="1" si="16"/>
        <v>0.3199999999999994</v>
      </c>
      <c r="J98" s="8">
        <f t="shared" ca="1" si="17"/>
        <v>0.76</v>
      </c>
      <c r="K98" s="5">
        <f t="shared" ca="1" si="18"/>
        <v>4.0000000000000036E-2</v>
      </c>
      <c r="L98">
        <f t="shared" ca="1" si="19"/>
        <v>17694.719999999994</v>
      </c>
      <c r="M98">
        <f t="shared" ca="1" si="20"/>
        <v>17695</v>
      </c>
      <c r="N98" t="str">
        <f t="shared" ca="1" si="21"/>
        <v>0100010100011111</v>
      </c>
      <c r="O98">
        <f t="shared" ca="1" si="22"/>
        <v>10001010</v>
      </c>
    </row>
    <row r="99" spans="4:15" x14ac:dyDescent="0.25">
      <c r="D99">
        <v>97</v>
      </c>
      <c r="E99">
        <f t="shared" si="12"/>
        <v>29.700000000000003</v>
      </c>
      <c r="F99">
        <f t="shared" ca="1" si="13"/>
        <v>31.640000000000004</v>
      </c>
      <c r="G99" s="1">
        <f t="shared" si="14"/>
        <v>0.80833333333333335</v>
      </c>
      <c r="H99" s="6">
        <f t="shared" ca="1" si="15"/>
        <v>0.97</v>
      </c>
      <c r="I99" s="5">
        <f t="shared" ca="1" si="16"/>
        <v>0.16166666666666663</v>
      </c>
      <c r="J99" s="8">
        <f t="shared" ca="1" si="17"/>
        <v>0.84875</v>
      </c>
      <c r="K99" s="5">
        <f t="shared" ca="1" si="18"/>
        <v>4.0416666666666656E-2</v>
      </c>
      <c r="L99">
        <f t="shared" ca="1" si="19"/>
        <v>16056.32</v>
      </c>
      <c r="M99">
        <f t="shared" ca="1" si="20"/>
        <v>16056</v>
      </c>
      <c r="N99" t="str">
        <f t="shared" ca="1" si="21"/>
        <v>0011111010111000</v>
      </c>
      <c r="O99">
        <f t="shared" ca="1" si="22"/>
        <v>1111101</v>
      </c>
    </row>
    <row r="100" spans="4:15" x14ac:dyDescent="0.25">
      <c r="D100">
        <v>98</v>
      </c>
      <c r="E100">
        <f t="shared" si="12"/>
        <v>29.8</v>
      </c>
      <c r="F100">
        <f t="shared" ca="1" si="13"/>
        <v>33.72</v>
      </c>
      <c r="G100" s="1">
        <f t="shared" si="14"/>
        <v>0.81666666666666665</v>
      </c>
      <c r="H100" s="6">
        <f t="shared" ca="1" si="15"/>
        <v>1.1433333333333329</v>
      </c>
      <c r="I100" s="5">
        <f t="shared" ca="1" si="16"/>
        <v>0.32666666666666622</v>
      </c>
      <c r="J100" s="8">
        <f t="shared" ca="1" si="17"/>
        <v>0.77583333333333326</v>
      </c>
      <c r="K100" s="5">
        <f t="shared" ca="1" si="18"/>
        <v>4.0833333333333388E-2</v>
      </c>
      <c r="L100">
        <f t="shared" ca="1" si="19"/>
        <v>17949.582222222216</v>
      </c>
      <c r="M100">
        <f t="shared" ca="1" si="20"/>
        <v>17950</v>
      </c>
      <c r="N100" t="str">
        <f t="shared" ca="1" si="21"/>
        <v>0100011000011110</v>
      </c>
      <c r="O100">
        <f t="shared" ca="1" si="22"/>
        <v>10001100</v>
      </c>
    </row>
    <row r="101" spans="4:15" x14ac:dyDescent="0.25">
      <c r="D101">
        <v>99</v>
      </c>
      <c r="E101">
        <f t="shared" si="12"/>
        <v>29.9</v>
      </c>
      <c r="F101">
        <f t="shared" ca="1" si="13"/>
        <v>24.95</v>
      </c>
      <c r="G101" s="1">
        <f t="shared" si="14"/>
        <v>0.82499999999999951</v>
      </c>
      <c r="H101" s="6">
        <f t="shared" ca="1" si="15"/>
        <v>0.41249999999999987</v>
      </c>
      <c r="I101" s="5">
        <f t="shared" ca="1" si="16"/>
        <v>0.41249999999999964</v>
      </c>
      <c r="J101" s="8">
        <f t="shared" ca="1" si="17"/>
        <v>0.7837499999999995</v>
      </c>
      <c r="K101" s="5">
        <f t="shared" ca="1" si="18"/>
        <v>4.1250000000000009E-2</v>
      </c>
      <c r="L101">
        <f t="shared" ca="1" si="19"/>
        <v>9966.9333333333325</v>
      </c>
      <c r="M101">
        <f t="shared" ca="1" si="20"/>
        <v>9967</v>
      </c>
      <c r="N101" t="str">
        <f t="shared" ca="1" si="21"/>
        <v>0010011011101111</v>
      </c>
      <c r="O101">
        <f t="shared" ca="1" si="22"/>
        <v>1001101</v>
      </c>
    </row>
    <row r="102" spans="4:15" x14ac:dyDescent="0.25">
      <c r="D102">
        <v>100</v>
      </c>
      <c r="E102">
        <f t="shared" si="12"/>
        <v>30</v>
      </c>
      <c r="F102">
        <f t="shared" ca="1" si="13"/>
        <v>27</v>
      </c>
      <c r="G102" s="1">
        <f t="shared" si="14"/>
        <v>0.83333333333333326</v>
      </c>
      <c r="H102" s="6">
        <f t="shared" ca="1" si="15"/>
        <v>0.58333333333333326</v>
      </c>
      <c r="I102" s="5">
        <f t="shared" ca="1" si="16"/>
        <v>0.25</v>
      </c>
      <c r="J102" s="8">
        <f t="shared" ca="1" si="17"/>
        <v>0.79166666666666652</v>
      </c>
      <c r="K102" s="5">
        <f t="shared" ca="1" si="18"/>
        <v>4.1666666666666741E-2</v>
      </c>
      <c r="L102">
        <f t="shared" ca="1" si="19"/>
        <v>11832.888888888889</v>
      </c>
      <c r="M102">
        <f t="shared" ca="1" si="20"/>
        <v>11833</v>
      </c>
      <c r="N102" t="str">
        <f t="shared" ca="1" si="21"/>
        <v>0010111000111001</v>
      </c>
      <c r="O102">
        <f t="shared" ca="1" si="22"/>
        <v>1011100</v>
      </c>
    </row>
    <row r="103" spans="4:15" x14ac:dyDescent="0.25">
      <c r="D103">
        <v>101</v>
      </c>
      <c r="E103">
        <f t="shared" si="12"/>
        <v>30.1</v>
      </c>
      <c r="F103">
        <f t="shared" ca="1" si="13"/>
        <v>26.060000000000002</v>
      </c>
      <c r="G103" s="1">
        <f t="shared" si="14"/>
        <v>0.84166666666666656</v>
      </c>
      <c r="H103" s="6">
        <f t="shared" ca="1" si="15"/>
        <v>0.50500000000000012</v>
      </c>
      <c r="I103" s="5">
        <f t="shared" ca="1" si="16"/>
        <v>0.33666666666666645</v>
      </c>
      <c r="J103" s="8">
        <f t="shared" ca="1" si="17"/>
        <v>0.7995833333333332</v>
      </c>
      <c r="K103" s="5">
        <f t="shared" ca="1" si="18"/>
        <v>4.2083333333333361E-2</v>
      </c>
      <c r="L103">
        <f t="shared" ca="1" si="19"/>
        <v>10977.28</v>
      </c>
      <c r="M103">
        <f t="shared" ca="1" si="20"/>
        <v>10977</v>
      </c>
      <c r="N103" t="str">
        <f t="shared" ca="1" si="21"/>
        <v>0010101011100001</v>
      </c>
      <c r="O103">
        <f t="shared" ca="1" si="22"/>
        <v>1010101</v>
      </c>
    </row>
    <row r="104" spans="4:15" x14ac:dyDescent="0.25">
      <c r="D104">
        <v>102</v>
      </c>
      <c r="E104">
        <f t="shared" si="12"/>
        <v>30.200000000000003</v>
      </c>
      <c r="F104">
        <f t="shared" ca="1" si="13"/>
        <v>27.140000000000004</v>
      </c>
      <c r="G104" s="1">
        <f t="shared" si="14"/>
        <v>0.84999999999999987</v>
      </c>
      <c r="H104" s="6">
        <f t="shared" ca="1" si="15"/>
        <v>0.59499999999999997</v>
      </c>
      <c r="I104" s="5">
        <f t="shared" ca="1" si="16"/>
        <v>0.25499999999999989</v>
      </c>
      <c r="J104" s="8">
        <f t="shared" ca="1" si="17"/>
        <v>0.89249999999999985</v>
      </c>
      <c r="K104" s="5">
        <f t="shared" ca="1" si="18"/>
        <v>4.2499999999999982E-2</v>
      </c>
      <c r="L104">
        <f t="shared" ca="1" si="19"/>
        <v>11960.32</v>
      </c>
      <c r="M104">
        <f t="shared" ca="1" si="20"/>
        <v>11960</v>
      </c>
      <c r="N104" t="str">
        <f t="shared" ca="1" si="21"/>
        <v>0010111010111000</v>
      </c>
      <c r="O104">
        <f t="shared" ca="1" si="22"/>
        <v>1011101</v>
      </c>
    </row>
    <row r="105" spans="4:15" x14ac:dyDescent="0.25">
      <c r="D105">
        <v>103</v>
      </c>
      <c r="E105">
        <f t="shared" si="12"/>
        <v>30.3</v>
      </c>
      <c r="F105">
        <f t="shared" ca="1" si="13"/>
        <v>27.21</v>
      </c>
      <c r="G105" s="1">
        <f t="shared" si="14"/>
        <v>0.85833333333333317</v>
      </c>
      <c r="H105" s="6">
        <f t="shared" ca="1" si="15"/>
        <v>0.60083333333333333</v>
      </c>
      <c r="I105" s="5">
        <f t="shared" ca="1" si="16"/>
        <v>0.25749999999999984</v>
      </c>
      <c r="J105" s="8">
        <f t="shared" ca="1" si="17"/>
        <v>0.81541666666666646</v>
      </c>
      <c r="K105" s="5">
        <f t="shared" ca="1" si="18"/>
        <v>4.2916666666666714E-2</v>
      </c>
      <c r="L105">
        <f t="shared" ca="1" si="19"/>
        <v>12024.035555555556</v>
      </c>
      <c r="M105">
        <f t="shared" ca="1" si="20"/>
        <v>12024</v>
      </c>
      <c r="N105" t="str">
        <f t="shared" ca="1" si="21"/>
        <v>0010111011111000</v>
      </c>
      <c r="O105">
        <f t="shared" ca="1" si="22"/>
        <v>1011101</v>
      </c>
    </row>
    <row r="106" spans="4:15" x14ac:dyDescent="0.25">
      <c r="D106">
        <v>104</v>
      </c>
      <c r="E106">
        <f t="shared" si="12"/>
        <v>30.4</v>
      </c>
      <c r="F106">
        <f t="shared" ca="1" si="13"/>
        <v>25.2</v>
      </c>
      <c r="G106" s="1">
        <f t="shared" si="14"/>
        <v>0.86666666666666647</v>
      </c>
      <c r="H106" s="6">
        <f t="shared" ca="1" si="15"/>
        <v>0.4333333333333329</v>
      </c>
      <c r="I106" s="5">
        <f t="shared" ca="1" si="16"/>
        <v>0.43333333333333357</v>
      </c>
      <c r="J106" s="8">
        <f t="shared" ca="1" si="17"/>
        <v>0.82333333333333314</v>
      </c>
      <c r="K106" s="5">
        <f t="shared" ca="1" si="18"/>
        <v>4.3333333333333335E-2</v>
      </c>
      <c r="L106">
        <f t="shared" ca="1" si="19"/>
        <v>10194.488888888884</v>
      </c>
      <c r="M106">
        <f t="shared" ca="1" si="20"/>
        <v>10194</v>
      </c>
      <c r="N106" t="str">
        <f t="shared" ca="1" si="21"/>
        <v>0010011111010010</v>
      </c>
      <c r="O106">
        <f t="shared" ca="1" si="22"/>
        <v>1001111</v>
      </c>
    </row>
    <row r="107" spans="4:15" x14ac:dyDescent="0.25">
      <c r="D107">
        <v>105</v>
      </c>
      <c r="E107">
        <f t="shared" si="12"/>
        <v>30.5</v>
      </c>
      <c r="F107">
        <f t="shared" ca="1" si="13"/>
        <v>30.5</v>
      </c>
      <c r="G107" s="1">
        <f t="shared" si="14"/>
        <v>0.87499999999999978</v>
      </c>
      <c r="H107" s="6">
        <f t="shared" ca="1" si="15"/>
        <v>0.87499999999999978</v>
      </c>
      <c r="I107" s="5">
        <f t="shared" ca="1" si="16"/>
        <v>0</v>
      </c>
      <c r="J107" s="8">
        <f t="shared" ca="1" si="17"/>
        <v>0.91874999999999984</v>
      </c>
      <c r="K107" s="5">
        <f t="shared" ca="1" si="18"/>
        <v>4.3750000000000067E-2</v>
      </c>
      <c r="L107">
        <f t="shared" ca="1" si="19"/>
        <v>15018.666666666664</v>
      </c>
      <c r="M107">
        <f t="shared" ca="1" si="20"/>
        <v>15019</v>
      </c>
      <c r="N107" t="str">
        <f t="shared" ca="1" si="21"/>
        <v>0011101010101011</v>
      </c>
      <c r="O107">
        <f t="shared" ca="1" si="22"/>
        <v>1110101</v>
      </c>
    </row>
    <row r="108" spans="4:15" x14ac:dyDescent="0.25">
      <c r="D108">
        <v>106</v>
      </c>
      <c r="E108">
        <f t="shared" si="12"/>
        <v>30.6</v>
      </c>
      <c r="F108">
        <f t="shared" ca="1" si="13"/>
        <v>32.72</v>
      </c>
      <c r="G108" s="1">
        <f t="shared" si="14"/>
        <v>0.88333333333333308</v>
      </c>
      <c r="H108" s="6">
        <f t="shared" ca="1" si="15"/>
        <v>1.0599999999999998</v>
      </c>
      <c r="I108" s="5">
        <f t="shared" ca="1" si="16"/>
        <v>0.17666666666666675</v>
      </c>
      <c r="J108" s="8">
        <f t="shared" ca="1" si="17"/>
        <v>0.83916666666666639</v>
      </c>
      <c r="K108" s="5">
        <f t="shared" ca="1" si="18"/>
        <v>4.4166666666666687E-2</v>
      </c>
      <c r="L108">
        <f t="shared" ca="1" si="19"/>
        <v>17039.359999999997</v>
      </c>
      <c r="M108">
        <f t="shared" ca="1" si="20"/>
        <v>17039</v>
      </c>
      <c r="N108" t="str">
        <f t="shared" ca="1" si="21"/>
        <v>0100001010001111</v>
      </c>
      <c r="O108">
        <f t="shared" ca="1" si="22"/>
        <v>10000101</v>
      </c>
    </row>
    <row r="109" spans="4:15" x14ac:dyDescent="0.25">
      <c r="D109">
        <v>107</v>
      </c>
      <c r="E109">
        <f t="shared" si="12"/>
        <v>30.700000000000003</v>
      </c>
      <c r="F109">
        <f t="shared" ca="1" si="13"/>
        <v>29.630000000000003</v>
      </c>
      <c r="G109" s="1">
        <f t="shared" si="14"/>
        <v>0.89166666666666683</v>
      </c>
      <c r="H109" s="6">
        <f t="shared" ca="1" si="15"/>
        <v>0.80249999999999999</v>
      </c>
      <c r="I109" s="5">
        <f t="shared" ca="1" si="16"/>
        <v>8.9166666666666838E-2</v>
      </c>
      <c r="J109" s="8">
        <f t="shared" ca="1" si="17"/>
        <v>0.84708333333333341</v>
      </c>
      <c r="K109" s="5">
        <f t="shared" ca="1" si="18"/>
        <v>4.4583333333333419E-2</v>
      </c>
      <c r="L109">
        <f t="shared" ca="1" si="19"/>
        <v>14226.773333333333</v>
      </c>
      <c r="M109">
        <f t="shared" ca="1" si="20"/>
        <v>14227</v>
      </c>
      <c r="N109" t="str">
        <f t="shared" ca="1" si="21"/>
        <v>0011011110010011</v>
      </c>
      <c r="O109">
        <f t="shared" ca="1" si="22"/>
        <v>1101111</v>
      </c>
    </row>
    <row r="110" spans="4:15" x14ac:dyDescent="0.25">
      <c r="D110">
        <v>108</v>
      </c>
      <c r="E110">
        <f t="shared" si="12"/>
        <v>30.8</v>
      </c>
      <c r="F110">
        <f t="shared" ca="1" si="13"/>
        <v>36.200000000000003</v>
      </c>
      <c r="G110" s="1">
        <f t="shared" si="14"/>
        <v>0.89999999999999969</v>
      </c>
      <c r="H110" s="6">
        <f t="shared" ca="1" si="15"/>
        <v>1.3499999999999999</v>
      </c>
      <c r="I110" s="5">
        <f t="shared" ca="1" si="16"/>
        <v>0.45000000000000018</v>
      </c>
      <c r="J110" s="8">
        <f t="shared" ca="1" si="17"/>
        <v>0.85499999999999965</v>
      </c>
      <c r="K110" s="5">
        <f t="shared" ca="1" si="18"/>
        <v>4.500000000000004E-2</v>
      </c>
      <c r="L110">
        <f t="shared" ca="1" si="19"/>
        <v>20206.933333333331</v>
      </c>
      <c r="M110">
        <f t="shared" ca="1" si="20"/>
        <v>20207</v>
      </c>
      <c r="N110" t="str">
        <f t="shared" ca="1" si="21"/>
        <v>0100111011101111</v>
      </c>
      <c r="O110">
        <f t="shared" ca="1" si="22"/>
        <v>10011101</v>
      </c>
    </row>
    <row r="111" spans="4:15" x14ac:dyDescent="0.25">
      <c r="D111">
        <v>109</v>
      </c>
      <c r="E111">
        <f t="shared" si="12"/>
        <v>30.9</v>
      </c>
      <c r="F111">
        <f t="shared" ca="1" si="13"/>
        <v>29.81</v>
      </c>
      <c r="G111" s="1">
        <f t="shared" si="14"/>
        <v>0.90833333333333299</v>
      </c>
      <c r="H111" s="6">
        <f t="shared" ca="1" si="15"/>
        <v>0.81749999999999967</v>
      </c>
      <c r="I111" s="5">
        <f t="shared" ca="1" si="16"/>
        <v>9.0833333333333321E-2</v>
      </c>
      <c r="J111" s="8">
        <f t="shared" ca="1" si="17"/>
        <v>0.95374999999999965</v>
      </c>
      <c r="K111" s="5">
        <f t="shared" ca="1" si="18"/>
        <v>4.5416666666666661E-2</v>
      </c>
      <c r="L111">
        <f t="shared" ca="1" si="19"/>
        <v>14390.613333333329</v>
      </c>
      <c r="M111">
        <f t="shared" ca="1" si="20"/>
        <v>14391</v>
      </c>
      <c r="N111" t="str">
        <f t="shared" ca="1" si="21"/>
        <v>0011100000110111</v>
      </c>
      <c r="O111">
        <f t="shared" ca="1" si="22"/>
        <v>1110000</v>
      </c>
    </row>
    <row r="112" spans="4:15" x14ac:dyDescent="0.25">
      <c r="D112">
        <v>110</v>
      </c>
      <c r="E112">
        <f t="shared" si="12"/>
        <v>31</v>
      </c>
      <c r="F112">
        <f t="shared" ca="1" si="13"/>
        <v>32.1</v>
      </c>
      <c r="G112" s="1">
        <f t="shared" si="14"/>
        <v>0.9166666666666663</v>
      </c>
      <c r="H112" s="6">
        <f t="shared" ca="1" si="15"/>
        <v>1.0083333333333331</v>
      </c>
      <c r="I112" s="5">
        <f t="shared" ca="1" si="16"/>
        <v>9.1666666666666785E-2</v>
      </c>
      <c r="J112" s="8">
        <f t="shared" ca="1" si="17"/>
        <v>0.96249999999999969</v>
      </c>
      <c r="K112" s="5">
        <f t="shared" ca="1" si="18"/>
        <v>4.5833333333333393E-2</v>
      </c>
      <c r="L112">
        <f t="shared" ca="1" si="19"/>
        <v>16475.022222222218</v>
      </c>
      <c r="M112">
        <f t="shared" ca="1" si="20"/>
        <v>16475</v>
      </c>
      <c r="N112" t="str">
        <f t="shared" ca="1" si="21"/>
        <v>0100000001011011</v>
      </c>
      <c r="O112">
        <f t="shared" ca="1" si="22"/>
        <v>10000000</v>
      </c>
    </row>
    <row r="113" spans="4:15" x14ac:dyDescent="0.25">
      <c r="D113">
        <v>111</v>
      </c>
      <c r="E113">
        <f t="shared" si="12"/>
        <v>31.1</v>
      </c>
      <c r="F113">
        <f t="shared" ca="1" si="13"/>
        <v>33.32</v>
      </c>
      <c r="G113" s="1">
        <f t="shared" si="14"/>
        <v>0.92500000000000004</v>
      </c>
      <c r="H113" s="6">
        <f t="shared" ca="1" si="15"/>
        <v>1.1099999999999997</v>
      </c>
      <c r="I113" s="5">
        <f t="shared" ca="1" si="16"/>
        <v>0.18499999999999961</v>
      </c>
      <c r="J113" s="8">
        <f t="shared" ca="1" si="17"/>
        <v>0.87875000000000003</v>
      </c>
      <c r="K113" s="5">
        <f t="shared" ca="1" si="18"/>
        <v>4.6250000000000013E-2</v>
      </c>
      <c r="L113">
        <f t="shared" ca="1" si="19"/>
        <v>17585.493333333328</v>
      </c>
      <c r="M113">
        <f t="shared" ca="1" si="20"/>
        <v>17585</v>
      </c>
      <c r="N113" t="str">
        <f t="shared" ca="1" si="21"/>
        <v>0100010010110001</v>
      </c>
      <c r="O113">
        <f t="shared" ca="1" si="22"/>
        <v>10001001</v>
      </c>
    </row>
    <row r="114" spans="4:15" x14ac:dyDescent="0.25">
      <c r="D114">
        <v>112</v>
      </c>
      <c r="E114">
        <f t="shared" si="12"/>
        <v>31.200000000000003</v>
      </c>
      <c r="F114">
        <f t="shared" ca="1" si="13"/>
        <v>36.800000000000004</v>
      </c>
      <c r="G114" s="1">
        <f t="shared" si="14"/>
        <v>0.93333333333333335</v>
      </c>
      <c r="H114" s="6">
        <f t="shared" ca="1" si="15"/>
        <v>1.4000000000000001</v>
      </c>
      <c r="I114" s="5">
        <f t="shared" ca="1" si="16"/>
        <v>0.46666666666666679</v>
      </c>
      <c r="J114" s="8">
        <f t="shared" ca="1" si="17"/>
        <v>0.8866666666666666</v>
      </c>
      <c r="K114" s="5">
        <f t="shared" ca="1" si="18"/>
        <v>4.6666666666666745E-2</v>
      </c>
      <c r="L114">
        <f t="shared" ca="1" si="19"/>
        <v>20753.066666666669</v>
      </c>
      <c r="M114">
        <f t="shared" ca="1" si="20"/>
        <v>20753</v>
      </c>
      <c r="N114" t="str">
        <f t="shared" ca="1" si="21"/>
        <v>0101000100010001</v>
      </c>
      <c r="O114">
        <f t="shared" ca="1" si="22"/>
        <v>10100010</v>
      </c>
    </row>
    <row r="115" spans="4:15" x14ac:dyDescent="0.25">
      <c r="D115">
        <v>113</v>
      </c>
      <c r="E115">
        <f t="shared" si="12"/>
        <v>31.3</v>
      </c>
      <c r="F115">
        <f t="shared" ca="1" si="13"/>
        <v>27.91</v>
      </c>
      <c r="G115" s="1">
        <f t="shared" si="14"/>
        <v>0.94166666666666665</v>
      </c>
      <c r="H115" s="6">
        <f t="shared" ca="1" si="15"/>
        <v>0.65916666666666646</v>
      </c>
      <c r="I115" s="5">
        <f t="shared" ca="1" si="16"/>
        <v>0.2825000000000002</v>
      </c>
      <c r="J115" s="8">
        <f t="shared" ca="1" si="17"/>
        <v>0.89458333333333329</v>
      </c>
      <c r="K115" s="5">
        <f t="shared" ca="1" si="18"/>
        <v>4.7083333333333366E-2</v>
      </c>
      <c r="L115">
        <f t="shared" ca="1" si="19"/>
        <v>12661.191111111109</v>
      </c>
      <c r="M115">
        <f t="shared" ca="1" si="20"/>
        <v>12661</v>
      </c>
      <c r="N115" t="str">
        <f t="shared" ca="1" si="21"/>
        <v>0011000101110101</v>
      </c>
      <c r="O115">
        <f t="shared" ca="1" si="22"/>
        <v>1100010</v>
      </c>
    </row>
    <row r="116" spans="4:15" x14ac:dyDescent="0.25">
      <c r="D116">
        <v>114</v>
      </c>
      <c r="E116">
        <f t="shared" si="12"/>
        <v>31.4</v>
      </c>
      <c r="F116">
        <f t="shared" ca="1" si="13"/>
        <v>27.979999999999997</v>
      </c>
      <c r="G116" s="1">
        <f t="shared" si="14"/>
        <v>0.94999999999999951</v>
      </c>
      <c r="H116" s="6">
        <f t="shared" ca="1" si="15"/>
        <v>0.66499999999999937</v>
      </c>
      <c r="I116" s="5">
        <f t="shared" ca="1" si="16"/>
        <v>0.28500000000000014</v>
      </c>
      <c r="J116" s="8">
        <f t="shared" ca="1" si="17"/>
        <v>0.9974999999999995</v>
      </c>
      <c r="K116" s="5">
        <f t="shared" ca="1" si="18"/>
        <v>4.7499999999999987E-2</v>
      </c>
      <c r="L116">
        <f t="shared" ca="1" si="19"/>
        <v>12724.90666666666</v>
      </c>
      <c r="M116">
        <f t="shared" ca="1" si="20"/>
        <v>12725</v>
      </c>
      <c r="N116" t="str">
        <f t="shared" ca="1" si="21"/>
        <v>0011000110110101</v>
      </c>
      <c r="O116">
        <f t="shared" ca="1" si="22"/>
        <v>1100011</v>
      </c>
    </row>
    <row r="117" spans="4:15" x14ac:dyDescent="0.25">
      <c r="D117">
        <v>115</v>
      </c>
      <c r="E117">
        <f t="shared" si="12"/>
        <v>31.5</v>
      </c>
      <c r="F117">
        <f t="shared" ca="1" si="13"/>
        <v>31.5</v>
      </c>
      <c r="G117" s="1">
        <f t="shared" si="14"/>
        <v>0.95833333333333326</v>
      </c>
      <c r="H117" s="6">
        <f t="shared" ca="1" si="15"/>
        <v>0.95833333333333326</v>
      </c>
      <c r="I117" s="5">
        <f t="shared" ca="1" si="16"/>
        <v>0</v>
      </c>
      <c r="J117" s="8">
        <f t="shared" ca="1" si="17"/>
        <v>0.91041666666666654</v>
      </c>
      <c r="K117" s="5">
        <f t="shared" ca="1" si="18"/>
        <v>4.7916666666666718E-2</v>
      </c>
      <c r="L117">
        <f t="shared" ca="1" si="19"/>
        <v>15928.888888888889</v>
      </c>
      <c r="M117">
        <f t="shared" ca="1" si="20"/>
        <v>15929</v>
      </c>
      <c r="N117" t="str">
        <f t="shared" ca="1" si="21"/>
        <v>0011111000111001</v>
      </c>
      <c r="O117">
        <f t="shared" ca="1" si="22"/>
        <v>1111100</v>
      </c>
    </row>
    <row r="118" spans="4:15" x14ac:dyDescent="0.25">
      <c r="D118">
        <v>116</v>
      </c>
      <c r="E118">
        <f t="shared" si="12"/>
        <v>31.6</v>
      </c>
      <c r="F118">
        <f t="shared" ca="1" si="13"/>
        <v>26.96</v>
      </c>
      <c r="G118" s="1">
        <f t="shared" si="14"/>
        <v>0.96666666666666656</v>
      </c>
      <c r="H118" s="6">
        <f t="shared" ca="1" si="15"/>
        <v>0.57999999999999985</v>
      </c>
      <c r="I118" s="5">
        <f t="shared" ca="1" si="16"/>
        <v>0.38666666666666671</v>
      </c>
      <c r="J118" s="8">
        <f t="shared" ca="1" si="17"/>
        <v>0.91833333333333322</v>
      </c>
      <c r="K118" s="5">
        <f t="shared" ca="1" si="18"/>
        <v>4.8333333333333339E-2</v>
      </c>
      <c r="L118">
        <f t="shared" ca="1" si="19"/>
        <v>11796.479999999998</v>
      </c>
      <c r="M118">
        <f t="shared" ca="1" si="20"/>
        <v>11796</v>
      </c>
      <c r="N118" t="str">
        <f t="shared" ca="1" si="21"/>
        <v>0010111000010100</v>
      </c>
      <c r="O118">
        <f t="shared" ca="1" si="22"/>
        <v>1011100</v>
      </c>
    </row>
    <row r="119" spans="4:15" x14ac:dyDescent="0.25">
      <c r="D119">
        <v>117</v>
      </c>
      <c r="E119">
        <f t="shared" si="12"/>
        <v>31.700000000000003</v>
      </c>
      <c r="F119">
        <f t="shared" ca="1" si="13"/>
        <v>30.53</v>
      </c>
      <c r="G119" s="1">
        <f t="shared" si="14"/>
        <v>0.97499999999999987</v>
      </c>
      <c r="H119" s="6">
        <f t="shared" ca="1" si="15"/>
        <v>0.87749999999999972</v>
      </c>
      <c r="I119" s="5">
        <f t="shared" ca="1" si="16"/>
        <v>9.7500000000000142E-2</v>
      </c>
      <c r="J119" s="8">
        <f t="shared" ca="1" si="17"/>
        <v>1.0237499999999999</v>
      </c>
      <c r="K119" s="5">
        <f t="shared" ca="1" si="18"/>
        <v>4.8750000000000071E-2</v>
      </c>
      <c r="L119">
        <f t="shared" ca="1" si="19"/>
        <v>15045.97333333333</v>
      </c>
      <c r="M119">
        <f t="shared" ca="1" si="20"/>
        <v>15046</v>
      </c>
      <c r="N119" t="str">
        <f t="shared" ca="1" si="21"/>
        <v>0011101011000110</v>
      </c>
      <c r="O119">
        <f t="shared" ca="1" si="22"/>
        <v>1110101</v>
      </c>
    </row>
    <row r="120" spans="4:15" x14ac:dyDescent="0.25">
      <c r="D120">
        <v>118</v>
      </c>
      <c r="E120">
        <f t="shared" si="12"/>
        <v>31.8</v>
      </c>
      <c r="F120">
        <f t="shared" ca="1" si="13"/>
        <v>28.26</v>
      </c>
      <c r="G120" s="1">
        <f t="shared" si="14"/>
        <v>0.98333333333333317</v>
      </c>
      <c r="H120" s="6">
        <f t="shared" ca="1" si="15"/>
        <v>0.68833333333333324</v>
      </c>
      <c r="I120" s="5">
        <f t="shared" ca="1" si="16"/>
        <v>0.29499999999999993</v>
      </c>
      <c r="J120" s="8">
        <f t="shared" ca="1" si="17"/>
        <v>0.93416666666666648</v>
      </c>
      <c r="K120" s="5">
        <f t="shared" ca="1" si="18"/>
        <v>4.9166666666666692E-2</v>
      </c>
      <c r="L120">
        <f t="shared" ca="1" si="19"/>
        <v>12979.768888888888</v>
      </c>
      <c r="M120">
        <f t="shared" ca="1" si="20"/>
        <v>12980</v>
      </c>
      <c r="N120" t="str">
        <f t="shared" ca="1" si="21"/>
        <v>0011001010110100</v>
      </c>
      <c r="O120">
        <f t="shared" ca="1" si="22"/>
        <v>1100101</v>
      </c>
    </row>
    <row r="121" spans="4:15" x14ac:dyDescent="0.25">
      <c r="D121">
        <v>119</v>
      </c>
      <c r="E121">
        <f t="shared" si="12"/>
        <v>31.9</v>
      </c>
      <c r="F121">
        <f t="shared" ca="1" si="13"/>
        <v>28.33</v>
      </c>
      <c r="G121" s="1">
        <f t="shared" si="14"/>
        <v>0.99166666666666647</v>
      </c>
      <c r="H121" s="6">
        <f t="shared" ca="1" si="15"/>
        <v>0.69416666666666615</v>
      </c>
      <c r="I121" s="5">
        <f t="shared" ca="1" si="16"/>
        <v>0.29750000000000032</v>
      </c>
      <c r="J121" s="8">
        <f t="shared" ca="1" si="17"/>
        <v>0.94208333333333316</v>
      </c>
      <c r="K121" s="5">
        <f t="shared" ca="1" si="18"/>
        <v>4.9583333333333313E-2</v>
      </c>
      <c r="L121">
        <f t="shared" ca="1" si="19"/>
        <v>13043.484444444439</v>
      </c>
      <c r="M121">
        <f t="shared" ca="1" si="20"/>
        <v>13043</v>
      </c>
      <c r="N121" t="str">
        <f t="shared" ca="1" si="21"/>
        <v>0011001011110011</v>
      </c>
      <c r="O121">
        <f t="shared" ca="1" si="22"/>
        <v>1100101</v>
      </c>
    </row>
    <row r="122" spans="4:15" x14ac:dyDescent="0.25">
      <c r="D122">
        <v>120</v>
      </c>
      <c r="E122">
        <f t="shared" si="12"/>
        <v>32</v>
      </c>
      <c r="F122">
        <f t="shared" ca="1" si="13"/>
        <v>32</v>
      </c>
      <c r="G122" s="1">
        <f t="shared" si="14"/>
        <v>0.99999999999999978</v>
      </c>
      <c r="H122" s="6">
        <f t="shared" ca="1" si="15"/>
        <v>0.99999999999999978</v>
      </c>
      <c r="I122" s="5">
        <f t="shared" ca="1" si="16"/>
        <v>0</v>
      </c>
      <c r="J122" s="8">
        <f t="shared" ca="1" si="17"/>
        <v>1.0499999999999998</v>
      </c>
      <c r="K122" s="5">
        <f t="shared" ca="1" si="18"/>
        <v>5.0000000000000044E-2</v>
      </c>
      <c r="L122">
        <f t="shared" ca="1" si="19"/>
        <v>16383.999999999998</v>
      </c>
      <c r="M122">
        <f t="shared" ca="1" si="20"/>
        <v>16384</v>
      </c>
      <c r="N122" t="str">
        <f t="shared" ca="1" si="21"/>
        <v>0100000000000000</v>
      </c>
      <c r="O122">
        <f t="shared" ca="1" si="22"/>
        <v>10000000</v>
      </c>
    </row>
    <row r="123" spans="4:15" x14ac:dyDescent="0.25">
      <c r="D123">
        <v>121</v>
      </c>
      <c r="E123">
        <f t="shared" si="12"/>
        <v>32.1</v>
      </c>
      <c r="F123">
        <f t="shared" ca="1" si="13"/>
        <v>29.68</v>
      </c>
      <c r="G123" s="1">
        <f t="shared" si="14"/>
        <v>1.0083333333333331</v>
      </c>
      <c r="H123" s="6">
        <f t="shared" ca="1" si="15"/>
        <v>0.80666666666666642</v>
      </c>
      <c r="I123" s="5">
        <f t="shared" ca="1" si="16"/>
        <v>0.20166666666666666</v>
      </c>
      <c r="J123" s="8">
        <f t="shared" ca="1" si="17"/>
        <v>1.0587499999999999</v>
      </c>
      <c r="K123" s="5">
        <f t="shared" ca="1" si="18"/>
        <v>5.0416666666666776E-2</v>
      </c>
      <c r="L123">
        <f t="shared" ca="1" si="19"/>
        <v>14272.284444444442</v>
      </c>
      <c r="M123">
        <f t="shared" ca="1" si="20"/>
        <v>14272</v>
      </c>
      <c r="N123" t="str">
        <f t="shared" ca="1" si="21"/>
        <v>0011011111000000</v>
      </c>
      <c r="O123">
        <f t="shared" ca="1" si="22"/>
        <v>1101111</v>
      </c>
    </row>
    <row r="124" spans="4:15" x14ac:dyDescent="0.25">
      <c r="D124">
        <v>122</v>
      </c>
      <c r="E124">
        <f t="shared" si="12"/>
        <v>32.200000000000003</v>
      </c>
      <c r="F124">
        <f t="shared" ca="1" si="13"/>
        <v>26.1</v>
      </c>
      <c r="G124" s="1">
        <f t="shared" si="14"/>
        <v>1.0166666666666668</v>
      </c>
      <c r="H124" s="6">
        <f t="shared" ca="1" si="15"/>
        <v>0.50833333333333308</v>
      </c>
      <c r="I124" s="5">
        <f t="shared" ca="1" si="16"/>
        <v>0.50833333333333375</v>
      </c>
      <c r="J124" s="8">
        <f t="shared" ca="1" si="17"/>
        <v>1.0675000000000001</v>
      </c>
      <c r="K124" s="5">
        <f t="shared" ca="1" si="18"/>
        <v>5.0833333333333286E-2</v>
      </c>
      <c r="L124">
        <f t="shared" ca="1" si="19"/>
        <v>11013.688888888886</v>
      </c>
      <c r="M124">
        <f t="shared" ca="1" si="20"/>
        <v>11014</v>
      </c>
      <c r="N124" t="str">
        <f t="shared" ca="1" si="21"/>
        <v>0010101100000110</v>
      </c>
      <c r="O124">
        <f t="shared" ca="1" si="22"/>
        <v>1010110</v>
      </c>
    </row>
    <row r="125" spans="4:15" x14ac:dyDescent="0.25">
      <c r="D125">
        <v>123</v>
      </c>
      <c r="E125">
        <f t="shared" si="12"/>
        <v>32.299999999999997</v>
      </c>
      <c r="F125">
        <f t="shared" ca="1" si="13"/>
        <v>29.839999999999996</v>
      </c>
      <c r="G125" s="1">
        <f t="shared" si="14"/>
        <v>1.0249999999999997</v>
      </c>
      <c r="H125" s="6">
        <f t="shared" ca="1" si="15"/>
        <v>0.81999999999999962</v>
      </c>
      <c r="I125" s="5">
        <f t="shared" ca="1" si="16"/>
        <v>0.20500000000000007</v>
      </c>
      <c r="J125" s="8">
        <f t="shared" ca="1" si="17"/>
        <v>1.0762499999999997</v>
      </c>
      <c r="K125" s="5">
        <f t="shared" ca="1" si="18"/>
        <v>5.1250000000000018E-2</v>
      </c>
      <c r="L125">
        <f t="shared" ca="1" si="19"/>
        <v>14417.919999999996</v>
      </c>
      <c r="M125">
        <f t="shared" ca="1" si="20"/>
        <v>14418</v>
      </c>
      <c r="N125" t="str">
        <f t="shared" ca="1" si="21"/>
        <v>0011100001010010</v>
      </c>
      <c r="O125">
        <f t="shared" ca="1" si="22"/>
        <v>1110000</v>
      </c>
    </row>
    <row r="126" spans="4:15" x14ac:dyDescent="0.25">
      <c r="D126">
        <v>124</v>
      </c>
      <c r="E126">
        <f t="shared" si="12"/>
        <v>32.4</v>
      </c>
      <c r="F126">
        <f t="shared" ca="1" si="13"/>
        <v>37.36</v>
      </c>
      <c r="G126" s="1">
        <f t="shared" si="14"/>
        <v>1.033333333333333</v>
      </c>
      <c r="H126" s="6">
        <f t="shared" ca="1" si="15"/>
        <v>1.4466666666666665</v>
      </c>
      <c r="I126" s="5">
        <f t="shared" ca="1" si="16"/>
        <v>0.41333333333333355</v>
      </c>
      <c r="J126" s="8">
        <f t="shared" ca="1" si="17"/>
        <v>1.0849999999999997</v>
      </c>
      <c r="K126" s="5">
        <f t="shared" ca="1" si="18"/>
        <v>5.166666666666675E-2</v>
      </c>
      <c r="L126">
        <f t="shared" ca="1" si="19"/>
        <v>21262.79111111111</v>
      </c>
      <c r="M126">
        <f t="shared" ca="1" si="20"/>
        <v>21263</v>
      </c>
      <c r="N126" t="str">
        <f t="shared" ca="1" si="21"/>
        <v>0101001100001111</v>
      </c>
      <c r="O126">
        <f t="shared" ca="1" si="22"/>
        <v>10100110</v>
      </c>
    </row>
    <row r="127" spans="4:15" x14ac:dyDescent="0.25">
      <c r="D127">
        <v>125</v>
      </c>
      <c r="E127">
        <f t="shared" si="12"/>
        <v>32.5</v>
      </c>
      <c r="F127">
        <f t="shared" ca="1" si="13"/>
        <v>31.25</v>
      </c>
      <c r="G127" s="1">
        <f t="shared" si="14"/>
        <v>1.0416666666666663</v>
      </c>
      <c r="H127" s="6">
        <f t="shared" ca="1" si="15"/>
        <v>0.93749999999999978</v>
      </c>
      <c r="I127" s="5">
        <f t="shared" ca="1" si="16"/>
        <v>0.10416666666666652</v>
      </c>
      <c r="J127" s="8">
        <f t="shared" ca="1" si="17"/>
        <v>1.0937499999999996</v>
      </c>
      <c r="K127" s="5">
        <f t="shared" ca="1" si="18"/>
        <v>5.2083333333333259E-2</v>
      </c>
      <c r="L127">
        <f t="shared" ca="1" si="19"/>
        <v>15701.33333333333</v>
      </c>
      <c r="M127">
        <f t="shared" ca="1" si="20"/>
        <v>15701</v>
      </c>
      <c r="N127" t="str">
        <f t="shared" ca="1" si="21"/>
        <v>0011110101010101</v>
      </c>
      <c r="O127">
        <f t="shared" ca="1" si="22"/>
        <v>1111010</v>
      </c>
    </row>
    <row r="128" spans="4:15" x14ac:dyDescent="0.25">
      <c r="D128">
        <v>126</v>
      </c>
      <c r="E128">
        <f t="shared" si="12"/>
        <v>32.6</v>
      </c>
      <c r="F128">
        <f t="shared" ca="1" si="13"/>
        <v>35.120000000000005</v>
      </c>
      <c r="G128" s="1">
        <f t="shared" si="14"/>
        <v>1.05</v>
      </c>
      <c r="H128" s="6">
        <f t="shared" ca="1" si="15"/>
        <v>1.26</v>
      </c>
      <c r="I128" s="5">
        <f t="shared" ca="1" si="16"/>
        <v>0.20999999999999996</v>
      </c>
      <c r="J128" s="8">
        <f t="shared" ca="1" si="17"/>
        <v>1.1025</v>
      </c>
      <c r="K128" s="5">
        <f t="shared" ca="1" si="18"/>
        <v>5.2499999999999991E-2</v>
      </c>
      <c r="L128">
        <f t="shared" ca="1" si="19"/>
        <v>19223.893333333333</v>
      </c>
      <c r="M128">
        <f t="shared" ca="1" si="20"/>
        <v>19224</v>
      </c>
      <c r="N128" t="str">
        <f t="shared" ca="1" si="21"/>
        <v>0100101100011000</v>
      </c>
      <c r="O128">
        <f t="shared" ca="1" si="22"/>
        <v>10010110</v>
      </c>
    </row>
    <row r="129" spans="4:15" x14ac:dyDescent="0.25">
      <c r="D129">
        <v>127</v>
      </c>
      <c r="E129">
        <f t="shared" si="12"/>
        <v>32.700000000000003</v>
      </c>
      <c r="F129">
        <f t="shared" ca="1" si="13"/>
        <v>37.78</v>
      </c>
      <c r="G129" s="1">
        <f t="shared" si="14"/>
        <v>1.0583333333333333</v>
      </c>
      <c r="H129" s="6">
        <f t="shared" ca="1" si="15"/>
        <v>1.4816666666666667</v>
      </c>
      <c r="I129" s="5">
        <f t="shared" ca="1" si="16"/>
        <v>0.42333333333333334</v>
      </c>
      <c r="J129" s="8">
        <f t="shared" ca="1" si="17"/>
        <v>1.0054166666666666</v>
      </c>
      <c r="K129" s="5">
        <f t="shared" ca="1" si="18"/>
        <v>5.2916666666666723E-2</v>
      </c>
      <c r="L129">
        <f t="shared" ca="1" si="19"/>
        <v>21645.084444444445</v>
      </c>
      <c r="M129">
        <f t="shared" ca="1" si="20"/>
        <v>21645</v>
      </c>
      <c r="N129" t="str">
        <f t="shared" ca="1" si="21"/>
        <v>0101010010001101</v>
      </c>
      <c r="O129">
        <f t="shared" ca="1" si="22"/>
        <v>10101001</v>
      </c>
    </row>
    <row r="130" spans="4:15" x14ac:dyDescent="0.25">
      <c r="D130">
        <v>128</v>
      </c>
      <c r="E130">
        <f t="shared" si="12"/>
        <v>32.799999999999997</v>
      </c>
      <c r="F130">
        <f t="shared" ca="1" si="13"/>
        <v>30.24</v>
      </c>
      <c r="G130" s="1">
        <f t="shared" si="14"/>
        <v>1.0666666666666662</v>
      </c>
      <c r="H130" s="6">
        <f t="shared" ca="1" si="15"/>
        <v>0.85333333333333283</v>
      </c>
      <c r="I130" s="5">
        <f t="shared" ca="1" si="16"/>
        <v>0.21333333333333337</v>
      </c>
      <c r="J130" s="8">
        <f t="shared" ca="1" si="17"/>
        <v>1.1199999999999997</v>
      </c>
      <c r="K130" s="5">
        <f t="shared" ca="1" si="18"/>
        <v>5.3333333333333455E-2</v>
      </c>
      <c r="L130">
        <f t="shared" ca="1" si="19"/>
        <v>14782.008888888884</v>
      </c>
      <c r="M130">
        <f t="shared" ca="1" si="20"/>
        <v>14782</v>
      </c>
      <c r="N130" t="str">
        <f t="shared" ca="1" si="21"/>
        <v>0011100110111110</v>
      </c>
      <c r="O130">
        <f t="shared" ca="1" si="22"/>
        <v>1110011</v>
      </c>
    </row>
    <row r="131" spans="4:15" x14ac:dyDescent="0.25">
      <c r="D131">
        <v>129</v>
      </c>
      <c r="E131">
        <f t="shared" ref="E131:E194" si="23">0.1*D131+20</f>
        <v>32.9</v>
      </c>
      <c r="F131">
        <f t="shared" ref="F131:F194" ca="1" si="24">0.1*D131+20 + (RANDBETWEEN(-5,5)/100)*D131</f>
        <v>39.35</v>
      </c>
      <c r="G131" s="1">
        <f t="shared" ref="G131:G194" si="25">1/12*E131-5/3</f>
        <v>1.0749999999999995</v>
      </c>
      <c r="H131" s="6">
        <f t="shared" ref="H131:H194" ca="1" si="26">1/12*F131-5/3</f>
        <v>1.6125</v>
      </c>
      <c r="I131" s="5">
        <f t="shared" ref="I131:I194" ca="1" si="27">ABS(G131-H131)</f>
        <v>0.53750000000000053</v>
      </c>
      <c r="J131" s="8">
        <f t="shared" ref="J131:J194" ca="1" si="28" xml:space="preserve"> G131 * (1 + $B$1 * IF(RANDBETWEEN(0,1)=0,-1,1))</f>
        <v>1.0212499999999995</v>
      </c>
      <c r="K131" s="5">
        <f t="shared" ref="K131:K194" ca="1" si="29">ABS(G131-J131)</f>
        <v>5.3749999999999964E-2</v>
      </c>
      <c r="L131">
        <f t="shared" ref="L131:L194" ca="1" si="30">(H131-$B$2)/($B$3-$B$2)*(2^$B$4)</f>
        <v>23074.133333333331</v>
      </c>
      <c r="M131">
        <f t="shared" ref="M131:M194" ca="1" si="31">ROUND(L131,0)</f>
        <v>23074</v>
      </c>
      <c r="N131" t="str">
        <f t="shared" ref="N131:N194" ca="1" si="32">_xlfn.BASE(M131,2,$B$4)</f>
        <v>0101101000100010</v>
      </c>
      <c r="O131">
        <f t="shared" ref="O131:O194" ca="1" si="33">VALUE(LEFT(N131,9))</f>
        <v>10110100</v>
      </c>
    </row>
    <row r="132" spans="4:15" x14ac:dyDescent="0.25">
      <c r="D132">
        <v>130</v>
      </c>
      <c r="E132">
        <f t="shared" si="23"/>
        <v>33</v>
      </c>
      <c r="F132">
        <f t="shared" ca="1" si="24"/>
        <v>33</v>
      </c>
      <c r="G132" s="1">
        <f t="shared" si="25"/>
        <v>1.0833333333333333</v>
      </c>
      <c r="H132" s="6">
        <f t="shared" ca="1" si="26"/>
        <v>1.0833333333333333</v>
      </c>
      <c r="I132" s="5">
        <f t="shared" ca="1" si="27"/>
        <v>0</v>
      </c>
      <c r="J132" s="8">
        <f t="shared" ca="1" si="28"/>
        <v>1.1375</v>
      </c>
      <c r="K132" s="5">
        <f t="shared" ca="1" si="29"/>
        <v>5.4166666666666696E-2</v>
      </c>
      <c r="L132">
        <f t="shared" ca="1" si="30"/>
        <v>17294.222222222223</v>
      </c>
      <c r="M132">
        <f t="shared" ca="1" si="31"/>
        <v>17294</v>
      </c>
      <c r="N132" t="str">
        <f t="shared" ca="1" si="32"/>
        <v>0100001110001110</v>
      </c>
      <c r="O132">
        <f t="shared" ca="1" si="33"/>
        <v>10000111</v>
      </c>
    </row>
    <row r="133" spans="4:15" x14ac:dyDescent="0.25">
      <c r="D133">
        <v>131</v>
      </c>
      <c r="E133">
        <f t="shared" si="23"/>
        <v>33.1</v>
      </c>
      <c r="F133">
        <f t="shared" ca="1" si="24"/>
        <v>26.55</v>
      </c>
      <c r="G133" s="1">
        <f t="shared" si="25"/>
        <v>1.0916666666666666</v>
      </c>
      <c r="H133" s="6">
        <f t="shared" ca="1" si="26"/>
        <v>0.54583333333333317</v>
      </c>
      <c r="I133" s="5">
        <f t="shared" ca="1" si="27"/>
        <v>0.54583333333333339</v>
      </c>
      <c r="J133" s="8">
        <f t="shared" ca="1" si="28"/>
        <v>1.14625</v>
      </c>
      <c r="K133" s="5">
        <f t="shared" ca="1" si="29"/>
        <v>5.4583333333333428E-2</v>
      </c>
      <c r="L133">
        <f t="shared" ca="1" si="30"/>
        <v>11423.288888888887</v>
      </c>
      <c r="M133">
        <f t="shared" ca="1" si="31"/>
        <v>11423</v>
      </c>
      <c r="N133" t="str">
        <f t="shared" ca="1" si="32"/>
        <v>0010110010011111</v>
      </c>
      <c r="O133">
        <f t="shared" ca="1" si="33"/>
        <v>1011001</v>
      </c>
    </row>
    <row r="134" spans="4:15" x14ac:dyDescent="0.25">
      <c r="D134">
        <v>132</v>
      </c>
      <c r="E134">
        <f t="shared" si="23"/>
        <v>33.200000000000003</v>
      </c>
      <c r="F134">
        <f t="shared" ca="1" si="24"/>
        <v>33.200000000000003</v>
      </c>
      <c r="G134" s="1">
        <f t="shared" si="25"/>
        <v>1.0999999999999999</v>
      </c>
      <c r="H134" s="6">
        <f t="shared" ca="1" si="26"/>
        <v>1.0999999999999999</v>
      </c>
      <c r="I134" s="5">
        <f t="shared" ca="1" si="27"/>
        <v>0</v>
      </c>
      <c r="J134" s="8">
        <f t="shared" ca="1" si="28"/>
        <v>1.1549999999999998</v>
      </c>
      <c r="K134" s="5">
        <f t="shared" ca="1" si="29"/>
        <v>5.4999999999999938E-2</v>
      </c>
      <c r="L134">
        <f t="shared" ca="1" si="30"/>
        <v>17476.266666666666</v>
      </c>
      <c r="M134">
        <f t="shared" ca="1" si="31"/>
        <v>17476</v>
      </c>
      <c r="N134" t="str">
        <f t="shared" ca="1" si="32"/>
        <v>0100010001000100</v>
      </c>
      <c r="O134">
        <f t="shared" ca="1" si="33"/>
        <v>10001000</v>
      </c>
    </row>
    <row r="135" spans="4:15" x14ac:dyDescent="0.25">
      <c r="D135">
        <v>133</v>
      </c>
      <c r="E135">
        <f t="shared" si="23"/>
        <v>33.299999999999997</v>
      </c>
      <c r="F135">
        <f t="shared" ca="1" si="24"/>
        <v>29.31</v>
      </c>
      <c r="G135" s="1">
        <f t="shared" si="25"/>
        <v>1.1083333333333327</v>
      </c>
      <c r="H135" s="6">
        <f t="shared" ca="1" si="26"/>
        <v>0.77583333333333315</v>
      </c>
      <c r="I135" s="5">
        <f t="shared" ca="1" si="27"/>
        <v>0.33249999999999957</v>
      </c>
      <c r="J135" s="8">
        <f t="shared" ca="1" si="28"/>
        <v>1.1637499999999994</v>
      </c>
      <c r="K135" s="5">
        <f t="shared" ca="1" si="29"/>
        <v>5.541666666666667E-2</v>
      </c>
      <c r="L135">
        <f t="shared" ca="1" si="30"/>
        <v>13935.50222222222</v>
      </c>
      <c r="M135">
        <f t="shared" ca="1" si="31"/>
        <v>13936</v>
      </c>
      <c r="N135" t="str">
        <f t="shared" ca="1" si="32"/>
        <v>0011011001110000</v>
      </c>
      <c r="O135">
        <f t="shared" ca="1" si="33"/>
        <v>1101100</v>
      </c>
    </row>
    <row r="136" spans="4:15" x14ac:dyDescent="0.25">
      <c r="D136">
        <v>134</v>
      </c>
      <c r="E136">
        <f t="shared" si="23"/>
        <v>33.4</v>
      </c>
      <c r="F136">
        <f t="shared" ca="1" si="24"/>
        <v>40.1</v>
      </c>
      <c r="G136" s="1">
        <f t="shared" si="25"/>
        <v>1.1166666666666665</v>
      </c>
      <c r="H136" s="6">
        <f t="shared" ca="1" si="26"/>
        <v>1.675</v>
      </c>
      <c r="I136" s="5">
        <f t="shared" ca="1" si="27"/>
        <v>0.55833333333333357</v>
      </c>
      <c r="J136" s="8">
        <f t="shared" ca="1" si="28"/>
        <v>1.1724999999999999</v>
      </c>
      <c r="K136" s="5">
        <f t="shared" ca="1" si="29"/>
        <v>5.5833333333333401E-2</v>
      </c>
      <c r="L136">
        <f t="shared" ca="1" si="30"/>
        <v>23756.799999999999</v>
      </c>
      <c r="M136">
        <f t="shared" ca="1" si="31"/>
        <v>23757</v>
      </c>
      <c r="N136" t="str">
        <f t="shared" ca="1" si="32"/>
        <v>0101110011001101</v>
      </c>
      <c r="O136">
        <f t="shared" ca="1" si="33"/>
        <v>10111001</v>
      </c>
    </row>
    <row r="137" spans="4:15" x14ac:dyDescent="0.25">
      <c r="D137">
        <v>135</v>
      </c>
      <c r="E137">
        <f t="shared" si="23"/>
        <v>33.5</v>
      </c>
      <c r="F137">
        <f t="shared" ca="1" si="24"/>
        <v>34.85</v>
      </c>
      <c r="G137" s="1">
        <f t="shared" si="25"/>
        <v>1.1249999999999998</v>
      </c>
      <c r="H137" s="6">
        <f t="shared" ca="1" si="26"/>
        <v>1.2375</v>
      </c>
      <c r="I137" s="5">
        <f t="shared" ca="1" si="27"/>
        <v>0.11250000000000027</v>
      </c>
      <c r="J137" s="8">
        <f t="shared" ca="1" si="28"/>
        <v>1.1812499999999999</v>
      </c>
      <c r="K137" s="5">
        <f t="shared" ca="1" si="29"/>
        <v>5.6250000000000133E-2</v>
      </c>
      <c r="L137">
        <f t="shared" ca="1" si="30"/>
        <v>18978.133333333335</v>
      </c>
      <c r="M137">
        <f t="shared" ca="1" si="31"/>
        <v>18978</v>
      </c>
      <c r="N137" t="str">
        <f t="shared" ca="1" si="32"/>
        <v>0100101000100010</v>
      </c>
      <c r="O137">
        <f t="shared" ca="1" si="33"/>
        <v>10010100</v>
      </c>
    </row>
    <row r="138" spans="4:15" x14ac:dyDescent="0.25">
      <c r="D138">
        <v>136</v>
      </c>
      <c r="E138">
        <f t="shared" si="23"/>
        <v>33.6</v>
      </c>
      <c r="F138">
        <f t="shared" ca="1" si="24"/>
        <v>37.68</v>
      </c>
      <c r="G138" s="1">
        <f t="shared" si="25"/>
        <v>1.1333333333333331</v>
      </c>
      <c r="H138" s="6">
        <f t="shared" ca="1" si="26"/>
        <v>1.4733333333333329</v>
      </c>
      <c r="I138" s="5">
        <f t="shared" ca="1" si="27"/>
        <v>0.33999999999999986</v>
      </c>
      <c r="J138" s="8">
        <f t="shared" ca="1" si="28"/>
        <v>1.1899999999999997</v>
      </c>
      <c r="K138" s="5">
        <f t="shared" ca="1" si="29"/>
        <v>5.6666666666666643E-2</v>
      </c>
      <c r="L138">
        <f t="shared" ca="1" si="30"/>
        <v>21554.062222222219</v>
      </c>
      <c r="M138">
        <f t="shared" ca="1" si="31"/>
        <v>21554</v>
      </c>
      <c r="N138" t="str">
        <f t="shared" ca="1" si="32"/>
        <v>0101010000110010</v>
      </c>
      <c r="O138">
        <f t="shared" ca="1" si="33"/>
        <v>10101000</v>
      </c>
    </row>
    <row r="139" spans="4:15" x14ac:dyDescent="0.25">
      <c r="D139">
        <v>137</v>
      </c>
      <c r="E139">
        <f t="shared" si="23"/>
        <v>33.700000000000003</v>
      </c>
      <c r="F139">
        <f t="shared" ca="1" si="24"/>
        <v>30.96</v>
      </c>
      <c r="G139" s="1">
        <f t="shared" si="25"/>
        <v>1.1416666666666668</v>
      </c>
      <c r="H139" s="6">
        <f t="shared" ca="1" si="26"/>
        <v>0.91333333333333333</v>
      </c>
      <c r="I139" s="5">
        <f t="shared" ca="1" si="27"/>
        <v>0.2283333333333335</v>
      </c>
      <c r="J139" s="8">
        <f t="shared" ca="1" si="28"/>
        <v>1.0845833333333335</v>
      </c>
      <c r="K139" s="5">
        <f t="shared" ca="1" si="29"/>
        <v>5.7083333333333375E-2</v>
      </c>
      <c r="L139">
        <f t="shared" ca="1" si="30"/>
        <v>15437.368888888888</v>
      </c>
      <c r="M139">
        <f t="shared" ca="1" si="31"/>
        <v>15437</v>
      </c>
      <c r="N139" t="str">
        <f t="shared" ca="1" si="32"/>
        <v>0011110001001101</v>
      </c>
      <c r="O139">
        <f t="shared" ca="1" si="33"/>
        <v>1111000</v>
      </c>
    </row>
    <row r="140" spans="4:15" x14ac:dyDescent="0.25">
      <c r="D140">
        <v>138</v>
      </c>
      <c r="E140">
        <f t="shared" si="23"/>
        <v>33.799999999999997</v>
      </c>
      <c r="F140">
        <f t="shared" ca="1" si="24"/>
        <v>29.659999999999997</v>
      </c>
      <c r="G140" s="1">
        <f t="shared" si="25"/>
        <v>1.1499999999999997</v>
      </c>
      <c r="H140" s="6">
        <f t="shared" ca="1" si="26"/>
        <v>0.80499999999999949</v>
      </c>
      <c r="I140" s="5">
        <f t="shared" ca="1" si="27"/>
        <v>0.3450000000000002</v>
      </c>
      <c r="J140" s="8">
        <f t="shared" ca="1" si="28"/>
        <v>1.0924999999999996</v>
      </c>
      <c r="K140" s="5">
        <f t="shared" ca="1" si="29"/>
        <v>5.7500000000000107E-2</v>
      </c>
      <c r="L140">
        <f t="shared" ca="1" si="30"/>
        <v>14254.079999999994</v>
      </c>
      <c r="M140">
        <f t="shared" ca="1" si="31"/>
        <v>14254</v>
      </c>
      <c r="N140" t="str">
        <f t="shared" ca="1" si="32"/>
        <v>0011011110101110</v>
      </c>
      <c r="O140">
        <f t="shared" ca="1" si="33"/>
        <v>1101111</v>
      </c>
    </row>
    <row r="141" spans="4:15" x14ac:dyDescent="0.25">
      <c r="D141">
        <v>139</v>
      </c>
      <c r="E141">
        <f t="shared" si="23"/>
        <v>33.9</v>
      </c>
      <c r="F141">
        <f t="shared" ca="1" si="24"/>
        <v>33.9</v>
      </c>
      <c r="G141" s="1">
        <f t="shared" si="25"/>
        <v>1.158333333333333</v>
      </c>
      <c r="H141" s="6">
        <f t="shared" ca="1" si="26"/>
        <v>1.158333333333333</v>
      </c>
      <c r="I141" s="5">
        <f t="shared" ca="1" si="27"/>
        <v>0</v>
      </c>
      <c r="J141" s="8">
        <f t="shared" ca="1" si="28"/>
        <v>1.1004166666666664</v>
      </c>
      <c r="K141" s="5">
        <f t="shared" ca="1" si="29"/>
        <v>5.7916666666666616E-2</v>
      </c>
      <c r="L141">
        <f t="shared" ca="1" si="30"/>
        <v>18113.42222222222</v>
      </c>
      <c r="M141">
        <f t="shared" ca="1" si="31"/>
        <v>18113</v>
      </c>
      <c r="N141" t="str">
        <f t="shared" ca="1" si="32"/>
        <v>0100011011000001</v>
      </c>
      <c r="O141">
        <f t="shared" ca="1" si="33"/>
        <v>10001101</v>
      </c>
    </row>
    <row r="142" spans="4:15" x14ac:dyDescent="0.25">
      <c r="D142">
        <v>140</v>
      </c>
      <c r="E142">
        <f t="shared" si="23"/>
        <v>34</v>
      </c>
      <c r="F142">
        <f t="shared" ca="1" si="24"/>
        <v>31.2</v>
      </c>
      <c r="G142" s="1">
        <f t="shared" si="25"/>
        <v>1.1666666666666663</v>
      </c>
      <c r="H142" s="6">
        <f t="shared" ca="1" si="26"/>
        <v>0.9333333333333329</v>
      </c>
      <c r="I142" s="5">
        <f t="shared" ca="1" si="27"/>
        <v>0.23333333333333339</v>
      </c>
      <c r="J142" s="8">
        <f t="shared" ca="1" si="28"/>
        <v>1.2249999999999996</v>
      </c>
      <c r="K142" s="5">
        <f t="shared" ca="1" si="29"/>
        <v>5.8333333333333348E-2</v>
      </c>
      <c r="L142">
        <f t="shared" ca="1" si="30"/>
        <v>15655.822222222218</v>
      </c>
      <c r="M142">
        <f t="shared" ca="1" si="31"/>
        <v>15656</v>
      </c>
      <c r="N142" t="str">
        <f t="shared" ca="1" si="32"/>
        <v>0011110100101000</v>
      </c>
      <c r="O142">
        <f t="shared" ca="1" si="33"/>
        <v>1111010</v>
      </c>
    </row>
    <row r="143" spans="4:15" x14ac:dyDescent="0.25">
      <c r="D143">
        <v>141</v>
      </c>
      <c r="E143">
        <f t="shared" si="23"/>
        <v>34.1</v>
      </c>
      <c r="F143">
        <f t="shared" ca="1" si="24"/>
        <v>34.1</v>
      </c>
      <c r="G143" s="1">
        <f t="shared" si="25"/>
        <v>1.175</v>
      </c>
      <c r="H143" s="6">
        <f t="shared" ca="1" si="26"/>
        <v>1.175</v>
      </c>
      <c r="I143" s="5">
        <f t="shared" ca="1" si="27"/>
        <v>0</v>
      </c>
      <c r="J143" s="8">
        <f t="shared" ca="1" si="28"/>
        <v>1.2337500000000001</v>
      </c>
      <c r="K143" s="5">
        <f t="shared" ca="1" si="29"/>
        <v>5.875000000000008E-2</v>
      </c>
      <c r="L143">
        <f t="shared" ca="1" si="30"/>
        <v>18295.466666666667</v>
      </c>
      <c r="M143">
        <f t="shared" ca="1" si="31"/>
        <v>18295</v>
      </c>
      <c r="N143" t="str">
        <f t="shared" ca="1" si="32"/>
        <v>0100011101110111</v>
      </c>
      <c r="O143">
        <f t="shared" ca="1" si="33"/>
        <v>10001110</v>
      </c>
    </row>
    <row r="144" spans="4:15" x14ac:dyDescent="0.25">
      <c r="D144">
        <v>142</v>
      </c>
      <c r="E144">
        <f t="shared" si="23"/>
        <v>34.200000000000003</v>
      </c>
      <c r="F144">
        <f t="shared" ca="1" si="24"/>
        <v>41.300000000000004</v>
      </c>
      <c r="G144" s="1">
        <f t="shared" si="25"/>
        <v>1.1833333333333333</v>
      </c>
      <c r="H144" s="6">
        <f t="shared" ca="1" si="26"/>
        <v>1.7750000000000001</v>
      </c>
      <c r="I144" s="5">
        <f t="shared" ca="1" si="27"/>
        <v>0.59166666666666679</v>
      </c>
      <c r="J144" s="8">
        <f t="shared" ca="1" si="28"/>
        <v>1.2425000000000002</v>
      </c>
      <c r="K144" s="5">
        <f t="shared" ca="1" si="29"/>
        <v>5.9166666666666812E-2</v>
      </c>
      <c r="L144">
        <f t="shared" ca="1" si="30"/>
        <v>24849.066666666669</v>
      </c>
      <c r="M144">
        <f t="shared" ca="1" si="31"/>
        <v>24849</v>
      </c>
      <c r="N144" t="str">
        <f t="shared" ca="1" si="32"/>
        <v>0110000100010001</v>
      </c>
      <c r="O144">
        <f t="shared" ca="1" si="33"/>
        <v>11000010</v>
      </c>
    </row>
    <row r="145" spans="4:15" x14ac:dyDescent="0.25">
      <c r="D145">
        <v>143</v>
      </c>
      <c r="E145">
        <f t="shared" si="23"/>
        <v>34.299999999999997</v>
      </c>
      <c r="F145">
        <f t="shared" ca="1" si="24"/>
        <v>37.159999999999997</v>
      </c>
      <c r="G145" s="1">
        <f t="shared" si="25"/>
        <v>1.1916666666666662</v>
      </c>
      <c r="H145" s="6">
        <f t="shared" ca="1" si="26"/>
        <v>1.4299999999999995</v>
      </c>
      <c r="I145" s="5">
        <f t="shared" ca="1" si="27"/>
        <v>0.23833333333333329</v>
      </c>
      <c r="J145" s="8">
        <f t="shared" ca="1" si="28"/>
        <v>1.1320833333333329</v>
      </c>
      <c r="K145" s="5">
        <f t="shared" ca="1" si="29"/>
        <v>5.9583333333333321E-2</v>
      </c>
      <c r="L145">
        <f t="shared" ca="1" si="30"/>
        <v>21080.746666666662</v>
      </c>
      <c r="M145">
        <f t="shared" ca="1" si="31"/>
        <v>21081</v>
      </c>
      <c r="N145" t="str">
        <f t="shared" ca="1" si="32"/>
        <v>0101001001011001</v>
      </c>
      <c r="O145">
        <f t="shared" ca="1" si="33"/>
        <v>10100100</v>
      </c>
    </row>
    <row r="146" spans="4:15" x14ac:dyDescent="0.25">
      <c r="D146">
        <v>144</v>
      </c>
      <c r="E146">
        <f t="shared" si="23"/>
        <v>34.4</v>
      </c>
      <c r="F146">
        <f t="shared" ca="1" si="24"/>
        <v>40.159999999999997</v>
      </c>
      <c r="G146" s="1">
        <f t="shared" si="25"/>
        <v>1.1999999999999995</v>
      </c>
      <c r="H146" s="6">
        <f t="shared" ca="1" si="26"/>
        <v>1.6799999999999995</v>
      </c>
      <c r="I146" s="5">
        <f t="shared" ca="1" si="27"/>
        <v>0.48</v>
      </c>
      <c r="J146" s="8">
        <f t="shared" ca="1" si="28"/>
        <v>1.1399999999999995</v>
      </c>
      <c r="K146" s="5">
        <f t="shared" ca="1" si="29"/>
        <v>6.0000000000000053E-2</v>
      </c>
      <c r="L146">
        <f t="shared" ca="1" si="30"/>
        <v>23811.41333333333</v>
      </c>
      <c r="M146">
        <f t="shared" ca="1" si="31"/>
        <v>23811</v>
      </c>
      <c r="N146" t="str">
        <f t="shared" ca="1" si="32"/>
        <v>0101110100000011</v>
      </c>
      <c r="O146">
        <f t="shared" ca="1" si="33"/>
        <v>10111010</v>
      </c>
    </row>
    <row r="147" spans="4:15" x14ac:dyDescent="0.25">
      <c r="D147">
        <v>145</v>
      </c>
      <c r="E147">
        <f t="shared" si="23"/>
        <v>34.5</v>
      </c>
      <c r="F147">
        <f t="shared" ca="1" si="24"/>
        <v>40.299999999999997</v>
      </c>
      <c r="G147" s="1">
        <f t="shared" si="25"/>
        <v>1.2083333333333333</v>
      </c>
      <c r="H147" s="6">
        <f t="shared" ca="1" si="26"/>
        <v>1.6916666666666662</v>
      </c>
      <c r="I147" s="5">
        <f t="shared" ca="1" si="27"/>
        <v>0.48333333333333295</v>
      </c>
      <c r="J147" s="8">
        <f t="shared" ca="1" si="28"/>
        <v>1.26875</v>
      </c>
      <c r="K147" s="5">
        <f t="shared" ca="1" si="29"/>
        <v>6.0416666666666785E-2</v>
      </c>
      <c r="L147">
        <f t="shared" ca="1" si="30"/>
        <v>23938.844444444443</v>
      </c>
      <c r="M147">
        <f t="shared" ca="1" si="31"/>
        <v>23939</v>
      </c>
      <c r="N147" t="str">
        <f t="shared" ca="1" si="32"/>
        <v>0101110110000011</v>
      </c>
      <c r="O147">
        <f t="shared" ca="1" si="33"/>
        <v>10111011</v>
      </c>
    </row>
    <row r="148" spans="4:15" x14ac:dyDescent="0.25">
      <c r="D148">
        <v>146</v>
      </c>
      <c r="E148">
        <f t="shared" si="23"/>
        <v>34.6</v>
      </c>
      <c r="F148">
        <f t="shared" ca="1" si="24"/>
        <v>27.3</v>
      </c>
      <c r="G148" s="1">
        <f t="shared" si="25"/>
        <v>1.2166666666666666</v>
      </c>
      <c r="H148" s="6">
        <f t="shared" ca="1" si="26"/>
        <v>0.60833333333333317</v>
      </c>
      <c r="I148" s="5">
        <f t="shared" ca="1" si="27"/>
        <v>0.60833333333333339</v>
      </c>
      <c r="J148" s="8">
        <f t="shared" ca="1" si="28"/>
        <v>1.2774999999999999</v>
      </c>
      <c r="K148" s="5">
        <f t="shared" ca="1" si="29"/>
        <v>6.0833333333333295E-2</v>
      </c>
      <c r="L148">
        <f t="shared" ca="1" si="30"/>
        <v>12105.955555555554</v>
      </c>
      <c r="M148">
        <f t="shared" ca="1" si="31"/>
        <v>12106</v>
      </c>
      <c r="N148" t="str">
        <f t="shared" ca="1" si="32"/>
        <v>0010111101001010</v>
      </c>
      <c r="O148">
        <f t="shared" ca="1" si="33"/>
        <v>1011110</v>
      </c>
    </row>
    <row r="149" spans="4:15" x14ac:dyDescent="0.25">
      <c r="D149">
        <v>147</v>
      </c>
      <c r="E149">
        <f t="shared" si="23"/>
        <v>34.700000000000003</v>
      </c>
      <c r="F149">
        <f t="shared" ca="1" si="24"/>
        <v>39.11</v>
      </c>
      <c r="G149" s="1">
        <f t="shared" si="25"/>
        <v>1.2249999999999999</v>
      </c>
      <c r="H149" s="6">
        <f t="shared" ca="1" si="26"/>
        <v>1.5924999999999996</v>
      </c>
      <c r="I149" s="5">
        <f t="shared" ca="1" si="27"/>
        <v>0.36749999999999972</v>
      </c>
      <c r="J149" s="8">
        <f t="shared" ca="1" si="28"/>
        <v>1.1637499999999998</v>
      </c>
      <c r="K149" s="5">
        <f t="shared" ca="1" si="29"/>
        <v>6.1250000000000027E-2</v>
      </c>
      <c r="L149">
        <f t="shared" ca="1" si="30"/>
        <v>22855.679999999993</v>
      </c>
      <c r="M149">
        <f t="shared" ca="1" si="31"/>
        <v>22856</v>
      </c>
      <c r="N149" t="str">
        <f t="shared" ca="1" si="32"/>
        <v>0101100101001000</v>
      </c>
      <c r="O149">
        <f t="shared" ca="1" si="33"/>
        <v>10110010</v>
      </c>
    </row>
    <row r="150" spans="4:15" x14ac:dyDescent="0.25">
      <c r="D150">
        <v>148</v>
      </c>
      <c r="E150">
        <f t="shared" si="23"/>
        <v>34.799999999999997</v>
      </c>
      <c r="F150">
        <f t="shared" ca="1" si="24"/>
        <v>42.199999999999996</v>
      </c>
      <c r="G150" s="1">
        <f t="shared" si="25"/>
        <v>1.2333333333333327</v>
      </c>
      <c r="H150" s="6">
        <f t="shared" ca="1" si="26"/>
        <v>1.8499999999999994</v>
      </c>
      <c r="I150" s="5">
        <f t="shared" ca="1" si="27"/>
        <v>0.6166666666666667</v>
      </c>
      <c r="J150" s="8">
        <f t="shared" ca="1" si="28"/>
        <v>1.171666666666666</v>
      </c>
      <c r="K150" s="5">
        <f t="shared" ca="1" si="29"/>
        <v>6.1666666666666758E-2</v>
      </c>
      <c r="L150">
        <f t="shared" ca="1" si="30"/>
        <v>25668.266666666663</v>
      </c>
      <c r="M150">
        <f t="shared" ca="1" si="31"/>
        <v>25668</v>
      </c>
      <c r="N150" t="str">
        <f t="shared" ca="1" si="32"/>
        <v>0110010001000100</v>
      </c>
      <c r="O150">
        <f t="shared" ca="1" si="33"/>
        <v>11001000</v>
      </c>
    </row>
    <row r="151" spans="4:15" x14ac:dyDescent="0.25">
      <c r="D151">
        <v>149</v>
      </c>
      <c r="E151">
        <f t="shared" si="23"/>
        <v>34.9</v>
      </c>
      <c r="F151">
        <f t="shared" ca="1" si="24"/>
        <v>40.86</v>
      </c>
      <c r="G151" s="1">
        <f t="shared" si="25"/>
        <v>1.2416666666666665</v>
      </c>
      <c r="H151" s="6">
        <f t="shared" ca="1" si="26"/>
        <v>1.7383333333333331</v>
      </c>
      <c r="I151" s="5">
        <f t="shared" ca="1" si="27"/>
        <v>0.49666666666666659</v>
      </c>
      <c r="J151" s="8">
        <f t="shared" ca="1" si="28"/>
        <v>1.3037499999999997</v>
      </c>
      <c r="K151" s="5">
        <f t="shared" ca="1" si="29"/>
        <v>6.2083333333333268E-2</v>
      </c>
      <c r="L151">
        <f t="shared" ca="1" si="30"/>
        <v>24448.568888888887</v>
      </c>
      <c r="M151">
        <f t="shared" ca="1" si="31"/>
        <v>24449</v>
      </c>
      <c r="N151" t="str">
        <f t="shared" ca="1" si="32"/>
        <v>0101111110000001</v>
      </c>
      <c r="O151">
        <f t="shared" ca="1" si="33"/>
        <v>10111111</v>
      </c>
    </row>
    <row r="152" spans="4:15" x14ac:dyDescent="0.25">
      <c r="D152">
        <v>150</v>
      </c>
      <c r="E152">
        <f t="shared" si="23"/>
        <v>35</v>
      </c>
      <c r="F152">
        <f t="shared" ca="1" si="24"/>
        <v>38</v>
      </c>
      <c r="G152" s="1">
        <f t="shared" si="25"/>
        <v>1.2499999999999998</v>
      </c>
      <c r="H152" s="6">
        <f t="shared" ca="1" si="26"/>
        <v>1.4999999999999998</v>
      </c>
      <c r="I152" s="5">
        <f t="shared" ca="1" si="27"/>
        <v>0.25</v>
      </c>
      <c r="J152" s="8">
        <f t="shared" ca="1" si="28"/>
        <v>1.1874999999999998</v>
      </c>
      <c r="K152" s="5">
        <f t="shared" ca="1" si="29"/>
        <v>6.25E-2</v>
      </c>
      <c r="L152">
        <f t="shared" ca="1" si="30"/>
        <v>21845.333333333332</v>
      </c>
      <c r="M152">
        <f t="shared" ca="1" si="31"/>
        <v>21845</v>
      </c>
      <c r="N152" t="str">
        <f t="shared" ca="1" si="32"/>
        <v>0101010101010101</v>
      </c>
      <c r="O152">
        <f t="shared" ca="1" si="33"/>
        <v>10101010</v>
      </c>
    </row>
    <row r="153" spans="4:15" x14ac:dyDescent="0.25">
      <c r="D153">
        <v>151</v>
      </c>
      <c r="E153">
        <f t="shared" si="23"/>
        <v>35.1</v>
      </c>
      <c r="F153">
        <f t="shared" ca="1" si="24"/>
        <v>35.1</v>
      </c>
      <c r="G153" s="1">
        <f t="shared" si="25"/>
        <v>1.2583333333333331</v>
      </c>
      <c r="H153" s="6">
        <f t="shared" ca="1" si="26"/>
        <v>1.2583333333333331</v>
      </c>
      <c r="I153" s="5">
        <f t="shared" ca="1" si="27"/>
        <v>0</v>
      </c>
      <c r="J153" s="8">
        <f t="shared" ca="1" si="28"/>
        <v>1.1954166666666663</v>
      </c>
      <c r="K153" s="5">
        <f t="shared" ca="1" si="29"/>
        <v>6.2916666666666732E-2</v>
      </c>
      <c r="L153">
        <f t="shared" ca="1" si="30"/>
        <v>19205.688888888886</v>
      </c>
      <c r="M153">
        <f t="shared" ca="1" si="31"/>
        <v>19206</v>
      </c>
      <c r="N153" t="str">
        <f t="shared" ca="1" si="32"/>
        <v>0100101100000110</v>
      </c>
      <c r="O153">
        <f t="shared" ca="1" si="33"/>
        <v>10010110</v>
      </c>
    </row>
    <row r="154" spans="4:15" x14ac:dyDescent="0.25">
      <c r="D154">
        <v>152</v>
      </c>
      <c r="E154">
        <f t="shared" si="23"/>
        <v>35.200000000000003</v>
      </c>
      <c r="F154">
        <f t="shared" ca="1" si="24"/>
        <v>36.720000000000006</v>
      </c>
      <c r="G154" s="1">
        <f t="shared" si="25"/>
        <v>1.2666666666666668</v>
      </c>
      <c r="H154" s="6">
        <f t="shared" ca="1" si="26"/>
        <v>1.3933333333333338</v>
      </c>
      <c r="I154" s="5">
        <f t="shared" ca="1" si="27"/>
        <v>0.12666666666666693</v>
      </c>
      <c r="J154" s="8">
        <f t="shared" ca="1" si="28"/>
        <v>1.3300000000000003</v>
      </c>
      <c r="K154" s="5">
        <f t="shared" ca="1" si="29"/>
        <v>6.3333333333333464E-2</v>
      </c>
      <c r="L154">
        <f t="shared" ca="1" si="30"/>
        <v>20680.248888888895</v>
      </c>
      <c r="M154">
        <f t="shared" ca="1" si="31"/>
        <v>20680</v>
      </c>
      <c r="N154" t="str">
        <f t="shared" ca="1" si="32"/>
        <v>0101000011001000</v>
      </c>
      <c r="O154">
        <f t="shared" ca="1" si="33"/>
        <v>10100001</v>
      </c>
    </row>
    <row r="155" spans="4:15" x14ac:dyDescent="0.25">
      <c r="D155">
        <v>153</v>
      </c>
      <c r="E155">
        <f t="shared" si="23"/>
        <v>35.299999999999997</v>
      </c>
      <c r="F155">
        <f t="shared" ca="1" si="24"/>
        <v>41.419999999999995</v>
      </c>
      <c r="G155" s="1">
        <f t="shared" si="25"/>
        <v>1.2749999999999997</v>
      </c>
      <c r="H155" s="6">
        <f t="shared" ca="1" si="26"/>
        <v>1.7849999999999995</v>
      </c>
      <c r="I155" s="5">
        <f t="shared" ca="1" si="27"/>
        <v>0.50999999999999979</v>
      </c>
      <c r="J155" s="8">
        <f t="shared" ca="1" si="28"/>
        <v>1.3387499999999997</v>
      </c>
      <c r="K155" s="5">
        <f t="shared" ca="1" si="29"/>
        <v>6.3749999999999973E-2</v>
      </c>
      <c r="L155">
        <f t="shared" ca="1" si="30"/>
        <v>24958.293333333324</v>
      </c>
      <c r="M155">
        <f t="shared" ca="1" si="31"/>
        <v>24958</v>
      </c>
      <c r="N155" t="str">
        <f t="shared" ca="1" si="32"/>
        <v>0110000101111110</v>
      </c>
      <c r="O155">
        <f t="shared" ca="1" si="33"/>
        <v>11000010</v>
      </c>
    </row>
    <row r="156" spans="4:15" x14ac:dyDescent="0.25">
      <c r="D156">
        <v>154</v>
      </c>
      <c r="E156">
        <f t="shared" si="23"/>
        <v>35.4</v>
      </c>
      <c r="F156">
        <f t="shared" ca="1" si="24"/>
        <v>30.779999999999998</v>
      </c>
      <c r="G156" s="1">
        <f t="shared" si="25"/>
        <v>1.283333333333333</v>
      </c>
      <c r="H156" s="6">
        <f t="shared" ca="1" si="26"/>
        <v>0.89833333333333276</v>
      </c>
      <c r="I156" s="5">
        <f t="shared" ca="1" si="27"/>
        <v>0.38500000000000023</v>
      </c>
      <c r="J156" s="8">
        <f t="shared" ca="1" si="28"/>
        <v>1.3474999999999997</v>
      </c>
      <c r="K156" s="5">
        <f t="shared" ca="1" si="29"/>
        <v>6.4166666666666705E-2</v>
      </c>
      <c r="L156">
        <f t="shared" ca="1" si="30"/>
        <v>15273.528888888883</v>
      </c>
      <c r="M156">
        <f t="shared" ca="1" si="31"/>
        <v>15274</v>
      </c>
      <c r="N156" t="str">
        <f t="shared" ca="1" si="32"/>
        <v>0011101110101010</v>
      </c>
      <c r="O156">
        <f t="shared" ca="1" si="33"/>
        <v>1110111</v>
      </c>
    </row>
    <row r="157" spans="4:15" x14ac:dyDescent="0.25">
      <c r="D157">
        <v>155</v>
      </c>
      <c r="E157">
        <f t="shared" si="23"/>
        <v>35.5</v>
      </c>
      <c r="F157">
        <f t="shared" ca="1" si="24"/>
        <v>37.049999999999997</v>
      </c>
      <c r="G157" s="1">
        <f t="shared" si="25"/>
        <v>1.2916666666666663</v>
      </c>
      <c r="H157" s="6">
        <f t="shared" ca="1" si="26"/>
        <v>1.4208333333333327</v>
      </c>
      <c r="I157" s="5">
        <f t="shared" ca="1" si="27"/>
        <v>0.12916666666666643</v>
      </c>
      <c r="J157" s="8">
        <f t="shared" ca="1" si="28"/>
        <v>1.2270833333333329</v>
      </c>
      <c r="K157" s="5">
        <f t="shared" ca="1" si="29"/>
        <v>6.4583333333333437E-2</v>
      </c>
      <c r="L157">
        <f t="shared" ca="1" si="30"/>
        <v>20980.622222222217</v>
      </c>
      <c r="M157">
        <f t="shared" ca="1" si="31"/>
        <v>20981</v>
      </c>
      <c r="N157" t="str">
        <f t="shared" ca="1" si="32"/>
        <v>0101000111110101</v>
      </c>
      <c r="O157">
        <f t="shared" ca="1" si="33"/>
        <v>10100011</v>
      </c>
    </row>
    <row r="158" spans="4:15" x14ac:dyDescent="0.25">
      <c r="D158">
        <v>156</v>
      </c>
      <c r="E158">
        <f t="shared" si="23"/>
        <v>35.6</v>
      </c>
      <c r="F158">
        <f t="shared" ca="1" si="24"/>
        <v>41.84</v>
      </c>
      <c r="G158" s="1">
        <f t="shared" si="25"/>
        <v>1.3</v>
      </c>
      <c r="H158" s="6">
        <f t="shared" ca="1" si="26"/>
        <v>1.82</v>
      </c>
      <c r="I158" s="5">
        <f t="shared" ca="1" si="27"/>
        <v>0.52</v>
      </c>
      <c r="J158" s="8">
        <f t="shared" ca="1" si="28"/>
        <v>1.2349999999999999</v>
      </c>
      <c r="K158" s="5">
        <f t="shared" ca="1" si="29"/>
        <v>6.5000000000000169E-2</v>
      </c>
      <c r="L158">
        <f t="shared" ca="1" si="30"/>
        <v>25340.58666666667</v>
      </c>
      <c r="M158">
        <f t="shared" ca="1" si="31"/>
        <v>25341</v>
      </c>
      <c r="N158" t="str">
        <f t="shared" ca="1" si="32"/>
        <v>0110001011111101</v>
      </c>
      <c r="O158">
        <f t="shared" ca="1" si="33"/>
        <v>11000101</v>
      </c>
    </row>
    <row r="159" spans="4:15" x14ac:dyDescent="0.25">
      <c r="D159">
        <v>157</v>
      </c>
      <c r="E159">
        <f t="shared" si="23"/>
        <v>35.700000000000003</v>
      </c>
      <c r="F159">
        <f t="shared" ca="1" si="24"/>
        <v>32.56</v>
      </c>
      <c r="G159" s="1">
        <f t="shared" si="25"/>
        <v>1.3083333333333333</v>
      </c>
      <c r="H159" s="6">
        <f t="shared" ca="1" si="26"/>
        <v>1.0466666666666666</v>
      </c>
      <c r="I159" s="5">
        <f t="shared" ca="1" si="27"/>
        <v>0.26166666666666671</v>
      </c>
      <c r="J159" s="8">
        <f t="shared" ca="1" si="28"/>
        <v>1.37375</v>
      </c>
      <c r="K159" s="5">
        <f t="shared" ca="1" si="29"/>
        <v>6.5416666666666679E-2</v>
      </c>
      <c r="L159">
        <f t="shared" ca="1" si="30"/>
        <v>16893.724444444444</v>
      </c>
      <c r="M159">
        <f t="shared" ca="1" si="31"/>
        <v>16894</v>
      </c>
      <c r="N159" t="str">
        <f t="shared" ca="1" si="32"/>
        <v>0100000111111110</v>
      </c>
      <c r="O159">
        <f t="shared" ca="1" si="33"/>
        <v>10000011</v>
      </c>
    </row>
    <row r="160" spans="4:15" x14ac:dyDescent="0.25">
      <c r="D160">
        <v>158</v>
      </c>
      <c r="E160">
        <f t="shared" si="23"/>
        <v>35.799999999999997</v>
      </c>
      <c r="F160">
        <f t="shared" ca="1" si="24"/>
        <v>43.699999999999996</v>
      </c>
      <c r="G160" s="1">
        <f t="shared" si="25"/>
        <v>1.3166666666666662</v>
      </c>
      <c r="H160" s="6">
        <f t="shared" ca="1" si="26"/>
        <v>1.9749999999999994</v>
      </c>
      <c r="I160" s="5">
        <f t="shared" ca="1" si="27"/>
        <v>0.65833333333333321</v>
      </c>
      <c r="J160" s="8">
        <f t="shared" ca="1" si="28"/>
        <v>1.3824999999999996</v>
      </c>
      <c r="K160" s="5">
        <f t="shared" ca="1" si="29"/>
        <v>6.583333333333341E-2</v>
      </c>
      <c r="L160">
        <f t="shared" ca="1" si="30"/>
        <v>27033.599999999995</v>
      </c>
      <c r="M160">
        <f t="shared" ca="1" si="31"/>
        <v>27034</v>
      </c>
      <c r="N160" t="str">
        <f t="shared" ca="1" si="32"/>
        <v>0110100110011010</v>
      </c>
      <c r="O160">
        <f t="shared" ca="1" si="33"/>
        <v>11010011</v>
      </c>
    </row>
    <row r="161" spans="4:15" x14ac:dyDescent="0.25">
      <c r="D161">
        <v>159</v>
      </c>
      <c r="E161">
        <f t="shared" si="23"/>
        <v>35.9</v>
      </c>
      <c r="F161">
        <f t="shared" ca="1" si="24"/>
        <v>32.72</v>
      </c>
      <c r="G161" s="1">
        <f t="shared" si="25"/>
        <v>1.3249999999999995</v>
      </c>
      <c r="H161" s="6">
        <f t="shared" ca="1" si="26"/>
        <v>1.0599999999999998</v>
      </c>
      <c r="I161" s="5">
        <f t="shared" ca="1" si="27"/>
        <v>0.26499999999999968</v>
      </c>
      <c r="J161" s="8">
        <f t="shared" ca="1" si="28"/>
        <v>1.3912499999999997</v>
      </c>
      <c r="K161" s="5">
        <f t="shared" ca="1" si="29"/>
        <v>6.6250000000000142E-2</v>
      </c>
      <c r="L161">
        <f t="shared" ca="1" si="30"/>
        <v>17039.359999999997</v>
      </c>
      <c r="M161">
        <f t="shared" ca="1" si="31"/>
        <v>17039</v>
      </c>
      <c r="N161" t="str">
        <f t="shared" ca="1" si="32"/>
        <v>0100001010001111</v>
      </c>
      <c r="O161">
        <f t="shared" ca="1" si="33"/>
        <v>10000101</v>
      </c>
    </row>
    <row r="162" spans="4:15" x14ac:dyDescent="0.25">
      <c r="D162">
        <v>160</v>
      </c>
      <c r="E162">
        <f t="shared" si="23"/>
        <v>36</v>
      </c>
      <c r="F162">
        <f t="shared" ca="1" si="24"/>
        <v>42.4</v>
      </c>
      <c r="G162" s="1">
        <f t="shared" si="25"/>
        <v>1.3333333333333333</v>
      </c>
      <c r="H162" s="6">
        <f t="shared" ca="1" si="26"/>
        <v>1.8666666666666665</v>
      </c>
      <c r="I162" s="5">
        <f t="shared" ca="1" si="27"/>
        <v>0.53333333333333321</v>
      </c>
      <c r="J162" s="8">
        <f t="shared" ca="1" si="28"/>
        <v>1.2666666666666666</v>
      </c>
      <c r="K162" s="5">
        <f t="shared" ca="1" si="29"/>
        <v>6.6666666666666652E-2</v>
      </c>
      <c r="L162">
        <f t="shared" ca="1" si="30"/>
        <v>25850.311111111107</v>
      </c>
      <c r="M162">
        <f t="shared" ca="1" si="31"/>
        <v>25850</v>
      </c>
      <c r="N162" t="str">
        <f t="shared" ca="1" si="32"/>
        <v>0110010011111010</v>
      </c>
      <c r="O162">
        <f t="shared" ca="1" si="33"/>
        <v>11001001</v>
      </c>
    </row>
    <row r="163" spans="4:15" x14ac:dyDescent="0.25">
      <c r="D163">
        <v>161</v>
      </c>
      <c r="E163">
        <f t="shared" si="23"/>
        <v>36.1</v>
      </c>
      <c r="F163">
        <f t="shared" ca="1" si="24"/>
        <v>39.32</v>
      </c>
      <c r="G163" s="1">
        <f t="shared" si="25"/>
        <v>1.3416666666666666</v>
      </c>
      <c r="H163" s="6">
        <f t="shared" ca="1" si="26"/>
        <v>1.6099999999999997</v>
      </c>
      <c r="I163" s="5">
        <f t="shared" ca="1" si="27"/>
        <v>0.26833333333333309</v>
      </c>
      <c r="J163" s="8">
        <f t="shared" ca="1" si="28"/>
        <v>1.2745833333333332</v>
      </c>
      <c r="K163" s="5">
        <f t="shared" ca="1" si="29"/>
        <v>6.7083333333333384E-2</v>
      </c>
      <c r="L163">
        <f t="shared" ca="1" si="30"/>
        <v>23046.82666666666</v>
      </c>
      <c r="M163">
        <f t="shared" ca="1" si="31"/>
        <v>23047</v>
      </c>
      <c r="N163" t="str">
        <f t="shared" ca="1" si="32"/>
        <v>0101101000000111</v>
      </c>
      <c r="O163">
        <f t="shared" ca="1" si="33"/>
        <v>10110100</v>
      </c>
    </row>
    <row r="164" spans="4:15" x14ac:dyDescent="0.25">
      <c r="D164">
        <v>162</v>
      </c>
      <c r="E164">
        <f t="shared" si="23"/>
        <v>36.200000000000003</v>
      </c>
      <c r="F164">
        <f t="shared" ca="1" si="24"/>
        <v>32.96</v>
      </c>
      <c r="G164" s="1">
        <f t="shared" si="25"/>
        <v>1.3499999999999999</v>
      </c>
      <c r="H164" s="6">
        <f t="shared" ca="1" si="26"/>
        <v>1.0799999999999998</v>
      </c>
      <c r="I164" s="5">
        <f t="shared" ca="1" si="27"/>
        <v>0.27</v>
      </c>
      <c r="J164" s="8">
        <f t="shared" ca="1" si="28"/>
        <v>1.2824999999999998</v>
      </c>
      <c r="K164" s="5">
        <f t="shared" ca="1" si="29"/>
        <v>6.7500000000000115E-2</v>
      </c>
      <c r="L164">
        <f t="shared" ca="1" si="30"/>
        <v>17257.813333333332</v>
      </c>
      <c r="M164">
        <f t="shared" ca="1" si="31"/>
        <v>17258</v>
      </c>
      <c r="N164" t="str">
        <f t="shared" ca="1" si="32"/>
        <v>0100001101101010</v>
      </c>
      <c r="O164">
        <f t="shared" ca="1" si="33"/>
        <v>10000110</v>
      </c>
    </row>
    <row r="165" spans="4:15" x14ac:dyDescent="0.25">
      <c r="D165">
        <v>163</v>
      </c>
      <c r="E165">
        <f t="shared" si="23"/>
        <v>36.299999999999997</v>
      </c>
      <c r="F165">
        <f t="shared" ca="1" si="24"/>
        <v>29.779999999999998</v>
      </c>
      <c r="G165" s="1">
        <f t="shared" si="25"/>
        <v>1.3583333333333327</v>
      </c>
      <c r="H165" s="6">
        <f t="shared" ca="1" si="26"/>
        <v>0.81499999999999972</v>
      </c>
      <c r="I165" s="5">
        <f t="shared" ca="1" si="27"/>
        <v>0.543333333333333</v>
      </c>
      <c r="J165" s="8">
        <f t="shared" ca="1" si="28"/>
        <v>1.2904166666666661</v>
      </c>
      <c r="K165" s="5">
        <f t="shared" ca="1" si="29"/>
        <v>6.7916666666666625E-2</v>
      </c>
      <c r="L165">
        <f t="shared" ca="1" si="30"/>
        <v>14363.306666666664</v>
      </c>
      <c r="M165">
        <f t="shared" ca="1" si="31"/>
        <v>14363</v>
      </c>
      <c r="N165" t="str">
        <f t="shared" ca="1" si="32"/>
        <v>0011100000011011</v>
      </c>
      <c r="O165">
        <f t="shared" ca="1" si="33"/>
        <v>1110000</v>
      </c>
    </row>
    <row r="166" spans="4:15" x14ac:dyDescent="0.25">
      <c r="D166">
        <v>164</v>
      </c>
      <c r="E166">
        <f t="shared" si="23"/>
        <v>36.400000000000006</v>
      </c>
      <c r="F166">
        <f t="shared" ca="1" si="24"/>
        <v>41.320000000000007</v>
      </c>
      <c r="G166" s="1">
        <f t="shared" si="25"/>
        <v>1.3666666666666669</v>
      </c>
      <c r="H166" s="6">
        <f t="shared" ca="1" si="26"/>
        <v>1.7766666666666671</v>
      </c>
      <c r="I166" s="5">
        <f t="shared" ca="1" si="27"/>
        <v>0.41000000000000014</v>
      </c>
      <c r="J166" s="8">
        <f t="shared" ca="1" si="28"/>
        <v>1.2983333333333336</v>
      </c>
      <c r="K166" s="5">
        <f t="shared" ca="1" si="29"/>
        <v>6.8333333333333357E-2</v>
      </c>
      <c r="L166">
        <f t="shared" ca="1" si="30"/>
        <v>24867.271111111117</v>
      </c>
      <c r="M166">
        <f t="shared" ca="1" si="31"/>
        <v>24867</v>
      </c>
      <c r="N166" t="str">
        <f t="shared" ca="1" si="32"/>
        <v>0110000100100011</v>
      </c>
      <c r="O166">
        <f t="shared" ca="1" si="33"/>
        <v>11000010</v>
      </c>
    </row>
    <row r="167" spans="4:15" x14ac:dyDescent="0.25">
      <c r="D167">
        <v>165</v>
      </c>
      <c r="E167">
        <f t="shared" si="23"/>
        <v>36.5</v>
      </c>
      <c r="F167">
        <f t="shared" ca="1" si="24"/>
        <v>33.200000000000003</v>
      </c>
      <c r="G167" s="1">
        <f t="shared" si="25"/>
        <v>1.3749999999999998</v>
      </c>
      <c r="H167" s="6">
        <f t="shared" ca="1" si="26"/>
        <v>1.0999999999999999</v>
      </c>
      <c r="I167" s="5">
        <f t="shared" ca="1" si="27"/>
        <v>0.27499999999999991</v>
      </c>
      <c r="J167" s="8">
        <f t="shared" ca="1" si="28"/>
        <v>1.4437499999999999</v>
      </c>
      <c r="K167" s="5">
        <f t="shared" ca="1" si="29"/>
        <v>6.8750000000000089E-2</v>
      </c>
      <c r="L167">
        <f t="shared" ca="1" si="30"/>
        <v>17476.266666666666</v>
      </c>
      <c r="M167">
        <f t="shared" ca="1" si="31"/>
        <v>17476</v>
      </c>
      <c r="N167" t="str">
        <f t="shared" ca="1" si="32"/>
        <v>0100010001000100</v>
      </c>
      <c r="O167">
        <f t="shared" ca="1" si="33"/>
        <v>10001000</v>
      </c>
    </row>
    <row r="168" spans="4:15" x14ac:dyDescent="0.25">
      <c r="D168">
        <v>166</v>
      </c>
      <c r="E168">
        <f t="shared" si="23"/>
        <v>36.6</v>
      </c>
      <c r="F168">
        <f t="shared" ca="1" si="24"/>
        <v>44.900000000000006</v>
      </c>
      <c r="G168" s="1">
        <f t="shared" si="25"/>
        <v>1.3833333333333331</v>
      </c>
      <c r="H168" s="6">
        <f t="shared" ca="1" si="26"/>
        <v>2.0750000000000002</v>
      </c>
      <c r="I168" s="5">
        <f t="shared" ca="1" si="27"/>
        <v>0.6916666666666671</v>
      </c>
      <c r="J168" s="8">
        <f t="shared" ca="1" si="28"/>
        <v>1.4524999999999999</v>
      </c>
      <c r="K168" s="5">
        <f t="shared" ca="1" si="29"/>
        <v>6.9166666666666821E-2</v>
      </c>
      <c r="L168">
        <f t="shared" ca="1" si="30"/>
        <v>28125.866666666669</v>
      </c>
      <c r="M168">
        <f t="shared" ca="1" si="31"/>
        <v>28126</v>
      </c>
      <c r="N168" t="str">
        <f t="shared" ca="1" si="32"/>
        <v>0110110111011110</v>
      </c>
      <c r="O168">
        <f t="shared" ca="1" si="33"/>
        <v>11011011</v>
      </c>
    </row>
    <row r="169" spans="4:15" x14ac:dyDescent="0.25">
      <c r="D169">
        <v>167</v>
      </c>
      <c r="E169">
        <f t="shared" si="23"/>
        <v>36.700000000000003</v>
      </c>
      <c r="F169">
        <f t="shared" ca="1" si="24"/>
        <v>45.050000000000004</v>
      </c>
      <c r="G169" s="1">
        <f t="shared" si="25"/>
        <v>1.3916666666666668</v>
      </c>
      <c r="H169" s="6">
        <f t="shared" ca="1" si="26"/>
        <v>2.0875000000000004</v>
      </c>
      <c r="I169" s="5">
        <f t="shared" ca="1" si="27"/>
        <v>0.69583333333333353</v>
      </c>
      <c r="J169" s="8">
        <f t="shared" ca="1" si="28"/>
        <v>1.4612500000000002</v>
      </c>
      <c r="K169" s="5">
        <f t="shared" ca="1" si="29"/>
        <v>6.958333333333333E-2</v>
      </c>
      <c r="L169">
        <f t="shared" ca="1" si="30"/>
        <v>28262.400000000005</v>
      </c>
      <c r="M169">
        <f t="shared" ca="1" si="31"/>
        <v>28262</v>
      </c>
      <c r="N169" t="str">
        <f t="shared" ca="1" si="32"/>
        <v>0110111001100110</v>
      </c>
      <c r="O169">
        <f t="shared" ca="1" si="33"/>
        <v>11011100</v>
      </c>
    </row>
    <row r="170" spans="4:15" x14ac:dyDescent="0.25">
      <c r="D170">
        <v>168</v>
      </c>
      <c r="E170">
        <f t="shared" si="23"/>
        <v>36.799999999999997</v>
      </c>
      <c r="F170">
        <f t="shared" ca="1" si="24"/>
        <v>31.759999999999998</v>
      </c>
      <c r="G170" s="1">
        <f t="shared" si="25"/>
        <v>1.3999999999999997</v>
      </c>
      <c r="H170" s="6">
        <f t="shared" ca="1" si="26"/>
        <v>0.97999999999999976</v>
      </c>
      <c r="I170" s="5">
        <f t="shared" ca="1" si="27"/>
        <v>0.41999999999999993</v>
      </c>
      <c r="J170" s="8">
        <f t="shared" ca="1" si="28"/>
        <v>1.3299999999999996</v>
      </c>
      <c r="K170" s="5">
        <f t="shared" ca="1" si="29"/>
        <v>7.0000000000000062E-2</v>
      </c>
      <c r="L170">
        <f t="shared" ca="1" si="30"/>
        <v>16165.546666666663</v>
      </c>
      <c r="M170">
        <f t="shared" ca="1" si="31"/>
        <v>16166</v>
      </c>
      <c r="N170" t="str">
        <f t="shared" ca="1" si="32"/>
        <v>0011111100100110</v>
      </c>
      <c r="O170">
        <f t="shared" ca="1" si="33"/>
        <v>1111110</v>
      </c>
    </row>
    <row r="171" spans="4:15" x14ac:dyDescent="0.25">
      <c r="D171">
        <v>169</v>
      </c>
      <c r="E171">
        <f t="shared" si="23"/>
        <v>36.900000000000006</v>
      </c>
      <c r="F171">
        <f t="shared" ca="1" si="24"/>
        <v>38.590000000000003</v>
      </c>
      <c r="G171" s="1">
        <f t="shared" si="25"/>
        <v>1.4083333333333334</v>
      </c>
      <c r="H171" s="6">
        <f t="shared" ca="1" si="26"/>
        <v>1.5491666666666666</v>
      </c>
      <c r="I171" s="5">
        <f t="shared" ca="1" si="27"/>
        <v>0.14083333333333314</v>
      </c>
      <c r="J171" s="8">
        <f t="shared" ca="1" si="28"/>
        <v>1.4787500000000002</v>
      </c>
      <c r="K171" s="5">
        <f t="shared" ca="1" si="29"/>
        <v>7.0416666666666794E-2</v>
      </c>
      <c r="L171">
        <f t="shared" ca="1" si="30"/>
        <v>22382.36444444444</v>
      </c>
      <c r="M171">
        <f t="shared" ca="1" si="31"/>
        <v>22382</v>
      </c>
      <c r="N171" t="str">
        <f t="shared" ca="1" si="32"/>
        <v>0101011101101110</v>
      </c>
      <c r="O171">
        <f t="shared" ca="1" si="33"/>
        <v>10101110</v>
      </c>
    </row>
    <row r="172" spans="4:15" x14ac:dyDescent="0.25">
      <c r="D172">
        <v>170</v>
      </c>
      <c r="E172">
        <f t="shared" si="23"/>
        <v>37</v>
      </c>
      <c r="F172">
        <f t="shared" ca="1" si="24"/>
        <v>30.2</v>
      </c>
      <c r="G172" s="1">
        <f t="shared" si="25"/>
        <v>1.4166666666666663</v>
      </c>
      <c r="H172" s="6">
        <f t="shared" ca="1" si="26"/>
        <v>0.84999999999999987</v>
      </c>
      <c r="I172" s="5">
        <f t="shared" ca="1" si="27"/>
        <v>0.56666666666666643</v>
      </c>
      <c r="J172" s="8">
        <f t="shared" ca="1" si="28"/>
        <v>1.345833333333333</v>
      </c>
      <c r="K172" s="5">
        <f t="shared" ca="1" si="29"/>
        <v>7.0833333333333304E-2</v>
      </c>
      <c r="L172">
        <f t="shared" ca="1" si="30"/>
        <v>14745.599999999999</v>
      </c>
      <c r="M172">
        <f t="shared" ca="1" si="31"/>
        <v>14746</v>
      </c>
      <c r="N172" t="str">
        <f t="shared" ca="1" si="32"/>
        <v>0011100110011010</v>
      </c>
      <c r="O172">
        <f t="shared" ca="1" si="33"/>
        <v>1110011</v>
      </c>
    </row>
    <row r="173" spans="4:15" x14ac:dyDescent="0.25">
      <c r="D173">
        <v>171</v>
      </c>
      <c r="E173">
        <f t="shared" si="23"/>
        <v>37.1</v>
      </c>
      <c r="F173">
        <f t="shared" ca="1" si="24"/>
        <v>40.520000000000003</v>
      </c>
      <c r="G173" s="1">
        <f t="shared" si="25"/>
        <v>1.425</v>
      </c>
      <c r="H173" s="6">
        <f t="shared" ca="1" si="26"/>
        <v>1.7100000000000002</v>
      </c>
      <c r="I173" s="5">
        <f t="shared" ca="1" si="27"/>
        <v>0.28500000000000014</v>
      </c>
      <c r="J173" s="8">
        <f t="shared" ca="1" si="28"/>
        <v>1.4962500000000001</v>
      </c>
      <c r="K173" s="5">
        <f t="shared" ca="1" si="29"/>
        <v>7.1250000000000036E-2</v>
      </c>
      <c r="L173">
        <f t="shared" ca="1" si="30"/>
        <v>24139.093333333334</v>
      </c>
      <c r="M173">
        <f t="shared" ca="1" si="31"/>
        <v>24139</v>
      </c>
      <c r="N173" t="str">
        <f t="shared" ca="1" si="32"/>
        <v>0101111001001011</v>
      </c>
      <c r="O173">
        <f t="shared" ca="1" si="33"/>
        <v>10111100</v>
      </c>
    </row>
    <row r="174" spans="4:15" x14ac:dyDescent="0.25">
      <c r="D174">
        <v>172</v>
      </c>
      <c r="E174">
        <f t="shared" si="23"/>
        <v>37.200000000000003</v>
      </c>
      <c r="F174">
        <f t="shared" ca="1" si="24"/>
        <v>33.760000000000005</v>
      </c>
      <c r="G174" s="1">
        <f t="shared" si="25"/>
        <v>1.4333333333333333</v>
      </c>
      <c r="H174" s="6">
        <f t="shared" ca="1" si="26"/>
        <v>1.1466666666666667</v>
      </c>
      <c r="I174" s="5">
        <f t="shared" ca="1" si="27"/>
        <v>0.28666666666666663</v>
      </c>
      <c r="J174" s="8">
        <f t="shared" ca="1" si="28"/>
        <v>1.3616666666666666</v>
      </c>
      <c r="K174" s="5">
        <f t="shared" ca="1" si="29"/>
        <v>7.1666666666666767E-2</v>
      </c>
      <c r="L174">
        <f t="shared" ca="1" si="30"/>
        <v>17985.991111111111</v>
      </c>
      <c r="M174">
        <f t="shared" ca="1" si="31"/>
        <v>17986</v>
      </c>
      <c r="N174" t="str">
        <f t="shared" ca="1" si="32"/>
        <v>0100011001000010</v>
      </c>
      <c r="O174">
        <f t="shared" ca="1" si="33"/>
        <v>10001100</v>
      </c>
    </row>
    <row r="175" spans="4:15" x14ac:dyDescent="0.25">
      <c r="D175">
        <v>173</v>
      </c>
      <c r="E175">
        <f t="shared" si="23"/>
        <v>37.299999999999997</v>
      </c>
      <c r="F175">
        <f t="shared" ca="1" si="24"/>
        <v>44.22</v>
      </c>
      <c r="G175" s="1">
        <f t="shared" si="25"/>
        <v>1.4416666666666662</v>
      </c>
      <c r="H175" s="6">
        <f t="shared" ca="1" si="26"/>
        <v>2.0183333333333326</v>
      </c>
      <c r="I175" s="5">
        <f t="shared" ca="1" si="27"/>
        <v>0.57666666666666644</v>
      </c>
      <c r="J175" s="8">
        <f t="shared" ca="1" si="28"/>
        <v>1.5137499999999995</v>
      </c>
      <c r="K175" s="5">
        <f t="shared" ca="1" si="29"/>
        <v>7.2083333333333277E-2</v>
      </c>
      <c r="L175">
        <f t="shared" ca="1" si="30"/>
        <v>27506.915555555548</v>
      </c>
      <c r="M175">
        <f t="shared" ca="1" si="31"/>
        <v>27507</v>
      </c>
      <c r="N175" t="str">
        <f t="shared" ca="1" si="32"/>
        <v>0110101101110011</v>
      </c>
      <c r="O175">
        <f t="shared" ca="1" si="33"/>
        <v>11010110</v>
      </c>
    </row>
    <row r="176" spans="4:15" x14ac:dyDescent="0.25">
      <c r="D176">
        <v>174</v>
      </c>
      <c r="E176">
        <f t="shared" si="23"/>
        <v>37.400000000000006</v>
      </c>
      <c r="F176">
        <f t="shared" ca="1" si="24"/>
        <v>28.700000000000003</v>
      </c>
      <c r="G176" s="1">
        <f t="shared" si="25"/>
        <v>1.4500000000000004</v>
      </c>
      <c r="H176" s="6">
        <f t="shared" ca="1" si="26"/>
        <v>0.72499999999999987</v>
      </c>
      <c r="I176" s="5">
        <f t="shared" ca="1" si="27"/>
        <v>0.72500000000000053</v>
      </c>
      <c r="J176" s="8">
        <f t="shared" ca="1" si="28"/>
        <v>1.5225000000000004</v>
      </c>
      <c r="K176" s="5">
        <f t="shared" ca="1" si="29"/>
        <v>7.2500000000000009E-2</v>
      </c>
      <c r="L176">
        <f t="shared" ca="1" si="30"/>
        <v>13380.266666666665</v>
      </c>
      <c r="M176">
        <f t="shared" ca="1" si="31"/>
        <v>13380</v>
      </c>
      <c r="N176" t="str">
        <f t="shared" ca="1" si="32"/>
        <v>0011010001000100</v>
      </c>
      <c r="O176">
        <f t="shared" ca="1" si="33"/>
        <v>1101000</v>
      </c>
    </row>
    <row r="177" spans="4:15" x14ac:dyDescent="0.25">
      <c r="D177">
        <v>175</v>
      </c>
      <c r="E177">
        <f t="shared" si="23"/>
        <v>37.5</v>
      </c>
      <c r="F177">
        <f t="shared" ca="1" si="24"/>
        <v>32.25</v>
      </c>
      <c r="G177" s="1">
        <f t="shared" si="25"/>
        <v>1.4583333333333333</v>
      </c>
      <c r="H177" s="6">
        <f t="shared" ca="1" si="26"/>
        <v>1.0208333333333333</v>
      </c>
      <c r="I177" s="5">
        <f t="shared" ca="1" si="27"/>
        <v>0.4375</v>
      </c>
      <c r="J177" s="8">
        <f t="shared" ca="1" si="28"/>
        <v>1.3854166666666665</v>
      </c>
      <c r="K177" s="5">
        <f t="shared" ca="1" si="29"/>
        <v>7.2916666666666741E-2</v>
      </c>
      <c r="L177">
        <f t="shared" ca="1" si="30"/>
        <v>16611.555555555555</v>
      </c>
      <c r="M177">
        <f t="shared" ca="1" si="31"/>
        <v>16612</v>
      </c>
      <c r="N177" t="str">
        <f t="shared" ca="1" si="32"/>
        <v>0100000011100100</v>
      </c>
      <c r="O177">
        <f t="shared" ca="1" si="33"/>
        <v>10000001</v>
      </c>
    </row>
    <row r="178" spans="4:15" x14ac:dyDescent="0.25">
      <c r="D178">
        <v>176</v>
      </c>
      <c r="E178">
        <f t="shared" si="23"/>
        <v>37.6</v>
      </c>
      <c r="F178">
        <f t="shared" ca="1" si="24"/>
        <v>32.32</v>
      </c>
      <c r="G178" s="1">
        <f t="shared" si="25"/>
        <v>1.4666666666666666</v>
      </c>
      <c r="H178" s="6">
        <f t="shared" ca="1" si="26"/>
        <v>1.0266666666666666</v>
      </c>
      <c r="I178" s="5">
        <f t="shared" ca="1" si="27"/>
        <v>0.43999999999999995</v>
      </c>
      <c r="J178" s="8">
        <f t="shared" ca="1" si="28"/>
        <v>1.3933333333333331</v>
      </c>
      <c r="K178" s="5">
        <f t="shared" ca="1" si="29"/>
        <v>7.3333333333333472E-2</v>
      </c>
      <c r="L178">
        <f t="shared" ca="1" si="30"/>
        <v>16675.271111111109</v>
      </c>
      <c r="M178">
        <f t="shared" ca="1" si="31"/>
        <v>16675</v>
      </c>
      <c r="N178" t="str">
        <f t="shared" ca="1" si="32"/>
        <v>0100000100100011</v>
      </c>
      <c r="O178">
        <f t="shared" ca="1" si="33"/>
        <v>10000010</v>
      </c>
    </row>
    <row r="179" spans="4:15" x14ac:dyDescent="0.25">
      <c r="D179">
        <v>177</v>
      </c>
      <c r="E179">
        <f t="shared" si="23"/>
        <v>37.700000000000003</v>
      </c>
      <c r="F179">
        <f t="shared" ca="1" si="24"/>
        <v>43.010000000000005</v>
      </c>
      <c r="G179" s="1">
        <f t="shared" si="25"/>
        <v>1.4749999999999999</v>
      </c>
      <c r="H179" s="6">
        <f t="shared" ca="1" si="26"/>
        <v>1.9175000000000002</v>
      </c>
      <c r="I179" s="5">
        <f t="shared" ca="1" si="27"/>
        <v>0.44250000000000034</v>
      </c>
      <c r="J179" s="8">
        <f t="shared" ca="1" si="28"/>
        <v>1.5487499999999998</v>
      </c>
      <c r="K179" s="5">
        <f t="shared" ca="1" si="29"/>
        <v>7.3749999999999982E-2</v>
      </c>
      <c r="L179">
        <f t="shared" ca="1" si="30"/>
        <v>26405.546666666673</v>
      </c>
      <c r="M179">
        <f t="shared" ca="1" si="31"/>
        <v>26406</v>
      </c>
      <c r="N179" t="str">
        <f t="shared" ca="1" si="32"/>
        <v>0110011100100110</v>
      </c>
      <c r="O179">
        <f t="shared" ca="1" si="33"/>
        <v>11001110</v>
      </c>
    </row>
    <row r="180" spans="4:15" x14ac:dyDescent="0.25">
      <c r="D180">
        <v>178</v>
      </c>
      <c r="E180">
        <f t="shared" si="23"/>
        <v>37.799999999999997</v>
      </c>
      <c r="F180">
        <f t="shared" ca="1" si="24"/>
        <v>32.459999999999994</v>
      </c>
      <c r="G180" s="1">
        <f t="shared" si="25"/>
        <v>1.4833333333333327</v>
      </c>
      <c r="H180" s="6">
        <f t="shared" ca="1" si="26"/>
        <v>1.0383333333333324</v>
      </c>
      <c r="I180" s="5">
        <f t="shared" ca="1" si="27"/>
        <v>0.44500000000000028</v>
      </c>
      <c r="J180" s="8">
        <f t="shared" ca="1" si="28"/>
        <v>1.5574999999999994</v>
      </c>
      <c r="K180" s="5">
        <f t="shared" ca="1" si="29"/>
        <v>7.4166666666666714E-2</v>
      </c>
      <c r="L180">
        <f t="shared" ca="1" si="30"/>
        <v>16802.702222222211</v>
      </c>
      <c r="M180">
        <f t="shared" ca="1" si="31"/>
        <v>16803</v>
      </c>
      <c r="N180" t="str">
        <f t="shared" ca="1" si="32"/>
        <v>0100000110100011</v>
      </c>
      <c r="O180">
        <f t="shared" ca="1" si="33"/>
        <v>10000011</v>
      </c>
    </row>
    <row r="181" spans="4:15" x14ac:dyDescent="0.25">
      <c r="D181">
        <v>179</v>
      </c>
      <c r="E181">
        <f t="shared" si="23"/>
        <v>37.900000000000006</v>
      </c>
      <c r="F181">
        <f t="shared" ca="1" si="24"/>
        <v>36.110000000000007</v>
      </c>
      <c r="G181" s="1">
        <f t="shared" si="25"/>
        <v>1.4916666666666669</v>
      </c>
      <c r="H181" s="6">
        <f t="shared" ca="1" si="26"/>
        <v>1.3425000000000005</v>
      </c>
      <c r="I181" s="5">
        <f t="shared" ca="1" si="27"/>
        <v>0.14916666666666645</v>
      </c>
      <c r="J181" s="8">
        <f t="shared" ca="1" si="28"/>
        <v>1.5662500000000004</v>
      </c>
      <c r="K181" s="5">
        <f t="shared" ca="1" si="29"/>
        <v>7.4583333333333446E-2</v>
      </c>
      <c r="L181">
        <f t="shared" ca="1" si="30"/>
        <v>20125.01333333334</v>
      </c>
      <c r="M181">
        <f t="shared" ca="1" si="31"/>
        <v>20125</v>
      </c>
      <c r="N181" t="str">
        <f t="shared" ca="1" si="32"/>
        <v>0100111010011101</v>
      </c>
      <c r="O181">
        <f t="shared" ca="1" si="33"/>
        <v>10011101</v>
      </c>
    </row>
    <row r="182" spans="4:15" x14ac:dyDescent="0.25">
      <c r="D182">
        <v>180</v>
      </c>
      <c r="E182">
        <f t="shared" si="23"/>
        <v>38</v>
      </c>
      <c r="F182">
        <f t="shared" ca="1" si="24"/>
        <v>32.6</v>
      </c>
      <c r="G182" s="1">
        <f t="shared" si="25"/>
        <v>1.4999999999999998</v>
      </c>
      <c r="H182" s="6">
        <f t="shared" ca="1" si="26"/>
        <v>1.05</v>
      </c>
      <c r="I182" s="5">
        <f t="shared" ca="1" si="27"/>
        <v>0.44999999999999973</v>
      </c>
      <c r="J182" s="8">
        <f t="shared" ca="1" si="28"/>
        <v>1.4249999999999998</v>
      </c>
      <c r="K182" s="5">
        <f t="shared" ca="1" si="29"/>
        <v>7.4999999999999956E-2</v>
      </c>
      <c r="L182">
        <f t="shared" ca="1" si="30"/>
        <v>16930.133333333335</v>
      </c>
      <c r="M182">
        <f t="shared" ca="1" si="31"/>
        <v>16930</v>
      </c>
      <c r="N182" t="str">
        <f t="shared" ca="1" si="32"/>
        <v>0100001000100010</v>
      </c>
      <c r="O182">
        <f t="shared" ca="1" si="33"/>
        <v>10000100</v>
      </c>
    </row>
    <row r="183" spans="4:15" x14ac:dyDescent="0.25">
      <c r="D183">
        <v>181</v>
      </c>
      <c r="E183">
        <f t="shared" si="23"/>
        <v>38.1</v>
      </c>
      <c r="F183">
        <f t="shared" ca="1" si="24"/>
        <v>36.29</v>
      </c>
      <c r="G183" s="1">
        <f t="shared" si="25"/>
        <v>1.5083333333333331</v>
      </c>
      <c r="H183" s="6">
        <f t="shared" ca="1" si="26"/>
        <v>1.3574999999999997</v>
      </c>
      <c r="I183" s="5">
        <f t="shared" ca="1" si="27"/>
        <v>0.15083333333333337</v>
      </c>
      <c r="J183" s="8">
        <f t="shared" ca="1" si="28"/>
        <v>1.5837499999999998</v>
      </c>
      <c r="K183" s="5">
        <f t="shared" ca="1" si="29"/>
        <v>7.5416666666666687E-2</v>
      </c>
      <c r="L183">
        <f t="shared" ca="1" si="30"/>
        <v>20288.853333333329</v>
      </c>
      <c r="M183">
        <f t="shared" ca="1" si="31"/>
        <v>20289</v>
      </c>
      <c r="N183" t="str">
        <f t="shared" ca="1" si="32"/>
        <v>0100111101000001</v>
      </c>
      <c r="O183">
        <f t="shared" ca="1" si="33"/>
        <v>10011110</v>
      </c>
    </row>
    <row r="184" spans="4:15" x14ac:dyDescent="0.25">
      <c r="D184">
        <v>182</v>
      </c>
      <c r="E184">
        <f t="shared" si="23"/>
        <v>38.200000000000003</v>
      </c>
      <c r="F184">
        <f t="shared" ca="1" si="24"/>
        <v>30.92</v>
      </c>
      <c r="G184" s="1">
        <f t="shared" si="25"/>
        <v>1.5166666666666668</v>
      </c>
      <c r="H184" s="6">
        <f t="shared" ca="1" si="26"/>
        <v>0.90999999999999992</v>
      </c>
      <c r="I184" s="5">
        <f t="shared" ca="1" si="27"/>
        <v>0.60666666666666691</v>
      </c>
      <c r="J184" s="8">
        <f t="shared" ca="1" si="28"/>
        <v>1.5925000000000002</v>
      </c>
      <c r="K184" s="5">
        <f t="shared" ca="1" si="29"/>
        <v>7.5833333333333419E-2</v>
      </c>
      <c r="L184">
        <f t="shared" ca="1" si="30"/>
        <v>15400.96</v>
      </c>
      <c r="M184">
        <f t="shared" ca="1" si="31"/>
        <v>15401</v>
      </c>
      <c r="N184" t="str">
        <f t="shared" ca="1" si="32"/>
        <v>0011110000101001</v>
      </c>
      <c r="O184">
        <f t="shared" ca="1" si="33"/>
        <v>1111000</v>
      </c>
    </row>
    <row r="185" spans="4:15" x14ac:dyDescent="0.25">
      <c r="D185">
        <v>183</v>
      </c>
      <c r="E185">
        <f t="shared" si="23"/>
        <v>38.299999999999997</v>
      </c>
      <c r="F185">
        <f t="shared" ca="1" si="24"/>
        <v>40.129999999999995</v>
      </c>
      <c r="G185" s="1">
        <f t="shared" si="25"/>
        <v>1.5249999999999997</v>
      </c>
      <c r="H185" s="6">
        <f t="shared" ca="1" si="26"/>
        <v>1.6774999999999995</v>
      </c>
      <c r="I185" s="5">
        <f t="shared" ca="1" si="27"/>
        <v>0.15249999999999986</v>
      </c>
      <c r="J185" s="8">
        <f t="shared" ca="1" si="28"/>
        <v>1.4487499999999995</v>
      </c>
      <c r="K185" s="5">
        <f t="shared" ca="1" si="29"/>
        <v>7.6250000000000151E-2</v>
      </c>
      <c r="L185">
        <f t="shared" ca="1" si="30"/>
        <v>23784.106666666659</v>
      </c>
      <c r="M185">
        <f t="shared" ca="1" si="31"/>
        <v>23784</v>
      </c>
      <c r="N185" t="str">
        <f t="shared" ca="1" si="32"/>
        <v>0101110011101000</v>
      </c>
      <c r="O185">
        <f t="shared" ca="1" si="33"/>
        <v>10111001</v>
      </c>
    </row>
    <row r="186" spans="4:15" x14ac:dyDescent="0.25">
      <c r="D186">
        <v>184</v>
      </c>
      <c r="E186">
        <f t="shared" si="23"/>
        <v>38.400000000000006</v>
      </c>
      <c r="F186">
        <f t="shared" ca="1" si="24"/>
        <v>38.400000000000006</v>
      </c>
      <c r="G186" s="1">
        <f t="shared" si="25"/>
        <v>1.5333333333333334</v>
      </c>
      <c r="H186" s="6">
        <f t="shared" ca="1" si="26"/>
        <v>1.5333333333333334</v>
      </c>
      <c r="I186" s="5">
        <f t="shared" ca="1" si="27"/>
        <v>0</v>
      </c>
      <c r="J186" s="8">
        <f t="shared" ca="1" si="28"/>
        <v>1.4566666666666668</v>
      </c>
      <c r="K186" s="5">
        <f t="shared" ca="1" si="29"/>
        <v>7.6666666666666661E-2</v>
      </c>
      <c r="L186">
        <f t="shared" ca="1" si="30"/>
        <v>22209.42222222222</v>
      </c>
      <c r="M186">
        <f t="shared" ca="1" si="31"/>
        <v>22209</v>
      </c>
      <c r="N186" t="str">
        <f t="shared" ca="1" si="32"/>
        <v>0101011011000001</v>
      </c>
      <c r="O186">
        <f t="shared" ca="1" si="33"/>
        <v>10101101</v>
      </c>
    </row>
    <row r="187" spans="4:15" x14ac:dyDescent="0.25">
      <c r="D187">
        <v>185</v>
      </c>
      <c r="E187">
        <f t="shared" si="23"/>
        <v>38.5</v>
      </c>
      <c r="F187">
        <f t="shared" ca="1" si="24"/>
        <v>42.2</v>
      </c>
      <c r="G187" s="1">
        <f t="shared" si="25"/>
        <v>1.5416666666666663</v>
      </c>
      <c r="H187" s="6">
        <f t="shared" ca="1" si="26"/>
        <v>1.8499999999999999</v>
      </c>
      <c r="I187" s="5">
        <f t="shared" ca="1" si="27"/>
        <v>0.30833333333333357</v>
      </c>
      <c r="J187" s="8">
        <f t="shared" ca="1" si="28"/>
        <v>1.6187499999999997</v>
      </c>
      <c r="K187" s="5">
        <f t="shared" ca="1" si="29"/>
        <v>7.7083333333333393E-2</v>
      </c>
      <c r="L187">
        <f t="shared" ca="1" si="30"/>
        <v>25668.266666666663</v>
      </c>
      <c r="M187">
        <f t="shared" ca="1" si="31"/>
        <v>25668</v>
      </c>
      <c r="N187" t="str">
        <f t="shared" ca="1" si="32"/>
        <v>0110010001000100</v>
      </c>
      <c r="O187">
        <f t="shared" ca="1" si="33"/>
        <v>11001000</v>
      </c>
    </row>
    <row r="188" spans="4:15" x14ac:dyDescent="0.25">
      <c r="D188">
        <v>186</v>
      </c>
      <c r="E188">
        <f t="shared" si="23"/>
        <v>38.6</v>
      </c>
      <c r="F188">
        <f t="shared" ca="1" si="24"/>
        <v>46.04</v>
      </c>
      <c r="G188" s="1">
        <f t="shared" si="25"/>
        <v>1.55</v>
      </c>
      <c r="H188" s="6">
        <f t="shared" ca="1" si="26"/>
        <v>2.17</v>
      </c>
      <c r="I188" s="5">
        <f t="shared" ca="1" si="27"/>
        <v>0.61999999999999988</v>
      </c>
      <c r="J188" s="8">
        <f t="shared" ca="1" si="28"/>
        <v>1.4724999999999999</v>
      </c>
      <c r="K188" s="5">
        <f t="shared" ca="1" si="29"/>
        <v>7.7500000000000124E-2</v>
      </c>
      <c r="L188">
        <f t="shared" ca="1" si="30"/>
        <v>29163.52</v>
      </c>
      <c r="M188">
        <f t="shared" ca="1" si="31"/>
        <v>29164</v>
      </c>
      <c r="N188" t="str">
        <f t="shared" ca="1" si="32"/>
        <v>0111000111101100</v>
      </c>
      <c r="O188">
        <f t="shared" ca="1" si="33"/>
        <v>11100011</v>
      </c>
    </row>
    <row r="189" spans="4:15" x14ac:dyDescent="0.25">
      <c r="D189">
        <v>187</v>
      </c>
      <c r="E189">
        <f t="shared" si="23"/>
        <v>38.700000000000003</v>
      </c>
      <c r="F189">
        <f t="shared" ca="1" si="24"/>
        <v>36.830000000000005</v>
      </c>
      <c r="G189" s="1">
        <f t="shared" si="25"/>
        <v>1.5583333333333333</v>
      </c>
      <c r="H189" s="6">
        <f t="shared" ca="1" si="26"/>
        <v>1.4025000000000001</v>
      </c>
      <c r="I189" s="5">
        <f t="shared" ca="1" si="27"/>
        <v>0.15583333333333327</v>
      </c>
      <c r="J189" s="8">
        <f t="shared" ca="1" si="28"/>
        <v>1.4804166666666667</v>
      </c>
      <c r="K189" s="5">
        <f t="shared" ca="1" si="29"/>
        <v>7.7916666666666634E-2</v>
      </c>
      <c r="L189">
        <f t="shared" ca="1" si="30"/>
        <v>20780.373333333333</v>
      </c>
      <c r="M189">
        <f t="shared" ca="1" si="31"/>
        <v>20780</v>
      </c>
      <c r="N189" t="str">
        <f t="shared" ca="1" si="32"/>
        <v>0101000100101100</v>
      </c>
      <c r="O189">
        <f t="shared" ca="1" si="33"/>
        <v>10100010</v>
      </c>
    </row>
    <row r="190" spans="4:15" x14ac:dyDescent="0.25">
      <c r="D190">
        <v>188</v>
      </c>
      <c r="E190">
        <f t="shared" si="23"/>
        <v>38.799999999999997</v>
      </c>
      <c r="F190">
        <f t="shared" ca="1" si="24"/>
        <v>42.559999999999995</v>
      </c>
      <c r="G190" s="1">
        <f t="shared" si="25"/>
        <v>1.5666666666666662</v>
      </c>
      <c r="H190" s="6">
        <f t="shared" ca="1" si="26"/>
        <v>1.8799999999999992</v>
      </c>
      <c r="I190" s="5">
        <f t="shared" ca="1" si="27"/>
        <v>0.31333333333333302</v>
      </c>
      <c r="J190" s="8">
        <f t="shared" ca="1" si="28"/>
        <v>1.6449999999999996</v>
      </c>
      <c r="K190" s="5">
        <f t="shared" ca="1" si="29"/>
        <v>7.8333333333333366E-2</v>
      </c>
      <c r="L190">
        <f t="shared" ca="1" si="30"/>
        <v>25995.946666666656</v>
      </c>
      <c r="M190">
        <f t="shared" ca="1" si="31"/>
        <v>25996</v>
      </c>
      <c r="N190" t="str">
        <f t="shared" ca="1" si="32"/>
        <v>0110010110001100</v>
      </c>
      <c r="O190">
        <f t="shared" ca="1" si="33"/>
        <v>11001011</v>
      </c>
    </row>
    <row r="191" spans="4:15" x14ac:dyDescent="0.25">
      <c r="D191">
        <v>189</v>
      </c>
      <c r="E191">
        <f t="shared" si="23"/>
        <v>38.900000000000006</v>
      </c>
      <c r="F191">
        <f t="shared" ca="1" si="24"/>
        <v>31.340000000000003</v>
      </c>
      <c r="G191" s="1">
        <f t="shared" si="25"/>
        <v>1.5750000000000004</v>
      </c>
      <c r="H191" s="6">
        <f t="shared" ca="1" si="26"/>
        <v>0.94500000000000006</v>
      </c>
      <c r="I191" s="5">
        <f t="shared" ca="1" si="27"/>
        <v>0.63000000000000034</v>
      </c>
      <c r="J191" s="8">
        <f t="shared" ca="1" si="28"/>
        <v>1.6537500000000005</v>
      </c>
      <c r="K191" s="5">
        <f t="shared" ca="1" si="29"/>
        <v>7.8750000000000098E-2</v>
      </c>
      <c r="L191">
        <f t="shared" ca="1" si="30"/>
        <v>15783.253333333334</v>
      </c>
      <c r="M191">
        <f t="shared" ca="1" si="31"/>
        <v>15783</v>
      </c>
      <c r="N191" t="str">
        <f t="shared" ca="1" si="32"/>
        <v>0011110110100111</v>
      </c>
      <c r="O191">
        <f t="shared" ca="1" si="33"/>
        <v>1111011</v>
      </c>
    </row>
    <row r="192" spans="4:15" x14ac:dyDescent="0.25">
      <c r="D192">
        <v>190</v>
      </c>
      <c r="E192">
        <f t="shared" si="23"/>
        <v>39</v>
      </c>
      <c r="F192">
        <f t="shared" ca="1" si="24"/>
        <v>35.200000000000003</v>
      </c>
      <c r="G192" s="1">
        <f t="shared" si="25"/>
        <v>1.5833333333333333</v>
      </c>
      <c r="H192" s="6">
        <f t="shared" ca="1" si="26"/>
        <v>1.2666666666666668</v>
      </c>
      <c r="I192" s="5">
        <f t="shared" ca="1" si="27"/>
        <v>0.31666666666666643</v>
      </c>
      <c r="J192" s="8">
        <f t="shared" ca="1" si="28"/>
        <v>1.6625000000000001</v>
      </c>
      <c r="K192" s="5">
        <f t="shared" ca="1" si="29"/>
        <v>7.9166666666666829E-2</v>
      </c>
      <c r="L192">
        <f t="shared" ca="1" si="30"/>
        <v>19296.711111111112</v>
      </c>
      <c r="M192">
        <f t="shared" ca="1" si="31"/>
        <v>19297</v>
      </c>
      <c r="N192" t="str">
        <f t="shared" ca="1" si="32"/>
        <v>0100101101100001</v>
      </c>
      <c r="O192">
        <f t="shared" ca="1" si="33"/>
        <v>10010110</v>
      </c>
    </row>
    <row r="193" spans="4:15" x14ac:dyDescent="0.25">
      <c r="D193">
        <v>191</v>
      </c>
      <c r="E193">
        <f t="shared" si="23"/>
        <v>39.1</v>
      </c>
      <c r="F193">
        <f t="shared" ca="1" si="24"/>
        <v>31.46</v>
      </c>
      <c r="G193" s="1">
        <f t="shared" si="25"/>
        <v>1.5916666666666666</v>
      </c>
      <c r="H193" s="6">
        <f t="shared" ca="1" si="26"/>
        <v>0.95499999999999985</v>
      </c>
      <c r="I193" s="5">
        <f t="shared" ca="1" si="27"/>
        <v>0.63666666666666671</v>
      </c>
      <c r="J193" s="8">
        <f t="shared" ca="1" si="28"/>
        <v>1.5120833333333332</v>
      </c>
      <c r="K193" s="5">
        <f t="shared" ca="1" si="29"/>
        <v>7.9583333333333339E-2</v>
      </c>
      <c r="L193">
        <f t="shared" ca="1" si="30"/>
        <v>15892.479999999998</v>
      </c>
      <c r="M193">
        <f t="shared" ca="1" si="31"/>
        <v>15892</v>
      </c>
      <c r="N193" t="str">
        <f t="shared" ca="1" si="32"/>
        <v>0011111000010100</v>
      </c>
      <c r="O193">
        <f t="shared" ca="1" si="33"/>
        <v>1111100</v>
      </c>
    </row>
    <row r="194" spans="4:15" x14ac:dyDescent="0.25">
      <c r="D194">
        <v>192</v>
      </c>
      <c r="E194">
        <f t="shared" si="23"/>
        <v>39.200000000000003</v>
      </c>
      <c r="F194">
        <f t="shared" ca="1" si="24"/>
        <v>37.28</v>
      </c>
      <c r="G194" s="1">
        <f t="shared" si="25"/>
        <v>1.5999999999999999</v>
      </c>
      <c r="H194" s="6">
        <f t="shared" ca="1" si="26"/>
        <v>1.4399999999999997</v>
      </c>
      <c r="I194" s="5">
        <f t="shared" ca="1" si="27"/>
        <v>0.16000000000000014</v>
      </c>
      <c r="J194" s="8">
        <f t="shared" ca="1" si="28"/>
        <v>1.5199999999999998</v>
      </c>
      <c r="K194" s="5">
        <f t="shared" ca="1" si="29"/>
        <v>8.0000000000000071E-2</v>
      </c>
      <c r="L194">
        <f t="shared" ca="1" si="30"/>
        <v>21189.973333333332</v>
      </c>
      <c r="M194">
        <f t="shared" ca="1" si="31"/>
        <v>21190</v>
      </c>
      <c r="N194" t="str">
        <f t="shared" ca="1" si="32"/>
        <v>0101001011000110</v>
      </c>
      <c r="O194">
        <f t="shared" ca="1" si="33"/>
        <v>10100101</v>
      </c>
    </row>
    <row r="195" spans="4:15" x14ac:dyDescent="0.25">
      <c r="D195">
        <v>193</v>
      </c>
      <c r="E195">
        <f t="shared" ref="E195:E258" si="34">0.1*D195+20</f>
        <v>39.299999999999997</v>
      </c>
      <c r="F195">
        <f t="shared" ref="F195:F258" ca="1" si="35">0.1*D195+20 + (RANDBETWEEN(-5,5)/100)*D195</f>
        <v>48.949999999999996</v>
      </c>
      <c r="G195" s="1">
        <f t="shared" ref="G195:G258" si="36">1/12*E195-5/3</f>
        <v>1.6083333333333327</v>
      </c>
      <c r="H195" s="6">
        <f t="shared" ref="H195:H258" ca="1" si="37">1/12*F195-5/3</f>
        <v>2.4124999999999988</v>
      </c>
      <c r="I195" s="5">
        <f t="shared" ref="I195:I258" ca="1" si="38">ABS(G195-H195)</f>
        <v>0.80416666666666603</v>
      </c>
      <c r="J195" s="8">
        <f t="shared" ref="J195:J258" ca="1" si="39" xml:space="preserve"> G195 * (1 + $B$1 * IF(RANDBETWEEN(0,1)=0,-1,1))</f>
        <v>1.5279166666666659</v>
      </c>
      <c r="K195" s="5">
        <f t="shared" ref="K195:K258" ca="1" si="40">ABS(G195-J195)</f>
        <v>8.0416666666666803E-2</v>
      </c>
      <c r="L195">
        <f t="shared" ref="L195:L258" ca="1" si="41">(H195-$B$2)/($B$3-$B$2)*(2^$B$4)</f>
        <v>31812.266666666652</v>
      </c>
      <c r="M195">
        <f t="shared" ref="M195:M258" ca="1" si="42">ROUND(L195,0)</f>
        <v>31812</v>
      </c>
      <c r="N195" t="str">
        <f t="shared" ref="N195:N258" ca="1" si="43">_xlfn.BASE(M195,2,$B$4)</f>
        <v>0111110001000100</v>
      </c>
      <c r="O195">
        <f t="shared" ref="O195:O258" ca="1" si="44">VALUE(LEFT(N195,9))</f>
        <v>11111000</v>
      </c>
    </row>
    <row r="196" spans="4:15" x14ac:dyDescent="0.25">
      <c r="D196">
        <v>194</v>
      </c>
      <c r="E196">
        <f t="shared" si="34"/>
        <v>39.400000000000006</v>
      </c>
      <c r="F196">
        <f t="shared" ca="1" si="35"/>
        <v>47.160000000000004</v>
      </c>
      <c r="G196" s="1">
        <f t="shared" si="36"/>
        <v>1.6166666666666669</v>
      </c>
      <c r="H196" s="6">
        <f t="shared" ca="1" si="37"/>
        <v>2.2633333333333336</v>
      </c>
      <c r="I196" s="5">
        <f t="shared" ca="1" si="38"/>
        <v>0.64666666666666672</v>
      </c>
      <c r="J196" s="8">
        <f t="shared" ca="1" si="39"/>
        <v>1.6975000000000002</v>
      </c>
      <c r="K196" s="5">
        <f t="shared" ca="1" si="40"/>
        <v>8.0833333333333313E-2</v>
      </c>
      <c r="L196">
        <f t="shared" ca="1" si="41"/>
        <v>30182.968888888892</v>
      </c>
      <c r="M196">
        <f t="shared" ca="1" si="42"/>
        <v>30183</v>
      </c>
      <c r="N196" t="str">
        <f t="shared" ca="1" si="43"/>
        <v>0111010111100111</v>
      </c>
      <c r="O196">
        <f t="shared" ca="1" si="44"/>
        <v>11101011</v>
      </c>
    </row>
    <row r="197" spans="4:15" x14ac:dyDescent="0.25">
      <c r="D197">
        <v>195</v>
      </c>
      <c r="E197">
        <f t="shared" si="34"/>
        <v>39.5</v>
      </c>
      <c r="F197">
        <f t="shared" ca="1" si="35"/>
        <v>45.35</v>
      </c>
      <c r="G197" s="1">
        <f t="shared" si="36"/>
        <v>1.6249999999999998</v>
      </c>
      <c r="H197" s="6">
        <f t="shared" ca="1" si="37"/>
        <v>2.1124999999999998</v>
      </c>
      <c r="I197" s="5">
        <f t="shared" ca="1" si="38"/>
        <v>0.48750000000000004</v>
      </c>
      <c r="J197" s="8">
        <f t="shared" ca="1" si="39"/>
        <v>1.5437499999999997</v>
      </c>
      <c r="K197" s="5">
        <f t="shared" ca="1" si="40"/>
        <v>8.1250000000000044E-2</v>
      </c>
      <c r="L197">
        <f t="shared" ca="1" si="41"/>
        <v>28535.466666666664</v>
      </c>
      <c r="M197">
        <f t="shared" ca="1" si="42"/>
        <v>28535</v>
      </c>
      <c r="N197" t="str">
        <f t="shared" ca="1" si="43"/>
        <v>0110111101110111</v>
      </c>
      <c r="O197">
        <f t="shared" ca="1" si="44"/>
        <v>11011110</v>
      </c>
    </row>
    <row r="198" spans="4:15" x14ac:dyDescent="0.25">
      <c r="D198">
        <v>196</v>
      </c>
      <c r="E198">
        <f t="shared" si="34"/>
        <v>39.6</v>
      </c>
      <c r="F198">
        <f t="shared" ca="1" si="35"/>
        <v>49.400000000000006</v>
      </c>
      <c r="G198" s="1">
        <f t="shared" si="36"/>
        <v>1.6333333333333331</v>
      </c>
      <c r="H198" s="6">
        <f t="shared" ca="1" si="37"/>
        <v>2.4500000000000002</v>
      </c>
      <c r="I198" s="5">
        <f t="shared" ca="1" si="38"/>
        <v>0.8166666666666671</v>
      </c>
      <c r="J198" s="8">
        <f t="shared" ca="1" si="39"/>
        <v>1.7149999999999999</v>
      </c>
      <c r="K198" s="5">
        <f t="shared" ca="1" si="40"/>
        <v>8.1666666666666776E-2</v>
      </c>
      <c r="L198">
        <f t="shared" ca="1" si="41"/>
        <v>32221.866666666669</v>
      </c>
      <c r="M198">
        <f t="shared" ca="1" si="42"/>
        <v>32222</v>
      </c>
      <c r="N198" t="str">
        <f t="shared" ca="1" si="43"/>
        <v>0111110111011110</v>
      </c>
      <c r="O198">
        <f t="shared" ca="1" si="44"/>
        <v>11111011</v>
      </c>
    </row>
    <row r="199" spans="4:15" x14ac:dyDescent="0.25">
      <c r="D199">
        <v>197</v>
      </c>
      <c r="E199">
        <f t="shared" si="34"/>
        <v>39.700000000000003</v>
      </c>
      <c r="F199">
        <f t="shared" ca="1" si="35"/>
        <v>39.700000000000003</v>
      </c>
      <c r="G199" s="1">
        <f t="shared" si="36"/>
        <v>1.6416666666666668</v>
      </c>
      <c r="H199" s="6">
        <f t="shared" ca="1" si="37"/>
        <v>1.6416666666666668</v>
      </c>
      <c r="I199" s="5">
        <f t="shared" ca="1" si="38"/>
        <v>0</v>
      </c>
      <c r="J199" s="8">
        <f t="shared" ca="1" si="39"/>
        <v>1.5595833333333333</v>
      </c>
      <c r="K199" s="5">
        <f t="shared" ca="1" si="40"/>
        <v>8.2083333333333508E-2</v>
      </c>
      <c r="L199">
        <f t="shared" ca="1" si="41"/>
        <v>23392.711111111112</v>
      </c>
      <c r="M199">
        <f t="shared" ca="1" si="42"/>
        <v>23393</v>
      </c>
      <c r="N199" t="str">
        <f t="shared" ca="1" si="43"/>
        <v>0101101101100001</v>
      </c>
      <c r="O199">
        <f t="shared" ca="1" si="44"/>
        <v>10110110</v>
      </c>
    </row>
    <row r="200" spans="4:15" x14ac:dyDescent="0.25">
      <c r="D200">
        <v>198</v>
      </c>
      <c r="E200">
        <f t="shared" si="34"/>
        <v>39.799999999999997</v>
      </c>
      <c r="F200">
        <f t="shared" ca="1" si="35"/>
        <v>43.76</v>
      </c>
      <c r="G200" s="1">
        <f t="shared" si="36"/>
        <v>1.6499999999999997</v>
      </c>
      <c r="H200" s="6">
        <f t="shared" ca="1" si="37"/>
        <v>1.9799999999999998</v>
      </c>
      <c r="I200" s="5">
        <f t="shared" ca="1" si="38"/>
        <v>0.33000000000000007</v>
      </c>
      <c r="J200" s="8">
        <f t="shared" ca="1" si="39"/>
        <v>1.5674999999999997</v>
      </c>
      <c r="K200" s="5">
        <f t="shared" ca="1" si="40"/>
        <v>8.2500000000000018E-2</v>
      </c>
      <c r="L200">
        <f t="shared" ca="1" si="41"/>
        <v>27088.21333333333</v>
      </c>
      <c r="M200">
        <f t="shared" ca="1" si="42"/>
        <v>27088</v>
      </c>
      <c r="N200" t="str">
        <f t="shared" ca="1" si="43"/>
        <v>0110100111010000</v>
      </c>
      <c r="O200">
        <f t="shared" ca="1" si="44"/>
        <v>11010011</v>
      </c>
    </row>
    <row r="201" spans="4:15" x14ac:dyDescent="0.25">
      <c r="D201">
        <v>199</v>
      </c>
      <c r="E201">
        <f t="shared" si="34"/>
        <v>39.900000000000006</v>
      </c>
      <c r="F201">
        <f t="shared" ca="1" si="35"/>
        <v>33.930000000000007</v>
      </c>
      <c r="G201" s="1">
        <f t="shared" si="36"/>
        <v>1.6583333333333334</v>
      </c>
      <c r="H201" s="6">
        <f t="shared" ca="1" si="37"/>
        <v>1.1608333333333338</v>
      </c>
      <c r="I201" s="5">
        <f t="shared" ca="1" si="38"/>
        <v>0.49749999999999961</v>
      </c>
      <c r="J201" s="8">
        <f t="shared" ca="1" si="39"/>
        <v>1.5754166666666667</v>
      </c>
      <c r="K201" s="5">
        <f t="shared" ca="1" si="40"/>
        <v>8.291666666666675E-2</v>
      </c>
      <c r="L201">
        <f t="shared" ca="1" si="41"/>
        <v>18140.728888888894</v>
      </c>
      <c r="M201">
        <f t="shared" ca="1" si="42"/>
        <v>18141</v>
      </c>
      <c r="N201" t="str">
        <f t="shared" ca="1" si="43"/>
        <v>0100011011011101</v>
      </c>
      <c r="O201">
        <f t="shared" ca="1" si="44"/>
        <v>10001101</v>
      </c>
    </row>
    <row r="202" spans="4:15" x14ac:dyDescent="0.25">
      <c r="D202">
        <v>200</v>
      </c>
      <c r="E202">
        <f t="shared" si="34"/>
        <v>40</v>
      </c>
      <c r="F202">
        <f t="shared" ca="1" si="35"/>
        <v>32</v>
      </c>
      <c r="G202" s="1">
        <f t="shared" si="36"/>
        <v>1.6666666666666663</v>
      </c>
      <c r="H202" s="6">
        <f t="shared" ca="1" si="37"/>
        <v>0.99999999999999978</v>
      </c>
      <c r="I202" s="5">
        <f t="shared" ca="1" si="38"/>
        <v>0.66666666666666652</v>
      </c>
      <c r="J202" s="8">
        <f t="shared" ca="1" si="39"/>
        <v>1.5833333333333328</v>
      </c>
      <c r="K202" s="5">
        <f t="shared" ca="1" si="40"/>
        <v>8.3333333333333481E-2</v>
      </c>
      <c r="L202">
        <f t="shared" ca="1" si="41"/>
        <v>16383.999999999998</v>
      </c>
      <c r="M202">
        <f t="shared" ca="1" si="42"/>
        <v>16384</v>
      </c>
      <c r="N202" t="str">
        <f t="shared" ca="1" si="43"/>
        <v>0100000000000000</v>
      </c>
      <c r="O202">
        <f t="shared" ca="1" si="44"/>
        <v>10000000</v>
      </c>
    </row>
    <row r="203" spans="4:15" x14ac:dyDescent="0.25">
      <c r="D203">
        <v>201</v>
      </c>
      <c r="E203">
        <f t="shared" si="34"/>
        <v>40.1</v>
      </c>
      <c r="F203">
        <f t="shared" ca="1" si="35"/>
        <v>38.090000000000003</v>
      </c>
      <c r="G203" s="1">
        <f t="shared" si="36"/>
        <v>1.675</v>
      </c>
      <c r="H203" s="6">
        <f t="shared" ca="1" si="37"/>
        <v>1.5075000000000001</v>
      </c>
      <c r="I203" s="5">
        <f t="shared" ca="1" si="38"/>
        <v>0.16749999999999998</v>
      </c>
      <c r="J203" s="8">
        <f t="shared" ca="1" si="39"/>
        <v>1.5912500000000001</v>
      </c>
      <c r="K203" s="5">
        <f t="shared" ca="1" si="40"/>
        <v>8.3749999999999991E-2</v>
      </c>
      <c r="L203">
        <f t="shared" ca="1" si="41"/>
        <v>21927.253333333338</v>
      </c>
      <c r="M203">
        <f t="shared" ca="1" si="42"/>
        <v>21927</v>
      </c>
      <c r="N203" t="str">
        <f t="shared" ca="1" si="43"/>
        <v>0101010110100111</v>
      </c>
      <c r="O203">
        <f t="shared" ca="1" si="44"/>
        <v>10101011</v>
      </c>
    </row>
    <row r="204" spans="4:15" x14ac:dyDescent="0.25">
      <c r="D204">
        <v>202</v>
      </c>
      <c r="E204">
        <f t="shared" si="34"/>
        <v>40.200000000000003</v>
      </c>
      <c r="F204">
        <f t="shared" ca="1" si="35"/>
        <v>46.260000000000005</v>
      </c>
      <c r="G204" s="1">
        <f t="shared" si="36"/>
        <v>1.6833333333333333</v>
      </c>
      <c r="H204" s="6">
        <f t="shared" ca="1" si="37"/>
        <v>2.1883333333333335</v>
      </c>
      <c r="I204" s="5">
        <f t="shared" ca="1" si="38"/>
        <v>0.50500000000000012</v>
      </c>
      <c r="J204" s="8">
        <f t="shared" ca="1" si="39"/>
        <v>1.5991666666666666</v>
      </c>
      <c r="K204" s="5">
        <f t="shared" ca="1" si="40"/>
        <v>8.4166666666666723E-2</v>
      </c>
      <c r="L204">
        <f t="shared" ca="1" si="41"/>
        <v>29363.768888888892</v>
      </c>
      <c r="M204">
        <f t="shared" ca="1" si="42"/>
        <v>29364</v>
      </c>
      <c r="N204" t="str">
        <f t="shared" ca="1" si="43"/>
        <v>0111001010110100</v>
      </c>
      <c r="O204">
        <f t="shared" ca="1" si="44"/>
        <v>11100101</v>
      </c>
    </row>
    <row r="205" spans="4:15" x14ac:dyDescent="0.25">
      <c r="D205">
        <v>203</v>
      </c>
      <c r="E205">
        <f t="shared" si="34"/>
        <v>40.299999999999997</v>
      </c>
      <c r="F205">
        <f t="shared" ca="1" si="35"/>
        <v>50.449999999999996</v>
      </c>
      <c r="G205" s="1">
        <f t="shared" si="36"/>
        <v>1.6916666666666662</v>
      </c>
      <c r="H205" s="6">
        <f t="shared" ca="1" si="37"/>
        <v>2.5374999999999988</v>
      </c>
      <c r="I205" s="5">
        <f t="shared" ca="1" si="38"/>
        <v>0.84583333333333255</v>
      </c>
      <c r="J205" s="8">
        <f t="shared" ca="1" si="39"/>
        <v>1.6070833333333328</v>
      </c>
      <c r="K205" s="5">
        <f t="shared" ca="1" si="40"/>
        <v>8.4583333333333455E-2</v>
      </c>
      <c r="L205">
        <f t="shared" ca="1" si="41"/>
        <v>33177.599999999984</v>
      </c>
      <c r="M205">
        <f t="shared" ca="1" si="42"/>
        <v>33178</v>
      </c>
      <c r="N205" t="str">
        <f t="shared" ca="1" si="43"/>
        <v>1000000110011010</v>
      </c>
      <c r="O205">
        <f t="shared" ca="1" si="44"/>
        <v>100000011</v>
      </c>
    </row>
    <row r="206" spans="4:15" x14ac:dyDescent="0.25">
      <c r="D206">
        <v>204</v>
      </c>
      <c r="E206">
        <f t="shared" si="34"/>
        <v>40.400000000000006</v>
      </c>
      <c r="F206">
        <f t="shared" ca="1" si="35"/>
        <v>30.200000000000003</v>
      </c>
      <c r="G206" s="1">
        <f t="shared" si="36"/>
        <v>1.7000000000000004</v>
      </c>
      <c r="H206" s="6">
        <f t="shared" ca="1" si="37"/>
        <v>0.84999999999999987</v>
      </c>
      <c r="I206" s="5">
        <f t="shared" ca="1" si="38"/>
        <v>0.85000000000000053</v>
      </c>
      <c r="J206" s="8">
        <f t="shared" ca="1" si="39"/>
        <v>1.6150000000000002</v>
      </c>
      <c r="K206" s="5">
        <f t="shared" ca="1" si="40"/>
        <v>8.5000000000000187E-2</v>
      </c>
      <c r="L206">
        <f t="shared" ca="1" si="41"/>
        <v>14745.599999999999</v>
      </c>
      <c r="M206">
        <f t="shared" ca="1" si="42"/>
        <v>14746</v>
      </c>
      <c r="N206" t="str">
        <f t="shared" ca="1" si="43"/>
        <v>0011100110011010</v>
      </c>
      <c r="O206">
        <f t="shared" ca="1" si="44"/>
        <v>1110011</v>
      </c>
    </row>
    <row r="207" spans="4:15" x14ac:dyDescent="0.25">
      <c r="D207">
        <v>205</v>
      </c>
      <c r="E207">
        <f t="shared" si="34"/>
        <v>40.5</v>
      </c>
      <c r="F207">
        <f t="shared" ca="1" si="35"/>
        <v>30.25</v>
      </c>
      <c r="G207" s="1">
        <f t="shared" si="36"/>
        <v>1.7083333333333333</v>
      </c>
      <c r="H207" s="6">
        <f t="shared" ca="1" si="37"/>
        <v>0.8541666666666663</v>
      </c>
      <c r="I207" s="5">
        <f t="shared" ca="1" si="38"/>
        <v>0.85416666666666696</v>
      </c>
      <c r="J207" s="8">
        <f t="shared" ca="1" si="39"/>
        <v>1.6229166666666666</v>
      </c>
      <c r="K207" s="5">
        <f t="shared" ca="1" si="40"/>
        <v>8.5416666666666696E-2</v>
      </c>
      <c r="L207">
        <f t="shared" ca="1" si="41"/>
        <v>14791.111111111108</v>
      </c>
      <c r="M207">
        <f t="shared" ca="1" si="42"/>
        <v>14791</v>
      </c>
      <c r="N207" t="str">
        <f t="shared" ca="1" si="43"/>
        <v>0011100111000111</v>
      </c>
      <c r="O207">
        <f t="shared" ca="1" si="44"/>
        <v>1110011</v>
      </c>
    </row>
    <row r="208" spans="4:15" x14ac:dyDescent="0.25">
      <c r="D208">
        <v>206</v>
      </c>
      <c r="E208">
        <f t="shared" si="34"/>
        <v>40.6</v>
      </c>
      <c r="F208">
        <f t="shared" ca="1" si="35"/>
        <v>40.6</v>
      </c>
      <c r="G208" s="1">
        <f t="shared" si="36"/>
        <v>1.7166666666666666</v>
      </c>
      <c r="H208" s="6">
        <f t="shared" ca="1" si="37"/>
        <v>1.7166666666666666</v>
      </c>
      <c r="I208" s="5">
        <f t="shared" ca="1" si="38"/>
        <v>0</v>
      </c>
      <c r="J208" s="8">
        <f t="shared" ca="1" si="39"/>
        <v>1.8025</v>
      </c>
      <c r="K208" s="5">
        <f t="shared" ca="1" si="40"/>
        <v>8.5833333333333428E-2</v>
      </c>
      <c r="L208">
        <f t="shared" ca="1" si="41"/>
        <v>24211.911111111112</v>
      </c>
      <c r="M208">
        <f t="shared" ca="1" si="42"/>
        <v>24212</v>
      </c>
      <c r="N208" t="str">
        <f t="shared" ca="1" si="43"/>
        <v>0101111010010100</v>
      </c>
      <c r="O208">
        <f t="shared" ca="1" si="44"/>
        <v>10111101</v>
      </c>
    </row>
    <row r="209" spans="4:15" x14ac:dyDescent="0.25">
      <c r="D209">
        <v>207</v>
      </c>
      <c r="E209">
        <f t="shared" si="34"/>
        <v>40.700000000000003</v>
      </c>
      <c r="F209">
        <f t="shared" ca="1" si="35"/>
        <v>32.42</v>
      </c>
      <c r="G209" s="1">
        <f t="shared" si="36"/>
        <v>1.7249999999999999</v>
      </c>
      <c r="H209" s="6">
        <f t="shared" ca="1" si="37"/>
        <v>1.0349999999999999</v>
      </c>
      <c r="I209" s="5">
        <f t="shared" ca="1" si="38"/>
        <v>0.69</v>
      </c>
      <c r="J209" s="8">
        <f t="shared" ca="1" si="39"/>
        <v>1.81125</v>
      </c>
      <c r="K209" s="5">
        <f t="shared" ca="1" si="40"/>
        <v>8.625000000000016E-2</v>
      </c>
      <c r="L209">
        <f t="shared" ca="1" si="41"/>
        <v>16766.293333333331</v>
      </c>
      <c r="M209">
        <f t="shared" ca="1" si="42"/>
        <v>16766</v>
      </c>
      <c r="N209" t="str">
        <f t="shared" ca="1" si="43"/>
        <v>0100000101111110</v>
      </c>
      <c r="O209">
        <f t="shared" ca="1" si="44"/>
        <v>10000010</v>
      </c>
    </row>
    <row r="210" spans="4:15" x14ac:dyDescent="0.25">
      <c r="D210">
        <v>208</v>
      </c>
      <c r="E210">
        <f t="shared" si="34"/>
        <v>40.799999999999997</v>
      </c>
      <c r="F210">
        <f t="shared" ca="1" si="35"/>
        <v>38.72</v>
      </c>
      <c r="G210" s="1">
        <f t="shared" si="36"/>
        <v>1.7333333333333327</v>
      </c>
      <c r="H210" s="6">
        <f t="shared" ca="1" si="37"/>
        <v>1.5599999999999998</v>
      </c>
      <c r="I210" s="5">
        <f t="shared" ca="1" si="38"/>
        <v>0.1733333333333329</v>
      </c>
      <c r="J210" s="8">
        <f t="shared" ca="1" si="39"/>
        <v>1.8199999999999994</v>
      </c>
      <c r="K210" s="5">
        <f t="shared" ca="1" si="40"/>
        <v>8.666666666666667E-2</v>
      </c>
      <c r="L210">
        <f t="shared" ca="1" si="41"/>
        <v>22500.693333333329</v>
      </c>
      <c r="M210">
        <f t="shared" ca="1" si="42"/>
        <v>22501</v>
      </c>
      <c r="N210" t="str">
        <f t="shared" ca="1" si="43"/>
        <v>0101011111100101</v>
      </c>
      <c r="O210">
        <f t="shared" ca="1" si="44"/>
        <v>10101111</v>
      </c>
    </row>
    <row r="211" spans="4:15" x14ac:dyDescent="0.25">
      <c r="D211">
        <v>209</v>
      </c>
      <c r="E211">
        <f t="shared" si="34"/>
        <v>40.900000000000006</v>
      </c>
      <c r="F211">
        <f t="shared" ca="1" si="35"/>
        <v>36.720000000000006</v>
      </c>
      <c r="G211" s="1">
        <f t="shared" si="36"/>
        <v>1.7416666666666669</v>
      </c>
      <c r="H211" s="6">
        <f t="shared" ca="1" si="37"/>
        <v>1.3933333333333338</v>
      </c>
      <c r="I211" s="5">
        <f t="shared" ca="1" si="38"/>
        <v>0.34833333333333316</v>
      </c>
      <c r="J211" s="8">
        <f t="shared" ca="1" si="39"/>
        <v>1.6545833333333335</v>
      </c>
      <c r="K211" s="5">
        <f t="shared" ca="1" si="40"/>
        <v>8.7083333333333401E-2</v>
      </c>
      <c r="L211">
        <f t="shared" ca="1" si="41"/>
        <v>20680.248888888895</v>
      </c>
      <c r="M211">
        <f t="shared" ca="1" si="42"/>
        <v>20680</v>
      </c>
      <c r="N211" t="str">
        <f t="shared" ca="1" si="43"/>
        <v>0101000011001000</v>
      </c>
      <c r="O211">
        <f t="shared" ca="1" si="44"/>
        <v>10100001</v>
      </c>
    </row>
    <row r="212" spans="4:15" x14ac:dyDescent="0.25">
      <c r="D212">
        <v>210</v>
      </c>
      <c r="E212">
        <f t="shared" si="34"/>
        <v>41</v>
      </c>
      <c r="F212">
        <f t="shared" ca="1" si="35"/>
        <v>32.6</v>
      </c>
      <c r="G212" s="1">
        <f t="shared" si="36"/>
        <v>1.7499999999999998</v>
      </c>
      <c r="H212" s="6">
        <f t="shared" ca="1" si="37"/>
        <v>1.05</v>
      </c>
      <c r="I212" s="5">
        <f t="shared" ca="1" si="38"/>
        <v>0.69999999999999973</v>
      </c>
      <c r="J212" s="8">
        <f t="shared" ca="1" si="39"/>
        <v>1.6624999999999996</v>
      </c>
      <c r="K212" s="5">
        <f t="shared" ca="1" si="40"/>
        <v>8.7500000000000133E-2</v>
      </c>
      <c r="L212">
        <f t="shared" ca="1" si="41"/>
        <v>16930.133333333335</v>
      </c>
      <c r="M212">
        <f t="shared" ca="1" si="42"/>
        <v>16930</v>
      </c>
      <c r="N212" t="str">
        <f t="shared" ca="1" si="43"/>
        <v>0100001000100010</v>
      </c>
      <c r="O212">
        <f t="shared" ca="1" si="44"/>
        <v>10000100</v>
      </c>
    </row>
    <row r="213" spans="4:15" x14ac:dyDescent="0.25">
      <c r="D213">
        <v>211</v>
      </c>
      <c r="E213">
        <f t="shared" si="34"/>
        <v>41.1</v>
      </c>
      <c r="F213">
        <f t="shared" ca="1" si="35"/>
        <v>38.99</v>
      </c>
      <c r="G213" s="1">
        <f t="shared" si="36"/>
        <v>1.7583333333333331</v>
      </c>
      <c r="H213" s="6">
        <f t="shared" ca="1" si="37"/>
        <v>1.5824999999999998</v>
      </c>
      <c r="I213" s="5">
        <f t="shared" ca="1" si="38"/>
        <v>0.17583333333333329</v>
      </c>
      <c r="J213" s="8">
        <f t="shared" ca="1" si="39"/>
        <v>1.8462499999999997</v>
      </c>
      <c r="K213" s="5">
        <f t="shared" ca="1" si="40"/>
        <v>8.7916666666666643E-2</v>
      </c>
      <c r="L213">
        <f t="shared" ca="1" si="41"/>
        <v>22746.453333333327</v>
      </c>
      <c r="M213">
        <f t="shared" ca="1" si="42"/>
        <v>22746</v>
      </c>
      <c r="N213" t="str">
        <f t="shared" ca="1" si="43"/>
        <v>0101100011011010</v>
      </c>
      <c r="O213">
        <f t="shared" ca="1" si="44"/>
        <v>10110001</v>
      </c>
    </row>
    <row r="214" spans="4:15" x14ac:dyDescent="0.25">
      <c r="D214">
        <v>212</v>
      </c>
      <c r="E214">
        <f t="shared" si="34"/>
        <v>41.2</v>
      </c>
      <c r="F214">
        <f t="shared" ca="1" si="35"/>
        <v>49.680000000000007</v>
      </c>
      <c r="G214" s="1">
        <f t="shared" si="36"/>
        <v>1.7666666666666668</v>
      </c>
      <c r="H214" s="6">
        <f t="shared" ca="1" si="37"/>
        <v>2.4733333333333336</v>
      </c>
      <c r="I214" s="5">
        <f t="shared" ca="1" si="38"/>
        <v>0.70666666666666678</v>
      </c>
      <c r="J214" s="8">
        <f t="shared" ca="1" si="39"/>
        <v>1.8550000000000002</v>
      </c>
      <c r="K214" s="5">
        <f t="shared" ca="1" si="40"/>
        <v>8.8333333333333375E-2</v>
      </c>
      <c r="L214">
        <f t="shared" ca="1" si="41"/>
        <v>32476.728888888891</v>
      </c>
      <c r="M214">
        <f t="shared" ca="1" si="42"/>
        <v>32477</v>
      </c>
      <c r="N214" t="str">
        <f t="shared" ca="1" si="43"/>
        <v>0111111011011101</v>
      </c>
      <c r="O214">
        <f t="shared" ca="1" si="44"/>
        <v>11111101</v>
      </c>
    </row>
    <row r="215" spans="4:15" x14ac:dyDescent="0.25">
      <c r="D215">
        <v>213</v>
      </c>
      <c r="E215">
        <f t="shared" si="34"/>
        <v>41.3</v>
      </c>
      <c r="F215">
        <f t="shared" ca="1" si="35"/>
        <v>41.3</v>
      </c>
      <c r="G215" s="1">
        <f t="shared" si="36"/>
        <v>1.7749999999999997</v>
      </c>
      <c r="H215" s="6">
        <f t="shared" ca="1" si="37"/>
        <v>1.7749999999999997</v>
      </c>
      <c r="I215" s="5">
        <f t="shared" ca="1" si="38"/>
        <v>0</v>
      </c>
      <c r="J215" s="8">
        <f t="shared" ca="1" si="39"/>
        <v>1.8637499999999998</v>
      </c>
      <c r="K215" s="5">
        <f t="shared" ca="1" si="40"/>
        <v>8.8750000000000107E-2</v>
      </c>
      <c r="L215">
        <f t="shared" ca="1" si="41"/>
        <v>24849.066666666662</v>
      </c>
      <c r="M215">
        <f t="shared" ca="1" si="42"/>
        <v>24849</v>
      </c>
      <c r="N215" t="str">
        <f t="shared" ca="1" si="43"/>
        <v>0110000100010001</v>
      </c>
      <c r="O215">
        <f t="shared" ca="1" si="44"/>
        <v>11000010</v>
      </c>
    </row>
    <row r="216" spans="4:15" x14ac:dyDescent="0.25">
      <c r="D216">
        <v>214</v>
      </c>
      <c r="E216">
        <f t="shared" si="34"/>
        <v>41.400000000000006</v>
      </c>
      <c r="F216">
        <f t="shared" ca="1" si="35"/>
        <v>30.700000000000003</v>
      </c>
      <c r="G216" s="1">
        <f t="shared" si="36"/>
        <v>1.7833333333333334</v>
      </c>
      <c r="H216" s="6">
        <f t="shared" ca="1" si="37"/>
        <v>0.89166666666666683</v>
      </c>
      <c r="I216" s="5">
        <f t="shared" ca="1" si="38"/>
        <v>0.89166666666666661</v>
      </c>
      <c r="J216" s="8">
        <f t="shared" ca="1" si="39"/>
        <v>1.8725000000000003</v>
      </c>
      <c r="K216" s="5">
        <f t="shared" ca="1" si="40"/>
        <v>8.9166666666666838E-2</v>
      </c>
      <c r="L216">
        <f t="shared" ca="1" si="41"/>
        <v>15200.711111111113</v>
      </c>
      <c r="M216">
        <f t="shared" ca="1" si="42"/>
        <v>15201</v>
      </c>
      <c r="N216" t="str">
        <f t="shared" ca="1" si="43"/>
        <v>0011101101100001</v>
      </c>
      <c r="O216">
        <f t="shared" ca="1" si="44"/>
        <v>1110110</v>
      </c>
    </row>
    <row r="217" spans="4:15" x14ac:dyDescent="0.25">
      <c r="D217">
        <v>215</v>
      </c>
      <c r="E217">
        <f t="shared" si="34"/>
        <v>41.5</v>
      </c>
      <c r="F217">
        <f t="shared" ca="1" si="35"/>
        <v>52.25</v>
      </c>
      <c r="G217" s="1">
        <f t="shared" si="36"/>
        <v>1.7916666666666663</v>
      </c>
      <c r="H217" s="6">
        <f t="shared" ca="1" si="37"/>
        <v>2.6874999999999991</v>
      </c>
      <c r="I217" s="5">
        <f t="shared" ca="1" si="38"/>
        <v>0.89583333333333282</v>
      </c>
      <c r="J217" s="8">
        <f t="shared" ca="1" si="39"/>
        <v>1.8812499999999996</v>
      </c>
      <c r="K217" s="5">
        <f t="shared" ca="1" si="40"/>
        <v>8.9583333333333348E-2</v>
      </c>
      <c r="L217">
        <f t="shared" ca="1" si="41"/>
        <v>34815.999999999993</v>
      </c>
      <c r="M217">
        <f t="shared" ca="1" si="42"/>
        <v>34816</v>
      </c>
      <c r="N217" t="str">
        <f t="shared" ca="1" si="43"/>
        <v>1000100000000000</v>
      </c>
      <c r="O217">
        <f t="shared" ca="1" si="44"/>
        <v>100010000</v>
      </c>
    </row>
    <row r="218" spans="4:15" x14ac:dyDescent="0.25">
      <c r="D218">
        <v>216</v>
      </c>
      <c r="E218">
        <f t="shared" si="34"/>
        <v>41.6</v>
      </c>
      <c r="F218">
        <f t="shared" ca="1" si="35"/>
        <v>43.760000000000005</v>
      </c>
      <c r="G218" s="1">
        <f t="shared" si="36"/>
        <v>1.8</v>
      </c>
      <c r="H218" s="6">
        <f t="shared" ca="1" si="37"/>
        <v>1.9800000000000002</v>
      </c>
      <c r="I218" s="5">
        <f t="shared" ca="1" si="38"/>
        <v>0.18000000000000016</v>
      </c>
      <c r="J218" s="8">
        <f t="shared" ca="1" si="39"/>
        <v>1.8900000000000001</v>
      </c>
      <c r="K218" s="5">
        <f t="shared" ca="1" si="40"/>
        <v>9.000000000000008E-2</v>
      </c>
      <c r="L218">
        <f t="shared" ca="1" si="41"/>
        <v>27088.213333333337</v>
      </c>
      <c r="M218">
        <f t="shared" ca="1" si="42"/>
        <v>27088</v>
      </c>
      <c r="N218" t="str">
        <f t="shared" ca="1" si="43"/>
        <v>0110100111010000</v>
      </c>
      <c r="O218">
        <f t="shared" ca="1" si="44"/>
        <v>11010011</v>
      </c>
    </row>
    <row r="219" spans="4:15" x14ac:dyDescent="0.25">
      <c r="D219">
        <v>217</v>
      </c>
      <c r="E219">
        <f t="shared" si="34"/>
        <v>41.7</v>
      </c>
      <c r="F219">
        <f t="shared" ca="1" si="35"/>
        <v>37.36</v>
      </c>
      <c r="G219" s="1">
        <f t="shared" si="36"/>
        <v>1.8083333333333333</v>
      </c>
      <c r="H219" s="6">
        <f t="shared" ca="1" si="37"/>
        <v>1.4466666666666665</v>
      </c>
      <c r="I219" s="5">
        <f t="shared" ca="1" si="38"/>
        <v>0.3616666666666668</v>
      </c>
      <c r="J219" s="8">
        <f t="shared" ca="1" si="39"/>
        <v>1.8987500000000002</v>
      </c>
      <c r="K219" s="5">
        <f t="shared" ca="1" si="40"/>
        <v>9.0416666666666812E-2</v>
      </c>
      <c r="L219">
        <f t="shared" ca="1" si="41"/>
        <v>21262.79111111111</v>
      </c>
      <c r="M219">
        <f t="shared" ca="1" si="42"/>
        <v>21263</v>
      </c>
      <c r="N219" t="str">
        <f t="shared" ca="1" si="43"/>
        <v>0101001100001111</v>
      </c>
      <c r="O219">
        <f t="shared" ca="1" si="44"/>
        <v>10100110</v>
      </c>
    </row>
    <row r="220" spans="4:15" x14ac:dyDescent="0.25">
      <c r="D220">
        <v>218</v>
      </c>
      <c r="E220">
        <f t="shared" si="34"/>
        <v>41.8</v>
      </c>
      <c r="F220">
        <f t="shared" ca="1" si="35"/>
        <v>33.08</v>
      </c>
      <c r="G220" s="1">
        <f t="shared" si="36"/>
        <v>1.8166666666666662</v>
      </c>
      <c r="H220" s="6">
        <f t="shared" ca="1" si="37"/>
        <v>1.0899999999999996</v>
      </c>
      <c r="I220" s="5">
        <f t="shared" ca="1" si="38"/>
        <v>0.72666666666666657</v>
      </c>
      <c r="J220" s="8">
        <f t="shared" ca="1" si="39"/>
        <v>1.9074999999999995</v>
      </c>
      <c r="K220" s="5">
        <f t="shared" ca="1" si="40"/>
        <v>9.0833333333333321E-2</v>
      </c>
      <c r="L220">
        <f t="shared" ca="1" si="41"/>
        <v>17367.039999999997</v>
      </c>
      <c r="M220">
        <f t="shared" ca="1" si="42"/>
        <v>17367</v>
      </c>
      <c r="N220" t="str">
        <f t="shared" ca="1" si="43"/>
        <v>0100001111010111</v>
      </c>
      <c r="O220">
        <f t="shared" ca="1" si="44"/>
        <v>10000111</v>
      </c>
    </row>
    <row r="221" spans="4:15" x14ac:dyDescent="0.25">
      <c r="D221">
        <v>219</v>
      </c>
      <c r="E221">
        <f t="shared" si="34"/>
        <v>41.900000000000006</v>
      </c>
      <c r="F221">
        <f t="shared" ca="1" si="35"/>
        <v>37.520000000000003</v>
      </c>
      <c r="G221" s="1">
        <f t="shared" si="36"/>
        <v>1.8250000000000004</v>
      </c>
      <c r="H221" s="6">
        <f t="shared" ca="1" si="37"/>
        <v>1.4600000000000002</v>
      </c>
      <c r="I221" s="5">
        <f t="shared" ca="1" si="38"/>
        <v>0.36500000000000021</v>
      </c>
      <c r="J221" s="8">
        <f t="shared" ca="1" si="39"/>
        <v>1.7337500000000003</v>
      </c>
      <c r="K221" s="5">
        <f t="shared" ca="1" si="40"/>
        <v>9.1250000000000053E-2</v>
      </c>
      <c r="L221">
        <f t="shared" ca="1" si="41"/>
        <v>21408.42666666667</v>
      </c>
      <c r="M221">
        <f t="shared" ca="1" si="42"/>
        <v>21408</v>
      </c>
      <c r="N221" t="str">
        <f t="shared" ca="1" si="43"/>
        <v>0101001110100000</v>
      </c>
      <c r="O221">
        <f t="shared" ca="1" si="44"/>
        <v>10100111</v>
      </c>
    </row>
    <row r="222" spans="4:15" x14ac:dyDescent="0.25">
      <c r="D222">
        <v>220</v>
      </c>
      <c r="E222">
        <f t="shared" si="34"/>
        <v>42</v>
      </c>
      <c r="F222">
        <f t="shared" ca="1" si="35"/>
        <v>37.6</v>
      </c>
      <c r="G222" s="1">
        <f t="shared" si="36"/>
        <v>1.8333333333333333</v>
      </c>
      <c r="H222" s="6">
        <f t="shared" ca="1" si="37"/>
        <v>1.4666666666666666</v>
      </c>
      <c r="I222" s="5">
        <f t="shared" ca="1" si="38"/>
        <v>0.3666666666666667</v>
      </c>
      <c r="J222" s="8">
        <f t="shared" ca="1" si="39"/>
        <v>1.7416666666666665</v>
      </c>
      <c r="K222" s="5">
        <f t="shared" ca="1" si="40"/>
        <v>9.1666666666666785E-2</v>
      </c>
      <c r="L222">
        <f t="shared" ca="1" si="41"/>
        <v>21481.244444444445</v>
      </c>
      <c r="M222">
        <f t="shared" ca="1" si="42"/>
        <v>21481</v>
      </c>
      <c r="N222" t="str">
        <f t="shared" ca="1" si="43"/>
        <v>0101001111101001</v>
      </c>
      <c r="O222">
        <f t="shared" ca="1" si="44"/>
        <v>10100111</v>
      </c>
    </row>
    <row r="223" spans="4:15" x14ac:dyDescent="0.25">
      <c r="D223">
        <v>221</v>
      </c>
      <c r="E223">
        <f t="shared" si="34"/>
        <v>42.1</v>
      </c>
      <c r="F223">
        <f t="shared" ca="1" si="35"/>
        <v>35.47</v>
      </c>
      <c r="G223" s="1">
        <f t="shared" si="36"/>
        <v>1.8416666666666666</v>
      </c>
      <c r="H223" s="6">
        <f t="shared" ca="1" si="37"/>
        <v>1.2891666666666663</v>
      </c>
      <c r="I223" s="5">
        <f t="shared" ca="1" si="38"/>
        <v>0.55250000000000021</v>
      </c>
      <c r="J223" s="8">
        <f t="shared" ca="1" si="39"/>
        <v>1.9337500000000001</v>
      </c>
      <c r="K223" s="5">
        <f t="shared" ca="1" si="40"/>
        <v>9.2083333333333517E-2</v>
      </c>
      <c r="L223">
        <f t="shared" ca="1" si="41"/>
        <v>19542.471111111106</v>
      </c>
      <c r="M223">
        <f t="shared" ca="1" si="42"/>
        <v>19542</v>
      </c>
      <c r="N223" t="str">
        <f t="shared" ca="1" si="43"/>
        <v>0100110001010110</v>
      </c>
      <c r="O223">
        <f t="shared" ca="1" si="44"/>
        <v>10011000</v>
      </c>
    </row>
    <row r="224" spans="4:15" x14ac:dyDescent="0.25">
      <c r="D224">
        <v>222</v>
      </c>
      <c r="E224">
        <f t="shared" si="34"/>
        <v>42.2</v>
      </c>
      <c r="F224">
        <f t="shared" ca="1" si="35"/>
        <v>35.540000000000006</v>
      </c>
      <c r="G224" s="1">
        <f t="shared" si="36"/>
        <v>1.8499999999999999</v>
      </c>
      <c r="H224" s="6">
        <f t="shared" ca="1" si="37"/>
        <v>1.2950000000000002</v>
      </c>
      <c r="I224" s="5">
        <f t="shared" ca="1" si="38"/>
        <v>0.55499999999999972</v>
      </c>
      <c r="J224" s="8">
        <f t="shared" ca="1" si="39"/>
        <v>1.9424999999999999</v>
      </c>
      <c r="K224" s="5">
        <f t="shared" ca="1" si="40"/>
        <v>9.2500000000000027E-2</v>
      </c>
      <c r="L224">
        <f t="shared" ca="1" si="41"/>
        <v>19606.186666666668</v>
      </c>
      <c r="M224">
        <f t="shared" ca="1" si="42"/>
        <v>19606</v>
      </c>
      <c r="N224" t="str">
        <f t="shared" ca="1" si="43"/>
        <v>0100110010010110</v>
      </c>
      <c r="O224">
        <f t="shared" ca="1" si="44"/>
        <v>10011001</v>
      </c>
    </row>
    <row r="225" spans="4:15" x14ac:dyDescent="0.25">
      <c r="D225">
        <v>223</v>
      </c>
      <c r="E225">
        <f t="shared" si="34"/>
        <v>42.3</v>
      </c>
      <c r="F225">
        <f t="shared" ca="1" si="35"/>
        <v>48.989999999999995</v>
      </c>
      <c r="G225" s="1">
        <f t="shared" si="36"/>
        <v>1.8583333333333327</v>
      </c>
      <c r="H225" s="6">
        <f t="shared" ca="1" si="37"/>
        <v>2.4158333333333326</v>
      </c>
      <c r="I225" s="5">
        <f t="shared" ca="1" si="38"/>
        <v>0.55749999999999988</v>
      </c>
      <c r="J225" s="8">
        <f t="shared" ca="1" si="39"/>
        <v>1.9512499999999995</v>
      </c>
      <c r="K225" s="5">
        <f t="shared" ca="1" si="40"/>
        <v>9.2916666666666758E-2</v>
      </c>
      <c r="L225">
        <f t="shared" ca="1" si="41"/>
        <v>31848.675555555546</v>
      </c>
      <c r="M225">
        <f t="shared" ca="1" si="42"/>
        <v>31849</v>
      </c>
      <c r="N225" t="str">
        <f t="shared" ca="1" si="43"/>
        <v>0111110001101001</v>
      </c>
      <c r="O225">
        <f t="shared" ca="1" si="44"/>
        <v>11111000</v>
      </c>
    </row>
    <row r="226" spans="4:15" x14ac:dyDescent="0.25">
      <c r="D226">
        <v>224</v>
      </c>
      <c r="E226">
        <f t="shared" si="34"/>
        <v>42.400000000000006</v>
      </c>
      <c r="F226">
        <f t="shared" ca="1" si="35"/>
        <v>53.600000000000009</v>
      </c>
      <c r="G226" s="1">
        <f t="shared" si="36"/>
        <v>1.8666666666666669</v>
      </c>
      <c r="H226" s="6">
        <f t="shared" ca="1" si="37"/>
        <v>2.8</v>
      </c>
      <c r="I226" s="5">
        <f t="shared" ca="1" si="38"/>
        <v>0.9333333333333329</v>
      </c>
      <c r="J226" s="8">
        <f t="shared" ca="1" si="39"/>
        <v>1.9600000000000004</v>
      </c>
      <c r="K226" s="5">
        <f t="shared" ca="1" si="40"/>
        <v>9.333333333333349E-2</v>
      </c>
      <c r="L226">
        <f t="shared" ca="1" si="41"/>
        <v>36044.799999999996</v>
      </c>
      <c r="M226">
        <f t="shared" ca="1" si="42"/>
        <v>36045</v>
      </c>
      <c r="N226" t="str">
        <f t="shared" ca="1" si="43"/>
        <v>1000110011001101</v>
      </c>
      <c r="O226">
        <f t="shared" ca="1" si="44"/>
        <v>100011001</v>
      </c>
    </row>
    <row r="227" spans="4:15" x14ac:dyDescent="0.25">
      <c r="D227">
        <v>225</v>
      </c>
      <c r="E227">
        <f t="shared" si="34"/>
        <v>42.5</v>
      </c>
      <c r="F227">
        <f t="shared" ca="1" si="35"/>
        <v>42.5</v>
      </c>
      <c r="G227" s="1">
        <f t="shared" si="36"/>
        <v>1.8749999999999998</v>
      </c>
      <c r="H227" s="6">
        <f t="shared" ca="1" si="37"/>
        <v>1.8749999999999998</v>
      </c>
      <c r="I227" s="5">
        <f t="shared" ca="1" si="38"/>
        <v>0</v>
      </c>
      <c r="J227" s="8">
        <f t="shared" ca="1" si="39"/>
        <v>1.7812499999999998</v>
      </c>
      <c r="K227" s="5">
        <f t="shared" ca="1" si="40"/>
        <v>9.375E-2</v>
      </c>
      <c r="L227">
        <f t="shared" ca="1" si="41"/>
        <v>25941.333333333332</v>
      </c>
      <c r="M227">
        <f t="shared" ca="1" si="42"/>
        <v>25941</v>
      </c>
      <c r="N227" t="str">
        <f t="shared" ca="1" si="43"/>
        <v>0110010101010101</v>
      </c>
      <c r="O227">
        <f t="shared" ca="1" si="44"/>
        <v>11001010</v>
      </c>
    </row>
    <row r="228" spans="4:15" x14ac:dyDescent="0.25">
      <c r="D228">
        <v>226</v>
      </c>
      <c r="E228">
        <f t="shared" si="34"/>
        <v>42.6</v>
      </c>
      <c r="F228">
        <f t="shared" ca="1" si="35"/>
        <v>51.64</v>
      </c>
      <c r="G228" s="1">
        <f t="shared" si="36"/>
        <v>1.8833333333333331</v>
      </c>
      <c r="H228" s="6">
        <f t="shared" ca="1" si="37"/>
        <v>2.6366666666666658</v>
      </c>
      <c r="I228" s="5">
        <f t="shared" ca="1" si="38"/>
        <v>0.75333333333333274</v>
      </c>
      <c r="J228" s="8">
        <f t="shared" ca="1" si="39"/>
        <v>1.9774999999999998</v>
      </c>
      <c r="K228" s="5">
        <f t="shared" ca="1" si="40"/>
        <v>9.4166666666666732E-2</v>
      </c>
      <c r="L228">
        <f t="shared" ca="1" si="41"/>
        <v>34260.764444444438</v>
      </c>
      <c r="M228">
        <f t="shared" ca="1" si="42"/>
        <v>34261</v>
      </c>
      <c r="N228" t="str">
        <f t="shared" ca="1" si="43"/>
        <v>1000010111010101</v>
      </c>
      <c r="O228">
        <f t="shared" ca="1" si="44"/>
        <v>100001011</v>
      </c>
    </row>
    <row r="229" spans="4:15" x14ac:dyDescent="0.25">
      <c r="D229">
        <v>227</v>
      </c>
      <c r="E229">
        <f t="shared" si="34"/>
        <v>42.7</v>
      </c>
      <c r="F229">
        <f t="shared" ca="1" si="35"/>
        <v>33.620000000000005</v>
      </c>
      <c r="G229" s="1">
        <f t="shared" si="36"/>
        <v>1.8916666666666668</v>
      </c>
      <c r="H229" s="6">
        <f t="shared" ca="1" si="37"/>
        <v>1.135</v>
      </c>
      <c r="I229" s="5">
        <f t="shared" ca="1" si="38"/>
        <v>0.75666666666666682</v>
      </c>
      <c r="J229" s="8">
        <f t="shared" ca="1" si="39"/>
        <v>1.7970833333333334</v>
      </c>
      <c r="K229" s="5">
        <f t="shared" ca="1" si="40"/>
        <v>9.4583333333333464E-2</v>
      </c>
      <c r="L229">
        <f t="shared" ca="1" si="41"/>
        <v>17858.560000000001</v>
      </c>
      <c r="M229">
        <f t="shared" ca="1" si="42"/>
        <v>17859</v>
      </c>
      <c r="N229" t="str">
        <f t="shared" ca="1" si="43"/>
        <v>0100010111000011</v>
      </c>
      <c r="O229">
        <f t="shared" ca="1" si="44"/>
        <v>10001011</v>
      </c>
    </row>
    <row r="230" spans="4:15" x14ac:dyDescent="0.25">
      <c r="D230">
        <v>228</v>
      </c>
      <c r="E230">
        <f t="shared" si="34"/>
        <v>42.8</v>
      </c>
      <c r="F230">
        <f t="shared" ca="1" si="35"/>
        <v>54.199999999999996</v>
      </c>
      <c r="G230" s="1">
        <f t="shared" si="36"/>
        <v>1.8999999999999997</v>
      </c>
      <c r="H230" s="6">
        <f t="shared" ca="1" si="37"/>
        <v>2.8499999999999988</v>
      </c>
      <c r="I230" s="5">
        <f t="shared" ca="1" si="38"/>
        <v>0.94999999999999907</v>
      </c>
      <c r="J230" s="8">
        <f t="shared" ca="1" si="39"/>
        <v>1.9949999999999997</v>
      </c>
      <c r="K230" s="5">
        <f t="shared" ca="1" si="40"/>
        <v>9.4999999999999973E-2</v>
      </c>
      <c r="L230">
        <f t="shared" ca="1" si="41"/>
        <v>36590.93333333332</v>
      </c>
      <c r="M230">
        <f t="shared" ca="1" si="42"/>
        <v>36591</v>
      </c>
      <c r="N230" t="str">
        <f t="shared" ca="1" si="43"/>
        <v>1000111011101111</v>
      </c>
      <c r="O230">
        <f t="shared" ca="1" si="44"/>
        <v>100011101</v>
      </c>
    </row>
    <row r="231" spans="4:15" x14ac:dyDescent="0.25">
      <c r="D231">
        <v>229</v>
      </c>
      <c r="E231">
        <f t="shared" si="34"/>
        <v>42.900000000000006</v>
      </c>
      <c r="F231">
        <f t="shared" ca="1" si="35"/>
        <v>42.900000000000006</v>
      </c>
      <c r="G231" s="1">
        <f t="shared" si="36"/>
        <v>1.9083333333333334</v>
      </c>
      <c r="H231" s="6">
        <f t="shared" ca="1" si="37"/>
        <v>1.9083333333333334</v>
      </c>
      <c r="I231" s="5">
        <f t="shared" ca="1" si="38"/>
        <v>0</v>
      </c>
      <c r="J231" s="8">
        <f t="shared" ca="1" si="39"/>
        <v>2.0037500000000001</v>
      </c>
      <c r="K231" s="5">
        <f t="shared" ca="1" si="40"/>
        <v>9.5416666666666705E-2</v>
      </c>
      <c r="L231">
        <f t="shared" ca="1" si="41"/>
        <v>26305.42222222222</v>
      </c>
      <c r="M231">
        <f t="shared" ca="1" si="42"/>
        <v>26305</v>
      </c>
      <c r="N231" t="str">
        <f t="shared" ca="1" si="43"/>
        <v>0110011011000001</v>
      </c>
      <c r="O231">
        <f t="shared" ca="1" si="44"/>
        <v>11001101</v>
      </c>
    </row>
    <row r="232" spans="4:15" x14ac:dyDescent="0.25">
      <c r="D232">
        <v>230</v>
      </c>
      <c r="E232">
        <f t="shared" si="34"/>
        <v>43</v>
      </c>
      <c r="F232">
        <f t="shared" ca="1" si="35"/>
        <v>36.1</v>
      </c>
      <c r="G232" s="1">
        <f t="shared" si="36"/>
        <v>1.9166666666666663</v>
      </c>
      <c r="H232" s="6">
        <f t="shared" ca="1" si="37"/>
        <v>1.3416666666666666</v>
      </c>
      <c r="I232" s="5">
        <f t="shared" ca="1" si="38"/>
        <v>0.57499999999999973</v>
      </c>
      <c r="J232" s="8">
        <f t="shared" ca="1" si="39"/>
        <v>1.8208333333333329</v>
      </c>
      <c r="K232" s="5">
        <f t="shared" ca="1" si="40"/>
        <v>9.5833333333333437E-2</v>
      </c>
      <c r="L232">
        <f t="shared" ca="1" si="41"/>
        <v>20115.911111111109</v>
      </c>
      <c r="M232">
        <f t="shared" ca="1" si="42"/>
        <v>20116</v>
      </c>
      <c r="N232" t="str">
        <f t="shared" ca="1" si="43"/>
        <v>0100111010010100</v>
      </c>
      <c r="O232">
        <f t="shared" ca="1" si="44"/>
        <v>10011101</v>
      </c>
    </row>
    <row r="233" spans="4:15" x14ac:dyDescent="0.25">
      <c r="D233">
        <v>231</v>
      </c>
      <c r="E233">
        <f t="shared" si="34"/>
        <v>43.1</v>
      </c>
      <c r="F233">
        <f t="shared" ca="1" si="35"/>
        <v>50.03</v>
      </c>
      <c r="G233" s="1">
        <f t="shared" si="36"/>
        <v>1.925</v>
      </c>
      <c r="H233" s="6">
        <f t="shared" ca="1" si="37"/>
        <v>2.5024999999999995</v>
      </c>
      <c r="I233" s="5">
        <f t="shared" ca="1" si="38"/>
        <v>0.57749999999999946</v>
      </c>
      <c r="J233" s="8">
        <f t="shared" ca="1" si="39"/>
        <v>1.8287499999999999</v>
      </c>
      <c r="K233" s="5">
        <f t="shared" ca="1" si="40"/>
        <v>9.6250000000000169E-2</v>
      </c>
      <c r="L233">
        <f t="shared" ca="1" si="41"/>
        <v>32795.306666666664</v>
      </c>
      <c r="M233">
        <f t="shared" ca="1" si="42"/>
        <v>32795</v>
      </c>
      <c r="N233" t="str">
        <f t="shared" ca="1" si="43"/>
        <v>1000000000011011</v>
      </c>
      <c r="O233">
        <f t="shared" ca="1" si="44"/>
        <v>100000000</v>
      </c>
    </row>
    <row r="234" spans="4:15" x14ac:dyDescent="0.25">
      <c r="D234">
        <v>232</v>
      </c>
      <c r="E234">
        <f t="shared" si="34"/>
        <v>43.2</v>
      </c>
      <c r="F234">
        <f t="shared" ca="1" si="35"/>
        <v>54.800000000000004</v>
      </c>
      <c r="G234" s="1">
        <f t="shared" si="36"/>
        <v>1.9333333333333333</v>
      </c>
      <c r="H234" s="6">
        <f t="shared" ca="1" si="37"/>
        <v>2.8999999999999995</v>
      </c>
      <c r="I234" s="5">
        <f t="shared" ca="1" si="38"/>
        <v>0.96666666666666612</v>
      </c>
      <c r="J234" s="8">
        <f t="shared" ca="1" si="39"/>
        <v>2.0300000000000002</v>
      </c>
      <c r="K234" s="5">
        <f t="shared" ca="1" si="40"/>
        <v>9.6666666666666901E-2</v>
      </c>
      <c r="L234">
        <f t="shared" ca="1" si="41"/>
        <v>37137.066666666658</v>
      </c>
      <c r="M234">
        <f t="shared" ca="1" si="42"/>
        <v>37137</v>
      </c>
      <c r="N234" t="str">
        <f t="shared" ca="1" si="43"/>
        <v>1001000100010001</v>
      </c>
      <c r="O234">
        <f t="shared" ca="1" si="44"/>
        <v>100100010</v>
      </c>
    </row>
    <row r="235" spans="4:15" x14ac:dyDescent="0.25">
      <c r="D235">
        <v>233</v>
      </c>
      <c r="E235">
        <f t="shared" si="34"/>
        <v>43.3</v>
      </c>
      <c r="F235">
        <f t="shared" ca="1" si="35"/>
        <v>36.309999999999995</v>
      </c>
      <c r="G235" s="1">
        <f t="shared" si="36"/>
        <v>1.9416666666666662</v>
      </c>
      <c r="H235" s="6">
        <f t="shared" ca="1" si="37"/>
        <v>1.3591666666666662</v>
      </c>
      <c r="I235" s="5">
        <f t="shared" ca="1" si="38"/>
        <v>0.58250000000000002</v>
      </c>
      <c r="J235" s="8">
        <f t="shared" ca="1" si="39"/>
        <v>1.8445833333333328</v>
      </c>
      <c r="K235" s="5">
        <f t="shared" ca="1" si="40"/>
        <v>9.708333333333341E-2</v>
      </c>
      <c r="L235">
        <f t="shared" ca="1" si="41"/>
        <v>20307.057777777773</v>
      </c>
      <c r="M235">
        <f t="shared" ca="1" si="42"/>
        <v>20307</v>
      </c>
      <c r="N235" t="str">
        <f t="shared" ca="1" si="43"/>
        <v>0100111101010011</v>
      </c>
      <c r="O235">
        <f t="shared" ca="1" si="44"/>
        <v>10011110</v>
      </c>
    </row>
    <row r="236" spans="4:15" x14ac:dyDescent="0.25">
      <c r="D236">
        <v>234</v>
      </c>
      <c r="E236">
        <f t="shared" si="34"/>
        <v>43.400000000000006</v>
      </c>
      <c r="F236">
        <f t="shared" ca="1" si="35"/>
        <v>38.720000000000006</v>
      </c>
      <c r="G236" s="1">
        <f t="shared" si="36"/>
        <v>1.9500000000000004</v>
      </c>
      <c r="H236" s="6">
        <f t="shared" ca="1" si="37"/>
        <v>1.5600000000000003</v>
      </c>
      <c r="I236" s="5">
        <f t="shared" ca="1" si="38"/>
        <v>0.39000000000000012</v>
      </c>
      <c r="J236" s="8">
        <f t="shared" ca="1" si="39"/>
        <v>1.8525000000000003</v>
      </c>
      <c r="K236" s="5">
        <f t="shared" ca="1" si="40"/>
        <v>9.7500000000000142E-2</v>
      </c>
      <c r="L236">
        <f t="shared" ca="1" si="41"/>
        <v>22500.69333333334</v>
      </c>
      <c r="M236">
        <f t="shared" ca="1" si="42"/>
        <v>22501</v>
      </c>
      <c r="N236" t="str">
        <f t="shared" ca="1" si="43"/>
        <v>0101011111100101</v>
      </c>
      <c r="O236">
        <f t="shared" ca="1" si="44"/>
        <v>10101111</v>
      </c>
    </row>
    <row r="237" spans="4:15" x14ac:dyDescent="0.25">
      <c r="D237">
        <v>235</v>
      </c>
      <c r="E237">
        <f t="shared" si="34"/>
        <v>43.5</v>
      </c>
      <c r="F237">
        <f t="shared" ca="1" si="35"/>
        <v>31.75</v>
      </c>
      <c r="G237" s="1">
        <f t="shared" si="36"/>
        <v>1.9583333333333333</v>
      </c>
      <c r="H237" s="6">
        <f t="shared" ca="1" si="37"/>
        <v>0.9791666666666663</v>
      </c>
      <c r="I237" s="5">
        <f t="shared" ca="1" si="38"/>
        <v>0.97916666666666696</v>
      </c>
      <c r="J237" s="8">
        <f t="shared" ca="1" si="39"/>
        <v>2.0562499999999999</v>
      </c>
      <c r="K237" s="5">
        <f t="shared" ca="1" si="40"/>
        <v>9.7916666666666652E-2</v>
      </c>
      <c r="L237">
        <f t="shared" ca="1" si="41"/>
        <v>16156.44444444444</v>
      </c>
      <c r="M237">
        <f t="shared" ca="1" si="42"/>
        <v>16156</v>
      </c>
      <c r="N237" t="str">
        <f t="shared" ca="1" si="43"/>
        <v>0011111100011100</v>
      </c>
      <c r="O237">
        <f t="shared" ca="1" si="44"/>
        <v>1111110</v>
      </c>
    </row>
    <row r="238" spans="4:15" x14ac:dyDescent="0.25">
      <c r="D238">
        <v>236</v>
      </c>
      <c r="E238">
        <f t="shared" si="34"/>
        <v>43.6</v>
      </c>
      <c r="F238">
        <f t="shared" ca="1" si="35"/>
        <v>31.8</v>
      </c>
      <c r="G238" s="1">
        <f t="shared" si="36"/>
        <v>1.9666666666666666</v>
      </c>
      <c r="H238" s="6">
        <f t="shared" ca="1" si="37"/>
        <v>0.98333333333333317</v>
      </c>
      <c r="I238" s="5">
        <f t="shared" ca="1" si="38"/>
        <v>0.98333333333333339</v>
      </c>
      <c r="J238" s="8">
        <f t="shared" ca="1" si="39"/>
        <v>2.0649999999999999</v>
      </c>
      <c r="K238" s="5">
        <f t="shared" ca="1" si="40"/>
        <v>9.8333333333333384E-2</v>
      </c>
      <c r="L238">
        <f t="shared" ca="1" si="41"/>
        <v>16201.955555555554</v>
      </c>
      <c r="M238">
        <f t="shared" ca="1" si="42"/>
        <v>16202</v>
      </c>
      <c r="N238" t="str">
        <f t="shared" ca="1" si="43"/>
        <v>0011111101001010</v>
      </c>
      <c r="O238">
        <f t="shared" ca="1" si="44"/>
        <v>1111110</v>
      </c>
    </row>
    <row r="239" spans="4:15" x14ac:dyDescent="0.25">
      <c r="D239">
        <v>237</v>
      </c>
      <c r="E239">
        <f t="shared" si="34"/>
        <v>43.7</v>
      </c>
      <c r="F239">
        <f t="shared" ca="1" si="35"/>
        <v>36.590000000000003</v>
      </c>
      <c r="G239" s="1">
        <f t="shared" si="36"/>
        <v>1.9749999999999999</v>
      </c>
      <c r="H239" s="6">
        <f t="shared" ca="1" si="37"/>
        <v>1.3825000000000001</v>
      </c>
      <c r="I239" s="5">
        <f t="shared" ca="1" si="38"/>
        <v>0.5924999999999998</v>
      </c>
      <c r="J239" s="8">
        <f t="shared" ca="1" si="39"/>
        <v>2.07375</v>
      </c>
      <c r="K239" s="5">
        <f t="shared" ca="1" si="40"/>
        <v>9.8750000000000115E-2</v>
      </c>
      <c r="L239">
        <f t="shared" ca="1" si="41"/>
        <v>20561.920000000002</v>
      </c>
      <c r="M239">
        <f t="shared" ca="1" si="42"/>
        <v>20562</v>
      </c>
      <c r="N239" t="str">
        <f t="shared" ca="1" si="43"/>
        <v>0101000001010010</v>
      </c>
      <c r="O239">
        <f t="shared" ca="1" si="44"/>
        <v>10100000</v>
      </c>
    </row>
    <row r="240" spans="4:15" x14ac:dyDescent="0.25">
      <c r="D240">
        <v>238</v>
      </c>
      <c r="E240">
        <f t="shared" si="34"/>
        <v>43.8</v>
      </c>
      <c r="F240">
        <f t="shared" ca="1" si="35"/>
        <v>31.9</v>
      </c>
      <c r="G240" s="1">
        <f t="shared" si="36"/>
        <v>1.9833333333333327</v>
      </c>
      <c r="H240" s="6">
        <f t="shared" ca="1" si="37"/>
        <v>0.99166666666666647</v>
      </c>
      <c r="I240" s="5">
        <f t="shared" ca="1" si="38"/>
        <v>0.99166666666666625</v>
      </c>
      <c r="J240" s="8">
        <f t="shared" ca="1" si="39"/>
        <v>1.8841666666666661</v>
      </c>
      <c r="K240" s="5">
        <f t="shared" ca="1" si="40"/>
        <v>9.9166666666666625E-2</v>
      </c>
      <c r="L240">
        <f t="shared" ca="1" si="41"/>
        <v>16292.977777777776</v>
      </c>
      <c r="M240">
        <f t="shared" ca="1" si="42"/>
        <v>16293</v>
      </c>
      <c r="N240" t="str">
        <f t="shared" ca="1" si="43"/>
        <v>0011111110100101</v>
      </c>
      <c r="O240">
        <f t="shared" ca="1" si="44"/>
        <v>1111111</v>
      </c>
    </row>
    <row r="241" spans="4:15" x14ac:dyDescent="0.25">
      <c r="D241">
        <v>239</v>
      </c>
      <c r="E241">
        <f t="shared" si="34"/>
        <v>43.900000000000006</v>
      </c>
      <c r="F241">
        <f t="shared" ca="1" si="35"/>
        <v>55.850000000000009</v>
      </c>
      <c r="G241" s="1">
        <f t="shared" si="36"/>
        <v>1.9916666666666669</v>
      </c>
      <c r="H241" s="6">
        <f t="shared" ca="1" si="37"/>
        <v>2.9874999999999998</v>
      </c>
      <c r="I241" s="5">
        <f t="shared" ca="1" si="38"/>
        <v>0.9958333333333329</v>
      </c>
      <c r="J241" s="8">
        <f t="shared" ca="1" si="39"/>
        <v>2.0912500000000005</v>
      </c>
      <c r="K241" s="5">
        <f t="shared" ca="1" si="40"/>
        <v>9.9583333333333579E-2</v>
      </c>
      <c r="L241">
        <f t="shared" ca="1" si="41"/>
        <v>38092.799999999996</v>
      </c>
      <c r="M241">
        <f t="shared" ca="1" si="42"/>
        <v>38093</v>
      </c>
      <c r="N241" t="str">
        <f t="shared" ca="1" si="43"/>
        <v>1001010011001101</v>
      </c>
      <c r="O241">
        <f t="shared" ca="1" si="44"/>
        <v>100101001</v>
      </c>
    </row>
    <row r="242" spans="4:15" x14ac:dyDescent="0.25">
      <c r="D242">
        <v>240</v>
      </c>
      <c r="E242">
        <f t="shared" si="34"/>
        <v>44</v>
      </c>
      <c r="F242">
        <f t="shared" ca="1" si="35"/>
        <v>46.4</v>
      </c>
      <c r="G242" s="1">
        <f t="shared" si="36"/>
        <v>1.9999999999999998</v>
      </c>
      <c r="H242" s="6">
        <f t="shared" ca="1" si="37"/>
        <v>2.1999999999999993</v>
      </c>
      <c r="I242" s="5">
        <f t="shared" ca="1" si="38"/>
        <v>0.19999999999999951</v>
      </c>
      <c r="J242" s="8">
        <f t="shared" ca="1" si="39"/>
        <v>1.8999999999999997</v>
      </c>
      <c r="K242" s="5">
        <f t="shared" ca="1" si="40"/>
        <v>0.10000000000000009</v>
      </c>
      <c r="L242">
        <f t="shared" ca="1" si="41"/>
        <v>29491.199999999993</v>
      </c>
      <c r="M242">
        <f t="shared" ca="1" si="42"/>
        <v>29491</v>
      </c>
      <c r="N242" t="str">
        <f t="shared" ca="1" si="43"/>
        <v>0111001100110011</v>
      </c>
      <c r="O242">
        <f t="shared" ca="1" si="44"/>
        <v>11100110</v>
      </c>
    </row>
    <row r="243" spans="4:15" x14ac:dyDescent="0.25">
      <c r="D243">
        <v>241</v>
      </c>
      <c r="E243">
        <f t="shared" si="34"/>
        <v>44.1</v>
      </c>
      <c r="F243">
        <f t="shared" ca="1" si="35"/>
        <v>53.74</v>
      </c>
      <c r="G243" s="1">
        <f t="shared" si="36"/>
        <v>2.0083333333333329</v>
      </c>
      <c r="H243" s="6">
        <f t="shared" ca="1" si="37"/>
        <v>2.8116666666666665</v>
      </c>
      <c r="I243" s="5">
        <f t="shared" ca="1" si="38"/>
        <v>0.80333333333333368</v>
      </c>
      <c r="J243" s="8">
        <f t="shared" ca="1" si="39"/>
        <v>2.1087499999999997</v>
      </c>
      <c r="K243" s="5">
        <f t="shared" ca="1" si="40"/>
        <v>0.10041666666666682</v>
      </c>
      <c r="L243">
        <f t="shared" ca="1" si="41"/>
        <v>36172.231111111112</v>
      </c>
      <c r="M243">
        <f t="shared" ca="1" si="42"/>
        <v>36172</v>
      </c>
      <c r="N243" t="str">
        <f t="shared" ca="1" si="43"/>
        <v>1000110101001100</v>
      </c>
      <c r="O243">
        <f t="shared" ca="1" si="44"/>
        <v>100011010</v>
      </c>
    </row>
    <row r="244" spans="4:15" x14ac:dyDescent="0.25">
      <c r="D244">
        <v>242</v>
      </c>
      <c r="E244">
        <f t="shared" si="34"/>
        <v>44.2</v>
      </c>
      <c r="F244">
        <f t="shared" ca="1" si="35"/>
        <v>36.940000000000005</v>
      </c>
      <c r="G244" s="1">
        <f t="shared" si="36"/>
        <v>2.0166666666666666</v>
      </c>
      <c r="H244" s="6">
        <f t="shared" ca="1" si="37"/>
        <v>1.4116666666666668</v>
      </c>
      <c r="I244" s="5">
        <f t="shared" ca="1" si="38"/>
        <v>0.60499999999999976</v>
      </c>
      <c r="J244" s="8">
        <f t="shared" ca="1" si="39"/>
        <v>2.1175000000000002</v>
      </c>
      <c r="K244" s="5">
        <f t="shared" ca="1" si="40"/>
        <v>0.10083333333333355</v>
      </c>
      <c r="L244">
        <f t="shared" ca="1" si="41"/>
        <v>20880.497777777779</v>
      </c>
      <c r="M244">
        <f t="shared" ca="1" si="42"/>
        <v>20880</v>
      </c>
      <c r="N244" t="str">
        <f t="shared" ca="1" si="43"/>
        <v>0101000110010000</v>
      </c>
      <c r="O244">
        <f t="shared" ca="1" si="44"/>
        <v>10100011</v>
      </c>
    </row>
    <row r="245" spans="4:15" x14ac:dyDescent="0.25">
      <c r="D245">
        <v>243</v>
      </c>
      <c r="E245">
        <f t="shared" si="34"/>
        <v>44.3</v>
      </c>
      <c r="F245">
        <f t="shared" ca="1" si="35"/>
        <v>39.44</v>
      </c>
      <c r="G245" s="1">
        <f t="shared" si="36"/>
        <v>2.0249999999999995</v>
      </c>
      <c r="H245" s="6">
        <f t="shared" ca="1" si="37"/>
        <v>1.6199999999999994</v>
      </c>
      <c r="I245" s="5">
        <f t="shared" ca="1" si="38"/>
        <v>0.40500000000000003</v>
      </c>
      <c r="J245" s="8">
        <f t="shared" ca="1" si="39"/>
        <v>1.9237499999999994</v>
      </c>
      <c r="K245" s="5">
        <f t="shared" ca="1" si="40"/>
        <v>0.10125000000000006</v>
      </c>
      <c r="L245">
        <f t="shared" ca="1" si="41"/>
        <v>23156.053333333326</v>
      </c>
      <c r="M245">
        <f t="shared" ca="1" si="42"/>
        <v>23156</v>
      </c>
      <c r="N245" t="str">
        <f t="shared" ca="1" si="43"/>
        <v>0101101001110100</v>
      </c>
      <c r="O245">
        <f t="shared" ca="1" si="44"/>
        <v>10110100</v>
      </c>
    </row>
    <row r="246" spans="4:15" x14ac:dyDescent="0.25">
      <c r="D246">
        <v>244</v>
      </c>
      <c r="E246">
        <f t="shared" si="34"/>
        <v>44.400000000000006</v>
      </c>
      <c r="F246">
        <f t="shared" ca="1" si="35"/>
        <v>51.720000000000006</v>
      </c>
      <c r="G246" s="1">
        <f t="shared" si="36"/>
        <v>2.0333333333333332</v>
      </c>
      <c r="H246" s="6">
        <f t="shared" ca="1" si="37"/>
        <v>2.6433333333333335</v>
      </c>
      <c r="I246" s="5">
        <f t="shared" ca="1" si="38"/>
        <v>0.61000000000000032</v>
      </c>
      <c r="J246" s="8">
        <f t="shared" ca="1" si="39"/>
        <v>1.9316666666666664</v>
      </c>
      <c r="K246" s="5">
        <f t="shared" ca="1" si="40"/>
        <v>0.10166666666666679</v>
      </c>
      <c r="L246">
        <f t="shared" ca="1" si="41"/>
        <v>34333.582222222227</v>
      </c>
      <c r="M246">
        <f t="shared" ca="1" si="42"/>
        <v>34334</v>
      </c>
      <c r="N246" t="str">
        <f t="shared" ca="1" si="43"/>
        <v>1000011000011110</v>
      </c>
      <c r="O246">
        <f t="shared" ca="1" si="44"/>
        <v>100001100</v>
      </c>
    </row>
    <row r="247" spans="4:15" x14ac:dyDescent="0.25">
      <c r="D247">
        <v>245</v>
      </c>
      <c r="E247">
        <f t="shared" si="34"/>
        <v>44.5</v>
      </c>
      <c r="F247">
        <f t="shared" ca="1" si="35"/>
        <v>46.95</v>
      </c>
      <c r="G247" s="1">
        <f t="shared" si="36"/>
        <v>2.0416666666666661</v>
      </c>
      <c r="H247" s="6">
        <f t="shared" ca="1" si="37"/>
        <v>2.2458333333333336</v>
      </c>
      <c r="I247" s="5">
        <f t="shared" ca="1" si="38"/>
        <v>0.2041666666666675</v>
      </c>
      <c r="J247" s="8">
        <f t="shared" ca="1" si="39"/>
        <v>2.1437499999999994</v>
      </c>
      <c r="K247" s="5">
        <f t="shared" ca="1" si="40"/>
        <v>0.1020833333333333</v>
      </c>
      <c r="L247">
        <f t="shared" ca="1" si="41"/>
        <v>29991.822222222225</v>
      </c>
      <c r="M247">
        <f t="shared" ca="1" si="42"/>
        <v>29992</v>
      </c>
      <c r="N247" t="str">
        <f t="shared" ca="1" si="43"/>
        <v>0111010100101000</v>
      </c>
      <c r="O247">
        <f t="shared" ca="1" si="44"/>
        <v>11101010</v>
      </c>
    </row>
    <row r="248" spans="4:15" x14ac:dyDescent="0.25">
      <c r="D248">
        <v>246</v>
      </c>
      <c r="E248">
        <f t="shared" si="34"/>
        <v>44.6</v>
      </c>
      <c r="F248">
        <f t="shared" ca="1" si="35"/>
        <v>56.900000000000006</v>
      </c>
      <c r="G248" s="1">
        <f t="shared" si="36"/>
        <v>2.0499999999999998</v>
      </c>
      <c r="H248" s="6">
        <f t="shared" ca="1" si="37"/>
        <v>3.0750000000000002</v>
      </c>
      <c r="I248" s="5">
        <f t="shared" ca="1" si="38"/>
        <v>1.0250000000000004</v>
      </c>
      <c r="J248" s="8">
        <f t="shared" ca="1" si="39"/>
        <v>1.9474999999999998</v>
      </c>
      <c r="K248" s="5">
        <f t="shared" ca="1" si="40"/>
        <v>0.10250000000000004</v>
      </c>
      <c r="L248">
        <f t="shared" ca="1" si="41"/>
        <v>39048.533333333333</v>
      </c>
      <c r="M248">
        <f t="shared" ca="1" si="42"/>
        <v>39049</v>
      </c>
      <c r="N248" t="str">
        <f t="shared" ca="1" si="43"/>
        <v>1001100010001001</v>
      </c>
      <c r="O248">
        <f t="shared" ca="1" si="44"/>
        <v>100110001</v>
      </c>
    </row>
    <row r="249" spans="4:15" x14ac:dyDescent="0.25">
      <c r="D249">
        <v>247</v>
      </c>
      <c r="E249">
        <f t="shared" si="34"/>
        <v>44.7</v>
      </c>
      <c r="F249">
        <f t="shared" ca="1" si="35"/>
        <v>54.580000000000005</v>
      </c>
      <c r="G249" s="1">
        <f t="shared" si="36"/>
        <v>2.0583333333333336</v>
      </c>
      <c r="H249" s="6">
        <f t="shared" ca="1" si="37"/>
        <v>2.8816666666666668</v>
      </c>
      <c r="I249" s="5">
        <f t="shared" ca="1" si="38"/>
        <v>0.82333333333333325</v>
      </c>
      <c r="J249" s="8">
        <f t="shared" ca="1" si="39"/>
        <v>1.9554166666666668</v>
      </c>
      <c r="K249" s="5">
        <f t="shared" ca="1" si="40"/>
        <v>0.10291666666666677</v>
      </c>
      <c r="L249">
        <f t="shared" ca="1" si="41"/>
        <v>36936.817777777782</v>
      </c>
      <c r="M249">
        <f t="shared" ca="1" si="42"/>
        <v>36937</v>
      </c>
      <c r="N249" t="str">
        <f t="shared" ca="1" si="43"/>
        <v>1001000001001001</v>
      </c>
      <c r="O249">
        <f t="shared" ca="1" si="44"/>
        <v>100100000</v>
      </c>
    </row>
    <row r="250" spans="4:15" x14ac:dyDescent="0.25">
      <c r="D250">
        <v>248</v>
      </c>
      <c r="E250">
        <f t="shared" si="34"/>
        <v>44.8</v>
      </c>
      <c r="F250">
        <f t="shared" ca="1" si="35"/>
        <v>52.239999999999995</v>
      </c>
      <c r="G250" s="1">
        <f t="shared" si="36"/>
        <v>2.0666666666666664</v>
      </c>
      <c r="H250" s="6">
        <f t="shared" ca="1" si="37"/>
        <v>2.6866666666666656</v>
      </c>
      <c r="I250" s="5">
        <f t="shared" ca="1" si="38"/>
        <v>0.61999999999999922</v>
      </c>
      <c r="J250" s="8">
        <f t="shared" ca="1" si="39"/>
        <v>1.9633333333333329</v>
      </c>
      <c r="K250" s="5">
        <f t="shared" ca="1" si="40"/>
        <v>0.1033333333333335</v>
      </c>
      <c r="L250">
        <f t="shared" ca="1" si="41"/>
        <v>34806.897777777769</v>
      </c>
      <c r="M250">
        <f t="shared" ca="1" si="42"/>
        <v>34807</v>
      </c>
      <c r="N250" t="str">
        <f t="shared" ca="1" si="43"/>
        <v>1000011111110111</v>
      </c>
      <c r="O250">
        <f t="shared" ca="1" si="44"/>
        <v>100001111</v>
      </c>
    </row>
    <row r="251" spans="4:15" x14ac:dyDescent="0.25">
      <c r="D251">
        <v>249</v>
      </c>
      <c r="E251">
        <f t="shared" si="34"/>
        <v>44.900000000000006</v>
      </c>
      <c r="F251">
        <f t="shared" ca="1" si="35"/>
        <v>54.860000000000007</v>
      </c>
      <c r="G251" s="1">
        <f t="shared" si="36"/>
        <v>2.0750000000000002</v>
      </c>
      <c r="H251" s="6">
        <f t="shared" ca="1" si="37"/>
        <v>2.9050000000000002</v>
      </c>
      <c r="I251" s="5">
        <f t="shared" ca="1" si="38"/>
        <v>0.83000000000000007</v>
      </c>
      <c r="J251" s="8">
        <f t="shared" ca="1" si="39"/>
        <v>2.1787500000000004</v>
      </c>
      <c r="K251" s="5">
        <f t="shared" ca="1" si="40"/>
        <v>0.10375000000000023</v>
      </c>
      <c r="L251">
        <f t="shared" ca="1" si="41"/>
        <v>37191.68</v>
      </c>
      <c r="M251">
        <f t="shared" ca="1" si="42"/>
        <v>37192</v>
      </c>
      <c r="N251" t="str">
        <f t="shared" ca="1" si="43"/>
        <v>1001000101001000</v>
      </c>
      <c r="O251">
        <f t="shared" ca="1" si="44"/>
        <v>100100010</v>
      </c>
    </row>
    <row r="252" spans="4:15" x14ac:dyDescent="0.25">
      <c r="D252">
        <v>250</v>
      </c>
      <c r="E252">
        <f t="shared" si="34"/>
        <v>45</v>
      </c>
      <c r="F252">
        <f t="shared" ca="1" si="35"/>
        <v>35</v>
      </c>
      <c r="G252" s="1">
        <f t="shared" si="36"/>
        <v>2.083333333333333</v>
      </c>
      <c r="H252" s="6">
        <f t="shared" ca="1" si="37"/>
        <v>1.2499999999999998</v>
      </c>
      <c r="I252" s="5">
        <f t="shared" ca="1" si="38"/>
        <v>0.83333333333333326</v>
      </c>
      <c r="J252" s="8">
        <f t="shared" ca="1" si="39"/>
        <v>1.9791666666666663</v>
      </c>
      <c r="K252" s="5">
        <f t="shared" ca="1" si="40"/>
        <v>0.10416666666666674</v>
      </c>
      <c r="L252">
        <f t="shared" ca="1" si="41"/>
        <v>19114.666666666664</v>
      </c>
      <c r="M252">
        <f t="shared" ca="1" si="42"/>
        <v>19115</v>
      </c>
      <c r="N252" t="str">
        <f t="shared" ca="1" si="43"/>
        <v>0100101010101011</v>
      </c>
      <c r="O252">
        <f t="shared" ca="1" si="44"/>
        <v>10010101</v>
      </c>
    </row>
    <row r="253" spans="4:15" x14ac:dyDescent="0.25">
      <c r="D253">
        <v>251</v>
      </c>
      <c r="E253">
        <f t="shared" si="34"/>
        <v>45.1</v>
      </c>
      <c r="F253">
        <f t="shared" ca="1" si="35"/>
        <v>47.61</v>
      </c>
      <c r="G253" s="1">
        <f t="shared" si="36"/>
        <v>2.0916666666666668</v>
      </c>
      <c r="H253" s="6">
        <f t="shared" ca="1" si="37"/>
        <v>2.3008333333333333</v>
      </c>
      <c r="I253" s="5">
        <f t="shared" ca="1" si="38"/>
        <v>0.2091666666666665</v>
      </c>
      <c r="J253" s="8">
        <f t="shared" ca="1" si="39"/>
        <v>2.19625</v>
      </c>
      <c r="K253" s="5">
        <f t="shared" ca="1" si="40"/>
        <v>0.10458333333333325</v>
      </c>
      <c r="L253">
        <f t="shared" ca="1" si="41"/>
        <v>30592.568888888887</v>
      </c>
      <c r="M253">
        <f t="shared" ca="1" si="42"/>
        <v>30593</v>
      </c>
      <c r="N253" t="str">
        <f t="shared" ca="1" si="43"/>
        <v>0111011110000001</v>
      </c>
      <c r="O253">
        <f t="shared" ca="1" si="44"/>
        <v>11101111</v>
      </c>
    </row>
    <row r="254" spans="4:15" x14ac:dyDescent="0.25">
      <c r="D254">
        <v>252</v>
      </c>
      <c r="E254">
        <f t="shared" si="34"/>
        <v>45.2</v>
      </c>
      <c r="F254">
        <f t="shared" ca="1" si="35"/>
        <v>40.160000000000004</v>
      </c>
      <c r="G254" s="1">
        <f t="shared" si="36"/>
        <v>2.0999999999999996</v>
      </c>
      <c r="H254" s="6">
        <f t="shared" ca="1" si="37"/>
        <v>1.68</v>
      </c>
      <c r="I254" s="5">
        <f t="shared" ca="1" si="38"/>
        <v>0.41999999999999971</v>
      </c>
      <c r="J254" s="8">
        <f t="shared" ca="1" si="39"/>
        <v>2.2049999999999996</v>
      </c>
      <c r="K254" s="5">
        <f t="shared" ca="1" si="40"/>
        <v>0.10499999999999998</v>
      </c>
      <c r="L254">
        <f t="shared" ca="1" si="41"/>
        <v>23811.41333333333</v>
      </c>
      <c r="M254">
        <f t="shared" ca="1" si="42"/>
        <v>23811</v>
      </c>
      <c r="N254" t="str">
        <f t="shared" ca="1" si="43"/>
        <v>0101110100000011</v>
      </c>
      <c r="O254">
        <f t="shared" ca="1" si="44"/>
        <v>10111010</v>
      </c>
    </row>
    <row r="255" spans="4:15" x14ac:dyDescent="0.25">
      <c r="D255">
        <v>253</v>
      </c>
      <c r="E255">
        <f t="shared" si="34"/>
        <v>45.3</v>
      </c>
      <c r="F255">
        <f t="shared" ca="1" si="35"/>
        <v>32.65</v>
      </c>
      <c r="G255" s="1">
        <f t="shared" si="36"/>
        <v>2.1083333333333325</v>
      </c>
      <c r="H255" s="6">
        <f t="shared" ca="1" si="37"/>
        <v>1.0541666666666665</v>
      </c>
      <c r="I255" s="5">
        <f t="shared" ca="1" si="38"/>
        <v>1.054166666666666</v>
      </c>
      <c r="J255" s="8">
        <f t="shared" ca="1" si="39"/>
        <v>2.0029166666666658</v>
      </c>
      <c r="K255" s="5">
        <f t="shared" ca="1" si="40"/>
        <v>0.10541666666666671</v>
      </c>
      <c r="L255">
        <f t="shared" ca="1" si="41"/>
        <v>16975.644444444442</v>
      </c>
      <c r="M255">
        <f t="shared" ca="1" si="42"/>
        <v>16976</v>
      </c>
      <c r="N255" t="str">
        <f t="shared" ca="1" si="43"/>
        <v>0100001001010000</v>
      </c>
      <c r="O255">
        <f t="shared" ca="1" si="44"/>
        <v>10000100</v>
      </c>
    </row>
    <row r="256" spans="4:15" x14ac:dyDescent="0.25">
      <c r="D256">
        <v>254</v>
      </c>
      <c r="E256">
        <f t="shared" si="34"/>
        <v>45.400000000000006</v>
      </c>
      <c r="F256">
        <f t="shared" ca="1" si="35"/>
        <v>53.02</v>
      </c>
      <c r="G256" s="1">
        <f t="shared" si="36"/>
        <v>2.1166666666666671</v>
      </c>
      <c r="H256" s="6">
        <f t="shared" ca="1" si="37"/>
        <v>2.751666666666666</v>
      </c>
      <c r="I256" s="5">
        <f t="shared" ca="1" si="38"/>
        <v>0.6349999999999989</v>
      </c>
      <c r="J256" s="8">
        <f t="shared" ca="1" si="39"/>
        <v>2.2225000000000006</v>
      </c>
      <c r="K256" s="5">
        <f t="shared" ca="1" si="40"/>
        <v>0.10583333333333345</v>
      </c>
      <c r="L256">
        <f t="shared" ca="1" si="41"/>
        <v>35516.871111111104</v>
      </c>
      <c r="M256">
        <f t="shared" ca="1" si="42"/>
        <v>35517</v>
      </c>
      <c r="N256" t="str">
        <f t="shared" ca="1" si="43"/>
        <v>1000101010111101</v>
      </c>
      <c r="O256">
        <f t="shared" ca="1" si="44"/>
        <v>100010101</v>
      </c>
    </row>
    <row r="257" spans="4:15" x14ac:dyDescent="0.25">
      <c r="D257">
        <v>255</v>
      </c>
      <c r="E257">
        <f t="shared" si="34"/>
        <v>45.5</v>
      </c>
      <c r="F257">
        <f t="shared" ca="1" si="35"/>
        <v>40.4</v>
      </c>
      <c r="G257" s="1">
        <f t="shared" si="36"/>
        <v>2.125</v>
      </c>
      <c r="H257" s="6">
        <f t="shared" ca="1" si="37"/>
        <v>1.6999999999999995</v>
      </c>
      <c r="I257" s="5">
        <f t="shared" ca="1" si="38"/>
        <v>0.42500000000000049</v>
      </c>
      <c r="J257" s="8">
        <f t="shared" ca="1" si="39"/>
        <v>2.2312500000000002</v>
      </c>
      <c r="K257" s="5">
        <f t="shared" ca="1" si="40"/>
        <v>0.10625000000000018</v>
      </c>
      <c r="L257">
        <f t="shared" ca="1" si="41"/>
        <v>24029.866666666658</v>
      </c>
      <c r="M257">
        <f t="shared" ca="1" si="42"/>
        <v>24030</v>
      </c>
      <c r="N257" t="str">
        <f t="shared" ca="1" si="43"/>
        <v>0101110111011110</v>
      </c>
      <c r="O257">
        <f t="shared" ca="1" si="44"/>
        <v>10111011</v>
      </c>
    </row>
    <row r="258" spans="4:15" x14ac:dyDescent="0.25">
      <c r="D258">
        <v>256</v>
      </c>
      <c r="E258">
        <f t="shared" si="34"/>
        <v>45.6</v>
      </c>
      <c r="F258">
        <f t="shared" ca="1" si="35"/>
        <v>53.28</v>
      </c>
      <c r="G258" s="1">
        <f t="shared" si="36"/>
        <v>2.1333333333333329</v>
      </c>
      <c r="H258" s="6">
        <f t="shared" ca="1" si="37"/>
        <v>2.7733333333333325</v>
      </c>
      <c r="I258" s="5">
        <f t="shared" ca="1" si="38"/>
        <v>0.63999999999999968</v>
      </c>
      <c r="J258" s="8">
        <f t="shared" ca="1" si="39"/>
        <v>2.026666666666666</v>
      </c>
      <c r="K258" s="5">
        <f t="shared" ca="1" si="40"/>
        <v>0.10666666666666691</v>
      </c>
      <c r="L258">
        <f t="shared" ca="1" si="41"/>
        <v>35753.528888888883</v>
      </c>
      <c r="M258">
        <f t="shared" ca="1" si="42"/>
        <v>35754</v>
      </c>
      <c r="N258" t="str">
        <f t="shared" ca="1" si="43"/>
        <v>1000101110101010</v>
      </c>
      <c r="O258">
        <f t="shared" ca="1" si="44"/>
        <v>100010111</v>
      </c>
    </row>
    <row r="259" spans="4:15" x14ac:dyDescent="0.25">
      <c r="D259">
        <v>257</v>
      </c>
      <c r="E259">
        <f t="shared" ref="E259:E322" si="45">0.1*D259+20</f>
        <v>45.7</v>
      </c>
      <c r="F259">
        <f t="shared" ref="F259:F322" ca="1" si="46">0.1*D259+20 + (RANDBETWEEN(-5,5)/100)*D259</f>
        <v>55.980000000000004</v>
      </c>
      <c r="G259" s="1">
        <f t="shared" ref="G259:G322" si="47">1/12*E259-5/3</f>
        <v>2.1416666666666666</v>
      </c>
      <c r="H259" s="6">
        <f t="shared" ref="H259:H322" ca="1" si="48">1/12*F259-5/3</f>
        <v>2.9983333333333331</v>
      </c>
      <c r="I259" s="5">
        <f t="shared" ref="I259:I322" ca="1" si="49">ABS(G259-H259)</f>
        <v>0.85666666666666647</v>
      </c>
      <c r="J259" s="8">
        <f t="shared" ref="J259:J322" ca="1" si="50" xml:space="preserve"> G259 * (1 + $B$1 * IF(RANDBETWEEN(0,1)=0,-1,1))</f>
        <v>2.2487500000000002</v>
      </c>
      <c r="K259" s="5">
        <f t="shared" ref="K259:K322" ca="1" si="51">ABS(G259-J259)</f>
        <v>0.10708333333333364</v>
      </c>
      <c r="L259">
        <f t="shared" ref="L259:L322" ca="1" si="52">(H259-$B$2)/($B$3-$B$2)*(2^$B$4)</f>
        <v>38211.128888888888</v>
      </c>
      <c r="M259">
        <f t="shared" ref="M259:M322" ca="1" si="53">ROUND(L259,0)</f>
        <v>38211</v>
      </c>
      <c r="N259" t="str">
        <f t="shared" ref="N259:N322" ca="1" si="54">_xlfn.BASE(M259,2,$B$4)</f>
        <v>1001010101000011</v>
      </c>
      <c r="O259">
        <f t="shared" ref="O259:O322" ca="1" si="55">VALUE(LEFT(N259,9))</f>
        <v>100101010</v>
      </c>
    </row>
    <row r="260" spans="4:15" x14ac:dyDescent="0.25">
      <c r="D260">
        <v>258</v>
      </c>
      <c r="E260">
        <f t="shared" si="45"/>
        <v>45.8</v>
      </c>
      <c r="F260">
        <f t="shared" ca="1" si="46"/>
        <v>32.9</v>
      </c>
      <c r="G260" s="1">
        <f t="shared" si="47"/>
        <v>2.1499999999999995</v>
      </c>
      <c r="H260" s="6">
        <f t="shared" ca="1" si="48"/>
        <v>1.0749999999999995</v>
      </c>
      <c r="I260" s="5">
        <f t="shared" ca="1" si="49"/>
        <v>1.075</v>
      </c>
      <c r="J260" s="8">
        <f t="shared" ca="1" si="50"/>
        <v>2.0424999999999995</v>
      </c>
      <c r="K260" s="5">
        <f t="shared" ca="1" si="51"/>
        <v>0.10749999999999993</v>
      </c>
      <c r="L260">
        <f t="shared" ca="1" si="52"/>
        <v>17203.199999999993</v>
      </c>
      <c r="M260">
        <f t="shared" ca="1" si="53"/>
        <v>17203</v>
      </c>
      <c r="N260" t="str">
        <f t="shared" ca="1" si="54"/>
        <v>0100001100110011</v>
      </c>
      <c r="O260">
        <f t="shared" ca="1" si="55"/>
        <v>10000110</v>
      </c>
    </row>
    <row r="261" spans="4:15" x14ac:dyDescent="0.25">
      <c r="D261">
        <v>259</v>
      </c>
      <c r="E261">
        <f t="shared" si="45"/>
        <v>45.900000000000006</v>
      </c>
      <c r="F261">
        <f t="shared" ca="1" si="46"/>
        <v>58.850000000000009</v>
      </c>
      <c r="G261" s="1">
        <f t="shared" si="47"/>
        <v>2.1583333333333332</v>
      </c>
      <c r="H261" s="6">
        <f t="shared" ca="1" si="48"/>
        <v>3.2374999999999998</v>
      </c>
      <c r="I261" s="5">
        <f t="shared" ca="1" si="49"/>
        <v>1.0791666666666666</v>
      </c>
      <c r="J261" s="8">
        <f t="shared" ca="1" si="50"/>
        <v>2.0504166666666666</v>
      </c>
      <c r="K261" s="5">
        <f t="shared" ca="1" si="51"/>
        <v>0.10791666666666666</v>
      </c>
      <c r="L261">
        <f t="shared" ca="1" si="52"/>
        <v>40823.466666666667</v>
      </c>
      <c r="M261">
        <f t="shared" ca="1" si="53"/>
        <v>40823</v>
      </c>
      <c r="N261" t="str">
        <f t="shared" ca="1" si="54"/>
        <v>1001111101110111</v>
      </c>
      <c r="O261">
        <f t="shared" ca="1" si="55"/>
        <v>100111110</v>
      </c>
    </row>
    <row r="262" spans="4:15" x14ac:dyDescent="0.25">
      <c r="D262">
        <v>260</v>
      </c>
      <c r="E262">
        <f t="shared" si="45"/>
        <v>46</v>
      </c>
      <c r="F262">
        <f t="shared" ca="1" si="46"/>
        <v>43.4</v>
      </c>
      <c r="G262" s="1">
        <f t="shared" si="47"/>
        <v>2.1666666666666661</v>
      </c>
      <c r="H262" s="6">
        <f t="shared" ca="1" si="48"/>
        <v>1.9499999999999995</v>
      </c>
      <c r="I262" s="5">
        <f t="shared" ca="1" si="49"/>
        <v>0.21666666666666656</v>
      </c>
      <c r="J262" s="8">
        <f t="shared" ca="1" si="50"/>
        <v>2.2749999999999995</v>
      </c>
      <c r="K262" s="5">
        <f t="shared" ca="1" si="51"/>
        <v>0.10833333333333339</v>
      </c>
      <c r="L262">
        <f t="shared" ca="1" si="52"/>
        <v>26760.533333333326</v>
      </c>
      <c r="M262">
        <f t="shared" ca="1" si="53"/>
        <v>26761</v>
      </c>
      <c r="N262" t="str">
        <f t="shared" ca="1" si="54"/>
        <v>0110100010001001</v>
      </c>
      <c r="O262">
        <f t="shared" ca="1" si="55"/>
        <v>11010001</v>
      </c>
    </row>
    <row r="263" spans="4:15" x14ac:dyDescent="0.25">
      <c r="D263">
        <v>261</v>
      </c>
      <c r="E263">
        <f t="shared" si="45"/>
        <v>46.1</v>
      </c>
      <c r="F263">
        <f t="shared" ca="1" si="46"/>
        <v>46.1</v>
      </c>
      <c r="G263" s="1">
        <f t="shared" si="47"/>
        <v>2.1749999999999998</v>
      </c>
      <c r="H263" s="6">
        <f t="shared" ca="1" si="48"/>
        <v>2.1749999999999998</v>
      </c>
      <c r="I263" s="5">
        <f t="shared" ca="1" si="49"/>
        <v>0</v>
      </c>
      <c r="J263" s="8">
        <f t="shared" ca="1" si="50"/>
        <v>2.2837499999999999</v>
      </c>
      <c r="K263" s="5">
        <f t="shared" ca="1" si="51"/>
        <v>0.10875000000000012</v>
      </c>
      <c r="L263">
        <f t="shared" ca="1" si="52"/>
        <v>29218.133333333331</v>
      </c>
      <c r="M263">
        <f t="shared" ca="1" si="53"/>
        <v>29218</v>
      </c>
      <c r="N263" t="str">
        <f t="shared" ca="1" si="54"/>
        <v>0111001000100010</v>
      </c>
      <c r="O263">
        <f t="shared" ca="1" si="55"/>
        <v>11100100</v>
      </c>
    </row>
    <row r="264" spans="4:15" x14ac:dyDescent="0.25">
      <c r="D264">
        <v>262</v>
      </c>
      <c r="E264">
        <f t="shared" si="45"/>
        <v>46.2</v>
      </c>
      <c r="F264">
        <f t="shared" ca="1" si="46"/>
        <v>40.96</v>
      </c>
      <c r="G264" s="1">
        <f t="shared" si="47"/>
        <v>2.1833333333333336</v>
      </c>
      <c r="H264" s="6">
        <f t="shared" ca="1" si="48"/>
        <v>1.7466666666666664</v>
      </c>
      <c r="I264" s="5">
        <f t="shared" ca="1" si="49"/>
        <v>0.4366666666666672</v>
      </c>
      <c r="J264" s="8">
        <f t="shared" ca="1" si="50"/>
        <v>2.2925000000000004</v>
      </c>
      <c r="K264" s="5">
        <f t="shared" ca="1" si="51"/>
        <v>0.10916666666666686</v>
      </c>
      <c r="L264">
        <f t="shared" ca="1" si="52"/>
        <v>24539.591111111105</v>
      </c>
      <c r="M264">
        <f t="shared" ca="1" si="53"/>
        <v>24540</v>
      </c>
      <c r="N264" t="str">
        <f t="shared" ca="1" si="54"/>
        <v>0101111111011100</v>
      </c>
      <c r="O264">
        <f t="shared" ca="1" si="55"/>
        <v>10111111</v>
      </c>
    </row>
    <row r="265" spans="4:15" x14ac:dyDescent="0.25">
      <c r="D265">
        <v>263</v>
      </c>
      <c r="E265">
        <f t="shared" si="45"/>
        <v>46.3</v>
      </c>
      <c r="F265">
        <f t="shared" ca="1" si="46"/>
        <v>33.15</v>
      </c>
      <c r="G265" s="1">
        <f t="shared" si="47"/>
        <v>2.1916666666666664</v>
      </c>
      <c r="H265" s="6">
        <f t="shared" ca="1" si="48"/>
        <v>1.095833333333333</v>
      </c>
      <c r="I265" s="5">
        <f t="shared" ca="1" si="49"/>
        <v>1.0958333333333334</v>
      </c>
      <c r="J265" s="8">
        <f t="shared" ca="1" si="50"/>
        <v>2.0820833333333328</v>
      </c>
      <c r="K265" s="5">
        <f t="shared" ca="1" si="51"/>
        <v>0.10958333333333359</v>
      </c>
      <c r="L265">
        <f t="shared" ca="1" si="52"/>
        <v>17430.755555555552</v>
      </c>
      <c r="M265">
        <f t="shared" ca="1" si="53"/>
        <v>17431</v>
      </c>
      <c r="N265" t="str">
        <f t="shared" ca="1" si="54"/>
        <v>0100010000010111</v>
      </c>
      <c r="O265">
        <f t="shared" ca="1" si="55"/>
        <v>10001000</v>
      </c>
    </row>
    <row r="266" spans="4:15" x14ac:dyDescent="0.25">
      <c r="D266">
        <v>264</v>
      </c>
      <c r="E266">
        <f t="shared" si="45"/>
        <v>46.400000000000006</v>
      </c>
      <c r="F266">
        <f t="shared" ca="1" si="46"/>
        <v>51.680000000000007</v>
      </c>
      <c r="G266" s="1">
        <f t="shared" si="47"/>
        <v>2.2000000000000002</v>
      </c>
      <c r="H266" s="6">
        <f t="shared" ca="1" si="48"/>
        <v>2.6399999999999997</v>
      </c>
      <c r="I266" s="5">
        <f t="shared" ca="1" si="49"/>
        <v>0.4399999999999995</v>
      </c>
      <c r="J266" s="8">
        <f t="shared" ca="1" si="50"/>
        <v>2.09</v>
      </c>
      <c r="K266" s="5">
        <f t="shared" ca="1" si="51"/>
        <v>0.11000000000000032</v>
      </c>
      <c r="L266">
        <f t="shared" ca="1" si="52"/>
        <v>34297.173333333332</v>
      </c>
      <c r="M266">
        <f t="shared" ca="1" si="53"/>
        <v>34297</v>
      </c>
      <c r="N266" t="str">
        <f t="shared" ca="1" si="54"/>
        <v>1000010111111001</v>
      </c>
      <c r="O266">
        <f t="shared" ca="1" si="55"/>
        <v>100001011</v>
      </c>
    </row>
    <row r="267" spans="4:15" x14ac:dyDescent="0.25">
      <c r="D267">
        <v>265</v>
      </c>
      <c r="E267">
        <f t="shared" si="45"/>
        <v>46.5</v>
      </c>
      <c r="F267">
        <f t="shared" ca="1" si="46"/>
        <v>38.549999999999997</v>
      </c>
      <c r="G267" s="1">
        <f t="shared" si="47"/>
        <v>2.208333333333333</v>
      </c>
      <c r="H267" s="6">
        <f t="shared" ca="1" si="48"/>
        <v>1.5458333333333327</v>
      </c>
      <c r="I267" s="5">
        <f t="shared" ca="1" si="49"/>
        <v>0.66250000000000031</v>
      </c>
      <c r="J267" s="8">
        <f t="shared" ca="1" si="50"/>
        <v>2.0979166666666664</v>
      </c>
      <c r="K267" s="5">
        <f t="shared" ca="1" si="51"/>
        <v>0.11041666666666661</v>
      </c>
      <c r="L267">
        <f t="shared" ca="1" si="52"/>
        <v>22345.955555555545</v>
      </c>
      <c r="M267">
        <f t="shared" ca="1" si="53"/>
        <v>22346</v>
      </c>
      <c r="N267" t="str">
        <f t="shared" ca="1" si="54"/>
        <v>0101011101001010</v>
      </c>
      <c r="O267">
        <f t="shared" ca="1" si="55"/>
        <v>10101110</v>
      </c>
    </row>
    <row r="268" spans="4:15" x14ac:dyDescent="0.25">
      <c r="D268">
        <v>266</v>
      </c>
      <c r="E268">
        <f t="shared" si="45"/>
        <v>46.6</v>
      </c>
      <c r="F268">
        <f t="shared" ca="1" si="46"/>
        <v>38.620000000000005</v>
      </c>
      <c r="G268" s="1">
        <f t="shared" si="47"/>
        <v>2.2166666666666668</v>
      </c>
      <c r="H268" s="6">
        <f t="shared" ca="1" si="48"/>
        <v>1.551666666666667</v>
      </c>
      <c r="I268" s="5">
        <f t="shared" ca="1" si="49"/>
        <v>0.66499999999999981</v>
      </c>
      <c r="J268" s="8">
        <f t="shared" ca="1" si="50"/>
        <v>2.1058333333333334</v>
      </c>
      <c r="K268" s="5">
        <f t="shared" ca="1" si="51"/>
        <v>0.11083333333333334</v>
      </c>
      <c r="L268">
        <f t="shared" ca="1" si="52"/>
        <v>22409.671111111111</v>
      </c>
      <c r="M268">
        <f t="shared" ca="1" si="53"/>
        <v>22410</v>
      </c>
      <c r="N268" t="str">
        <f t="shared" ca="1" si="54"/>
        <v>0101011110001010</v>
      </c>
      <c r="O268">
        <f t="shared" ca="1" si="55"/>
        <v>10101111</v>
      </c>
    </row>
    <row r="269" spans="4:15" x14ac:dyDescent="0.25">
      <c r="D269">
        <v>267</v>
      </c>
      <c r="E269">
        <f t="shared" si="45"/>
        <v>46.7</v>
      </c>
      <c r="F269">
        <f t="shared" ca="1" si="46"/>
        <v>36.020000000000003</v>
      </c>
      <c r="G269" s="1">
        <f t="shared" si="47"/>
        <v>2.2249999999999996</v>
      </c>
      <c r="H269" s="6">
        <f t="shared" ca="1" si="48"/>
        <v>1.3350000000000002</v>
      </c>
      <c r="I269" s="5">
        <f t="shared" ca="1" si="49"/>
        <v>0.88999999999999946</v>
      </c>
      <c r="J269" s="8">
        <f t="shared" ca="1" si="50"/>
        <v>2.3362499999999997</v>
      </c>
      <c r="K269" s="5">
        <f t="shared" ca="1" si="51"/>
        <v>0.11125000000000007</v>
      </c>
      <c r="L269">
        <f t="shared" ca="1" si="52"/>
        <v>20043.093333333334</v>
      </c>
      <c r="M269">
        <f t="shared" ca="1" si="53"/>
        <v>20043</v>
      </c>
      <c r="N269" t="str">
        <f t="shared" ca="1" si="54"/>
        <v>0100111001001011</v>
      </c>
      <c r="O269">
        <f t="shared" ca="1" si="55"/>
        <v>10011100</v>
      </c>
    </row>
    <row r="270" spans="4:15" x14ac:dyDescent="0.25">
      <c r="D270">
        <v>268</v>
      </c>
      <c r="E270">
        <f t="shared" si="45"/>
        <v>46.8</v>
      </c>
      <c r="F270">
        <f t="shared" ca="1" si="46"/>
        <v>33.4</v>
      </c>
      <c r="G270" s="1">
        <f t="shared" si="47"/>
        <v>2.2333333333333325</v>
      </c>
      <c r="H270" s="6">
        <f t="shared" ca="1" si="48"/>
        <v>1.1166666666666665</v>
      </c>
      <c r="I270" s="5">
        <f t="shared" ca="1" si="49"/>
        <v>1.116666666666666</v>
      </c>
      <c r="J270" s="8">
        <f t="shared" ca="1" si="50"/>
        <v>2.3449999999999993</v>
      </c>
      <c r="K270" s="5">
        <f t="shared" ca="1" si="51"/>
        <v>0.1116666666666668</v>
      </c>
      <c r="L270">
        <f t="shared" ca="1" si="52"/>
        <v>17658.31111111111</v>
      </c>
      <c r="M270">
        <f t="shared" ca="1" si="53"/>
        <v>17658</v>
      </c>
      <c r="N270" t="str">
        <f t="shared" ca="1" si="54"/>
        <v>0100010011111010</v>
      </c>
      <c r="O270">
        <f t="shared" ca="1" si="55"/>
        <v>10001001</v>
      </c>
    </row>
    <row r="271" spans="4:15" x14ac:dyDescent="0.25">
      <c r="D271">
        <v>269</v>
      </c>
      <c r="E271">
        <f t="shared" si="45"/>
        <v>46.900000000000006</v>
      </c>
      <c r="F271">
        <f t="shared" ca="1" si="46"/>
        <v>44.210000000000008</v>
      </c>
      <c r="G271" s="1">
        <f t="shared" si="47"/>
        <v>2.2416666666666671</v>
      </c>
      <c r="H271" s="6">
        <f t="shared" ca="1" si="48"/>
        <v>2.0175000000000001</v>
      </c>
      <c r="I271" s="5">
        <f t="shared" ca="1" si="49"/>
        <v>0.22416666666666707</v>
      </c>
      <c r="J271" s="8">
        <f t="shared" ca="1" si="50"/>
        <v>2.3537500000000007</v>
      </c>
      <c r="K271" s="5">
        <f t="shared" ca="1" si="51"/>
        <v>0.11208333333333353</v>
      </c>
      <c r="L271">
        <f t="shared" ca="1" si="52"/>
        <v>27497.813333333335</v>
      </c>
      <c r="M271">
        <f t="shared" ca="1" si="53"/>
        <v>27498</v>
      </c>
      <c r="N271" t="str">
        <f t="shared" ca="1" si="54"/>
        <v>0110101101101010</v>
      </c>
      <c r="O271">
        <f t="shared" ca="1" si="55"/>
        <v>11010110</v>
      </c>
    </row>
    <row r="272" spans="4:15" x14ac:dyDescent="0.25">
      <c r="D272">
        <v>270</v>
      </c>
      <c r="E272">
        <f t="shared" si="45"/>
        <v>47</v>
      </c>
      <c r="F272">
        <f t="shared" ca="1" si="46"/>
        <v>36.200000000000003</v>
      </c>
      <c r="G272" s="1">
        <f t="shared" si="47"/>
        <v>2.25</v>
      </c>
      <c r="H272" s="6">
        <f t="shared" ca="1" si="48"/>
        <v>1.3499999999999999</v>
      </c>
      <c r="I272" s="5">
        <f t="shared" ca="1" si="49"/>
        <v>0.90000000000000013</v>
      </c>
      <c r="J272" s="8">
        <f t="shared" ca="1" si="50"/>
        <v>2.1374999999999997</v>
      </c>
      <c r="K272" s="5">
        <f t="shared" ca="1" si="51"/>
        <v>0.11250000000000027</v>
      </c>
      <c r="L272">
        <f t="shared" ca="1" si="52"/>
        <v>20206.933333333331</v>
      </c>
      <c r="M272">
        <f t="shared" ca="1" si="53"/>
        <v>20207</v>
      </c>
      <c r="N272" t="str">
        <f t="shared" ca="1" si="54"/>
        <v>0100111011101111</v>
      </c>
      <c r="O272">
        <f t="shared" ca="1" si="55"/>
        <v>10011101</v>
      </c>
    </row>
    <row r="273" spans="4:15" x14ac:dyDescent="0.25">
      <c r="D273">
        <v>271</v>
      </c>
      <c r="E273">
        <f t="shared" si="45"/>
        <v>47.1</v>
      </c>
      <c r="F273">
        <f t="shared" ca="1" si="46"/>
        <v>52.52</v>
      </c>
      <c r="G273" s="1">
        <f t="shared" si="47"/>
        <v>2.2583333333333329</v>
      </c>
      <c r="H273" s="6">
        <f t="shared" ca="1" si="48"/>
        <v>2.71</v>
      </c>
      <c r="I273" s="5">
        <f t="shared" ca="1" si="49"/>
        <v>0.4516666666666671</v>
      </c>
      <c r="J273" s="8">
        <f t="shared" ca="1" si="50"/>
        <v>2.1454166666666663</v>
      </c>
      <c r="K273" s="5">
        <f t="shared" ca="1" si="51"/>
        <v>0.11291666666666655</v>
      </c>
      <c r="L273">
        <f t="shared" ca="1" si="52"/>
        <v>35061.760000000002</v>
      </c>
      <c r="M273">
        <f t="shared" ca="1" si="53"/>
        <v>35062</v>
      </c>
      <c r="N273" t="str">
        <f t="shared" ca="1" si="54"/>
        <v>1000100011110110</v>
      </c>
      <c r="O273">
        <f t="shared" ca="1" si="55"/>
        <v>100010001</v>
      </c>
    </row>
    <row r="274" spans="4:15" x14ac:dyDescent="0.25">
      <c r="D274">
        <v>272</v>
      </c>
      <c r="E274">
        <f t="shared" si="45"/>
        <v>47.2</v>
      </c>
      <c r="F274">
        <f t="shared" ca="1" si="46"/>
        <v>52.64</v>
      </c>
      <c r="G274" s="1">
        <f t="shared" si="47"/>
        <v>2.2666666666666666</v>
      </c>
      <c r="H274" s="6">
        <f t="shared" ca="1" si="48"/>
        <v>2.7199999999999998</v>
      </c>
      <c r="I274" s="5">
        <f t="shared" ca="1" si="49"/>
        <v>0.45333333333333314</v>
      </c>
      <c r="J274" s="8">
        <f t="shared" ca="1" si="50"/>
        <v>2.38</v>
      </c>
      <c r="K274" s="5">
        <f t="shared" ca="1" si="51"/>
        <v>0.11333333333333329</v>
      </c>
      <c r="L274">
        <f t="shared" ca="1" si="52"/>
        <v>35170.986666666664</v>
      </c>
      <c r="M274">
        <f t="shared" ca="1" si="53"/>
        <v>35171</v>
      </c>
      <c r="N274" t="str">
        <f t="shared" ca="1" si="54"/>
        <v>1000100101100011</v>
      </c>
      <c r="O274">
        <f t="shared" ca="1" si="55"/>
        <v>100010010</v>
      </c>
    </row>
    <row r="275" spans="4:15" x14ac:dyDescent="0.25">
      <c r="D275">
        <v>273</v>
      </c>
      <c r="E275">
        <f t="shared" si="45"/>
        <v>47.3</v>
      </c>
      <c r="F275">
        <f t="shared" ca="1" si="46"/>
        <v>60.949999999999996</v>
      </c>
      <c r="G275" s="1">
        <f t="shared" si="47"/>
        <v>2.2749999999999995</v>
      </c>
      <c r="H275" s="6">
        <f t="shared" ca="1" si="48"/>
        <v>3.4124999999999988</v>
      </c>
      <c r="I275" s="5">
        <f t="shared" ca="1" si="49"/>
        <v>1.1374999999999993</v>
      </c>
      <c r="J275" s="8">
        <f t="shared" ca="1" si="50"/>
        <v>2.1612499999999994</v>
      </c>
      <c r="K275" s="5">
        <f t="shared" ca="1" si="51"/>
        <v>0.11375000000000002</v>
      </c>
      <c r="L275">
        <f t="shared" ca="1" si="52"/>
        <v>42734.93333333332</v>
      </c>
      <c r="M275">
        <f t="shared" ca="1" si="53"/>
        <v>42735</v>
      </c>
      <c r="N275" t="str">
        <f t="shared" ca="1" si="54"/>
        <v>1010011011101111</v>
      </c>
      <c r="O275">
        <f t="shared" ca="1" si="55"/>
        <v>101001101</v>
      </c>
    </row>
    <row r="276" spans="4:15" x14ac:dyDescent="0.25">
      <c r="D276">
        <v>274</v>
      </c>
      <c r="E276">
        <f t="shared" si="45"/>
        <v>47.400000000000006</v>
      </c>
      <c r="F276">
        <f t="shared" ca="1" si="46"/>
        <v>55.620000000000005</v>
      </c>
      <c r="G276" s="1">
        <f t="shared" si="47"/>
        <v>2.2833333333333332</v>
      </c>
      <c r="H276" s="6">
        <f t="shared" ca="1" si="48"/>
        <v>2.9683333333333328</v>
      </c>
      <c r="I276" s="5">
        <f t="shared" ca="1" si="49"/>
        <v>0.68499999999999961</v>
      </c>
      <c r="J276" s="8">
        <f t="shared" ca="1" si="50"/>
        <v>2.1691666666666665</v>
      </c>
      <c r="K276" s="5">
        <f t="shared" ca="1" si="51"/>
        <v>0.11416666666666675</v>
      </c>
      <c r="L276">
        <f t="shared" ca="1" si="52"/>
        <v>37883.448888888881</v>
      </c>
      <c r="M276">
        <f t="shared" ca="1" si="53"/>
        <v>37883</v>
      </c>
      <c r="N276" t="str">
        <f t="shared" ca="1" si="54"/>
        <v>1001001111111011</v>
      </c>
      <c r="O276">
        <f t="shared" ca="1" si="55"/>
        <v>100100111</v>
      </c>
    </row>
    <row r="277" spans="4:15" x14ac:dyDescent="0.25">
      <c r="D277">
        <v>275</v>
      </c>
      <c r="E277">
        <f t="shared" si="45"/>
        <v>47.5</v>
      </c>
      <c r="F277">
        <f t="shared" ca="1" si="46"/>
        <v>58.5</v>
      </c>
      <c r="G277" s="1">
        <f t="shared" si="47"/>
        <v>2.2916666666666661</v>
      </c>
      <c r="H277" s="6">
        <f t="shared" ca="1" si="48"/>
        <v>3.208333333333333</v>
      </c>
      <c r="I277" s="5">
        <f t="shared" ca="1" si="49"/>
        <v>0.91666666666666696</v>
      </c>
      <c r="J277" s="8">
        <f t="shared" ca="1" si="50"/>
        <v>2.4062499999999996</v>
      </c>
      <c r="K277" s="5">
        <f t="shared" ca="1" si="51"/>
        <v>0.11458333333333348</v>
      </c>
      <c r="L277">
        <f t="shared" ca="1" si="52"/>
        <v>40504.888888888883</v>
      </c>
      <c r="M277">
        <f t="shared" ca="1" si="53"/>
        <v>40505</v>
      </c>
      <c r="N277" t="str">
        <f t="shared" ca="1" si="54"/>
        <v>1001111000111001</v>
      </c>
      <c r="O277">
        <f t="shared" ca="1" si="55"/>
        <v>100111100</v>
      </c>
    </row>
    <row r="278" spans="4:15" x14ac:dyDescent="0.25">
      <c r="D278">
        <v>276</v>
      </c>
      <c r="E278">
        <f t="shared" si="45"/>
        <v>47.6</v>
      </c>
      <c r="F278">
        <f t="shared" ca="1" si="46"/>
        <v>44.84</v>
      </c>
      <c r="G278" s="1">
        <f t="shared" si="47"/>
        <v>2.2999999999999998</v>
      </c>
      <c r="H278" s="6">
        <f t="shared" ca="1" si="48"/>
        <v>2.0700000000000003</v>
      </c>
      <c r="I278" s="5">
        <f t="shared" ca="1" si="49"/>
        <v>0.22999999999999954</v>
      </c>
      <c r="J278" s="8">
        <f t="shared" ca="1" si="50"/>
        <v>2.1849999999999996</v>
      </c>
      <c r="K278" s="5">
        <f t="shared" ca="1" si="51"/>
        <v>0.11500000000000021</v>
      </c>
      <c r="L278">
        <f t="shared" ca="1" si="52"/>
        <v>28071.253333333338</v>
      </c>
      <c r="M278">
        <f t="shared" ca="1" si="53"/>
        <v>28071</v>
      </c>
      <c r="N278" t="str">
        <f t="shared" ca="1" si="54"/>
        <v>0110110110100111</v>
      </c>
      <c r="O278">
        <f t="shared" ca="1" si="55"/>
        <v>11011011</v>
      </c>
    </row>
    <row r="279" spans="4:15" x14ac:dyDescent="0.25">
      <c r="D279">
        <v>277</v>
      </c>
      <c r="E279">
        <f t="shared" si="45"/>
        <v>47.7</v>
      </c>
      <c r="F279">
        <f t="shared" ca="1" si="46"/>
        <v>33.85</v>
      </c>
      <c r="G279" s="1">
        <f t="shared" si="47"/>
        <v>2.3083333333333336</v>
      </c>
      <c r="H279" s="6">
        <f t="shared" ca="1" si="48"/>
        <v>1.1541666666666666</v>
      </c>
      <c r="I279" s="5">
        <f t="shared" ca="1" si="49"/>
        <v>1.154166666666667</v>
      </c>
      <c r="J279" s="8">
        <f t="shared" ca="1" si="50"/>
        <v>2.1929166666666666</v>
      </c>
      <c r="K279" s="5">
        <f t="shared" ca="1" si="51"/>
        <v>0.11541666666666694</v>
      </c>
      <c r="L279">
        <f t="shared" ca="1" si="52"/>
        <v>18067.911111111109</v>
      </c>
      <c r="M279">
        <f t="shared" ca="1" si="53"/>
        <v>18068</v>
      </c>
      <c r="N279" t="str">
        <f t="shared" ca="1" si="54"/>
        <v>0100011010010100</v>
      </c>
      <c r="O279">
        <f t="shared" ca="1" si="55"/>
        <v>10001101</v>
      </c>
    </row>
    <row r="280" spans="4:15" x14ac:dyDescent="0.25">
      <c r="D280">
        <v>278</v>
      </c>
      <c r="E280">
        <f t="shared" si="45"/>
        <v>47.8</v>
      </c>
      <c r="F280">
        <f t="shared" ca="1" si="46"/>
        <v>45.019999999999996</v>
      </c>
      <c r="G280" s="1">
        <f t="shared" si="47"/>
        <v>2.3166666666666664</v>
      </c>
      <c r="H280" s="6">
        <f t="shared" ca="1" si="48"/>
        <v>2.0849999999999991</v>
      </c>
      <c r="I280" s="5">
        <f t="shared" ca="1" si="49"/>
        <v>0.23166666666666735</v>
      </c>
      <c r="J280" s="8">
        <f t="shared" ca="1" si="50"/>
        <v>2.2008333333333332</v>
      </c>
      <c r="K280" s="5">
        <f t="shared" ca="1" si="51"/>
        <v>0.11583333333333323</v>
      </c>
      <c r="L280">
        <f t="shared" ca="1" si="52"/>
        <v>28235.093333333323</v>
      </c>
      <c r="M280">
        <f t="shared" ca="1" si="53"/>
        <v>28235</v>
      </c>
      <c r="N280" t="str">
        <f t="shared" ca="1" si="54"/>
        <v>0110111001001011</v>
      </c>
      <c r="O280">
        <f t="shared" ca="1" si="55"/>
        <v>11011100</v>
      </c>
    </row>
    <row r="281" spans="4:15" x14ac:dyDescent="0.25">
      <c r="D281">
        <v>279</v>
      </c>
      <c r="E281">
        <f t="shared" si="45"/>
        <v>47.900000000000006</v>
      </c>
      <c r="F281">
        <f t="shared" ca="1" si="46"/>
        <v>36.740000000000009</v>
      </c>
      <c r="G281" s="1">
        <f t="shared" si="47"/>
        <v>2.3250000000000002</v>
      </c>
      <c r="H281" s="6">
        <f t="shared" ca="1" si="48"/>
        <v>1.3950000000000007</v>
      </c>
      <c r="I281" s="5">
        <f t="shared" ca="1" si="49"/>
        <v>0.92999999999999949</v>
      </c>
      <c r="J281" s="8">
        <f t="shared" ca="1" si="50"/>
        <v>2.4412500000000001</v>
      </c>
      <c r="K281" s="5">
        <f t="shared" ca="1" si="51"/>
        <v>0.11624999999999996</v>
      </c>
      <c r="L281">
        <f t="shared" ca="1" si="52"/>
        <v>20698.453333333342</v>
      </c>
      <c r="M281">
        <f t="shared" ca="1" si="53"/>
        <v>20698</v>
      </c>
      <c r="N281" t="str">
        <f t="shared" ca="1" si="54"/>
        <v>0101000011011010</v>
      </c>
      <c r="O281">
        <f t="shared" ca="1" si="55"/>
        <v>10100001</v>
      </c>
    </row>
    <row r="282" spans="4:15" x14ac:dyDescent="0.25">
      <c r="D282">
        <v>280</v>
      </c>
      <c r="E282">
        <f t="shared" si="45"/>
        <v>48</v>
      </c>
      <c r="F282">
        <f t="shared" ca="1" si="46"/>
        <v>50.8</v>
      </c>
      <c r="G282" s="1">
        <f t="shared" si="47"/>
        <v>2.333333333333333</v>
      </c>
      <c r="H282" s="6">
        <f t="shared" ca="1" si="48"/>
        <v>2.5666666666666655</v>
      </c>
      <c r="I282" s="5">
        <f t="shared" ca="1" si="49"/>
        <v>0.2333333333333325</v>
      </c>
      <c r="J282" s="8">
        <f t="shared" ca="1" si="50"/>
        <v>2.2166666666666663</v>
      </c>
      <c r="K282" s="5">
        <f t="shared" ca="1" si="51"/>
        <v>0.1166666666666667</v>
      </c>
      <c r="L282">
        <f t="shared" ca="1" si="52"/>
        <v>33496.177777777768</v>
      </c>
      <c r="M282">
        <f t="shared" ca="1" si="53"/>
        <v>33496</v>
      </c>
      <c r="N282" t="str">
        <f t="shared" ca="1" si="54"/>
        <v>1000001011011000</v>
      </c>
      <c r="O282">
        <f t="shared" ca="1" si="55"/>
        <v>100000101</v>
      </c>
    </row>
    <row r="283" spans="4:15" x14ac:dyDescent="0.25">
      <c r="D283">
        <v>281</v>
      </c>
      <c r="E283">
        <f t="shared" si="45"/>
        <v>48.1</v>
      </c>
      <c r="F283">
        <f t="shared" ca="1" si="46"/>
        <v>42.480000000000004</v>
      </c>
      <c r="G283" s="1">
        <f t="shared" si="47"/>
        <v>2.3416666666666659</v>
      </c>
      <c r="H283" s="6">
        <f t="shared" ca="1" si="48"/>
        <v>1.8733333333333333</v>
      </c>
      <c r="I283" s="5">
        <f t="shared" ca="1" si="49"/>
        <v>0.4683333333333326</v>
      </c>
      <c r="J283" s="8">
        <f t="shared" ca="1" si="50"/>
        <v>2.4587499999999993</v>
      </c>
      <c r="K283" s="5">
        <f t="shared" ca="1" si="51"/>
        <v>0.11708333333333343</v>
      </c>
      <c r="L283">
        <f t="shared" ca="1" si="52"/>
        <v>25923.128888888885</v>
      </c>
      <c r="M283">
        <f t="shared" ca="1" si="53"/>
        <v>25923</v>
      </c>
      <c r="N283" t="str">
        <f t="shared" ca="1" si="54"/>
        <v>0110010101000011</v>
      </c>
      <c r="O283">
        <f t="shared" ca="1" si="55"/>
        <v>11001010</v>
      </c>
    </row>
    <row r="284" spans="4:15" x14ac:dyDescent="0.25">
      <c r="D284">
        <v>282</v>
      </c>
      <c r="E284">
        <f t="shared" si="45"/>
        <v>48.2</v>
      </c>
      <c r="F284">
        <f t="shared" ca="1" si="46"/>
        <v>53.84</v>
      </c>
      <c r="G284" s="1">
        <f t="shared" si="47"/>
        <v>2.3499999999999996</v>
      </c>
      <c r="H284" s="6">
        <f t="shared" ca="1" si="48"/>
        <v>2.8199999999999994</v>
      </c>
      <c r="I284" s="5">
        <f t="shared" ca="1" si="49"/>
        <v>0.46999999999999975</v>
      </c>
      <c r="J284" s="8">
        <f t="shared" ca="1" si="50"/>
        <v>2.4674999999999998</v>
      </c>
      <c r="K284" s="5">
        <f t="shared" ca="1" si="51"/>
        <v>0.11750000000000016</v>
      </c>
      <c r="L284">
        <f t="shared" ca="1" si="52"/>
        <v>36263.253333333327</v>
      </c>
      <c r="M284">
        <f t="shared" ca="1" si="53"/>
        <v>36263</v>
      </c>
      <c r="N284" t="str">
        <f t="shared" ca="1" si="54"/>
        <v>1000110110100111</v>
      </c>
      <c r="O284">
        <f t="shared" ca="1" si="55"/>
        <v>100011011</v>
      </c>
    </row>
    <row r="285" spans="4:15" x14ac:dyDescent="0.25">
      <c r="D285">
        <v>283</v>
      </c>
      <c r="E285">
        <f t="shared" si="45"/>
        <v>48.3</v>
      </c>
      <c r="F285">
        <f t="shared" ca="1" si="46"/>
        <v>59.62</v>
      </c>
      <c r="G285" s="1">
        <f t="shared" si="47"/>
        <v>2.3583333333333325</v>
      </c>
      <c r="H285" s="6">
        <f t="shared" ca="1" si="48"/>
        <v>3.3016666666666659</v>
      </c>
      <c r="I285" s="5">
        <f t="shared" ca="1" si="49"/>
        <v>0.94333333333333336</v>
      </c>
      <c r="J285" s="8">
        <f t="shared" ca="1" si="50"/>
        <v>2.2404166666666656</v>
      </c>
      <c r="K285" s="5">
        <f t="shared" ca="1" si="51"/>
        <v>0.11791666666666689</v>
      </c>
      <c r="L285">
        <f t="shared" ca="1" si="52"/>
        <v>41524.337777777771</v>
      </c>
      <c r="M285">
        <f t="shared" ca="1" si="53"/>
        <v>41524</v>
      </c>
      <c r="N285" t="str">
        <f t="shared" ca="1" si="54"/>
        <v>1010001000110100</v>
      </c>
      <c r="O285">
        <f t="shared" ca="1" si="55"/>
        <v>101000100</v>
      </c>
    </row>
    <row r="286" spans="4:15" x14ac:dyDescent="0.25">
      <c r="D286">
        <v>284</v>
      </c>
      <c r="E286">
        <f t="shared" si="45"/>
        <v>48.400000000000006</v>
      </c>
      <c r="F286">
        <f t="shared" ca="1" si="46"/>
        <v>51.240000000000009</v>
      </c>
      <c r="G286" s="1">
        <f t="shared" si="47"/>
        <v>2.3666666666666663</v>
      </c>
      <c r="H286" s="6">
        <f t="shared" ca="1" si="48"/>
        <v>2.6033333333333335</v>
      </c>
      <c r="I286" s="5">
        <f t="shared" ca="1" si="49"/>
        <v>0.23666666666666725</v>
      </c>
      <c r="J286" s="8">
        <f t="shared" ca="1" si="50"/>
        <v>2.2483333333333326</v>
      </c>
      <c r="K286" s="5">
        <f t="shared" ca="1" si="51"/>
        <v>0.11833333333333362</v>
      </c>
      <c r="L286">
        <f t="shared" ca="1" si="52"/>
        <v>33896.675555555557</v>
      </c>
      <c r="M286">
        <f t="shared" ca="1" si="53"/>
        <v>33897</v>
      </c>
      <c r="N286" t="str">
        <f t="shared" ca="1" si="54"/>
        <v>1000010001101001</v>
      </c>
      <c r="O286">
        <f t="shared" ca="1" si="55"/>
        <v>100001000</v>
      </c>
    </row>
    <row r="287" spans="4:15" x14ac:dyDescent="0.25">
      <c r="D287">
        <v>285</v>
      </c>
      <c r="E287">
        <f t="shared" si="45"/>
        <v>48.5</v>
      </c>
      <c r="F287">
        <f t="shared" ca="1" si="46"/>
        <v>39.950000000000003</v>
      </c>
      <c r="G287" s="1">
        <f t="shared" si="47"/>
        <v>2.3749999999999991</v>
      </c>
      <c r="H287" s="6">
        <f t="shared" ca="1" si="48"/>
        <v>1.6624999999999999</v>
      </c>
      <c r="I287" s="5">
        <f t="shared" ca="1" si="49"/>
        <v>0.71249999999999925</v>
      </c>
      <c r="J287" s="8">
        <f t="shared" ca="1" si="50"/>
        <v>2.493749999999999</v>
      </c>
      <c r="K287" s="5">
        <f t="shared" ca="1" si="51"/>
        <v>0.11874999999999991</v>
      </c>
      <c r="L287">
        <f t="shared" ca="1" si="52"/>
        <v>23620.266666666663</v>
      </c>
      <c r="M287">
        <f t="shared" ca="1" si="53"/>
        <v>23620</v>
      </c>
      <c r="N287" t="str">
        <f t="shared" ca="1" si="54"/>
        <v>0101110001000100</v>
      </c>
      <c r="O287">
        <f t="shared" ca="1" si="55"/>
        <v>10111000</v>
      </c>
    </row>
    <row r="288" spans="4:15" x14ac:dyDescent="0.25">
      <c r="D288">
        <v>286</v>
      </c>
      <c r="E288">
        <f t="shared" si="45"/>
        <v>48.6</v>
      </c>
      <c r="F288">
        <f t="shared" ca="1" si="46"/>
        <v>62.900000000000006</v>
      </c>
      <c r="G288" s="1">
        <f t="shared" si="47"/>
        <v>2.3833333333333329</v>
      </c>
      <c r="H288" s="6">
        <f t="shared" ca="1" si="48"/>
        <v>3.5750000000000002</v>
      </c>
      <c r="I288" s="5">
        <f t="shared" ca="1" si="49"/>
        <v>1.1916666666666673</v>
      </c>
      <c r="J288" s="8">
        <f t="shared" ca="1" si="50"/>
        <v>2.5024999999999995</v>
      </c>
      <c r="K288" s="5">
        <f t="shared" ca="1" si="51"/>
        <v>0.11916666666666664</v>
      </c>
      <c r="L288">
        <f t="shared" ca="1" si="52"/>
        <v>44509.866666666669</v>
      </c>
      <c r="M288">
        <f t="shared" ca="1" si="53"/>
        <v>44510</v>
      </c>
      <c r="N288" t="str">
        <f t="shared" ca="1" si="54"/>
        <v>1010110111011110</v>
      </c>
      <c r="O288">
        <f t="shared" ca="1" si="55"/>
        <v>101011011</v>
      </c>
    </row>
    <row r="289" spans="4:15" x14ac:dyDescent="0.25">
      <c r="D289">
        <v>287</v>
      </c>
      <c r="E289">
        <f t="shared" si="45"/>
        <v>48.7</v>
      </c>
      <c r="F289">
        <f t="shared" ca="1" si="46"/>
        <v>37.22</v>
      </c>
      <c r="G289" s="1">
        <f t="shared" si="47"/>
        <v>2.3916666666666666</v>
      </c>
      <c r="H289" s="6">
        <f t="shared" ca="1" si="48"/>
        <v>1.4349999999999998</v>
      </c>
      <c r="I289" s="5">
        <f t="shared" ca="1" si="49"/>
        <v>0.95666666666666678</v>
      </c>
      <c r="J289" s="8">
        <f t="shared" ca="1" si="50"/>
        <v>2.2720833333333332</v>
      </c>
      <c r="K289" s="5">
        <f t="shared" ca="1" si="51"/>
        <v>0.11958333333333337</v>
      </c>
      <c r="L289">
        <f t="shared" ca="1" si="52"/>
        <v>21135.359999999997</v>
      </c>
      <c r="M289">
        <f t="shared" ca="1" si="53"/>
        <v>21135</v>
      </c>
      <c r="N289" t="str">
        <f t="shared" ca="1" si="54"/>
        <v>0101001010001111</v>
      </c>
      <c r="O289">
        <f t="shared" ca="1" si="55"/>
        <v>10100101</v>
      </c>
    </row>
    <row r="290" spans="4:15" x14ac:dyDescent="0.25">
      <c r="D290">
        <v>288</v>
      </c>
      <c r="E290">
        <f t="shared" si="45"/>
        <v>48.8</v>
      </c>
      <c r="F290">
        <f t="shared" ca="1" si="46"/>
        <v>48.8</v>
      </c>
      <c r="G290" s="1">
        <f t="shared" si="47"/>
        <v>2.3999999999999995</v>
      </c>
      <c r="H290" s="6">
        <f t="shared" ca="1" si="48"/>
        <v>2.3999999999999995</v>
      </c>
      <c r="I290" s="5">
        <f t="shared" ca="1" si="49"/>
        <v>0</v>
      </c>
      <c r="J290" s="8">
        <f t="shared" ca="1" si="50"/>
        <v>2.5199999999999996</v>
      </c>
      <c r="K290" s="5">
        <f t="shared" ca="1" si="51"/>
        <v>0.12000000000000011</v>
      </c>
      <c r="L290">
        <f t="shared" ca="1" si="52"/>
        <v>31675.733333333326</v>
      </c>
      <c r="M290">
        <f t="shared" ca="1" si="53"/>
        <v>31676</v>
      </c>
      <c r="N290" t="str">
        <f t="shared" ca="1" si="54"/>
        <v>0111101110111100</v>
      </c>
      <c r="O290">
        <f t="shared" ca="1" si="55"/>
        <v>11110111</v>
      </c>
    </row>
    <row r="291" spans="4:15" x14ac:dyDescent="0.25">
      <c r="D291">
        <v>289</v>
      </c>
      <c r="E291">
        <f t="shared" si="45"/>
        <v>48.900000000000006</v>
      </c>
      <c r="F291">
        <f t="shared" ca="1" si="46"/>
        <v>51.790000000000006</v>
      </c>
      <c r="G291" s="1">
        <f t="shared" si="47"/>
        <v>2.4083333333333332</v>
      </c>
      <c r="H291" s="6">
        <f t="shared" ca="1" si="48"/>
        <v>2.6491666666666669</v>
      </c>
      <c r="I291" s="5">
        <f t="shared" ca="1" si="49"/>
        <v>0.24083333333333368</v>
      </c>
      <c r="J291" s="8">
        <f t="shared" ca="1" si="50"/>
        <v>2.2879166666666664</v>
      </c>
      <c r="K291" s="5">
        <f t="shared" ca="1" si="51"/>
        <v>0.12041666666666684</v>
      </c>
      <c r="L291">
        <f t="shared" ca="1" si="52"/>
        <v>34397.297777777778</v>
      </c>
      <c r="M291">
        <f t="shared" ca="1" si="53"/>
        <v>34397</v>
      </c>
      <c r="N291" t="str">
        <f t="shared" ca="1" si="54"/>
        <v>1000011001011101</v>
      </c>
      <c r="O291">
        <f t="shared" ca="1" si="55"/>
        <v>100001100</v>
      </c>
    </row>
    <row r="292" spans="4:15" x14ac:dyDescent="0.25">
      <c r="D292">
        <v>290</v>
      </c>
      <c r="E292">
        <f t="shared" si="45"/>
        <v>49</v>
      </c>
      <c r="F292">
        <f t="shared" ca="1" si="46"/>
        <v>51.9</v>
      </c>
      <c r="G292" s="1">
        <f t="shared" si="47"/>
        <v>2.4166666666666661</v>
      </c>
      <c r="H292" s="6">
        <f t="shared" ca="1" si="48"/>
        <v>2.6583333333333323</v>
      </c>
      <c r="I292" s="5">
        <f t="shared" ca="1" si="49"/>
        <v>0.24166666666666625</v>
      </c>
      <c r="J292" s="8">
        <f t="shared" ca="1" si="50"/>
        <v>2.5374999999999996</v>
      </c>
      <c r="K292" s="5">
        <f t="shared" ca="1" si="51"/>
        <v>0.12083333333333357</v>
      </c>
      <c r="L292">
        <f t="shared" ca="1" si="52"/>
        <v>34497.422222222209</v>
      </c>
      <c r="M292">
        <f t="shared" ca="1" si="53"/>
        <v>34497</v>
      </c>
      <c r="N292" t="str">
        <f t="shared" ca="1" si="54"/>
        <v>1000011011000001</v>
      </c>
      <c r="O292">
        <f t="shared" ca="1" si="55"/>
        <v>100001101</v>
      </c>
    </row>
    <row r="293" spans="4:15" x14ac:dyDescent="0.25">
      <c r="D293">
        <v>291</v>
      </c>
      <c r="E293">
        <f t="shared" si="45"/>
        <v>49.1</v>
      </c>
      <c r="F293">
        <f t="shared" ca="1" si="46"/>
        <v>43.28</v>
      </c>
      <c r="G293" s="1">
        <f t="shared" si="47"/>
        <v>2.4249999999999998</v>
      </c>
      <c r="H293" s="6">
        <f t="shared" ca="1" si="48"/>
        <v>1.9399999999999997</v>
      </c>
      <c r="I293" s="5">
        <f t="shared" ca="1" si="49"/>
        <v>0.4850000000000001</v>
      </c>
      <c r="J293" s="8">
        <f t="shared" ca="1" si="50"/>
        <v>2.3037499999999995</v>
      </c>
      <c r="K293" s="5">
        <f t="shared" ca="1" si="51"/>
        <v>0.1212500000000003</v>
      </c>
      <c r="L293">
        <f t="shared" ca="1" si="52"/>
        <v>26651.30666666666</v>
      </c>
      <c r="M293">
        <f t="shared" ca="1" si="53"/>
        <v>26651</v>
      </c>
      <c r="N293" t="str">
        <f t="shared" ca="1" si="54"/>
        <v>0110100000011011</v>
      </c>
      <c r="O293">
        <f t="shared" ca="1" si="55"/>
        <v>11010000</v>
      </c>
    </row>
    <row r="294" spans="4:15" x14ac:dyDescent="0.25">
      <c r="D294">
        <v>292</v>
      </c>
      <c r="E294">
        <f t="shared" si="45"/>
        <v>49.2</v>
      </c>
      <c r="F294">
        <f t="shared" ca="1" si="46"/>
        <v>52.120000000000005</v>
      </c>
      <c r="G294" s="1">
        <f t="shared" si="47"/>
        <v>2.4333333333333327</v>
      </c>
      <c r="H294" s="6">
        <f t="shared" ca="1" si="48"/>
        <v>2.6766666666666667</v>
      </c>
      <c r="I294" s="5">
        <f t="shared" ca="1" si="49"/>
        <v>0.24333333333333407</v>
      </c>
      <c r="J294" s="8">
        <f t="shared" ca="1" si="50"/>
        <v>2.3116666666666661</v>
      </c>
      <c r="K294" s="5">
        <f t="shared" ca="1" si="51"/>
        <v>0.12166666666666659</v>
      </c>
      <c r="L294">
        <f t="shared" ca="1" si="52"/>
        <v>34697.671111111114</v>
      </c>
      <c r="M294">
        <f t="shared" ca="1" si="53"/>
        <v>34698</v>
      </c>
      <c r="N294" t="str">
        <f t="shared" ca="1" si="54"/>
        <v>1000011110001010</v>
      </c>
      <c r="O294">
        <f t="shared" ca="1" si="55"/>
        <v>100001111</v>
      </c>
    </row>
    <row r="295" spans="4:15" x14ac:dyDescent="0.25">
      <c r="D295">
        <v>293</v>
      </c>
      <c r="E295">
        <f t="shared" si="45"/>
        <v>49.3</v>
      </c>
      <c r="F295">
        <f t="shared" ca="1" si="46"/>
        <v>61.019999999999996</v>
      </c>
      <c r="G295" s="1">
        <f t="shared" si="47"/>
        <v>2.4416666666666655</v>
      </c>
      <c r="H295" s="6">
        <f t="shared" ca="1" si="48"/>
        <v>3.4183333333333321</v>
      </c>
      <c r="I295" s="5">
        <f t="shared" ca="1" si="49"/>
        <v>0.97666666666666657</v>
      </c>
      <c r="J295" s="8">
        <f t="shared" ca="1" si="50"/>
        <v>2.3195833333333322</v>
      </c>
      <c r="K295" s="5">
        <f t="shared" ca="1" si="51"/>
        <v>0.12208333333333332</v>
      </c>
      <c r="L295">
        <f t="shared" ca="1" si="52"/>
        <v>42798.648888888878</v>
      </c>
      <c r="M295">
        <f t="shared" ca="1" si="53"/>
        <v>42799</v>
      </c>
      <c r="N295" t="str">
        <f t="shared" ca="1" si="54"/>
        <v>1010011100101111</v>
      </c>
      <c r="O295">
        <f t="shared" ca="1" si="55"/>
        <v>101001110</v>
      </c>
    </row>
    <row r="296" spans="4:15" x14ac:dyDescent="0.25">
      <c r="D296">
        <v>294</v>
      </c>
      <c r="E296">
        <f t="shared" si="45"/>
        <v>49.400000000000006</v>
      </c>
      <c r="F296">
        <f t="shared" ca="1" si="46"/>
        <v>40.580000000000005</v>
      </c>
      <c r="G296" s="1">
        <f t="shared" si="47"/>
        <v>2.4500000000000002</v>
      </c>
      <c r="H296" s="6">
        <f t="shared" ca="1" si="48"/>
        <v>1.7150000000000001</v>
      </c>
      <c r="I296" s="5">
        <f t="shared" ca="1" si="49"/>
        <v>0.7350000000000001</v>
      </c>
      <c r="J296" s="8">
        <f t="shared" ca="1" si="50"/>
        <v>2.5725000000000002</v>
      </c>
      <c r="K296" s="5">
        <f t="shared" ca="1" si="51"/>
        <v>0.12250000000000005</v>
      </c>
      <c r="L296">
        <f t="shared" ca="1" si="52"/>
        <v>24193.706666666665</v>
      </c>
      <c r="M296">
        <f t="shared" ca="1" si="53"/>
        <v>24194</v>
      </c>
      <c r="N296" t="str">
        <f t="shared" ca="1" si="54"/>
        <v>0101111010000010</v>
      </c>
      <c r="O296">
        <f t="shared" ca="1" si="55"/>
        <v>10111101</v>
      </c>
    </row>
    <row r="297" spans="4:15" x14ac:dyDescent="0.25">
      <c r="D297">
        <v>295</v>
      </c>
      <c r="E297">
        <f t="shared" si="45"/>
        <v>49.5</v>
      </c>
      <c r="F297">
        <f t="shared" ca="1" si="46"/>
        <v>40.65</v>
      </c>
      <c r="G297" s="1">
        <f t="shared" si="47"/>
        <v>2.458333333333333</v>
      </c>
      <c r="H297" s="6">
        <f t="shared" ca="1" si="48"/>
        <v>1.720833333333333</v>
      </c>
      <c r="I297" s="5">
        <f t="shared" ca="1" si="49"/>
        <v>0.73750000000000004</v>
      </c>
      <c r="J297" s="8">
        <f t="shared" ca="1" si="50"/>
        <v>2.3354166666666663</v>
      </c>
      <c r="K297" s="5">
        <f t="shared" ca="1" si="51"/>
        <v>0.12291666666666679</v>
      </c>
      <c r="L297">
        <f t="shared" ca="1" si="52"/>
        <v>24257.42222222222</v>
      </c>
      <c r="M297">
        <f t="shared" ca="1" si="53"/>
        <v>24257</v>
      </c>
      <c r="N297" t="str">
        <f t="shared" ca="1" si="54"/>
        <v>0101111011000001</v>
      </c>
      <c r="O297">
        <f t="shared" ca="1" si="55"/>
        <v>10111101</v>
      </c>
    </row>
    <row r="298" spans="4:15" x14ac:dyDescent="0.25">
      <c r="D298">
        <v>296</v>
      </c>
      <c r="E298">
        <f t="shared" si="45"/>
        <v>49.6</v>
      </c>
      <c r="F298">
        <f t="shared" ca="1" si="46"/>
        <v>52.56</v>
      </c>
      <c r="G298" s="1">
        <f t="shared" si="47"/>
        <v>2.4666666666666659</v>
      </c>
      <c r="H298" s="6">
        <f t="shared" ca="1" si="48"/>
        <v>2.7133333333333329</v>
      </c>
      <c r="I298" s="5">
        <f t="shared" ca="1" si="49"/>
        <v>0.24666666666666703</v>
      </c>
      <c r="J298" s="8">
        <f t="shared" ca="1" si="50"/>
        <v>2.3433333333333324</v>
      </c>
      <c r="K298" s="5">
        <f t="shared" ca="1" si="51"/>
        <v>0.12333333333333352</v>
      </c>
      <c r="L298">
        <f t="shared" ca="1" si="52"/>
        <v>35098.168888888882</v>
      </c>
      <c r="M298">
        <f t="shared" ca="1" si="53"/>
        <v>35098</v>
      </c>
      <c r="N298" t="str">
        <f t="shared" ca="1" si="54"/>
        <v>1000100100011010</v>
      </c>
      <c r="O298">
        <f t="shared" ca="1" si="55"/>
        <v>100010010</v>
      </c>
    </row>
    <row r="299" spans="4:15" x14ac:dyDescent="0.25">
      <c r="D299">
        <v>297</v>
      </c>
      <c r="E299">
        <f t="shared" si="45"/>
        <v>49.7</v>
      </c>
      <c r="F299">
        <f t="shared" ca="1" si="46"/>
        <v>58.61</v>
      </c>
      <c r="G299" s="1">
        <f t="shared" si="47"/>
        <v>2.4749999999999996</v>
      </c>
      <c r="H299" s="6">
        <f t="shared" ca="1" si="48"/>
        <v>3.2174999999999994</v>
      </c>
      <c r="I299" s="5">
        <f t="shared" ca="1" si="49"/>
        <v>0.74249999999999972</v>
      </c>
      <c r="J299" s="8">
        <f t="shared" ca="1" si="50"/>
        <v>2.3512499999999994</v>
      </c>
      <c r="K299" s="5">
        <f t="shared" ca="1" si="51"/>
        <v>0.12375000000000025</v>
      </c>
      <c r="L299">
        <f t="shared" ca="1" si="52"/>
        <v>40605.013333333329</v>
      </c>
      <c r="M299">
        <f t="shared" ca="1" si="53"/>
        <v>40605</v>
      </c>
      <c r="N299" t="str">
        <f t="shared" ca="1" si="54"/>
        <v>1001111010011101</v>
      </c>
      <c r="O299">
        <f t="shared" ca="1" si="55"/>
        <v>100111101</v>
      </c>
    </row>
    <row r="300" spans="4:15" x14ac:dyDescent="0.25">
      <c r="D300">
        <v>298</v>
      </c>
      <c r="E300">
        <f t="shared" si="45"/>
        <v>49.8</v>
      </c>
      <c r="F300">
        <f t="shared" ca="1" si="46"/>
        <v>34.9</v>
      </c>
      <c r="G300" s="1">
        <f t="shared" si="47"/>
        <v>2.4833333333333325</v>
      </c>
      <c r="H300" s="6">
        <f t="shared" ca="1" si="48"/>
        <v>1.2416666666666665</v>
      </c>
      <c r="I300" s="5">
        <f t="shared" ca="1" si="49"/>
        <v>1.241666666666666</v>
      </c>
      <c r="J300" s="8">
        <f t="shared" ca="1" si="50"/>
        <v>2.607499999999999</v>
      </c>
      <c r="K300" s="5">
        <f t="shared" ca="1" si="51"/>
        <v>0.12416666666666654</v>
      </c>
      <c r="L300">
        <f t="shared" ca="1" si="52"/>
        <v>19023.644444444442</v>
      </c>
      <c r="M300">
        <f t="shared" ca="1" si="53"/>
        <v>19024</v>
      </c>
      <c r="N300" t="str">
        <f t="shared" ca="1" si="54"/>
        <v>0100101001010000</v>
      </c>
      <c r="O300">
        <f t="shared" ca="1" si="55"/>
        <v>10010100</v>
      </c>
    </row>
    <row r="301" spans="4:15" x14ac:dyDescent="0.25">
      <c r="D301">
        <v>299</v>
      </c>
      <c r="E301">
        <f t="shared" si="45"/>
        <v>49.900000000000006</v>
      </c>
      <c r="F301">
        <f t="shared" ca="1" si="46"/>
        <v>40.930000000000007</v>
      </c>
      <c r="G301" s="1">
        <f t="shared" si="47"/>
        <v>2.4916666666666663</v>
      </c>
      <c r="H301" s="6">
        <f t="shared" ca="1" si="48"/>
        <v>1.7441666666666669</v>
      </c>
      <c r="I301" s="5">
        <f t="shared" ca="1" si="49"/>
        <v>0.74749999999999939</v>
      </c>
      <c r="J301" s="8">
        <f t="shared" ca="1" si="50"/>
        <v>2.6162499999999995</v>
      </c>
      <c r="K301" s="5">
        <f t="shared" ca="1" si="51"/>
        <v>0.12458333333333327</v>
      </c>
      <c r="L301">
        <f t="shared" ca="1" si="52"/>
        <v>24512.284444444445</v>
      </c>
      <c r="M301">
        <f t="shared" ca="1" si="53"/>
        <v>24512</v>
      </c>
      <c r="N301" t="str">
        <f t="shared" ca="1" si="54"/>
        <v>0101111111000000</v>
      </c>
      <c r="O301">
        <f t="shared" ca="1" si="55"/>
        <v>10111111</v>
      </c>
    </row>
    <row r="302" spans="4:15" x14ac:dyDescent="0.25">
      <c r="D302">
        <v>300</v>
      </c>
      <c r="E302">
        <f t="shared" si="45"/>
        <v>50</v>
      </c>
      <c r="F302">
        <f t="shared" ca="1" si="46"/>
        <v>47</v>
      </c>
      <c r="G302" s="1">
        <f t="shared" si="47"/>
        <v>2.4999999999999991</v>
      </c>
      <c r="H302" s="6">
        <f t="shared" ca="1" si="48"/>
        <v>2.25</v>
      </c>
      <c r="I302" s="5">
        <f t="shared" ca="1" si="49"/>
        <v>0.24999999999999911</v>
      </c>
      <c r="J302" s="8">
        <f t="shared" ca="1" si="50"/>
        <v>2.3749999999999991</v>
      </c>
      <c r="K302" s="5">
        <f t="shared" ca="1" si="51"/>
        <v>0.125</v>
      </c>
      <c r="L302">
        <f t="shared" ca="1" si="52"/>
        <v>30037.333333333332</v>
      </c>
      <c r="M302">
        <f t="shared" ca="1" si="53"/>
        <v>30037</v>
      </c>
      <c r="N302" t="str">
        <f t="shared" ca="1" si="54"/>
        <v>0111010101010101</v>
      </c>
      <c r="O302">
        <f t="shared" ca="1" si="55"/>
        <v>11101010</v>
      </c>
    </row>
    <row r="303" spans="4:15" x14ac:dyDescent="0.25">
      <c r="D303">
        <v>301</v>
      </c>
      <c r="E303">
        <f t="shared" si="45"/>
        <v>50.1</v>
      </c>
      <c r="F303">
        <f t="shared" ca="1" si="46"/>
        <v>41.07</v>
      </c>
      <c r="G303" s="1">
        <f t="shared" si="47"/>
        <v>2.5083333333333329</v>
      </c>
      <c r="H303" s="6">
        <f t="shared" ca="1" si="48"/>
        <v>1.7558333333333331</v>
      </c>
      <c r="I303" s="5">
        <f t="shared" ca="1" si="49"/>
        <v>0.75249999999999972</v>
      </c>
      <c r="J303" s="8">
        <f t="shared" ca="1" si="50"/>
        <v>2.6337499999999996</v>
      </c>
      <c r="K303" s="5">
        <f t="shared" ca="1" si="51"/>
        <v>0.12541666666666673</v>
      </c>
      <c r="L303">
        <f t="shared" ca="1" si="52"/>
        <v>24639.715555555555</v>
      </c>
      <c r="M303">
        <f t="shared" ca="1" si="53"/>
        <v>24640</v>
      </c>
      <c r="N303" t="str">
        <f t="shared" ca="1" si="54"/>
        <v>0110000001000000</v>
      </c>
      <c r="O303">
        <f t="shared" ca="1" si="55"/>
        <v>11000000</v>
      </c>
    </row>
    <row r="304" spans="4:15" x14ac:dyDescent="0.25">
      <c r="D304">
        <v>302</v>
      </c>
      <c r="E304">
        <f t="shared" si="45"/>
        <v>50.2</v>
      </c>
      <c r="F304">
        <f t="shared" ca="1" si="46"/>
        <v>38.120000000000005</v>
      </c>
      <c r="G304" s="1">
        <f t="shared" si="47"/>
        <v>2.5166666666666666</v>
      </c>
      <c r="H304" s="6">
        <f t="shared" ca="1" si="48"/>
        <v>1.51</v>
      </c>
      <c r="I304" s="5">
        <f t="shared" ca="1" si="49"/>
        <v>1.0066666666666666</v>
      </c>
      <c r="J304" s="8">
        <f t="shared" ca="1" si="50"/>
        <v>2.3908333333333331</v>
      </c>
      <c r="K304" s="5">
        <f t="shared" ca="1" si="51"/>
        <v>0.12583333333333346</v>
      </c>
      <c r="L304">
        <f t="shared" ca="1" si="52"/>
        <v>21954.559999999998</v>
      </c>
      <c r="M304">
        <f t="shared" ca="1" si="53"/>
        <v>21955</v>
      </c>
      <c r="N304" t="str">
        <f t="shared" ca="1" si="54"/>
        <v>0101010111000011</v>
      </c>
      <c r="O304">
        <f t="shared" ca="1" si="55"/>
        <v>10101011</v>
      </c>
    </row>
    <row r="305" spans="4:15" x14ac:dyDescent="0.25">
      <c r="D305">
        <v>303</v>
      </c>
      <c r="E305">
        <f t="shared" si="45"/>
        <v>50.3</v>
      </c>
      <c r="F305">
        <f t="shared" ca="1" si="46"/>
        <v>38.179999999999993</v>
      </c>
      <c r="G305" s="1">
        <f t="shared" si="47"/>
        <v>2.5249999999999995</v>
      </c>
      <c r="H305" s="6">
        <f t="shared" ca="1" si="48"/>
        <v>1.514999999999999</v>
      </c>
      <c r="I305" s="5">
        <f t="shared" ca="1" si="49"/>
        <v>1.0100000000000005</v>
      </c>
      <c r="J305" s="8">
        <f t="shared" ca="1" si="50"/>
        <v>2.6512499999999997</v>
      </c>
      <c r="K305" s="5">
        <f t="shared" ca="1" si="51"/>
        <v>0.1262500000000002</v>
      </c>
      <c r="L305">
        <f t="shared" ca="1" si="52"/>
        <v>22009.173333333321</v>
      </c>
      <c r="M305">
        <f t="shared" ca="1" si="53"/>
        <v>22009</v>
      </c>
      <c r="N305" t="str">
        <f t="shared" ca="1" si="54"/>
        <v>0101010111111001</v>
      </c>
      <c r="O305">
        <f t="shared" ca="1" si="55"/>
        <v>10101011</v>
      </c>
    </row>
    <row r="306" spans="4:15" x14ac:dyDescent="0.25">
      <c r="D306">
        <v>304</v>
      </c>
      <c r="E306">
        <f t="shared" si="45"/>
        <v>50.400000000000006</v>
      </c>
      <c r="F306">
        <f t="shared" ca="1" si="46"/>
        <v>38.240000000000009</v>
      </c>
      <c r="G306" s="1">
        <f t="shared" si="47"/>
        <v>2.5333333333333332</v>
      </c>
      <c r="H306" s="6">
        <f t="shared" ca="1" si="48"/>
        <v>1.5200000000000007</v>
      </c>
      <c r="I306" s="5">
        <f t="shared" ca="1" si="49"/>
        <v>1.0133333333333325</v>
      </c>
      <c r="J306" s="8">
        <f t="shared" ca="1" si="50"/>
        <v>2.4066666666666663</v>
      </c>
      <c r="K306" s="5">
        <f t="shared" ca="1" si="51"/>
        <v>0.12666666666666693</v>
      </c>
      <c r="L306">
        <f t="shared" ca="1" si="52"/>
        <v>22063.78666666667</v>
      </c>
      <c r="M306">
        <f t="shared" ca="1" si="53"/>
        <v>22064</v>
      </c>
      <c r="N306" t="str">
        <f t="shared" ca="1" si="54"/>
        <v>0101011000110000</v>
      </c>
      <c r="O306">
        <f t="shared" ca="1" si="55"/>
        <v>10101100</v>
      </c>
    </row>
    <row r="307" spans="4:15" x14ac:dyDescent="0.25">
      <c r="D307">
        <v>305</v>
      </c>
      <c r="E307">
        <f t="shared" si="45"/>
        <v>50.5</v>
      </c>
      <c r="F307">
        <f t="shared" ca="1" si="46"/>
        <v>47.45</v>
      </c>
      <c r="G307" s="1">
        <f t="shared" si="47"/>
        <v>2.5416666666666661</v>
      </c>
      <c r="H307" s="6">
        <f t="shared" ca="1" si="48"/>
        <v>2.2874999999999996</v>
      </c>
      <c r="I307" s="5">
        <f t="shared" ca="1" si="49"/>
        <v>0.25416666666666643</v>
      </c>
      <c r="J307" s="8">
        <f t="shared" ca="1" si="50"/>
        <v>2.4145833333333329</v>
      </c>
      <c r="K307" s="5">
        <f t="shared" ca="1" si="51"/>
        <v>0.12708333333333321</v>
      </c>
      <c r="L307">
        <f t="shared" ca="1" si="52"/>
        <v>30446.933333333331</v>
      </c>
      <c r="M307">
        <f t="shared" ca="1" si="53"/>
        <v>30447</v>
      </c>
      <c r="N307" t="str">
        <f t="shared" ca="1" si="54"/>
        <v>0111011011101111</v>
      </c>
      <c r="O307">
        <f t="shared" ca="1" si="55"/>
        <v>11101101</v>
      </c>
    </row>
    <row r="308" spans="4:15" x14ac:dyDescent="0.25">
      <c r="D308">
        <v>306</v>
      </c>
      <c r="E308">
        <f t="shared" si="45"/>
        <v>50.6</v>
      </c>
      <c r="F308">
        <f t="shared" ca="1" si="46"/>
        <v>65.900000000000006</v>
      </c>
      <c r="G308" s="1">
        <f t="shared" si="47"/>
        <v>2.5499999999999998</v>
      </c>
      <c r="H308" s="6">
        <f t="shared" ca="1" si="48"/>
        <v>3.8250000000000002</v>
      </c>
      <c r="I308" s="5">
        <f t="shared" ca="1" si="49"/>
        <v>1.2750000000000004</v>
      </c>
      <c r="J308" s="8">
        <f t="shared" ca="1" si="50"/>
        <v>2.4224999999999999</v>
      </c>
      <c r="K308" s="5">
        <f t="shared" ca="1" si="51"/>
        <v>0.12749999999999995</v>
      </c>
      <c r="L308">
        <f t="shared" ca="1" si="52"/>
        <v>47240.533333333333</v>
      </c>
      <c r="M308">
        <f t="shared" ca="1" si="53"/>
        <v>47241</v>
      </c>
      <c r="N308" t="str">
        <f t="shared" ca="1" si="54"/>
        <v>1011100010001001</v>
      </c>
      <c r="O308">
        <f t="shared" ca="1" si="55"/>
        <v>101110001</v>
      </c>
    </row>
    <row r="309" spans="4:15" x14ac:dyDescent="0.25">
      <c r="D309">
        <v>307</v>
      </c>
      <c r="E309">
        <f t="shared" si="45"/>
        <v>50.7</v>
      </c>
      <c r="F309">
        <f t="shared" ca="1" si="46"/>
        <v>38.42</v>
      </c>
      <c r="G309" s="1">
        <f t="shared" si="47"/>
        <v>2.5583333333333327</v>
      </c>
      <c r="H309" s="6">
        <f t="shared" ca="1" si="48"/>
        <v>1.5349999999999999</v>
      </c>
      <c r="I309" s="5">
        <f t="shared" ca="1" si="49"/>
        <v>1.0233333333333328</v>
      </c>
      <c r="J309" s="8">
        <f t="shared" ca="1" si="50"/>
        <v>2.430416666666666</v>
      </c>
      <c r="K309" s="5">
        <f t="shared" ca="1" si="51"/>
        <v>0.12791666666666668</v>
      </c>
      <c r="L309">
        <f t="shared" ca="1" si="52"/>
        <v>22227.626666666667</v>
      </c>
      <c r="M309">
        <f t="shared" ca="1" si="53"/>
        <v>22228</v>
      </c>
      <c r="N309" t="str">
        <f t="shared" ca="1" si="54"/>
        <v>0101011011010100</v>
      </c>
      <c r="O309">
        <f t="shared" ca="1" si="55"/>
        <v>10101101</v>
      </c>
    </row>
    <row r="310" spans="4:15" x14ac:dyDescent="0.25">
      <c r="D310">
        <v>308</v>
      </c>
      <c r="E310">
        <f t="shared" si="45"/>
        <v>50.8</v>
      </c>
      <c r="F310">
        <f t="shared" ca="1" si="46"/>
        <v>66.2</v>
      </c>
      <c r="G310" s="1">
        <f t="shared" si="47"/>
        <v>2.5666666666666655</v>
      </c>
      <c r="H310" s="6">
        <f t="shared" ca="1" si="48"/>
        <v>3.8499999999999996</v>
      </c>
      <c r="I310" s="5">
        <f t="shared" ca="1" si="49"/>
        <v>1.2833333333333341</v>
      </c>
      <c r="J310" s="8">
        <f t="shared" ca="1" si="50"/>
        <v>2.694999999999999</v>
      </c>
      <c r="K310" s="5">
        <f t="shared" ca="1" si="51"/>
        <v>0.12833333333333341</v>
      </c>
      <c r="L310">
        <f t="shared" ca="1" si="52"/>
        <v>47513.599999999999</v>
      </c>
      <c r="M310">
        <f t="shared" ca="1" si="53"/>
        <v>47514</v>
      </c>
      <c r="N310" t="str">
        <f t="shared" ca="1" si="54"/>
        <v>1011100110011010</v>
      </c>
      <c r="O310">
        <f t="shared" ca="1" si="55"/>
        <v>101110011</v>
      </c>
    </row>
    <row r="311" spans="4:15" x14ac:dyDescent="0.25">
      <c r="D311">
        <v>309</v>
      </c>
      <c r="E311">
        <f t="shared" si="45"/>
        <v>50.900000000000006</v>
      </c>
      <c r="F311">
        <f t="shared" ca="1" si="46"/>
        <v>47.81</v>
      </c>
      <c r="G311" s="1">
        <f t="shared" si="47"/>
        <v>2.5750000000000002</v>
      </c>
      <c r="H311" s="6">
        <f t="shared" ca="1" si="48"/>
        <v>2.3174999999999999</v>
      </c>
      <c r="I311" s="5">
        <f t="shared" ca="1" si="49"/>
        <v>0.25750000000000028</v>
      </c>
      <c r="J311" s="8">
        <f t="shared" ca="1" si="50"/>
        <v>2.44625</v>
      </c>
      <c r="K311" s="5">
        <f t="shared" ca="1" si="51"/>
        <v>0.12875000000000014</v>
      </c>
      <c r="L311">
        <f t="shared" ca="1" si="52"/>
        <v>30774.613333333331</v>
      </c>
      <c r="M311">
        <f t="shared" ca="1" si="53"/>
        <v>30775</v>
      </c>
      <c r="N311" t="str">
        <f t="shared" ca="1" si="54"/>
        <v>0111100000110111</v>
      </c>
      <c r="O311">
        <f t="shared" ca="1" si="55"/>
        <v>11110000</v>
      </c>
    </row>
    <row r="312" spans="4:15" x14ac:dyDescent="0.25">
      <c r="D312">
        <v>310</v>
      </c>
      <c r="E312">
        <f t="shared" si="45"/>
        <v>51</v>
      </c>
      <c r="F312">
        <f t="shared" ca="1" si="46"/>
        <v>54.1</v>
      </c>
      <c r="G312" s="1">
        <f t="shared" si="47"/>
        <v>2.583333333333333</v>
      </c>
      <c r="H312" s="6">
        <f t="shared" ca="1" si="48"/>
        <v>2.8416666666666659</v>
      </c>
      <c r="I312" s="5">
        <f t="shared" ca="1" si="49"/>
        <v>0.25833333333333286</v>
      </c>
      <c r="J312" s="8">
        <f t="shared" ca="1" si="50"/>
        <v>2.7124999999999999</v>
      </c>
      <c r="K312" s="5">
        <f t="shared" ca="1" si="51"/>
        <v>0.12916666666666687</v>
      </c>
      <c r="L312">
        <f t="shared" ca="1" si="52"/>
        <v>36499.911111111105</v>
      </c>
      <c r="M312">
        <f t="shared" ca="1" si="53"/>
        <v>36500</v>
      </c>
      <c r="N312" t="str">
        <f t="shared" ca="1" si="54"/>
        <v>1000111010010100</v>
      </c>
      <c r="O312">
        <f t="shared" ca="1" si="55"/>
        <v>100011101</v>
      </c>
    </row>
    <row r="313" spans="4:15" x14ac:dyDescent="0.25">
      <c r="D313">
        <v>311</v>
      </c>
      <c r="E313">
        <f t="shared" si="45"/>
        <v>51.1</v>
      </c>
      <c r="F313">
        <f t="shared" ca="1" si="46"/>
        <v>44.88</v>
      </c>
      <c r="G313" s="1">
        <f t="shared" si="47"/>
        <v>2.5916666666666659</v>
      </c>
      <c r="H313" s="6">
        <f t="shared" ca="1" si="48"/>
        <v>2.0733333333333333</v>
      </c>
      <c r="I313" s="5">
        <f t="shared" ca="1" si="49"/>
        <v>0.51833333333333265</v>
      </c>
      <c r="J313" s="8">
        <f t="shared" ca="1" si="50"/>
        <v>2.4620833333333323</v>
      </c>
      <c r="K313" s="5">
        <f t="shared" ca="1" si="51"/>
        <v>0.12958333333333361</v>
      </c>
      <c r="L313">
        <f t="shared" ca="1" si="52"/>
        <v>28107.662222222221</v>
      </c>
      <c r="M313">
        <f t="shared" ca="1" si="53"/>
        <v>28108</v>
      </c>
      <c r="N313" t="str">
        <f t="shared" ca="1" si="54"/>
        <v>0110110111001100</v>
      </c>
      <c r="O313">
        <f t="shared" ca="1" si="55"/>
        <v>11011011</v>
      </c>
    </row>
    <row r="314" spans="4:15" x14ac:dyDescent="0.25">
      <c r="D314">
        <v>312</v>
      </c>
      <c r="E314">
        <f t="shared" si="45"/>
        <v>51.2</v>
      </c>
      <c r="F314">
        <f t="shared" ca="1" si="46"/>
        <v>51.2</v>
      </c>
      <c r="G314" s="1">
        <f t="shared" si="47"/>
        <v>2.5999999999999996</v>
      </c>
      <c r="H314" s="6">
        <f t="shared" ca="1" si="48"/>
        <v>2.5999999999999996</v>
      </c>
      <c r="I314" s="5">
        <f t="shared" ca="1" si="49"/>
        <v>0</v>
      </c>
      <c r="J314" s="8">
        <f t="shared" ca="1" si="50"/>
        <v>2.4699999999999998</v>
      </c>
      <c r="K314" s="5">
        <f t="shared" ca="1" si="51"/>
        <v>0.12999999999999989</v>
      </c>
      <c r="L314">
        <f t="shared" ca="1" si="52"/>
        <v>33860.266666666663</v>
      </c>
      <c r="M314">
        <f t="shared" ca="1" si="53"/>
        <v>33860</v>
      </c>
      <c r="N314" t="str">
        <f t="shared" ca="1" si="54"/>
        <v>1000010001000100</v>
      </c>
      <c r="O314">
        <f t="shared" ca="1" si="55"/>
        <v>100001000</v>
      </c>
    </row>
    <row r="315" spans="4:15" x14ac:dyDescent="0.25">
      <c r="D315">
        <v>313</v>
      </c>
      <c r="E315">
        <f t="shared" si="45"/>
        <v>51.3</v>
      </c>
      <c r="F315">
        <f t="shared" ca="1" si="46"/>
        <v>51.3</v>
      </c>
      <c r="G315" s="1">
        <f t="shared" si="47"/>
        <v>2.6083333333333325</v>
      </c>
      <c r="H315" s="6">
        <f t="shared" ca="1" si="48"/>
        <v>2.6083333333333325</v>
      </c>
      <c r="I315" s="5">
        <f t="shared" ca="1" si="49"/>
        <v>0</v>
      </c>
      <c r="J315" s="8">
        <f t="shared" ca="1" si="50"/>
        <v>2.4779166666666659</v>
      </c>
      <c r="K315" s="5">
        <f t="shared" ca="1" si="51"/>
        <v>0.13041666666666663</v>
      </c>
      <c r="L315">
        <f t="shared" ca="1" si="52"/>
        <v>33951.288888888877</v>
      </c>
      <c r="M315">
        <f t="shared" ca="1" si="53"/>
        <v>33951</v>
      </c>
      <c r="N315" t="str">
        <f t="shared" ca="1" si="54"/>
        <v>1000010010011111</v>
      </c>
      <c r="O315">
        <f t="shared" ca="1" si="55"/>
        <v>100001001</v>
      </c>
    </row>
    <row r="316" spans="4:15" x14ac:dyDescent="0.25">
      <c r="D316">
        <v>314</v>
      </c>
      <c r="E316">
        <f t="shared" si="45"/>
        <v>51.400000000000006</v>
      </c>
      <c r="F316">
        <f t="shared" ca="1" si="46"/>
        <v>38.840000000000003</v>
      </c>
      <c r="G316" s="1">
        <f t="shared" si="47"/>
        <v>2.6166666666666663</v>
      </c>
      <c r="H316" s="6">
        <f t="shared" ca="1" si="48"/>
        <v>1.57</v>
      </c>
      <c r="I316" s="5">
        <f t="shared" ca="1" si="49"/>
        <v>1.0466666666666662</v>
      </c>
      <c r="J316" s="8">
        <f t="shared" ca="1" si="50"/>
        <v>2.7474999999999996</v>
      </c>
      <c r="K316" s="5">
        <f t="shared" ca="1" si="51"/>
        <v>0.13083333333333336</v>
      </c>
      <c r="L316">
        <f t="shared" ca="1" si="52"/>
        <v>22609.920000000002</v>
      </c>
      <c r="M316">
        <f t="shared" ca="1" si="53"/>
        <v>22610</v>
      </c>
      <c r="N316" t="str">
        <f t="shared" ca="1" si="54"/>
        <v>0101100001010010</v>
      </c>
      <c r="O316">
        <f t="shared" ca="1" si="55"/>
        <v>10110000</v>
      </c>
    </row>
    <row r="317" spans="4:15" x14ac:dyDescent="0.25">
      <c r="D317">
        <v>315</v>
      </c>
      <c r="E317">
        <f t="shared" si="45"/>
        <v>51.5</v>
      </c>
      <c r="F317">
        <f t="shared" ca="1" si="46"/>
        <v>48.35</v>
      </c>
      <c r="G317" s="1">
        <f t="shared" si="47"/>
        <v>2.6249999999999991</v>
      </c>
      <c r="H317" s="6">
        <f t="shared" ca="1" si="48"/>
        <v>2.3624999999999998</v>
      </c>
      <c r="I317" s="5">
        <f t="shared" ca="1" si="49"/>
        <v>0.26249999999999929</v>
      </c>
      <c r="J317" s="8">
        <f t="shared" ca="1" si="50"/>
        <v>2.493749999999999</v>
      </c>
      <c r="K317" s="5">
        <f t="shared" ca="1" si="51"/>
        <v>0.13125000000000009</v>
      </c>
      <c r="L317">
        <f t="shared" ca="1" si="52"/>
        <v>31266.133333333331</v>
      </c>
      <c r="M317">
        <f t="shared" ca="1" si="53"/>
        <v>31266</v>
      </c>
      <c r="N317" t="str">
        <f t="shared" ca="1" si="54"/>
        <v>0111101000100010</v>
      </c>
      <c r="O317">
        <f t="shared" ca="1" si="55"/>
        <v>11110100</v>
      </c>
    </row>
    <row r="318" spans="4:15" x14ac:dyDescent="0.25">
      <c r="D318">
        <v>316</v>
      </c>
      <c r="E318">
        <f t="shared" si="45"/>
        <v>51.6</v>
      </c>
      <c r="F318">
        <f t="shared" ca="1" si="46"/>
        <v>57.92</v>
      </c>
      <c r="G318" s="1">
        <f t="shared" si="47"/>
        <v>2.6333333333333329</v>
      </c>
      <c r="H318" s="6">
        <f t="shared" ca="1" si="48"/>
        <v>3.1599999999999993</v>
      </c>
      <c r="I318" s="5">
        <f t="shared" ca="1" si="49"/>
        <v>0.52666666666666639</v>
      </c>
      <c r="J318" s="8">
        <f t="shared" ca="1" si="50"/>
        <v>2.7649999999999997</v>
      </c>
      <c r="K318" s="5">
        <f t="shared" ca="1" si="51"/>
        <v>0.13166666666666682</v>
      </c>
      <c r="L318">
        <f t="shared" ca="1" si="52"/>
        <v>39976.959999999992</v>
      </c>
      <c r="M318">
        <f t="shared" ca="1" si="53"/>
        <v>39977</v>
      </c>
      <c r="N318" t="str">
        <f t="shared" ca="1" si="54"/>
        <v>1001110000101001</v>
      </c>
      <c r="O318">
        <f t="shared" ca="1" si="55"/>
        <v>100111000</v>
      </c>
    </row>
    <row r="319" spans="4:15" x14ac:dyDescent="0.25">
      <c r="D319">
        <v>317</v>
      </c>
      <c r="E319">
        <f t="shared" si="45"/>
        <v>51.7</v>
      </c>
      <c r="F319">
        <f t="shared" ca="1" si="46"/>
        <v>48.53</v>
      </c>
      <c r="G319" s="1">
        <f t="shared" si="47"/>
        <v>2.6416666666666666</v>
      </c>
      <c r="H319" s="6">
        <f t="shared" ca="1" si="48"/>
        <v>2.3774999999999995</v>
      </c>
      <c r="I319" s="5">
        <f t="shared" ca="1" si="49"/>
        <v>0.2641666666666671</v>
      </c>
      <c r="J319" s="8">
        <f t="shared" ca="1" si="50"/>
        <v>2.5095833333333331</v>
      </c>
      <c r="K319" s="5">
        <f t="shared" ca="1" si="51"/>
        <v>0.13208333333333355</v>
      </c>
      <c r="L319">
        <f t="shared" ca="1" si="52"/>
        <v>31429.973333333328</v>
      </c>
      <c r="M319">
        <f t="shared" ca="1" si="53"/>
        <v>31430</v>
      </c>
      <c r="N319" t="str">
        <f t="shared" ca="1" si="54"/>
        <v>0111101011000110</v>
      </c>
      <c r="O319">
        <f t="shared" ca="1" si="55"/>
        <v>11110101</v>
      </c>
    </row>
    <row r="320" spans="4:15" x14ac:dyDescent="0.25">
      <c r="D320">
        <v>318</v>
      </c>
      <c r="E320">
        <f t="shared" si="45"/>
        <v>51.8</v>
      </c>
      <c r="F320">
        <f t="shared" ca="1" si="46"/>
        <v>35.9</v>
      </c>
      <c r="G320" s="1">
        <f t="shared" si="47"/>
        <v>2.6499999999999995</v>
      </c>
      <c r="H320" s="6">
        <f t="shared" ca="1" si="48"/>
        <v>1.3249999999999995</v>
      </c>
      <c r="I320" s="5">
        <f t="shared" ca="1" si="49"/>
        <v>1.325</v>
      </c>
      <c r="J320" s="8">
        <f t="shared" ca="1" si="50"/>
        <v>2.7824999999999998</v>
      </c>
      <c r="K320" s="5">
        <f t="shared" ca="1" si="51"/>
        <v>0.13250000000000028</v>
      </c>
      <c r="L320">
        <f t="shared" ca="1" si="52"/>
        <v>19933.866666666661</v>
      </c>
      <c r="M320">
        <f t="shared" ca="1" si="53"/>
        <v>19934</v>
      </c>
      <c r="N320" t="str">
        <f t="shared" ca="1" si="54"/>
        <v>0100110111011110</v>
      </c>
      <c r="O320">
        <f t="shared" ca="1" si="55"/>
        <v>10011011</v>
      </c>
    </row>
    <row r="321" spans="4:15" x14ac:dyDescent="0.25">
      <c r="D321">
        <v>319</v>
      </c>
      <c r="E321">
        <f t="shared" si="45"/>
        <v>51.900000000000006</v>
      </c>
      <c r="F321">
        <f t="shared" ca="1" si="46"/>
        <v>48.710000000000008</v>
      </c>
      <c r="G321" s="1">
        <f t="shared" si="47"/>
        <v>2.6583333333333332</v>
      </c>
      <c r="H321" s="6">
        <f t="shared" ca="1" si="48"/>
        <v>2.3925000000000001</v>
      </c>
      <c r="I321" s="5">
        <f t="shared" ca="1" si="49"/>
        <v>0.26583333333333314</v>
      </c>
      <c r="J321" s="8">
        <f t="shared" ca="1" si="50"/>
        <v>2.5254166666666666</v>
      </c>
      <c r="K321" s="5">
        <f t="shared" ca="1" si="51"/>
        <v>0.13291666666666657</v>
      </c>
      <c r="L321">
        <f t="shared" ca="1" si="52"/>
        <v>31593.813333333335</v>
      </c>
      <c r="M321">
        <f t="shared" ca="1" si="53"/>
        <v>31594</v>
      </c>
      <c r="N321" t="str">
        <f t="shared" ca="1" si="54"/>
        <v>0111101101101010</v>
      </c>
      <c r="O321">
        <f t="shared" ca="1" si="55"/>
        <v>11110110</v>
      </c>
    </row>
    <row r="322" spans="4:15" x14ac:dyDescent="0.25">
      <c r="D322">
        <v>320</v>
      </c>
      <c r="E322">
        <f t="shared" si="45"/>
        <v>52</v>
      </c>
      <c r="F322">
        <f t="shared" ca="1" si="46"/>
        <v>58.4</v>
      </c>
      <c r="G322" s="1">
        <f t="shared" si="47"/>
        <v>2.6666666666666661</v>
      </c>
      <c r="H322" s="6">
        <f t="shared" ca="1" si="48"/>
        <v>3.1999999999999993</v>
      </c>
      <c r="I322" s="5">
        <f t="shared" ca="1" si="49"/>
        <v>0.53333333333333321</v>
      </c>
      <c r="J322" s="8">
        <f t="shared" ca="1" si="50"/>
        <v>2.7999999999999994</v>
      </c>
      <c r="K322" s="5">
        <f t="shared" ca="1" si="51"/>
        <v>0.1333333333333333</v>
      </c>
      <c r="L322">
        <f t="shared" ca="1" si="52"/>
        <v>40413.866666666661</v>
      </c>
      <c r="M322">
        <f t="shared" ca="1" si="53"/>
        <v>40414</v>
      </c>
      <c r="N322" t="str">
        <f t="shared" ca="1" si="54"/>
        <v>1001110111011110</v>
      </c>
      <c r="O322">
        <f t="shared" ca="1" si="55"/>
        <v>100111011</v>
      </c>
    </row>
    <row r="323" spans="4:15" x14ac:dyDescent="0.25">
      <c r="D323">
        <v>321</v>
      </c>
      <c r="E323">
        <f t="shared" ref="E323:E386" si="56">0.1*D323+20</f>
        <v>52.1</v>
      </c>
      <c r="F323">
        <f t="shared" ref="F323:F386" ca="1" si="57">0.1*D323+20 + (RANDBETWEEN(-5,5)/100)*D323</f>
        <v>55.31</v>
      </c>
      <c r="G323" s="1">
        <f t="shared" ref="G323:G386" si="58">1/12*E323-5/3</f>
        <v>2.6749999999999998</v>
      </c>
      <c r="H323" s="6">
        <f t="shared" ref="H323:H386" ca="1" si="59">1/12*F323-5/3</f>
        <v>2.9424999999999999</v>
      </c>
      <c r="I323" s="5">
        <f t="shared" ref="I323:I386" ca="1" si="60">ABS(G323-H323)</f>
        <v>0.26750000000000007</v>
      </c>
      <c r="J323" s="8">
        <f t="shared" ref="J323:J386" ca="1" si="61" xml:space="preserve"> G323 * (1 + $B$1 * IF(RANDBETWEEN(0,1)=0,-1,1))</f>
        <v>2.8087499999999999</v>
      </c>
      <c r="K323" s="5">
        <f t="shared" ref="K323:K386" ca="1" si="62">ABS(G323-J323)</f>
        <v>0.13375000000000004</v>
      </c>
      <c r="L323">
        <f t="shared" ref="L323:L386" ca="1" si="63">(H323-$B$2)/($B$3-$B$2)*(2^$B$4)</f>
        <v>37601.279999999999</v>
      </c>
      <c r="M323">
        <f t="shared" ref="M323:M386" ca="1" si="64">ROUND(L323,0)</f>
        <v>37601</v>
      </c>
      <c r="N323" t="str">
        <f t="shared" ref="N323:N386" ca="1" si="65">_xlfn.BASE(M323,2,$B$4)</f>
        <v>1001001011100001</v>
      </c>
      <c r="O323">
        <f t="shared" ref="O323:O386" ca="1" si="66">VALUE(LEFT(N323,9))</f>
        <v>100100101</v>
      </c>
    </row>
    <row r="324" spans="4:15" x14ac:dyDescent="0.25">
      <c r="D324">
        <v>322</v>
      </c>
      <c r="E324">
        <f t="shared" si="56"/>
        <v>52.2</v>
      </c>
      <c r="F324">
        <f t="shared" ca="1" si="57"/>
        <v>45.760000000000005</v>
      </c>
      <c r="G324" s="1">
        <f t="shared" si="58"/>
        <v>2.6833333333333327</v>
      </c>
      <c r="H324" s="6">
        <f t="shared" ca="1" si="59"/>
        <v>2.1466666666666665</v>
      </c>
      <c r="I324" s="5">
        <f t="shared" ca="1" si="60"/>
        <v>0.53666666666666618</v>
      </c>
      <c r="J324" s="8">
        <f t="shared" ca="1" si="61"/>
        <v>2.5491666666666659</v>
      </c>
      <c r="K324" s="5">
        <f t="shared" ca="1" si="62"/>
        <v>0.13416666666666677</v>
      </c>
      <c r="L324">
        <f t="shared" ca="1" si="63"/>
        <v>28908.657777777775</v>
      </c>
      <c r="M324">
        <f t="shared" ca="1" si="64"/>
        <v>28909</v>
      </c>
      <c r="N324" t="str">
        <f t="shared" ca="1" si="65"/>
        <v>0111000011101101</v>
      </c>
      <c r="O324">
        <f t="shared" ca="1" si="66"/>
        <v>11100001</v>
      </c>
    </row>
    <row r="325" spans="4:15" x14ac:dyDescent="0.25">
      <c r="D325">
        <v>323</v>
      </c>
      <c r="E325">
        <f t="shared" si="56"/>
        <v>52.300000000000004</v>
      </c>
      <c r="F325">
        <f t="shared" ca="1" si="57"/>
        <v>49.070000000000007</v>
      </c>
      <c r="G325" s="1">
        <f t="shared" si="58"/>
        <v>2.6916666666666664</v>
      </c>
      <c r="H325" s="6">
        <f t="shared" ca="1" si="59"/>
        <v>2.4225000000000003</v>
      </c>
      <c r="I325" s="5">
        <f t="shared" ca="1" si="60"/>
        <v>0.26916666666666611</v>
      </c>
      <c r="J325" s="8">
        <f t="shared" ca="1" si="61"/>
        <v>2.5570833333333329</v>
      </c>
      <c r="K325" s="5">
        <f t="shared" ca="1" si="62"/>
        <v>0.1345833333333335</v>
      </c>
      <c r="L325">
        <f t="shared" ca="1" si="63"/>
        <v>31921.493333333336</v>
      </c>
      <c r="M325">
        <f t="shared" ca="1" si="64"/>
        <v>31921</v>
      </c>
      <c r="N325" t="str">
        <f t="shared" ca="1" si="65"/>
        <v>0111110010110001</v>
      </c>
      <c r="O325">
        <f t="shared" ca="1" si="66"/>
        <v>11111001</v>
      </c>
    </row>
    <row r="326" spans="4:15" x14ac:dyDescent="0.25">
      <c r="D326">
        <v>324</v>
      </c>
      <c r="E326">
        <f t="shared" si="56"/>
        <v>52.4</v>
      </c>
      <c r="F326">
        <f t="shared" ca="1" si="57"/>
        <v>42.68</v>
      </c>
      <c r="G326" s="1">
        <f t="shared" si="58"/>
        <v>2.6999999999999993</v>
      </c>
      <c r="H326" s="6">
        <f t="shared" ca="1" si="59"/>
        <v>1.89</v>
      </c>
      <c r="I326" s="5">
        <f t="shared" ca="1" si="60"/>
        <v>0.80999999999999939</v>
      </c>
      <c r="J326" s="8">
        <f t="shared" ca="1" si="61"/>
        <v>2.8349999999999995</v>
      </c>
      <c r="K326" s="5">
        <f t="shared" ca="1" si="62"/>
        <v>0.13500000000000023</v>
      </c>
      <c r="L326">
        <f t="shared" ca="1" si="63"/>
        <v>26105.173333333329</v>
      </c>
      <c r="M326">
        <f t="shared" ca="1" si="64"/>
        <v>26105</v>
      </c>
      <c r="N326" t="str">
        <f t="shared" ca="1" si="65"/>
        <v>0110010111111001</v>
      </c>
      <c r="O326">
        <f t="shared" ca="1" si="66"/>
        <v>11001011</v>
      </c>
    </row>
    <row r="327" spans="4:15" x14ac:dyDescent="0.25">
      <c r="D327">
        <v>325</v>
      </c>
      <c r="E327">
        <f t="shared" si="56"/>
        <v>52.5</v>
      </c>
      <c r="F327">
        <f t="shared" ca="1" si="57"/>
        <v>68.75</v>
      </c>
      <c r="G327" s="1">
        <f t="shared" si="58"/>
        <v>2.708333333333333</v>
      </c>
      <c r="H327" s="6">
        <f t="shared" ca="1" si="59"/>
        <v>4.0624999999999991</v>
      </c>
      <c r="I327" s="5">
        <f t="shared" ca="1" si="60"/>
        <v>1.3541666666666661</v>
      </c>
      <c r="J327" s="8">
        <f t="shared" ca="1" si="61"/>
        <v>2.84375</v>
      </c>
      <c r="K327" s="5">
        <f t="shared" ca="1" si="62"/>
        <v>0.13541666666666696</v>
      </c>
      <c r="L327">
        <f t="shared" ca="1" si="63"/>
        <v>49834.666666666657</v>
      </c>
      <c r="M327">
        <f t="shared" ca="1" si="64"/>
        <v>49835</v>
      </c>
      <c r="N327" t="str">
        <f t="shared" ca="1" si="65"/>
        <v>1100001010101011</v>
      </c>
      <c r="O327">
        <f t="shared" ca="1" si="66"/>
        <v>110000101</v>
      </c>
    </row>
    <row r="328" spans="4:15" x14ac:dyDescent="0.25">
      <c r="D328">
        <v>326</v>
      </c>
      <c r="E328">
        <f t="shared" si="56"/>
        <v>52.6</v>
      </c>
      <c r="F328">
        <f t="shared" ca="1" si="57"/>
        <v>52.6</v>
      </c>
      <c r="G328" s="1">
        <f t="shared" si="58"/>
        <v>2.7166666666666659</v>
      </c>
      <c r="H328" s="6">
        <f t="shared" ca="1" si="59"/>
        <v>2.7166666666666659</v>
      </c>
      <c r="I328" s="5">
        <f t="shared" ca="1" si="60"/>
        <v>0</v>
      </c>
      <c r="J328" s="8">
        <f t="shared" ca="1" si="61"/>
        <v>2.5808333333333326</v>
      </c>
      <c r="K328" s="5">
        <f t="shared" ca="1" si="62"/>
        <v>0.13583333333333325</v>
      </c>
      <c r="L328">
        <f t="shared" ca="1" si="63"/>
        <v>35134.577777777769</v>
      </c>
      <c r="M328">
        <f t="shared" ca="1" si="64"/>
        <v>35135</v>
      </c>
      <c r="N328" t="str">
        <f t="shared" ca="1" si="65"/>
        <v>1000100100111111</v>
      </c>
      <c r="O328">
        <f t="shared" ca="1" si="66"/>
        <v>100010010</v>
      </c>
    </row>
    <row r="329" spans="4:15" x14ac:dyDescent="0.25">
      <c r="D329">
        <v>327</v>
      </c>
      <c r="E329">
        <f t="shared" si="56"/>
        <v>52.7</v>
      </c>
      <c r="F329">
        <f t="shared" ca="1" si="57"/>
        <v>59.24</v>
      </c>
      <c r="G329" s="1">
        <f t="shared" si="58"/>
        <v>2.7249999999999996</v>
      </c>
      <c r="H329" s="6">
        <f t="shared" ca="1" si="59"/>
        <v>3.2699999999999996</v>
      </c>
      <c r="I329" s="5">
        <f t="shared" ca="1" si="60"/>
        <v>0.54499999999999993</v>
      </c>
      <c r="J329" s="8">
        <f t="shared" ca="1" si="61"/>
        <v>2.5887499999999997</v>
      </c>
      <c r="K329" s="5">
        <f t="shared" ca="1" si="62"/>
        <v>0.13624999999999998</v>
      </c>
      <c r="L329">
        <f t="shared" ca="1" si="63"/>
        <v>41178.453333333331</v>
      </c>
      <c r="M329">
        <f t="shared" ca="1" si="64"/>
        <v>41178</v>
      </c>
      <c r="N329" t="str">
        <f t="shared" ca="1" si="65"/>
        <v>1010000011011010</v>
      </c>
      <c r="O329">
        <f t="shared" ca="1" si="66"/>
        <v>101000001</v>
      </c>
    </row>
    <row r="330" spans="4:15" x14ac:dyDescent="0.25">
      <c r="D330">
        <v>328</v>
      </c>
      <c r="E330">
        <f t="shared" si="56"/>
        <v>52.800000000000004</v>
      </c>
      <c r="F330">
        <f t="shared" ca="1" si="57"/>
        <v>39.680000000000007</v>
      </c>
      <c r="G330" s="1">
        <f t="shared" si="58"/>
        <v>2.7333333333333334</v>
      </c>
      <c r="H330" s="6">
        <f t="shared" ca="1" si="59"/>
        <v>1.6400000000000003</v>
      </c>
      <c r="I330" s="5">
        <f t="shared" ca="1" si="60"/>
        <v>1.093333333333333</v>
      </c>
      <c r="J330" s="8">
        <f t="shared" ca="1" si="61"/>
        <v>2.87</v>
      </c>
      <c r="K330" s="5">
        <f t="shared" ca="1" si="62"/>
        <v>0.13666666666666671</v>
      </c>
      <c r="L330">
        <f t="shared" ca="1" si="63"/>
        <v>23374.506666666672</v>
      </c>
      <c r="M330">
        <f t="shared" ca="1" si="64"/>
        <v>23375</v>
      </c>
      <c r="N330" t="str">
        <f t="shared" ca="1" si="65"/>
        <v>0101101101001111</v>
      </c>
      <c r="O330">
        <f t="shared" ca="1" si="66"/>
        <v>10110110</v>
      </c>
    </row>
    <row r="331" spans="4:15" x14ac:dyDescent="0.25">
      <c r="D331">
        <v>329</v>
      </c>
      <c r="E331">
        <f t="shared" si="56"/>
        <v>52.9</v>
      </c>
      <c r="F331">
        <f t="shared" ca="1" si="57"/>
        <v>62.769999999999996</v>
      </c>
      <c r="G331" s="1">
        <f t="shared" si="58"/>
        <v>2.7416666666666663</v>
      </c>
      <c r="H331" s="6">
        <f t="shared" ca="1" si="59"/>
        <v>3.564166666666666</v>
      </c>
      <c r="I331" s="5">
        <f t="shared" ca="1" si="60"/>
        <v>0.82249999999999979</v>
      </c>
      <c r="J331" s="8">
        <f t="shared" ca="1" si="61"/>
        <v>2.8787499999999997</v>
      </c>
      <c r="K331" s="5">
        <f t="shared" ca="1" si="62"/>
        <v>0.13708333333333345</v>
      </c>
      <c r="L331">
        <f t="shared" ca="1" si="63"/>
        <v>44391.537777777768</v>
      </c>
      <c r="M331">
        <f t="shared" ca="1" si="64"/>
        <v>44392</v>
      </c>
      <c r="N331" t="str">
        <f t="shared" ca="1" si="65"/>
        <v>1010110101101000</v>
      </c>
      <c r="O331">
        <f t="shared" ca="1" si="66"/>
        <v>101011010</v>
      </c>
    </row>
    <row r="332" spans="4:15" x14ac:dyDescent="0.25">
      <c r="D332">
        <v>330</v>
      </c>
      <c r="E332">
        <f t="shared" si="56"/>
        <v>53</v>
      </c>
      <c r="F332">
        <f t="shared" ca="1" si="57"/>
        <v>43.1</v>
      </c>
      <c r="G332" s="1">
        <f t="shared" si="58"/>
        <v>2.7499999999999991</v>
      </c>
      <c r="H332" s="6">
        <f t="shared" ca="1" si="59"/>
        <v>1.925</v>
      </c>
      <c r="I332" s="5">
        <f t="shared" ca="1" si="60"/>
        <v>0.82499999999999907</v>
      </c>
      <c r="J332" s="8">
        <f t="shared" ca="1" si="61"/>
        <v>2.6124999999999989</v>
      </c>
      <c r="K332" s="5">
        <f t="shared" ca="1" si="62"/>
        <v>0.13750000000000018</v>
      </c>
      <c r="L332">
        <f t="shared" ca="1" si="63"/>
        <v>26487.466666666664</v>
      </c>
      <c r="M332">
        <f t="shared" ca="1" si="64"/>
        <v>26487</v>
      </c>
      <c r="N332" t="str">
        <f t="shared" ca="1" si="65"/>
        <v>0110011101110111</v>
      </c>
      <c r="O332">
        <f t="shared" ca="1" si="66"/>
        <v>11001110</v>
      </c>
    </row>
    <row r="333" spans="4:15" x14ac:dyDescent="0.25">
      <c r="D333">
        <v>331</v>
      </c>
      <c r="E333">
        <f t="shared" si="56"/>
        <v>53.1</v>
      </c>
      <c r="F333">
        <f t="shared" ca="1" si="57"/>
        <v>46.480000000000004</v>
      </c>
      <c r="G333" s="1">
        <f t="shared" si="58"/>
        <v>2.7583333333333329</v>
      </c>
      <c r="H333" s="6">
        <f t="shared" ca="1" si="59"/>
        <v>2.206666666666667</v>
      </c>
      <c r="I333" s="5">
        <f t="shared" ca="1" si="60"/>
        <v>0.55166666666666586</v>
      </c>
      <c r="J333" s="8">
        <f t="shared" ca="1" si="61"/>
        <v>2.620416666666666</v>
      </c>
      <c r="K333" s="5">
        <f t="shared" ca="1" si="62"/>
        <v>0.13791666666666691</v>
      </c>
      <c r="L333">
        <f t="shared" ca="1" si="63"/>
        <v>29564.017777777783</v>
      </c>
      <c r="M333">
        <f t="shared" ca="1" si="64"/>
        <v>29564</v>
      </c>
      <c r="N333" t="str">
        <f t="shared" ca="1" si="65"/>
        <v>0111001101111100</v>
      </c>
      <c r="O333">
        <f t="shared" ca="1" si="66"/>
        <v>11100110</v>
      </c>
    </row>
    <row r="334" spans="4:15" x14ac:dyDescent="0.25">
      <c r="D334">
        <v>332</v>
      </c>
      <c r="E334">
        <f t="shared" si="56"/>
        <v>53.2</v>
      </c>
      <c r="F334">
        <f t="shared" ca="1" si="57"/>
        <v>66.48</v>
      </c>
      <c r="G334" s="1">
        <f t="shared" si="58"/>
        <v>2.7666666666666666</v>
      </c>
      <c r="H334" s="6">
        <f t="shared" ca="1" si="59"/>
        <v>3.8733333333333331</v>
      </c>
      <c r="I334" s="5">
        <f t="shared" ca="1" si="60"/>
        <v>1.1066666666666665</v>
      </c>
      <c r="J334" s="8">
        <f t="shared" ca="1" si="61"/>
        <v>2.628333333333333</v>
      </c>
      <c r="K334" s="5">
        <f t="shared" ca="1" si="62"/>
        <v>0.13833333333333364</v>
      </c>
      <c r="L334">
        <f t="shared" ca="1" si="63"/>
        <v>47768.462222222217</v>
      </c>
      <c r="M334">
        <f t="shared" ca="1" si="64"/>
        <v>47768</v>
      </c>
      <c r="N334" t="str">
        <f t="shared" ca="1" si="65"/>
        <v>1011101010011000</v>
      </c>
      <c r="O334">
        <f t="shared" ca="1" si="66"/>
        <v>101110101</v>
      </c>
    </row>
    <row r="335" spans="4:15" x14ac:dyDescent="0.25">
      <c r="D335">
        <v>333</v>
      </c>
      <c r="E335">
        <f t="shared" si="56"/>
        <v>53.300000000000004</v>
      </c>
      <c r="F335">
        <f t="shared" ca="1" si="57"/>
        <v>43.31</v>
      </c>
      <c r="G335" s="1">
        <f t="shared" si="58"/>
        <v>2.7749999999999995</v>
      </c>
      <c r="H335" s="6">
        <f t="shared" ca="1" si="59"/>
        <v>1.9425000000000001</v>
      </c>
      <c r="I335" s="5">
        <f t="shared" ca="1" si="60"/>
        <v>0.83249999999999935</v>
      </c>
      <c r="J335" s="8">
        <f t="shared" ca="1" si="61"/>
        <v>2.6362499999999995</v>
      </c>
      <c r="K335" s="5">
        <f t="shared" ca="1" si="62"/>
        <v>0.13874999999999993</v>
      </c>
      <c r="L335">
        <f t="shared" ca="1" si="63"/>
        <v>26678.613333333331</v>
      </c>
      <c r="M335">
        <f t="shared" ca="1" si="64"/>
        <v>26679</v>
      </c>
      <c r="N335" t="str">
        <f t="shared" ca="1" si="65"/>
        <v>0110100000110111</v>
      </c>
      <c r="O335">
        <f t="shared" ca="1" si="66"/>
        <v>11010000</v>
      </c>
    </row>
    <row r="336" spans="4:15" x14ac:dyDescent="0.25">
      <c r="D336">
        <v>334</v>
      </c>
      <c r="E336">
        <f t="shared" si="56"/>
        <v>53.4</v>
      </c>
      <c r="F336">
        <f t="shared" ca="1" si="57"/>
        <v>70.099999999999994</v>
      </c>
      <c r="G336" s="1">
        <f t="shared" si="58"/>
        <v>2.7833333333333323</v>
      </c>
      <c r="H336" s="6">
        <f t="shared" ca="1" si="59"/>
        <v>4.1749999999999989</v>
      </c>
      <c r="I336" s="5">
        <f t="shared" ca="1" si="60"/>
        <v>1.3916666666666666</v>
      </c>
      <c r="J336" s="8">
        <f t="shared" ca="1" si="61"/>
        <v>2.922499999999999</v>
      </c>
      <c r="K336" s="5">
        <f t="shared" ca="1" si="62"/>
        <v>0.13916666666666666</v>
      </c>
      <c r="L336">
        <f t="shared" ca="1" si="63"/>
        <v>51063.466666666653</v>
      </c>
      <c r="M336">
        <f t="shared" ca="1" si="64"/>
        <v>51063</v>
      </c>
      <c r="N336" t="str">
        <f t="shared" ca="1" si="65"/>
        <v>1100011101110111</v>
      </c>
      <c r="O336">
        <f t="shared" ca="1" si="66"/>
        <v>110001110</v>
      </c>
    </row>
    <row r="337" spans="4:15" x14ac:dyDescent="0.25">
      <c r="D337">
        <v>335</v>
      </c>
      <c r="E337">
        <f t="shared" si="56"/>
        <v>53.5</v>
      </c>
      <c r="F337">
        <f t="shared" ca="1" si="57"/>
        <v>36.75</v>
      </c>
      <c r="G337" s="1">
        <f t="shared" si="58"/>
        <v>2.7916666666666661</v>
      </c>
      <c r="H337" s="6">
        <f t="shared" ca="1" si="59"/>
        <v>1.3958333333333333</v>
      </c>
      <c r="I337" s="5">
        <f t="shared" ca="1" si="60"/>
        <v>1.3958333333333328</v>
      </c>
      <c r="J337" s="8">
        <f t="shared" ca="1" si="61"/>
        <v>2.9312499999999995</v>
      </c>
      <c r="K337" s="5">
        <f t="shared" ca="1" si="62"/>
        <v>0.13958333333333339</v>
      </c>
      <c r="L337">
        <f t="shared" ca="1" si="63"/>
        <v>20707.555555555555</v>
      </c>
      <c r="M337">
        <f t="shared" ca="1" si="64"/>
        <v>20708</v>
      </c>
      <c r="N337" t="str">
        <f t="shared" ca="1" si="65"/>
        <v>0101000011100100</v>
      </c>
      <c r="O337">
        <f t="shared" ca="1" si="66"/>
        <v>10100001</v>
      </c>
    </row>
    <row r="338" spans="4:15" x14ac:dyDescent="0.25">
      <c r="D338">
        <v>336</v>
      </c>
      <c r="E338">
        <f t="shared" si="56"/>
        <v>53.6</v>
      </c>
      <c r="F338">
        <f t="shared" ca="1" si="57"/>
        <v>70.400000000000006</v>
      </c>
      <c r="G338" s="1">
        <f t="shared" si="58"/>
        <v>2.8</v>
      </c>
      <c r="H338" s="6">
        <f t="shared" ca="1" si="59"/>
        <v>4.2</v>
      </c>
      <c r="I338" s="5">
        <f t="shared" ca="1" si="60"/>
        <v>1.4000000000000004</v>
      </c>
      <c r="J338" s="8">
        <f t="shared" ca="1" si="61"/>
        <v>2.6599999999999997</v>
      </c>
      <c r="K338" s="5">
        <f t="shared" ca="1" si="62"/>
        <v>0.14000000000000012</v>
      </c>
      <c r="L338">
        <f t="shared" ca="1" si="63"/>
        <v>51336.533333333333</v>
      </c>
      <c r="M338">
        <f t="shared" ca="1" si="64"/>
        <v>51337</v>
      </c>
      <c r="N338" t="str">
        <f t="shared" ca="1" si="65"/>
        <v>1100100010001001</v>
      </c>
      <c r="O338">
        <f t="shared" ca="1" si="66"/>
        <v>110010001</v>
      </c>
    </row>
    <row r="339" spans="4:15" x14ac:dyDescent="0.25">
      <c r="D339">
        <v>337</v>
      </c>
      <c r="E339">
        <f t="shared" si="56"/>
        <v>53.7</v>
      </c>
      <c r="F339">
        <f t="shared" ca="1" si="57"/>
        <v>50.330000000000005</v>
      </c>
      <c r="G339" s="1">
        <f t="shared" si="58"/>
        <v>2.8083333333333327</v>
      </c>
      <c r="H339" s="6">
        <f t="shared" ca="1" si="59"/>
        <v>2.5274999999999999</v>
      </c>
      <c r="I339" s="5">
        <f t="shared" ca="1" si="60"/>
        <v>0.28083333333333282</v>
      </c>
      <c r="J339" s="8">
        <f t="shared" ca="1" si="61"/>
        <v>2.9487499999999995</v>
      </c>
      <c r="K339" s="5">
        <f t="shared" ca="1" si="62"/>
        <v>0.14041666666666686</v>
      </c>
      <c r="L339">
        <f t="shared" ca="1" si="63"/>
        <v>33068.373333333329</v>
      </c>
      <c r="M339">
        <f t="shared" ca="1" si="64"/>
        <v>33068</v>
      </c>
      <c r="N339" t="str">
        <f t="shared" ca="1" si="65"/>
        <v>1000000100101100</v>
      </c>
      <c r="O339">
        <f t="shared" ca="1" si="66"/>
        <v>100000010</v>
      </c>
    </row>
    <row r="340" spans="4:15" x14ac:dyDescent="0.25">
      <c r="D340">
        <v>338</v>
      </c>
      <c r="E340">
        <f t="shared" si="56"/>
        <v>53.800000000000004</v>
      </c>
      <c r="F340">
        <f t="shared" ca="1" si="57"/>
        <v>63.940000000000005</v>
      </c>
      <c r="G340" s="1">
        <f t="shared" si="58"/>
        <v>2.8166666666666664</v>
      </c>
      <c r="H340" s="6">
        <f t="shared" ca="1" si="59"/>
        <v>3.6616666666666662</v>
      </c>
      <c r="I340" s="5">
        <f t="shared" ca="1" si="60"/>
        <v>0.84499999999999975</v>
      </c>
      <c r="J340" s="8">
        <f t="shared" ca="1" si="61"/>
        <v>2.6758333333333328</v>
      </c>
      <c r="K340" s="5">
        <f t="shared" ca="1" si="62"/>
        <v>0.14083333333333359</v>
      </c>
      <c r="L340">
        <f t="shared" ca="1" si="63"/>
        <v>45456.497777777775</v>
      </c>
      <c r="M340">
        <f t="shared" ca="1" si="64"/>
        <v>45456</v>
      </c>
      <c r="N340" t="str">
        <f t="shared" ca="1" si="65"/>
        <v>1011000110010000</v>
      </c>
      <c r="O340">
        <f t="shared" ca="1" si="66"/>
        <v>101100011</v>
      </c>
    </row>
    <row r="341" spans="4:15" x14ac:dyDescent="0.25">
      <c r="D341">
        <v>339</v>
      </c>
      <c r="E341">
        <f t="shared" si="56"/>
        <v>53.9</v>
      </c>
      <c r="F341">
        <f t="shared" ca="1" si="57"/>
        <v>53.9</v>
      </c>
      <c r="G341" s="1">
        <f t="shared" si="58"/>
        <v>2.8249999999999993</v>
      </c>
      <c r="H341" s="6">
        <f t="shared" ca="1" si="59"/>
        <v>2.8249999999999993</v>
      </c>
      <c r="I341" s="5">
        <f t="shared" ca="1" si="60"/>
        <v>0</v>
      </c>
      <c r="J341" s="8">
        <f t="shared" ca="1" si="61"/>
        <v>2.6837499999999994</v>
      </c>
      <c r="K341" s="5">
        <f t="shared" ca="1" si="62"/>
        <v>0.14124999999999988</v>
      </c>
      <c r="L341">
        <f t="shared" ca="1" si="63"/>
        <v>36317.866666666661</v>
      </c>
      <c r="M341">
        <f t="shared" ca="1" si="64"/>
        <v>36318</v>
      </c>
      <c r="N341" t="str">
        <f t="shared" ca="1" si="65"/>
        <v>1000110111011110</v>
      </c>
      <c r="O341">
        <f t="shared" ca="1" si="66"/>
        <v>100011011</v>
      </c>
    </row>
    <row r="342" spans="4:15" x14ac:dyDescent="0.25">
      <c r="D342">
        <v>340</v>
      </c>
      <c r="E342">
        <f t="shared" si="56"/>
        <v>54</v>
      </c>
      <c r="F342">
        <f t="shared" ca="1" si="57"/>
        <v>67.599999999999994</v>
      </c>
      <c r="G342" s="1">
        <f t="shared" si="58"/>
        <v>2.833333333333333</v>
      </c>
      <c r="H342" s="6">
        <f t="shared" ca="1" si="59"/>
        <v>3.9666666666666659</v>
      </c>
      <c r="I342" s="5">
        <f t="shared" ca="1" si="60"/>
        <v>1.1333333333333329</v>
      </c>
      <c r="J342" s="8">
        <f t="shared" ca="1" si="61"/>
        <v>2.6916666666666664</v>
      </c>
      <c r="K342" s="5">
        <f t="shared" ca="1" si="62"/>
        <v>0.14166666666666661</v>
      </c>
      <c r="L342">
        <f t="shared" ca="1" si="63"/>
        <v>48787.911111111105</v>
      </c>
      <c r="M342">
        <f t="shared" ca="1" si="64"/>
        <v>48788</v>
      </c>
      <c r="N342" t="str">
        <f t="shared" ca="1" si="65"/>
        <v>1011111010010100</v>
      </c>
      <c r="O342">
        <f t="shared" ca="1" si="66"/>
        <v>101111101</v>
      </c>
    </row>
    <row r="343" spans="4:15" x14ac:dyDescent="0.25">
      <c r="D343">
        <v>341</v>
      </c>
      <c r="E343">
        <f t="shared" si="56"/>
        <v>54.1</v>
      </c>
      <c r="F343">
        <f t="shared" ca="1" si="57"/>
        <v>43.870000000000005</v>
      </c>
      <c r="G343" s="1">
        <f t="shared" si="58"/>
        <v>2.8416666666666659</v>
      </c>
      <c r="H343" s="6">
        <f t="shared" ca="1" si="59"/>
        <v>1.989166666666667</v>
      </c>
      <c r="I343" s="5">
        <f t="shared" ca="1" si="60"/>
        <v>0.85249999999999893</v>
      </c>
      <c r="J343" s="8">
        <f t="shared" ca="1" si="61"/>
        <v>2.6995833333333326</v>
      </c>
      <c r="K343" s="5">
        <f t="shared" ca="1" si="62"/>
        <v>0.14208333333333334</v>
      </c>
      <c r="L343">
        <f t="shared" ca="1" si="63"/>
        <v>27188.337777777779</v>
      </c>
      <c r="M343">
        <f t="shared" ca="1" si="64"/>
        <v>27188</v>
      </c>
      <c r="N343" t="str">
        <f t="shared" ca="1" si="65"/>
        <v>0110101000110100</v>
      </c>
      <c r="O343">
        <f t="shared" ca="1" si="66"/>
        <v>11010100</v>
      </c>
    </row>
    <row r="344" spans="4:15" x14ac:dyDescent="0.25">
      <c r="D344">
        <v>342</v>
      </c>
      <c r="E344">
        <f t="shared" si="56"/>
        <v>54.2</v>
      </c>
      <c r="F344">
        <f t="shared" ca="1" si="57"/>
        <v>64.460000000000008</v>
      </c>
      <c r="G344" s="1">
        <f t="shared" si="58"/>
        <v>2.8499999999999996</v>
      </c>
      <c r="H344" s="6">
        <f t="shared" ca="1" si="59"/>
        <v>3.7050000000000001</v>
      </c>
      <c r="I344" s="5">
        <f t="shared" ca="1" si="60"/>
        <v>0.85500000000000043</v>
      </c>
      <c r="J344" s="8">
        <f t="shared" ca="1" si="61"/>
        <v>2.9924999999999997</v>
      </c>
      <c r="K344" s="5">
        <f t="shared" ca="1" si="62"/>
        <v>0.14250000000000007</v>
      </c>
      <c r="L344">
        <f t="shared" ca="1" si="63"/>
        <v>45929.813333333332</v>
      </c>
      <c r="M344">
        <f t="shared" ca="1" si="64"/>
        <v>45930</v>
      </c>
      <c r="N344" t="str">
        <f t="shared" ca="1" si="65"/>
        <v>1011001101101010</v>
      </c>
      <c r="O344">
        <f t="shared" ca="1" si="66"/>
        <v>101100110</v>
      </c>
    </row>
    <row r="345" spans="4:15" x14ac:dyDescent="0.25">
      <c r="D345">
        <v>343</v>
      </c>
      <c r="E345">
        <f t="shared" si="56"/>
        <v>54.300000000000004</v>
      </c>
      <c r="F345">
        <f t="shared" ca="1" si="57"/>
        <v>37.150000000000006</v>
      </c>
      <c r="G345" s="1">
        <f t="shared" si="58"/>
        <v>2.8583333333333334</v>
      </c>
      <c r="H345" s="6">
        <f t="shared" ca="1" si="59"/>
        <v>1.4291666666666669</v>
      </c>
      <c r="I345" s="5">
        <f t="shared" ca="1" si="60"/>
        <v>1.4291666666666665</v>
      </c>
      <c r="J345" s="8">
        <f t="shared" ca="1" si="61"/>
        <v>3.0012500000000002</v>
      </c>
      <c r="K345" s="5">
        <f t="shared" ca="1" si="62"/>
        <v>0.1429166666666668</v>
      </c>
      <c r="L345">
        <f t="shared" ca="1" si="63"/>
        <v>21071.644444444446</v>
      </c>
      <c r="M345">
        <f t="shared" ca="1" si="64"/>
        <v>21072</v>
      </c>
      <c r="N345" t="str">
        <f t="shared" ca="1" si="65"/>
        <v>0101001001010000</v>
      </c>
      <c r="O345">
        <f t="shared" ca="1" si="66"/>
        <v>10100100</v>
      </c>
    </row>
    <row r="346" spans="4:15" x14ac:dyDescent="0.25">
      <c r="D346">
        <v>344</v>
      </c>
      <c r="E346">
        <f t="shared" si="56"/>
        <v>54.4</v>
      </c>
      <c r="F346">
        <f t="shared" ca="1" si="57"/>
        <v>54.4</v>
      </c>
      <c r="G346" s="1">
        <f t="shared" si="58"/>
        <v>2.8666666666666663</v>
      </c>
      <c r="H346" s="6">
        <f t="shared" ca="1" si="59"/>
        <v>2.8666666666666663</v>
      </c>
      <c r="I346" s="5">
        <f t="shared" ca="1" si="60"/>
        <v>0</v>
      </c>
      <c r="J346" s="8">
        <f t="shared" ca="1" si="61"/>
        <v>3.01</v>
      </c>
      <c r="K346" s="5">
        <f t="shared" ca="1" si="62"/>
        <v>0.14333333333333353</v>
      </c>
      <c r="L346">
        <f t="shared" ca="1" si="63"/>
        <v>36772.977777777771</v>
      </c>
      <c r="M346">
        <f t="shared" ca="1" si="64"/>
        <v>36773</v>
      </c>
      <c r="N346" t="str">
        <f t="shared" ca="1" si="65"/>
        <v>1000111110100101</v>
      </c>
      <c r="O346">
        <f t="shared" ca="1" si="66"/>
        <v>100011111</v>
      </c>
    </row>
    <row r="347" spans="4:15" x14ac:dyDescent="0.25">
      <c r="D347">
        <v>345</v>
      </c>
      <c r="E347">
        <f t="shared" si="56"/>
        <v>54.5</v>
      </c>
      <c r="F347">
        <f t="shared" ca="1" si="57"/>
        <v>71.75</v>
      </c>
      <c r="G347" s="1">
        <f t="shared" si="58"/>
        <v>2.8749999999999991</v>
      </c>
      <c r="H347" s="6">
        <f t="shared" ca="1" si="59"/>
        <v>4.3124999999999991</v>
      </c>
      <c r="I347" s="5">
        <f t="shared" ca="1" si="60"/>
        <v>1.4375</v>
      </c>
      <c r="J347" s="8">
        <f t="shared" ca="1" si="61"/>
        <v>2.7312499999999988</v>
      </c>
      <c r="K347" s="5">
        <f t="shared" ca="1" si="62"/>
        <v>0.14375000000000027</v>
      </c>
      <c r="L347">
        <f t="shared" ca="1" si="63"/>
        <v>52565.333333333321</v>
      </c>
      <c r="M347">
        <f t="shared" ca="1" si="64"/>
        <v>52565</v>
      </c>
      <c r="N347" t="str">
        <f t="shared" ca="1" si="65"/>
        <v>1100110101010101</v>
      </c>
      <c r="O347">
        <f t="shared" ca="1" si="66"/>
        <v>110011010</v>
      </c>
    </row>
    <row r="348" spans="4:15" x14ac:dyDescent="0.25">
      <c r="D348">
        <v>346</v>
      </c>
      <c r="E348">
        <f t="shared" si="56"/>
        <v>54.6</v>
      </c>
      <c r="F348">
        <f t="shared" ca="1" si="57"/>
        <v>68.44</v>
      </c>
      <c r="G348" s="1">
        <f t="shared" si="58"/>
        <v>2.8833333333333329</v>
      </c>
      <c r="H348" s="6">
        <f t="shared" ca="1" si="59"/>
        <v>4.0366666666666662</v>
      </c>
      <c r="I348" s="5">
        <f t="shared" ca="1" si="60"/>
        <v>1.1533333333333333</v>
      </c>
      <c r="J348" s="8">
        <f t="shared" ca="1" si="61"/>
        <v>2.7391666666666663</v>
      </c>
      <c r="K348" s="5">
        <f t="shared" ca="1" si="62"/>
        <v>0.14416666666666655</v>
      </c>
      <c r="L348">
        <f t="shared" ca="1" si="63"/>
        <v>49552.497777777775</v>
      </c>
      <c r="M348">
        <f t="shared" ca="1" si="64"/>
        <v>49552</v>
      </c>
      <c r="N348" t="str">
        <f t="shared" ca="1" si="65"/>
        <v>1100000110010000</v>
      </c>
      <c r="O348">
        <f t="shared" ca="1" si="66"/>
        <v>110000011</v>
      </c>
    </row>
    <row r="349" spans="4:15" x14ac:dyDescent="0.25">
      <c r="D349">
        <v>347</v>
      </c>
      <c r="E349">
        <f t="shared" si="56"/>
        <v>54.7</v>
      </c>
      <c r="F349">
        <f t="shared" ca="1" si="57"/>
        <v>68.58</v>
      </c>
      <c r="G349" s="1">
        <f t="shared" si="58"/>
        <v>2.8916666666666666</v>
      </c>
      <c r="H349" s="6">
        <f t="shared" ca="1" si="59"/>
        <v>4.0483333333333329</v>
      </c>
      <c r="I349" s="5">
        <f t="shared" ca="1" si="60"/>
        <v>1.1566666666666663</v>
      </c>
      <c r="J349" s="8">
        <f t="shared" ca="1" si="61"/>
        <v>2.7470833333333333</v>
      </c>
      <c r="K349" s="5">
        <f t="shared" ca="1" si="62"/>
        <v>0.14458333333333329</v>
      </c>
      <c r="L349">
        <f t="shared" ca="1" si="63"/>
        <v>49679.928888888884</v>
      </c>
      <c r="M349">
        <f t="shared" ca="1" si="64"/>
        <v>49680</v>
      </c>
      <c r="N349" t="str">
        <f t="shared" ca="1" si="65"/>
        <v>1100001000010000</v>
      </c>
      <c r="O349">
        <f t="shared" ca="1" si="66"/>
        <v>110000100</v>
      </c>
    </row>
    <row r="350" spans="4:15" x14ac:dyDescent="0.25">
      <c r="D350">
        <v>348</v>
      </c>
      <c r="E350">
        <f t="shared" si="56"/>
        <v>54.800000000000004</v>
      </c>
      <c r="F350">
        <f t="shared" ca="1" si="57"/>
        <v>72.2</v>
      </c>
      <c r="G350" s="1">
        <f t="shared" si="58"/>
        <v>2.8999999999999995</v>
      </c>
      <c r="H350" s="6">
        <f t="shared" ca="1" si="59"/>
        <v>4.3499999999999996</v>
      </c>
      <c r="I350" s="5">
        <f t="shared" ca="1" si="60"/>
        <v>1.4500000000000002</v>
      </c>
      <c r="J350" s="8">
        <f t="shared" ca="1" si="61"/>
        <v>3.0449999999999995</v>
      </c>
      <c r="K350" s="5">
        <f t="shared" ca="1" si="62"/>
        <v>0.14500000000000002</v>
      </c>
      <c r="L350">
        <f t="shared" ca="1" si="63"/>
        <v>52974.933333333327</v>
      </c>
      <c r="M350">
        <f t="shared" ca="1" si="64"/>
        <v>52975</v>
      </c>
      <c r="N350" t="str">
        <f t="shared" ca="1" si="65"/>
        <v>1100111011101111</v>
      </c>
      <c r="O350">
        <f t="shared" ca="1" si="66"/>
        <v>110011101</v>
      </c>
    </row>
    <row r="351" spans="4:15" x14ac:dyDescent="0.25">
      <c r="D351">
        <v>349</v>
      </c>
      <c r="E351">
        <f t="shared" si="56"/>
        <v>54.9</v>
      </c>
      <c r="F351">
        <f t="shared" ca="1" si="57"/>
        <v>51.41</v>
      </c>
      <c r="G351" s="1">
        <f t="shared" si="58"/>
        <v>2.9083333333333323</v>
      </c>
      <c r="H351" s="6">
        <f t="shared" ca="1" si="59"/>
        <v>2.6174999999999988</v>
      </c>
      <c r="I351" s="5">
        <f t="shared" ca="1" si="60"/>
        <v>0.2908333333333335</v>
      </c>
      <c r="J351" s="8">
        <f t="shared" ca="1" si="61"/>
        <v>3.0537499999999991</v>
      </c>
      <c r="K351" s="5">
        <f t="shared" ca="1" si="62"/>
        <v>0.14541666666666675</v>
      </c>
      <c r="L351">
        <f t="shared" ca="1" si="63"/>
        <v>34051.413333333323</v>
      </c>
      <c r="M351">
        <f t="shared" ca="1" si="64"/>
        <v>34051</v>
      </c>
      <c r="N351" t="str">
        <f t="shared" ca="1" si="65"/>
        <v>1000010100000011</v>
      </c>
      <c r="O351">
        <f t="shared" ca="1" si="66"/>
        <v>100001010</v>
      </c>
    </row>
    <row r="352" spans="4:15" x14ac:dyDescent="0.25">
      <c r="D352">
        <v>350</v>
      </c>
      <c r="E352">
        <f t="shared" si="56"/>
        <v>55</v>
      </c>
      <c r="F352">
        <f t="shared" ca="1" si="57"/>
        <v>72.5</v>
      </c>
      <c r="G352" s="1">
        <f t="shared" si="58"/>
        <v>2.9166666666666661</v>
      </c>
      <c r="H352" s="6">
        <f t="shared" ca="1" si="59"/>
        <v>4.3749999999999991</v>
      </c>
      <c r="I352" s="5">
        <f t="shared" ca="1" si="60"/>
        <v>1.458333333333333</v>
      </c>
      <c r="J352" s="8">
        <f t="shared" ca="1" si="61"/>
        <v>3.0624999999999996</v>
      </c>
      <c r="K352" s="5">
        <f t="shared" ca="1" si="62"/>
        <v>0.14583333333333348</v>
      </c>
      <c r="L352">
        <f t="shared" ca="1" si="63"/>
        <v>53247.999999999993</v>
      </c>
      <c r="M352">
        <f t="shared" ca="1" si="64"/>
        <v>53248</v>
      </c>
      <c r="N352" t="str">
        <f t="shared" ca="1" si="65"/>
        <v>1101000000000000</v>
      </c>
      <c r="O352">
        <f t="shared" ca="1" si="66"/>
        <v>110100000</v>
      </c>
    </row>
    <row r="353" spans="4:15" x14ac:dyDescent="0.25">
      <c r="D353">
        <v>351</v>
      </c>
      <c r="E353">
        <f t="shared" si="56"/>
        <v>55.1</v>
      </c>
      <c r="F353">
        <f t="shared" ca="1" si="57"/>
        <v>44.57</v>
      </c>
      <c r="G353" s="1">
        <f t="shared" si="58"/>
        <v>2.9249999999999998</v>
      </c>
      <c r="H353" s="6">
        <f t="shared" ca="1" si="59"/>
        <v>2.0474999999999994</v>
      </c>
      <c r="I353" s="5">
        <f t="shared" ca="1" si="60"/>
        <v>0.87750000000000039</v>
      </c>
      <c r="J353" s="8">
        <f t="shared" ca="1" si="61"/>
        <v>2.7787499999999996</v>
      </c>
      <c r="K353" s="5">
        <f t="shared" ca="1" si="62"/>
        <v>0.14625000000000021</v>
      </c>
      <c r="L353">
        <f t="shared" ca="1" si="63"/>
        <v>27825.493333333328</v>
      </c>
      <c r="M353">
        <f t="shared" ca="1" si="64"/>
        <v>27825</v>
      </c>
      <c r="N353" t="str">
        <f t="shared" ca="1" si="65"/>
        <v>0110110010110001</v>
      </c>
      <c r="O353">
        <f t="shared" ca="1" si="66"/>
        <v>11011001</v>
      </c>
    </row>
    <row r="354" spans="4:15" x14ac:dyDescent="0.25">
      <c r="D354">
        <v>352</v>
      </c>
      <c r="E354">
        <f t="shared" si="56"/>
        <v>55.2</v>
      </c>
      <c r="F354">
        <f t="shared" ca="1" si="57"/>
        <v>41.120000000000005</v>
      </c>
      <c r="G354" s="1">
        <f t="shared" si="58"/>
        <v>2.9333333333333327</v>
      </c>
      <c r="H354" s="6">
        <f t="shared" ca="1" si="59"/>
        <v>1.76</v>
      </c>
      <c r="I354" s="5">
        <f t="shared" ca="1" si="60"/>
        <v>1.1733333333333327</v>
      </c>
      <c r="J354" s="8">
        <f t="shared" ca="1" si="61"/>
        <v>2.7866666666666657</v>
      </c>
      <c r="K354" s="5">
        <f t="shared" ca="1" si="62"/>
        <v>0.14666666666666694</v>
      </c>
      <c r="L354">
        <f t="shared" ca="1" si="63"/>
        <v>24685.226666666666</v>
      </c>
      <c r="M354">
        <f t="shared" ca="1" si="64"/>
        <v>24685</v>
      </c>
      <c r="N354" t="str">
        <f t="shared" ca="1" si="65"/>
        <v>0110000001101101</v>
      </c>
      <c r="O354">
        <f t="shared" ca="1" si="66"/>
        <v>11000000</v>
      </c>
    </row>
    <row r="355" spans="4:15" x14ac:dyDescent="0.25">
      <c r="D355">
        <v>353</v>
      </c>
      <c r="E355">
        <f t="shared" si="56"/>
        <v>55.300000000000004</v>
      </c>
      <c r="F355">
        <f t="shared" ca="1" si="57"/>
        <v>51.77</v>
      </c>
      <c r="G355" s="1">
        <f t="shared" si="58"/>
        <v>2.9416666666666664</v>
      </c>
      <c r="H355" s="6">
        <f t="shared" ca="1" si="59"/>
        <v>2.6475</v>
      </c>
      <c r="I355" s="5">
        <f t="shared" ca="1" si="60"/>
        <v>0.29416666666666647</v>
      </c>
      <c r="J355" s="8">
        <f t="shared" ca="1" si="61"/>
        <v>3.0887499999999997</v>
      </c>
      <c r="K355" s="5">
        <f t="shared" ca="1" si="62"/>
        <v>0.14708333333333323</v>
      </c>
      <c r="L355">
        <f t="shared" ca="1" si="63"/>
        <v>34379.093333333331</v>
      </c>
      <c r="M355">
        <f t="shared" ca="1" si="64"/>
        <v>34379</v>
      </c>
      <c r="N355" t="str">
        <f t="shared" ca="1" si="65"/>
        <v>1000011001001011</v>
      </c>
      <c r="O355">
        <f t="shared" ca="1" si="66"/>
        <v>100001100</v>
      </c>
    </row>
    <row r="356" spans="4:15" x14ac:dyDescent="0.25">
      <c r="D356">
        <v>354</v>
      </c>
      <c r="E356">
        <f t="shared" si="56"/>
        <v>55.4</v>
      </c>
      <c r="F356">
        <f t="shared" ca="1" si="57"/>
        <v>48.32</v>
      </c>
      <c r="G356" s="1">
        <f t="shared" si="58"/>
        <v>2.9499999999999993</v>
      </c>
      <c r="H356" s="6">
        <f t="shared" ca="1" si="59"/>
        <v>2.3599999999999994</v>
      </c>
      <c r="I356" s="5">
        <f t="shared" ca="1" si="60"/>
        <v>0.58999999999999986</v>
      </c>
      <c r="J356" s="8">
        <f t="shared" ca="1" si="61"/>
        <v>2.8024999999999993</v>
      </c>
      <c r="K356" s="5">
        <f t="shared" ca="1" si="62"/>
        <v>0.14749999999999996</v>
      </c>
      <c r="L356">
        <f t="shared" ca="1" si="63"/>
        <v>31238.82666666666</v>
      </c>
      <c r="M356">
        <f t="shared" ca="1" si="64"/>
        <v>31239</v>
      </c>
      <c r="N356" t="str">
        <f t="shared" ca="1" si="65"/>
        <v>0111101000000111</v>
      </c>
      <c r="O356">
        <f t="shared" ca="1" si="66"/>
        <v>11110100</v>
      </c>
    </row>
    <row r="357" spans="4:15" x14ac:dyDescent="0.25">
      <c r="D357">
        <v>355</v>
      </c>
      <c r="E357">
        <f t="shared" si="56"/>
        <v>55.5</v>
      </c>
      <c r="F357">
        <f t="shared" ca="1" si="57"/>
        <v>41.3</v>
      </c>
      <c r="G357" s="1">
        <f t="shared" si="58"/>
        <v>2.958333333333333</v>
      </c>
      <c r="H357" s="6">
        <f t="shared" ca="1" si="59"/>
        <v>1.7749999999999997</v>
      </c>
      <c r="I357" s="5">
        <f t="shared" ca="1" si="60"/>
        <v>1.1833333333333333</v>
      </c>
      <c r="J357" s="8">
        <f t="shared" ca="1" si="61"/>
        <v>2.8104166666666663</v>
      </c>
      <c r="K357" s="5">
        <f t="shared" ca="1" si="62"/>
        <v>0.1479166666666667</v>
      </c>
      <c r="L357">
        <f t="shared" ca="1" si="63"/>
        <v>24849.066666666662</v>
      </c>
      <c r="M357">
        <f t="shared" ca="1" si="64"/>
        <v>24849</v>
      </c>
      <c r="N357" t="str">
        <f t="shared" ca="1" si="65"/>
        <v>0110000100010001</v>
      </c>
      <c r="O357">
        <f t="shared" ca="1" si="66"/>
        <v>11000010</v>
      </c>
    </row>
    <row r="358" spans="4:15" x14ac:dyDescent="0.25">
      <c r="D358">
        <v>356</v>
      </c>
      <c r="E358">
        <f t="shared" si="56"/>
        <v>55.6</v>
      </c>
      <c r="F358">
        <f t="shared" ca="1" si="57"/>
        <v>37.799999999999997</v>
      </c>
      <c r="G358" s="1">
        <f t="shared" si="58"/>
        <v>2.9666666666666659</v>
      </c>
      <c r="H358" s="6">
        <f t="shared" ca="1" si="59"/>
        <v>1.4833333333333327</v>
      </c>
      <c r="I358" s="5">
        <f t="shared" ca="1" si="60"/>
        <v>1.4833333333333332</v>
      </c>
      <c r="J358" s="8">
        <f t="shared" ca="1" si="61"/>
        <v>2.8183333333333325</v>
      </c>
      <c r="K358" s="5">
        <f t="shared" ca="1" si="62"/>
        <v>0.14833333333333343</v>
      </c>
      <c r="L358">
        <f t="shared" ca="1" si="63"/>
        <v>21663.288888888881</v>
      </c>
      <c r="M358">
        <f t="shared" ca="1" si="64"/>
        <v>21663</v>
      </c>
      <c r="N358" t="str">
        <f t="shared" ca="1" si="65"/>
        <v>0101010010011111</v>
      </c>
      <c r="O358">
        <f t="shared" ca="1" si="66"/>
        <v>10101001</v>
      </c>
    </row>
    <row r="359" spans="4:15" x14ac:dyDescent="0.25">
      <c r="D359">
        <v>357</v>
      </c>
      <c r="E359">
        <f t="shared" si="56"/>
        <v>55.7</v>
      </c>
      <c r="F359">
        <f t="shared" ca="1" si="57"/>
        <v>48.56</v>
      </c>
      <c r="G359" s="1">
        <f t="shared" si="58"/>
        <v>2.9749999999999996</v>
      </c>
      <c r="H359" s="6">
        <f t="shared" ca="1" si="59"/>
        <v>2.38</v>
      </c>
      <c r="I359" s="5">
        <f t="shared" ca="1" si="60"/>
        <v>0.59499999999999975</v>
      </c>
      <c r="J359" s="8">
        <f t="shared" ca="1" si="61"/>
        <v>2.8262499999999995</v>
      </c>
      <c r="K359" s="5">
        <f t="shared" ca="1" si="62"/>
        <v>0.14875000000000016</v>
      </c>
      <c r="L359">
        <f t="shared" ca="1" si="63"/>
        <v>31457.279999999999</v>
      </c>
      <c r="M359">
        <f t="shared" ca="1" si="64"/>
        <v>31457</v>
      </c>
      <c r="N359" t="str">
        <f t="shared" ca="1" si="65"/>
        <v>0111101011100001</v>
      </c>
      <c r="O359">
        <f t="shared" ca="1" si="66"/>
        <v>11110101</v>
      </c>
    </row>
    <row r="360" spans="4:15" x14ac:dyDescent="0.25">
      <c r="D360">
        <v>358</v>
      </c>
      <c r="E360">
        <f t="shared" si="56"/>
        <v>55.800000000000004</v>
      </c>
      <c r="F360">
        <f t="shared" ca="1" si="57"/>
        <v>70.12</v>
      </c>
      <c r="G360" s="1">
        <f t="shared" si="58"/>
        <v>2.9833333333333334</v>
      </c>
      <c r="H360" s="6">
        <f t="shared" ca="1" si="59"/>
        <v>4.1766666666666667</v>
      </c>
      <c r="I360" s="5">
        <f t="shared" ca="1" si="60"/>
        <v>1.1933333333333334</v>
      </c>
      <c r="J360" s="8">
        <f t="shared" ca="1" si="61"/>
        <v>2.8341666666666665</v>
      </c>
      <c r="K360" s="5">
        <f t="shared" ca="1" si="62"/>
        <v>0.14916666666666689</v>
      </c>
      <c r="L360">
        <f t="shared" ca="1" si="63"/>
        <v>51081.671111111114</v>
      </c>
      <c r="M360">
        <f t="shared" ca="1" si="64"/>
        <v>51082</v>
      </c>
      <c r="N360" t="str">
        <f t="shared" ca="1" si="65"/>
        <v>1100011110001010</v>
      </c>
      <c r="O360">
        <f t="shared" ca="1" si="66"/>
        <v>110001111</v>
      </c>
    </row>
    <row r="361" spans="4:15" x14ac:dyDescent="0.25">
      <c r="D361">
        <v>359</v>
      </c>
      <c r="E361">
        <f t="shared" si="56"/>
        <v>55.9</v>
      </c>
      <c r="F361">
        <f t="shared" ca="1" si="57"/>
        <v>66.67</v>
      </c>
      <c r="G361" s="1">
        <f t="shared" si="58"/>
        <v>2.9916666666666663</v>
      </c>
      <c r="H361" s="6">
        <f t="shared" ca="1" si="59"/>
        <v>3.8891666666666662</v>
      </c>
      <c r="I361" s="5">
        <f t="shared" ca="1" si="60"/>
        <v>0.89749999999999996</v>
      </c>
      <c r="J361" s="8">
        <f t="shared" ca="1" si="61"/>
        <v>2.8420833333333326</v>
      </c>
      <c r="K361" s="5">
        <f t="shared" ca="1" si="62"/>
        <v>0.14958333333333362</v>
      </c>
      <c r="L361">
        <f t="shared" ca="1" si="63"/>
        <v>47941.404444444437</v>
      </c>
      <c r="M361">
        <f t="shared" ca="1" si="64"/>
        <v>47941</v>
      </c>
      <c r="N361" t="str">
        <f t="shared" ca="1" si="65"/>
        <v>1011101101000101</v>
      </c>
      <c r="O361">
        <f t="shared" ca="1" si="66"/>
        <v>101110110</v>
      </c>
    </row>
    <row r="362" spans="4:15" x14ac:dyDescent="0.25">
      <c r="D362">
        <v>360</v>
      </c>
      <c r="E362">
        <f t="shared" si="56"/>
        <v>56</v>
      </c>
      <c r="F362">
        <f t="shared" ca="1" si="57"/>
        <v>74</v>
      </c>
      <c r="G362" s="1">
        <f t="shared" si="58"/>
        <v>2.9999999999999991</v>
      </c>
      <c r="H362" s="6">
        <f t="shared" ca="1" si="59"/>
        <v>4.4999999999999991</v>
      </c>
      <c r="I362" s="5">
        <f t="shared" ca="1" si="60"/>
        <v>1.5</v>
      </c>
      <c r="J362" s="8">
        <f t="shared" ca="1" si="61"/>
        <v>2.8499999999999992</v>
      </c>
      <c r="K362" s="5">
        <f t="shared" ca="1" si="62"/>
        <v>0.14999999999999991</v>
      </c>
      <c r="L362">
        <f t="shared" ca="1" si="63"/>
        <v>54613.333333333321</v>
      </c>
      <c r="M362">
        <f t="shared" ca="1" si="64"/>
        <v>54613</v>
      </c>
      <c r="N362" t="str">
        <f t="shared" ca="1" si="65"/>
        <v>1101010101010101</v>
      </c>
      <c r="O362">
        <f t="shared" ca="1" si="66"/>
        <v>110101010</v>
      </c>
    </row>
    <row r="363" spans="4:15" x14ac:dyDescent="0.25">
      <c r="D363">
        <v>361</v>
      </c>
      <c r="E363">
        <f t="shared" si="56"/>
        <v>56.1</v>
      </c>
      <c r="F363">
        <f t="shared" ca="1" si="57"/>
        <v>70.540000000000006</v>
      </c>
      <c r="G363" s="1">
        <f t="shared" si="58"/>
        <v>3.0083333333333329</v>
      </c>
      <c r="H363" s="6">
        <f t="shared" ca="1" si="59"/>
        <v>4.2116666666666669</v>
      </c>
      <c r="I363" s="5">
        <f t="shared" ca="1" si="60"/>
        <v>1.203333333333334</v>
      </c>
      <c r="J363" s="8">
        <f t="shared" ca="1" si="61"/>
        <v>2.8579166666666662</v>
      </c>
      <c r="K363" s="5">
        <f t="shared" ca="1" si="62"/>
        <v>0.15041666666666664</v>
      </c>
      <c r="L363">
        <f t="shared" ca="1" si="63"/>
        <v>51463.964444444449</v>
      </c>
      <c r="M363">
        <f t="shared" ca="1" si="64"/>
        <v>51464</v>
      </c>
      <c r="N363" t="str">
        <f t="shared" ca="1" si="65"/>
        <v>1100100100001000</v>
      </c>
      <c r="O363">
        <f t="shared" ca="1" si="66"/>
        <v>110010010</v>
      </c>
    </row>
    <row r="364" spans="4:15" x14ac:dyDescent="0.25">
      <c r="D364">
        <v>362</v>
      </c>
      <c r="E364">
        <f t="shared" si="56"/>
        <v>56.2</v>
      </c>
      <c r="F364">
        <f t="shared" ca="1" si="57"/>
        <v>38.1</v>
      </c>
      <c r="G364" s="1">
        <f t="shared" si="58"/>
        <v>3.0166666666666666</v>
      </c>
      <c r="H364" s="6">
        <f t="shared" ca="1" si="59"/>
        <v>1.5083333333333331</v>
      </c>
      <c r="I364" s="5">
        <f t="shared" ca="1" si="60"/>
        <v>1.5083333333333335</v>
      </c>
      <c r="J364" s="8">
        <f t="shared" ca="1" si="61"/>
        <v>3.1675</v>
      </c>
      <c r="K364" s="5">
        <f t="shared" ca="1" si="62"/>
        <v>0.15083333333333337</v>
      </c>
      <c r="L364">
        <f t="shared" ca="1" si="63"/>
        <v>21936.35555555555</v>
      </c>
      <c r="M364">
        <f t="shared" ca="1" si="64"/>
        <v>21936</v>
      </c>
      <c r="N364" t="str">
        <f t="shared" ca="1" si="65"/>
        <v>0101010110110000</v>
      </c>
      <c r="O364">
        <f t="shared" ca="1" si="66"/>
        <v>10101011</v>
      </c>
    </row>
    <row r="365" spans="4:15" x14ac:dyDescent="0.25">
      <c r="D365">
        <v>363</v>
      </c>
      <c r="E365">
        <f t="shared" si="56"/>
        <v>56.300000000000004</v>
      </c>
      <c r="F365">
        <f t="shared" ca="1" si="57"/>
        <v>67.19</v>
      </c>
      <c r="G365" s="1">
        <f t="shared" si="58"/>
        <v>3.0249999999999995</v>
      </c>
      <c r="H365" s="6">
        <f t="shared" ca="1" si="59"/>
        <v>3.9324999999999992</v>
      </c>
      <c r="I365" s="5">
        <f t="shared" ca="1" si="60"/>
        <v>0.90749999999999975</v>
      </c>
      <c r="J365" s="8">
        <f t="shared" ca="1" si="61"/>
        <v>2.8737499999999994</v>
      </c>
      <c r="K365" s="5">
        <f t="shared" ca="1" si="62"/>
        <v>0.15125000000000011</v>
      </c>
      <c r="L365">
        <f t="shared" ca="1" si="63"/>
        <v>48414.719999999994</v>
      </c>
      <c r="M365">
        <f t="shared" ca="1" si="64"/>
        <v>48415</v>
      </c>
      <c r="N365" t="str">
        <f t="shared" ca="1" si="65"/>
        <v>1011110100011111</v>
      </c>
      <c r="O365">
        <f t="shared" ca="1" si="66"/>
        <v>101111010</v>
      </c>
    </row>
    <row r="366" spans="4:15" x14ac:dyDescent="0.25">
      <c r="D366">
        <v>364</v>
      </c>
      <c r="E366">
        <f t="shared" si="56"/>
        <v>56.4</v>
      </c>
      <c r="F366">
        <f t="shared" ca="1" si="57"/>
        <v>74.599999999999994</v>
      </c>
      <c r="G366" s="1">
        <f t="shared" si="58"/>
        <v>3.0333333333333323</v>
      </c>
      <c r="H366" s="6">
        <f t="shared" ca="1" si="59"/>
        <v>4.5499999999999989</v>
      </c>
      <c r="I366" s="5">
        <f t="shared" ca="1" si="60"/>
        <v>1.5166666666666666</v>
      </c>
      <c r="J366" s="8">
        <f t="shared" ca="1" si="61"/>
        <v>3.1849999999999992</v>
      </c>
      <c r="K366" s="5">
        <f t="shared" ca="1" si="62"/>
        <v>0.15166666666666684</v>
      </c>
      <c r="L366">
        <f t="shared" ca="1" si="63"/>
        <v>55159.466666666653</v>
      </c>
      <c r="M366">
        <f t="shared" ca="1" si="64"/>
        <v>55159</v>
      </c>
      <c r="N366" t="str">
        <f t="shared" ca="1" si="65"/>
        <v>1101011101110111</v>
      </c>
      <c r="O366">
        <f t="shared" ca="1" si="66"/>
        <v>110101110</v>
      </c>
    </row>
    <row r="367" spans="4:15" x14ac:dyDescent="0.25">
      <c r="D367">
        <v>365</v>
      </c>
      <c r="E367">
        <f t="shared" si="56"/>
        <v>56.5</v>
      </c>
      <c r="F367">
        <f t="shared" ca="1" si="57"/>
        <v>52.85</v>
      </c>
      <c r="G367" s="1">
        <f t="shared" si="58"/>
        <v>3.0416666666666661</v>
      </c>
      <c r="H367" s="6">
        <f t="shared" ca="1" si="59"/>
        <v>2.7374999999999998</v>
      </c>
      <c r="I367" s="5">
        <f t="shared" ca="1" si="60"/>
        <v>0.30416666666666625</v>
      </c>
      <c r="J367" s="8">
        <f t="shared" ca="1" si="61"/>
        <v>2.8895833333333325</v>
      </c>
      <c r="K367" s="5">
        <f t="shared" ca="1" si="62"/>
        <v>0.15208333333333357</v>
      </c>
      <c r="L367">
        <f t="shared" ca="1" si="63"/>
        <v>35362.133333333331</v>
      </c>
      <c r="M367">
        <f t="shared" ca="1" si="64"/>
        <v>35362</v>
      </c>
      <c r="N367" t="str">
        <f t="shared" ca="1" si="65"/>
        <v>1000101000100010</v>
      </c>
      <c r="O367">
        <f t="shared" ca="1" si="66"/>
        <v>100010100</v>
      </c>
    </row>
    <row r="368" spans="4:15" x14ac:dyDescent="0.25">
      <c r="D368">
        <v>366</v>
      </c>
      <c r="E368">
        <f t="shared" si="56"/>
        <v>56.6</v>
      </c>
      <c r="F368">
        <f t="shared" ca="1" si="57"/>
        <v>71.240000000000009</v>
      </c>
      <c r="G368" s="1">
        <f t="shared" si="58"/>
        <v>3.05</v>
      </c>
      <c r="H368" s="6">
        <f t="shared" ca="1" si="59"/>
        <v>4.2700000000000005</v>
      </c>
      <c r="I368" s="5">
        <f t="shared" ca="1" si="60"/>
        <v>1.2200000000000006</v>
      </c>
      <c r="J368" s="8">
        <f t="shared" ca="1" si="61"/>
        <v>3.2025000000000001</v>
      </c>
      <c r="K368" s="5">
        <f t="shared" ca="1" si="62"/>
        <v>0.1525000000000003</v>
      </c>
      <c r="L368">
        <f t="shared" ca="1" si="63"/>
        <v>52101.120000000003</v>
      </c>
      <c r="M368">
        <f t="shared" ca="1" si="64"/>
        <v>52101</v>
      </c>
      <c r="N368" t="str">
        <f t="shared" ca="1" si="65"/>
        <v>1100101110000101</v>
      </c>
      <c r="O368">
        <f t="shared" ca="1" si="66"/>
        <v>110010111</v>
      </c>
    </row>
    <row r="369" spans="4:15" x14ac:dyDescent="0.25">
      <c r="D369">
        <v>367</v>
      </c>
      <c r="E369">
        <f t="shared" si="56"/>
        <v>56.7</v>
      </c>
      <c r="F369">
        <f t="shared" ca="1" si="57"/>
        <v>60.370000000000005</v>
      </c>
      <c r="G369" s="1">
        <f t="shared" si="58"/>
        <v>3.0583333333333327</v>
      </c>
      <c r="H369" s="6">
        <f t="shared" ca="1" si="59"/>
        <v>3.3641666666666667</v>
      </c>
      <c r="I369" s="5">
        <f t="shared" ca="1" si="60"/>
        <v>0.30583333333333407</v>
      </c>
      <c r="J369" s="8">
        <f t="shared" ca="1" si="61"/>
        <v>3.2112499999999993</v>
      </c>
      <c r="K369" s="5">
        <f t="shared" ca="1" si="62"/>
        <v>0.15291666666666659</v>
      </c>
      <c r="L369">
        <f t="shared" ca="1" si="63"/>
        <v>42207.004444444443</v>
      </c>
      <c r="M369">
        <f t="shared" ca="1" si="64"/>
        <v>42207</v>
      </c>
      <c r="N369" t="str">
        <f t="shared" ca="1" si="65"/>
        <v>1010010011011111</v>
      </c>
      <c r="O369">
        <f t="shared" ca="1" si="66"/>
        <v>101001001</v>
      </c>
    </row>
    <row r="370" spans="4:15" x14ac:dyDescent="0.25">
      <c r="D370">
        <v>368</v>
      </c>
      <c r="E370">
        <f t="shared" si="56"/>
        <v>56.800000000000004</v>
      </c>
      <c r="F370">
        <f t="shared" ca="1" si="57"/>
        <v>71.52000000000001</v>
      </c>
      <c r="G370" s="1">
        <f t="shared" si="58"/>
        <v>3.0666666666666664</v>
      </c>
      <c r="H370" s="6">
        <f t="shared" ca="1" si="59"/>
        <v>4.2933333333333339</v>
      </c>
      <c r="I370" s="5">
        <f t="shared" ca="1" si="60"/>
        <v>1.2266666666666675</v>
      </c>
      <c r="J370" s="8">
        <f t="shared" ca="1" si="61"/>
        <v>3.2199999999999998</v>
      </c>
      <c r="K370" s="5">
        <f t="shared" ca="1" si="62"/>
        <v>0.15333333333333332</v>
      </c>
      <c r="L370">
        <f t="shared" ca="1" si="63"/>
        <v>52355.982222222228</v>
      </c>
      <c r="M370">
        <f t="shared" ca="1" si="64"/>
        <v>52356</v>
      </c>
      <c r="N370" t="str">
        <f t="shared" ca="1" si="65"/>
        <v>1100110010000100</v>
      </c>
      <c r="O370">
        <f t="shared" ca="1" si="66"/>
        <v>110011001</v>
      </c>
    </row>
    <row r="371" spans="4:15" x14ac:dyDescent="0.25">
      <c r="D371">
        <v>369</v>
      </c>
      <c r="E371">
        <f t="shared" si="56"/>
        <v>56.9</v>
      </c>
      <c r="F371">
        <f t="shared" ca="1" si="57"/>
        <v>67.97</v>
      </c>
      <c r="G371" s="1">
        <f t="shared" si="58"/>
        <v>3.0749999999999993</v>
      </c>
      <c r="H371" s="6">
        <f t="shared" ca="1" si="59"/>
        <v>3.9974999999999996</v>
      </c>
      <c r="I371" s="5">
        <f t="shared" ca="1" si="60"/>
        <v>0.92250000000000032</v>
      </c>
      <c r="J371" s="8">
        <f t="shared" ca="1" si="61"/>
        <v>2.9212499999999992</v>
      </c>
      <c r="K371" s="5">
        <f t="shared" ca="1" si="62"/>
        <v>0.15375000000000005</v>
      </c>
      <c r="L371">
        <f t="shared" ca="1" si="63"/>
        <v>49124.693333333329</v>
      </c>
      <c r="M371">
        <f t="shared" ca="1" si="64"/>
        <v>49125</v>
      </c>
      <c r="N371" t="str">
        <f t="shared" ca="1" si="65"/>
        <v>1011111111100101</v>
      </c>
      <c r="O371">
        <f t="shared" ca="1" si="66"/>
        <v>101111111</v>
      </c>
    </row>
    <row r="372" spans="4:15" x14ac:dyDescent="0.25">
      <c r="D372">
        <v>370</v>
      </c>
      <c r="E372">
        <f t="shared" si="56"/>
        <v>57</v>
      </c>
      <c r="F372">
        <f t="shared" ca="1" si="57"/>
        <v>68.099999999999994</v>
      </c>
      <c r="G372" s="1">
        <f t="shared" si="58"/>
        <v>3.083333333333333</v>
      </c>
      <c r="H372" s="6">
        <f t="shared" ca="1" si="59"/>
        <v>4.008333333333332</v>
      </c>
      <c r="I372" s="5">
        <f t="shared" ca="1" si="60"/>
        <v>0.92499999999999893</v>
      </c>
      <c r="J372" s="8">
        <f t="shared" ca="1" si="61"/>
        <v>2.9291666666666663</v>
      </c>
      <c r="K372" s="5">
        <f t="shared" ca="1" si="62"/>
        <v>0.15416666666666679</v>
      </c>
      <c r="L372">
        <f t="shared" ca="1" si="63"/>
        <v>49243.022222222207</v>
      </c>
      <c r="M372">
        <f t="shared" ca="1" si="64"/>
        <v>49243</v>
      </c>
      <c r="N372" t="str">
        <f t="shared" ca="1" si="65"/>
        <v>1100000001011011</v>
      </c>
      <c r="O372">
        <f t="shared" ca="1" si="66"/>
        <v>110000000</v>
      </c>
    </row>
    <row r="373" spans="4:15" x14ac:dyDescent="0.25">
      <c r="D373">
        <v>371</v>
      </c>
      <c r="E373">
        <f t="shared" si="56"/>
        <v>57.1</v>
      </c>
      <c r="F373">
        <f t="shared" ca="1" si="57"/>
        <v>60.81</v>
      </c>
      <c r="G373" s="1">
        <f t="shared" si="58"/>
        <v>3.0916666666666659</v>
      </c>
      <c r="H373" s="6">
        <f t="shared" ca="1" si="59"/>
        <v>3.4008333333333329</v>
      </c>
      <c r="I373" s="5">
        <f t="shared" ca="1" si="60"/>
        <v>0.30916666666666703</v>
      </c>
      <c r="J373" s="8">
        <f t="shared" ca="1" si="61"/>
        <v>3.2462499999999994</v>
      </c>
      <c r="K373" s="5">
        <f t="shared" ca="1" si="62"/>
        <v>0.15458333333333352</v>
      </c>
      <c r="L373">
        <f t="shared" ca="1" si="63"/>
        <v>42607.502222222218</v>
      </c>
      <c r="M373">
        <f t="shared" ca="1" si="64"/>
        <v>42608</v>
      </c>
      <c r="N373" t="str">
        <f t="shared" ca="1" si="65"/>
        <v>1010011001110000</v>
      </c>
      <c r="O373">
        <f t="shared" ca="1" si="66"/>
        <v>101001100</v>
      </c>
    </row>
    <row r="374" spans="4:15" x14ac:dyDescent="0.25">
      <c r="D374">
        <v>372</v>
      </c>
      <c r="E374">
        <f t="shared" si="56"/>
        <v>57.2</v>
      </c>
      <c r="F374">
        <f t="shared" ca="1" si="57"/>
        <v>46.040000000000006</v>
      </c>
      <c r="G374" s="1">
        <f t="shared" si="58"/>
        <v>3.0999999999999996</v>
      </c>
      <c r="H374" s="6">
        <f t="shared" ca="1" si="59"/>
        <v>2.17</v>
      </c>
      <c r="I374" s="5">
        <f t="shared" ca="1" si="60"/>
        <v>0.92999999999999972</v>
      </c>
      <c r="J374" s="8">
        <f t="shared" ca="1" si="61"/>
        <v>3.2549999999999999</v>
      </c>
      <c r="K374" s="5">
        <f t="shared" ca="1" si="62"/>
        <v>0.15500000000000025</v>
      </c>
      <c r="L374">
        <f t="shared" ca="1" si="63"/>
        <v>29163.52</v>
      </c>
      <c r="M374">
        <f t="shared" ca="1" si="64"/>
        <v>29164</v>
      </c>
      <c r="N374" t="str">
        <f t="shared" ca="1" si="65"/>
        <v>0111000111101100</v>
      </c>
      <c r="O374">
        <f t="shared" ca="1" si="66"/>
        <v>11100011</v>
      </c>
    </row>
    <row r="375" spans="4:15" x14ac:dyDescent="0.25">
      <c r="D375">
        <v>373</v>
      </c>
      <c r="E375">
        <f t="shared" si="56"/>
        <v>57.300000000000004</v>
      </c>
      <c r="F375">
        <f t="shared" ca="1" si="57"/>
        <v>75.95</v>
      </c>
      <c r="G375" s="1">
        <f t="shared" si="58"/>
        <v>3.1083333333333334</v>
      </c>
      <c r="H375" s="6">
        <f t="shared" ca="1" si="59"/>
        <v>4.6624999999999996</v>
      </c>
      <c r="I375" s="5">
        <f t="shared" ca="1" si="60"/>
        <v>1.5541666666666663</v>
      </c>
      <c r="J375" s="8">
        <f t="shared" ca="1" si="61"/>
        <v>2.9529166666666664</v>
      </c>
      <c r="K375" s="5">
        <f t="shared" ca="1" si="62"/>
        <v>0.15541666666666698</v>
      </c>
      <c r="L375">
        <f t="shared" ca="1" si="63"/>
        <v>56388.266666666663</v>
      </c>
      <c r="M375">
        <f t="shared" ca="1" si="64"/>
        <v>56388</v>
      </c>
      <c r="N375" t="str">
        <f t="shared" ca="1" si="65"/>
        <v>1101110001000100</v>
      </c>
      <c r="O375">
        <f t="shared" ca="1" si="66"/>
        <v>110111000</v>
      </c>
    </row>
    <row r="376" spans="4:15" x14ac:dyDescent="0.25">
      <c r="D376">
        <v>374</v>
      </c>
      <c r="E376">
        <f t="shared" si="56"/>
        <v>57.4</v>
      </c>
      <c r="F376">
        <f t="shared" ca="1" si="57"/>
        <v>64.88</v>
      </c>
      <c r="G376" s="1">
        <f t="shared" si="58"/>
        <v>3.1166666666666663</v>
      </c>
      <c r="H376" s="6">
        <f t="shared" ca="1" si="59"/>
        <v>3.7399999999999993</v>
      </c>
      <c r="I376" s="5">
        <f t="shared" ca="1" si="60"/>
        <v>0.62333333333333307</v>
      </c>
      <c r="J376" s="8">
        <f t="shared" ca="1" si="61"/>
        <v>2.960833333333333</v>
      </c>
      <c r="K376" s="5">
        <f t="shared" ca="1" si="62"/>
        <v>0.15583333333333327</v>
      </c>
      <c r="L376">
        <f t="shared" ca="1" si="63"/>
        <v>46312.106666666659</v>
      </c>
      <c r="M376">
        <f t="shared" ca="1" si="64"/>
        <v>46312</v>
      </c>
      <c r="N376" t="str">
        <f t="shared" ca="1" si="65"/>
        <v>1011010011101000</v>
      </c>
      <c r="O376">
        <f t="shared" ca="1" si="66"/>
        <v>101101001</v>
      </c>
    </row>
    <row r="377" spans="4:15" x14ac:dyDescent="0.25">
      <c r="D377">
        <v>375</v>
      </c>
      <c r="E377">
        <f t="shared" si="56"/>
        <v>57.5</v>
      </c>
      <c r="F377">
        <f t="shared" ca="1" si="57"/>
        <v>46.25</v>
      </c>
      <c r="G377" s="1">
        <f t="shared" si="58"/>
        <v>3.1249999999999991</v>
      </c>
      <c r="H377" s="6">
        <f t="shared" ca="1" si="59"/>
        <v>2.1875</v>
      </c>
      <c r="I377" s="5">
        <f t="shared" ca="1" si="60"/>
        <v>0.93749999999999911</v>
      </c>
      <c r="J377" s="8">
        <f t="shared" ca="1" si="61"/>
        <v>2.9687499999999991</v>
      </c>
      <c r="K377" s="5">
        <f t="shared" ca="1" si="62"/>
        <v>0.15625</v>
      </c>
      <c r="L377">
        <f t="shared" ca="1" si="63"/>
        <v>29354.666666666668</v>
      </c>
      <c r="M377">
        <f t="shared" ca="1" si="64"/>
        <v>29355</v>
      </c>
      <c r="N377" t="str">
        <f t="shared" ca="1" si="65"/>
        <v>0111001010101011</v>
      </c>
      <c r="O377">
        <f t="shared" ca="1" si="66"/>
        <v>11100101</v>
      </c>
    </row>
    <row r="378" spans="4:15" x14ac:dyDescent="0.25">
      <c r="D378">
        <v>376</v>
      </c>
      <c r="E378">
        <f t="shared" si="56"/>
        <v>57.6</v>
      </c>
      <c r="F378">
        <f t="shared" ca="1" si="57"/>
        <v>65.12</v>
      </c>
      <c r="G378" s="1">
        <f t="shared" si="58"/>
        <v>3.1333333333333329</v>
      </c>
      <c r="H378" s="6">
        <f t="shared" ca="1" si="59"/>
        <v>3.76</v>
      </c>
      <c r="I378" s="5">
        <f t="shared" ca="1" si="60"/>
        <v>0.62666666666666693</v>
      </c>
      <c r="J378" s="8">
        <f t="shared" ca="1" si="61"/>
        <v>3.2899999999999996</v>
      </c>
      <c r="K378" s="5">
        <f t="shared" ca="1" si="62"/>
        <v>0.15666666666666673</v>
      </c>
      <c r="L378">
        <f t="shared" ca="1" si="63"/>
        <v>46530.559999999998</v>
      </c>
      <c r="M378">
        <f t="shared" ca="1" si="64"/>
        <v>46531</v>
      </c>
      <c r="N378" t="str">
        <f t="shared" ca="1" si="65"/>
        <v>1011010111000011</v>
      </c>
      <c r="O378">
        <f t="shared" ca="1" si="66"/>
        <v>101101011</v>
      </c>
    </row>
    <row r="379" spans="4:15" x14ac:dyDescent="0.25">
      <c r="D379">
        <v>377</v>
      </c>
      <c r="E379">
        <f t="shared" si="56"/>
        <v>57.7</v>
      </c>
      <c r="F379">
        <f t="shared" ca="1" si="57"/>
        <v>76.550000000000011</v>
      </c>
      <c r="G379" s="1">
        <f t="shared" si="58"/>
        <v>3.1416666666666666</v>
      </c>
      <c r="H379" s="6">
        <f t="shared" ca="1" si="59"/>
        <v>4.7125000000000004</v>
      </c>
      <c r="I379" s="5">
        <f t="shared" ca="1" si="60"/>
        <v>1.5708333333333337</v>
      </c>
      <c r="J379" s="8">
        <f t="shared" ca="1" si="61"/>
        <v>3.2987500000000001</v>
      </c>
      <c r="K379" s="5">
        <f t="shared" ca="1" si="62"/>
        <v>0.15708333333333346</v>
      </c>
      <c r="L379">
        <f t="shared" ca="1" si="63"/>
        <v>56934.400000000001</v>
      </c>
      <c r="M379">
        <f t="shared" ca="1" si="64"/>
        <v>56934</v>
      </c>
      <c r="N379" t="str">
        <f t="shared" ca="1" si="65"/>
        <v>1101111001100110</v>
      </c>
      <c r="O379">
        <f t="shared" ca="1" si="66"/>
        <v>110111100</v>
      </c>
    </row>
    <row r="380" spans="4:15" x14ac:dyDescent="0.25">
      <c r="D380">
        <v>378</v>
      </c>
      <c r="E380">
        <f t="shared" si="56"/>
        <v>57.800000000000004</v>
      </c>
      <c r="F380">
        <f t="shared" ca="1" si="57"/>
        <v>76.7</v>
      </c>
      <c r="G380" s="1">
        <f t="shared" si="58"/>
        <v>3.1499999999999995</v>
      </c>
      <c r="H380" s="6">
        <f t="shared" ca="1" si="59"/>
        <v>4.7249999999999996</v>
      </c>
      <c r="I380" s="5">
        <f t="shared" ca="1" si="60"/>
        <v>1.5750000000000002</v>
      </c>
      <c r="J380" s="8">
        <f t="shared" ca="1" si="61"/>
        <v>2.9924999999999993</v>
      </c>
      <c r="K380" s="5">
        <f t="shared" ca="1" si="62"/>
        <v>0.1575000000000002</v>
      </c>
      <c r="L380">
        <f t="shared" ca="1" si="63"/>
        <v>57070.933333333327</v>
      </c>
      <c r="M380">
        <f t="shared" ca="1" si="64"/>
        <v>57071</v>
      </c>
      <c r="N380" t="str">
        <f t="shared" ca="1" si="65"/>
        <v>1101111011101111</v>
      </c>
      <c r="O380">
        <f t="shared" ca="1" si="66"/>
        <v>110111101</v>
      </c>
    </row>
    <row r="381" spans="4:15" x14ac:dyDescent="0.25">
      <c r="D381">
        <v>379</v>
      </c>
      <c r="E381">
        <f t="shared" si="56"/>
        <v>57.9</v>
      </c>
      <c r="F381">
        <f t="shared" ca="1" si="57"/>
        <v>50.32</v>
      </c>
      <c r="G381" s="1">
        <f t="shared" si="58"/>
        <v>3.1583333333333323</v>
      </c>
      <c r="H381" s="6">
        <f t="shared" ca="1" si="59"/>
        <v>2.5266666666666664</v>
      </c>
      <c r="I381" s="5">
        <f t="shared" ca="1" si="60"/>
        <v>0.63166666666666593</v>
      </c>
      <c r="J381" s="8">
        <f t="shared" ca="1" si="61"/>
        <v>3.3162499999999993</v>
      </c>
      <c r="K381" s="5">
        <f t="shared" ca="1" si="62"/>
        <v>0.15791666666666693</v>
      </c>
      <c r="L381">
        <f t="shared" ca="1" si="63"/>
        <v>33059.271111111106</v>
      </c>
      <c r="M381">
        <f t="shared" ca="1" si="64"/>
        <v>33059</v>
      </c>
      <c r="N381" t="str">
        <f t="shared" ca="1" si="65"/>
        <v>1000000100100011</v>
      </c>
      <c r="O381">
        <f t="shared" ca="1" si="66"/>
        <v>100000010</v>
      </c>
    </row>
    <row r="382" spans="4:15" x14ac:dyDescent="0.25">
      <c r="D382">
        <v>380</v>
      </c>
      <c r="E382">
        <f t="shared" si="56"/>
        <v>58</v>
      </c>
      <c r="F382">
        <f t="shared" ca="1" si="57"/>
        <v>61.8</v>
      </c>
      <c r="G382" s="1">
        <f t="shared" si="58"/>
        <v>3.1666666666666661</v>
      </c>
      <c r="H382" s="6">
        <f t="shared" ca="1" si="59"/>
        <v>3.4833333333333325</v>
      </c>
      <c r="I382" s="5">
        <f t="shared" ca="1" si="60"/>
        <v>0.31666666666666643</v>
      </c>
      <c r="J382" s="8">
        <f t="shared" ca="1" si="61"/>
        <v>3.3249999999999997</v>
      </c>
      <c r="K382" s="5">
        <f t="shared" ca="1" si="62"/>
        <v>0.15833333333333366</v>
      </c>
      <c r="L382">
        <f t="shared" ca="1" si="63"/>
        <v>43508.622222222213</v>
      </c>
      <c r="M382">
        <f t="shared" ca="1" si="64"/>
        <v>43509</v>
      </c>
      <c r="N382" t="str">
        <f t="shared" ca="1" si="65"/>
        <v>1010100111110101</v>
      </c>
      <c r="O382">
        <f t="shared" ca="1" si="66"/>
        <v>101010011</v>
      </c>
    </row>
    <row r="383" spans="4:15" x14ac:dyDescent="0.25">
      <c r="D383">
        <v>381</v>
      </c>
      <c r="E383">
        <f t="shared" si="56"/>
        <v>58.1</v>
      </c>
      <c r="F383">
        <f t="shared" ca="1" si="57"/>
        <v>58.1</v>
      </c>
      <c r="G383" s="1">
        <f t="shared" si="58"/>
        <v>3.1749999999999998</v>
      </c>
      <c r="H383" s="6">
        <f t="shared" ca="1" si="59"/>
        <v>3.1749999999999998</v>
      </c>
      <c r="I383" s="5">
        <f t="shared" ca="1" si="60"/>
        <v>0</v>
      </c>
      <c r="J383" s="8">
        <f t="shared" ca="1" si="61"/>
        <v>3.3337499999999998</v>
      </c>
      <c r="K383" s="5">
        <f t="shared" ca="1" si="62"/>
        <v>0.15874999999999995</v>
      </c>
      <c r="L383">
        <f t="shared" ca="1" si="63"/>
        <v>40140.799999999996</v>
      </c>
      <c r="M383">
        <f t="shared" ca="1" si="64"/>
        <v>40141</v>
      </c>
      <c r="N383" t="str">
        <f t="shared" ca="1" si="65"/>
        <v>1001110011001101</v>
      </c>
      <c r="O383">
        <f t="shared" ca="1" si="66"/>
        <v>100111001</v>
      </c>
    </row>
    <row r="384" spans="4:15" x14ac:dyDescent="0.25">
      <c r="D384">
        <v>382</v>
      </c>
      <c r="E384">
        <f t="shared" si="56"/>
        <v>58.2</v>
      </c>
      <c r="F384">
        <f t="shared" ca="1" si="57"/>
        <v>50.56</v>
      </c>
      <c r="G384" s="1">
        <f t="shared" si="58"/>
        <v>3.1833333333333327</v>
      </c>
      <c r="H384" s="6">
        <f t="shared" ca="1" si="59"/>
        <v>2.546666666666666</v>
      </c>
      <c r="I384" s="5">
        <f t="shared" ca="1" si="60"/>
        <v>0.63666666666666671</v>
      </c>
      <c r="J384" s="8">
        <f t="shared" ca="1" si="61"/>
        <v>3.024166666666666</v>
      </c>
      <c r="K384" s="5">
        <f t="shared" ca="1" si="62"/>
        <v>0.15916666666666668</v>
      </c>
      <c r="L384">
        <f t="shared" ca="1" si="63"/>
        <v>33277.724444444437</v>
      </c>
      <c r="M384">
        <f t="shared" ca="1" si="64"/>
        <v>33278</v>
      </c>
      <c r="N384" t="str">
        <f t="shared" ca="1" si="65"/>
        <v>1000000111111110</v>
      </c>
      <c r="O384">
        <f t="shared" ca="1" si="66"/>
        <v>100000011</v>
      </c>
    </row>
    <row r="385" spans="4:15" x14ac:dyDescent="0.25">
      <c r="D385">
        <v>383</v>
      </c>
      <c r="E385">
        <f t="shared" si="56"/>
        <v>58.300000000000004</v>
      </c>
      <c r="F385">
        <f t="shared" ca="1" si="57"/>
        <v>65.960000000000008</v>
      </c>
      <c r="G385" s="1">
        <f t="shared" si="58"/>
        <v>3.1916666666666664</v>
      </c>
      <c r="H385" s="6">
        <f t="shared" ca="1" si="59"/>
        <v>3.83</v>
      </c>
      <c r="I385" s="5">
        <f t="shared" ca="1" si="60"/>
        <v>0.63833333333333364</v>
      </c>
      <c r="J385" s="8">
        <f t="shared" ca="1" si="61"/>
        <v>3.032083333333333</v>
      </c>
      <c r="K385" s="5">
        <f t="shared" ca="1" si="62"/>
        <v>0.15958333333333341</v>
      </c>
      <c r="L385">
        <f t="shared" ca="1" si="63"/>
        <v>47295.146666666667</v>
      </c>
      <c r="M385">
        <f t="shared" ca="1" si="64"/>
        <v>47295</v>
      </c>
      <c r="N385" t="str">
        <f t="shared" ca="1" si="65"/>
        <v>1011100010111111</v>
      </c>
      <c r="O385">
        <f t="shared" ca="1" si="66"/>
        <v>101110001</v>
      </c>
    </row>
    <row r="386" spans="4:15" x14ac:dyDescent="0.25">
      <c r="D386">
        <v>384</v>
      </c>
      <c r="E386">
        <f t="shared" si="56"/>
        <v>58.400000000000006</v>
      </c>
      <c r="F386">
        <f t="shared" ca="1" si="57"/>
        <v>39.200000000000003</v>
      </c>
      <c r="G386" s="1">
        <f t="shared" si="58"/>
        <v>3.2</v>
      </c>
      <c r="H386" s="6">
        <f t="shared" ca="1" si="59"/>
        <v>1.5999999999999999</v>
      </c>
      <c r="I386" s="5">
        <f t="shared" ca="1" si="60"/>
        <v>1.6000000000000003</v>
      </c>
      <c r="J386" s="8">
        <f t="shared" ca="1" si="61"/>
        <v>3.3600000000000003</v>
      </c>
      <c r="K386" s="5">
        <f t="shared" ca="1" si="62"/>
        <v>0.16000000000000014</v>
      </c>
      <c r="L386">
        <f t="shared" ca="1" si="63"/>
        <v>22937.599999999995</v>
      </c>
      <c r="M386">
        <f t="shared" ca="1" si="64"/>
        <v>22938</v>
      </c>
      <c r="N386" t="str">
        <f t="shared" ca="1" si="65"/>
        <v>0101100110011010</v>
      </c>
      <c r="O386">
        <f t="shared" ca="1" si="66"/>
        <v>10110011</v>
      </c>
    </row>
    <row r="387" spans="4:15" x14ac:dyDescent="0.25">
      <c r="D387">
        <v>385</v>
      </c>
      <c r="E387">
        <f t="shared" ref="E387:E450" si="67">0.1*D387+20</f>
        <v>58.5</v>
      </c>
      <c r="F387">
        <f t="shared" ref="F387:F450" ca="1" si="68">0.1*D387+20 + (RANDBETWEEN(-5,5)/100)*D387</f>
        <v>43.1</v>
      </c>
      <c r="G387" s="1">
        <f t="shared" ref="G387:G450" si="69">1/12*E387-5/3</f>
        <v>3.208333333333333</v>
      </c>
      <c r="H387" s="6">
        <f t="shared" ref="H387:H450" ca="1" si="70">1/12*F387-5/3</f>
        <v>1.925</v>
      </c>
      <c r="I387" s="5">
        <f t="shared" ref="I387:I450" ca="1" si="71">ABS(G387-H387)</f>
        <v>1.283333333333333</v>
      </c>
      <c r="J387" s="8">
        <f t="shared" ref="J387:J450" ca="1" si="72" xml:space="preserve"> G387 * (1 + $B$1 * IF(RANDBETWEEN(0,1)=0,-1,1))</f>
        <v>3.0479166666666662</v>
      </c>
      <c r="K387" s="5">
        <f t="shared" ref="K387:K450" ca="1" si="73">ABS(G387-J387)</f>
        <v>0.16041666666666687</v>
      </c>
      <c r="L387">
        <f t="shared" ref="L387:L450" ca="1" si="74">(H387-$B$2)/($B$3-$B$2)*(2^$B$4)</f>
        <v>26487.466666666664</v>
      </c>
      <c r="M387">
        <f t="shared" ref="M387:M450" ca="1" si="75">ROUND(L387,0)</f>
        <v>26487</v>
      </c>
      <c r="N387" t="str">
        <f t="shared" ref="N387:N450" ca="1" si="76">_xlfn.BASE(M387,2,$B$4)</f>
        <v>0110011101110111</v>
      </c>
      <c r="O387">
        <f t="shared" ref="O387:O450" ca="1" si="77">VALUE(LEFT(N387,9))</f>
        <v>11001110</v>
      </c>
    </row>
    <row r="388" spans="4:15" x14ac:dyDescent="0.25">
      <c r="D388">
        <v>386</v>
      </c>
      <c r="E388">
        <f t="shared" si="67"/>
        <v>58.6</v>
      </c>
      <c r="F388">
        <f t="shared" ca="1" si="68"/>
        <v>43.160000000000004</v>
      </c>
      <c r="G388" s="1">
        <f t="shared" si="69"/>
        <v>3.2166666666666659</v>
      </c>
      <c r="H388" s="6">
        <f t="shared" ca="1" si="70"/>
        <v>1.93</v>
      </c>
      <c r="I388" s="5">
        <f t="shared" ca="1" si="71"/>
        <v>1.286666666666666</v>
      </c>
      <c r="J388" s="8">
        <f t="shared" ca="1" si="72"/>
        <v>3.0558333333333323</v>
      </c>
      <c r="K388" s="5">
        <f t="shared" ca="1" si="73"/>
        <v>0.16083333333333361</v>
      </c>
      <c r="L388">
        <f t="shared" ca="1" si="74"/>
        <v>26542.079999999998</v>
      </c>
      <c r="M388">
        <f t="shared" ca="1" si="75"/>
        <v>26542</v>
      </c>
      <c r="N388" t="str">
        <f t="shared" ca="1" si="76"/>
        <v>0110011110101110</v>
      </c>
      <c r="O388">
        <f t="shared" ca="1" si="77"/>
        <v>11001111</v>
      </c>
    </row>
    <row r="389" spans="4:15" x14ac:dyDescent="0.25">
      <c r="D389">
        <v>387</v>
      </c>
      <c r="E389">
        <f t="shared" si="67"/>
        <v>58.7</v>
      </c>
      <c r="F389">
        <f t="shared" ca="1" si="68"/>
        <v>43.22</v>
      </c>
      <c r="G389" s="1">
        <f t="shared" si="69"/>
        <v>3.2249999999999996</v>
      </c>
      <c r="H389" s="6">
        <f t="shared" ca="1" si="70"/>
        <v>1.9349999999999998</v>
      </c>
      <c r="I389" s="5">
        <f t="shared" ca="1" si="71"/>
        <v>1.2899999999999998</v>
      </c>
      <c r="J389" s="8">
        <f t="shared" ca="1" si="72"/>
        <v>3.0637499999999993</v>
      </c>
      <c r="K389" s="5">
        <f t="shared" ca="1" si="73"/>
        <v>0.16125000000000034</v>
      </c>
      <c r="L389">
        <f t="shared" ca="1" si="74"/>
        <v>26596.693333333329</v>
      </c>
      <c r="M389">
        <f t="shared" ca="1" si="75"/>
        <v>26597</v>
      </c>
      <c r="N389" t="str">
        <f t="shared" ca="1" si="76"/>
        <v>0110011111100101</v>
      </c>
      <c r="O389">
        <f t="shared" ca="1" si="77"/>
        <v>11001111</v>
      </c>
    </row>
    <row r="390" spans="4:15" x14ac:dyDescent="0.25">
      <c r="D390">
        <v>388</v>
      </c>
      <c r="E390">
        <f t="shared" si="67"/>
        <v>58.800000000000004</v>
      </c>
      <c r="F390">
        <f t="shared" ca="1" si="68"/>
        <v>66.56</v>
      </c>
      <c r="G390" s="1">
        <f t="shared" si="69"/>
        <v>3.2333333333333334</v>
      </c>
      <c r="H390" s="6">
        <f t="shared" ca="1" si="70"/>
        <v>3.88</v>
      </c>
      <c r="I390" s="5">
        <f t="shared" ca="1" si="71"/>
        <v>0.6466666666666665</v>
      </c>
      <c r="J390" s="8">
        <f t="shared" ca="1" si="72"/>
        <v>3.0716666666666668</v>
      </c>
      <c r="K390" s="5">
        <f t="shared" ca="1" si="73"/>
        <v>0.16166666666666663</v>
      </c>
      <c r="L390">
        <f t="shared" ca="1" si="74"/>
        <v>47841.279999999999</v>
      </c>
      <c r="M390">
        <f t="shared" ca="1" si="75"/>
        <v>47841</v>
      </c>
      <c r="N390" t="str">
        <f t="shared" ca="1" si="76"/>
        <v>1011101011100001</v>
      </c>
      <c r="O390">
        <f t="shared" ca="1" si="77"/>
        <v>101110101</v>
      </c>
    </row>
    <row r="391" spans="4:15" x14ac:dyDescent="0.25">
      <c r="D391">
        <v>389</v>
      </c>
      <c r="E391">
        <f t="shared" si="67"/>
        <v>58.900000000000006</v>
      </c>
      <c r="F391">
        <f t="shared" ca="1" si="68"/>
        <v>62.790000000000006</v>
      </c>
      <c r="G391" s="1">
        <f t="shared" si="69"/>
        <v>3.2416666666666663</v>
      </c>
      <c r="H391" s="6">
        <f t="shared" ca="1" si="70"/>
        <v>3.565833333333333</v>
      </c>
      <c r="I391" s="5">
        <f t="shared" ca="1" si="71"/>
        <v>0.32416666666666671</v>
      </c>
      <c r="J391" s="8">
        <f t="shared" ca="1" si="72"/>
        <v>3.0795833333333329</v>
      </c>
      <c r="K391" s="5">
        <f t="shared" ca="1" si="73"/>
        <v>0.16208333333333336</v>
      </c>
      <c r="L391">
        <f t="shared" ca="1" si="74"/>
        <v>44409.742222222216</v>
      </c>
      <c r="M391">
        <f t="shared" ca="1" si="75"/>
        <v>44410</v>
      </c>
      <c r="N391" t="str">
        <f t="shared" ca="1" si="76"/>
        <v>1010110101111010</v>
      </c>
      <c r="O391">
        <f t="shared" ca="1" si="77"/>
        <v>101011010</v>
      </c>
    </row>
    <row r="392" spans="4:15" x14ac:dyDescent="0.25">
      <c r="D392">
        <v>390</v>
      </c>
      <c r="E392">
        <f t="shared" si="67"/>
        <v>59</v>
      </c>
      <c r="F392">
        <f t="shared" ca="1" si="68"/>
        <v>66.8</v>
      </c>
      <c r="G392" s="1">
        <f t="shared" si="69"/>
        <v>3.2499999999999991</v>
      </c>
      <c r="H392" s="6">
        <f t="shared" ca="1" si="70"/>
        <v>3.8999999999999995</v>
      </c>
      <c r="I392" s="5">
        <f t="shared" ca="1" si="71"/>
        <v>0.65000000000000036</v>
      </c>
      <c r="J392" s="8">
        <f t="shared" ca="1" si="72"/>
        <v>3.4124999999999992</v>
      </c>
      <c r="K392" s="5">
        <f t="shared" ca="1" si="73"/>
        <v>0.16250000000000009</v>
      </c>
      <c r="L392">
        <f t="shared" ca="1" si="74"/>
        <v>48059.73333333333</v>
      </c>
      <c r="M392">
        <f t="shared" ca="1" si="75"/>
        <v>48060</v>
      </c>
      <c r="N392" t="str">
        <f t="shared" ca="1" si="76"/>
        <v>1011101110111100</v>
      </c>
      <c r="O392">
        <f t="shared" ca="1" si="77"/>
        <v>101110111</v>
      </c>
    </row>
    <row r="393" spans="4:15" x14ac:dyDescent="0.25">
      <c r="D393">
        <v>391</v>
      </c>
      <c r="E393">
        <f t="shared" si="67"/>
        <v>59.1</v>
      </c>
      <c r="F393">
        <f t="shared" ca="1" si="68"/>
        <v>70.83</v>
      </c>
      <c r="G393" s="1">
        <f t="shared" si="69"/>
        <v>3.2583333333333329</v>
      </c>
      <c r="H393" s="6">
        <f t="shared" ca="1" si="70"/>
        <v>4.2358333333333329</v>
      </c>
      <c r="I393" s="5">
        <f t="shared" ca="1" si="71"/>
        <v>0.97750000000000004</v>
      </c>
      <c r="J393" s="8">
        <f t="shared" ca="1" si="72"/>
        <v>3.4212499999999997</v>
      </c>
      <c r="K393" s="5">
        <f t="shared" ca="1" si="73"/>
        <v>0.16291666666666682</v>
      </c>
      <c r="L393">
        <f t="shared" ca="1" si="74"/>
        <v>51727.928888888884</v>
      </c>
      <c r="M393">
        <f t="shared" ca="1" si="75"/>
        <v>51728</v>
      </c>
      <c r="N393" t="str">
        <f t="shared" ca="1" si="76"/>
        <v>1100101000010000</v>
      </c>
      <c r="O393">
        <f t="shared" ca="1" si="77"/>
        <v>110010100</v>
      </c>
    </row>
    <row r="394" spans="4:15" x14ac:dyDescent="0.25">
      <c r="D394">
        <v>392</v>
      </c>
      <c r="E394">
        <f t="shared" si="67"/>
        <v>59.2</v>
      </c>
      <c r="F394">
        <f t="shared" ca="1" si="68"/>
        <v>67.040000000000006</v>
      </c>
      <c r="G394" s="1">
        <f t="shared" si="69"/>
        <v>3.2666666666666666</v>
      </c>
      <c r="H394" s="6">
        <f t="shared" ca="1" si="70"/>
        <v>3.92</v>
      </c>
      <c r="I394" s="5">
        <f t="shared" ca="1" si="71"/>
        <v>0.65333333333333332</v>
      </c>
      <c r="J394" s="8">
        <f t="shared" ca="1" si="72"/>
        <v>3.1033333333333331</v>
      </c>
      <c r="K394" s="5">
        <f t="shared" ca="1" si="73"/>
        <v>0.16333333333333355</v>
      </c>
      <c r="L394">
        <f t="shared" ca="1" si="74"/>
        <v>48278.186666666668</v>
      </c>
      <c r="M394">
        <f t="shared" ca="1" si="75"/>
        <v>48278</v>
      </c>
      <c r="N394" t="str">
        <f t="shared" ca="1" si="76"/>
        <v>1011110010010110</v>
      </c>
      <c r="O394">
        <f t="shared" ca="1" si="77"/>
        <v>101111001</v>
      </c>
    </row>
    <row r="395" spans="4:15" x14ac:dyDescent="0.25">
      <c r="D395">
        <v>393</v>
      </c>
      <c r="E395">
        <f t="shared" si="67"/>
        <v>59.300000000000004</v>
      </c>
      <c r="F395">
        <f t="shared" ca="1" si="68"/>
        <v>43.580000000000005</v>
      </c>
      <c r="G395" s="1">
        <f t="shared" si="69"/>
        <v>3.2749999999999995</v>
      </c>
      <c r="H395" s="6">
        <f t="shared" ca="1" si="70"/>
        <v>1.9650000000000001</v>
      </c>
      <c r="I395" s="5">
        <f t="shared" ca="1" si="71"/>
        <v>1.3099999999999994</v>
      </c>
      <c r="J395" s="8">
        <f t="shared" ca="1" si="72"/>
        <v>3.4387499999999998</v>
      </c>
      <c r="K395" s="5">
        <f t="shared" ca="1" si="73"/>
        <v>0.16375000000000028</v>
      </c>
      <c r="L395">
        <f t="shared" ca="1" si="74"/>
        <v>26924.373333333333</v>
      </c>
      <c r="M395">
        <f t="shared" ca="1" si="75"/>
        <v>26924</v>
      </c>
      <c r="N395" t="str">
        <f t="shared" ca="1" si="76"/>
        <v>0110100100101100</v>
      </c>
      <c r="O395">
        <f t="shared" ca="1" si="77"/>
        <v>11010010</v>
      </c>
    </row>
    <row r="396" spans="4:15" x14ac:dyDescent="0.25">
      <c r="D396">
        <v>394</v>
      </c>
      <c r="E396">
        <f t="shared" si="67"/>
        <v>59.400000000000006</v>
      </c>
      <c r="F396">
        <f t="shared" ca="1" si="68"/>
        <v>39.700000000000003</v>
      </c>
      <c r="G396" s="1">
        <f t="shared" si="69"/>
        <v>3.2833333333333332</v>
      </c>
      <c r="H396" s="6">
        <f t="shared" ca="1" si="70"/>
        <v>1.6416666666666668</v>
      </c>
      <c r="I396" s="5">
        <f t="shared" ca="1" si="71"/>
        <v>1.6416666666666664</v>
      </c>
      <c r="J396" s="8">
        <f t="shared" ca="1" si="72"/>
        <v>3.1191666666666662</v>
      </c>
      <c r="K396" s="5">
        <f t="shared" ca="1" si="73"/>
        <v>0.16416666666666702</v>
      </c>
      <c r="L396">
        <f t="shared" ca="1" si="74"/>
        <v>23392.711111111112</v>
      </c>
      <c r="M396">
        <f t="shared" ca="1" si="75"/>
        <v>23393</v>
      </c>
      <c r="N396" t="str">
        <f t="shared" ca="1" si="76"/>
        <v>0101101101100001</v>
      </c>
      <c r="O396">
        <f t="shared" ca="1" si="77"/>
        <v>10110110</v>
      </c>
    </row>
    <row r="397" spans="4:15" x14ac:dyDescent="0.25">
      <c r="D397">
        <v>395</v>
      </c>
      <c r="E397">
        <f t="shared" si="67"/>
        <v>59.5</v>
      </c>
      <c r="F397">
        <f t="shared" ca="1" si="68"/>
        <v>63.45</v>
      </c>
      <c r="G397" s="1">
        <f t="shared" si="69"/>
        <v>3.2916666666666661</v>
      </c>
      <c r="H397" s="6">
        <f t="shared" ca="1" si="70"/>
        <v>3.6208333333333327</v>
      </c>
      <c r="I397" s="5">
        <f t="shared" ca="1" si="71"/>
        <v>0.32916666666666661</v>
      </c>
      <c r="J397" s="8">
        <f t="shared" ca="1" si="72"/>
        <v>3.1270833333333328</v>
      </c>
      <c r="K397" s="5">
        <f t="shared" ca="1" si="73"/>
        <v>0.1645833333333333</v>
      </c>
      <c r="L397">
        <f t="shared" ca="1" si="74"/>
        <v>45010.488888888882</v>
      </c>
      <c r="M397">
        <f t="shared" ca="1" si="75"/>
        <v>45010</v>
      </c>
      <c r="N397" t="str">
        <f t="shared" ca="1" si="76"/>
        <v>1010111111010010</v>
      </c>
      <c r="O397">
        <f t="shared" ca="1" si="77"/>
        <v>101011111</v>
      </c>
    </row>
    <row r="398" spans="4:15" x14ac:dyDescent="0.25">
      <c r="D398">
        <v>396</v>
      </c>
      <c r="E398">
        <f t="shared" si="67"/>
        <v>59.6</v>
      </c>
      <c r="F398">
        <f t="shared" ca="1" si="68"/>
        <v>75.44</v>
      </c>
      <c r="G398" s="1">
        <f t="shared" si="69"/>
        <v>3.3</v>
      </c>
      <c r="H398" s="6">
        <f t="shared" ca="1" si="70"/>
        <v>4.6199999999999992</v>
      </c>
      <c r="I398" s="5">
        <f t="shared" ca="1" si="71"/>
        <v>1.3199999999999994</v>
      </c>
      <c r="J398" s="8">
        <f t="shared" ca="1" si="72"/>
        <v>3.4649999999999999</v>
      </c>
      <c r="K398" s="5">
        <f t="shared" ca="1" si="73"/>
        <v>0.16500000000000004</v>
      </c>
      <c r="L398">
        <f t="shared" ca="1" si="74"/>
        <v>55924.053333333322</v>
      </c>
      <c r="M398">
        <f t="shared" ca="1" si="75"/>
        <v>55924</v>
      </c>
      <c r="N398" t="str">
        <f t="shared" ca="1" si="76"/>
        <v>1101101001110100</v>
      </c>
      <c r="O398">
        <f t="shared" ca="1" si="77"/>
        <v>110110100</v>
      </c>
    </row>
    <row r="399" spans="4:15" x14ac:dyDescent="0.25">
      <c r="D399">
        <v>397</v>
      </c>
      <c r="E399">
        <f t="shared" si="67"/>
        <v>59.7</v>
      </c>
      <c r="F399">
        <f t="shared" ca="1" si="68"/>
        <v>39.85</v>
      </c>
      <c r="G399" s="1">
        <f t="shared" si="69"/>
        <v>3.3083333333333327</v>
      </c>
      <c r="H399" s="6">
        <f t="shared" ca="1" si="70"/>
        <v>1.6541666666666666</v>
      </c>
      <c r="I399" s="5">
        <f t="shared" ca="1" si="71"/>
        <v>1.6541666666666661</v>
      </c>
      <c r="J399" s="8">
        <f t="shared" ca="1" si="72"/>
        <v>3.1429166666666659</v>
      </c>
      <c r="K399" s="5">
        <f t="shared" ca="1" si="73"/>
        <v>0.16541666666666677</v>
      </c>
      <c r="L399">
        <f t="shared" ca="1" si="74"/>
        <v>23529.244444444445</v>
      </c>
      <c r="M399">
        <f t="shared" ca="1" si="75"/>
        <v>23529</v>
      </c>
      <c r="N399" t="str">
        <f t="shared" ca="1" si="76"/>
        <v>0101101111101001</v>
      </c>
      <c r="O399">
        <f t="shared" ca="1" si="77"/>
        <v>10110111</v>
      </c>
    </row>
    <row r="400" spans="4:15" x14ac:dyDescent="0.25">
      <c r="D400">
        <v>398</v>
      </c>
      <c r="E400">
        <f t="shared" si="67"/>
        <v>59.800000000000004</v>
      </c>
      <c r="F400">
        <f t="shared" ca="1" si="68"/>
        <v>43.88</v>
      </c>
      <c r="G400" s="1">
        <f t="shared" si="69"/>
        <v>3.3166666666666664</v>
      </c>
      <c r="H400" s="6">
        <f t="shared" ca="1" si="70"/>
        <v>1.99</v>
      </c>
      <c r="I400" s="5">
        <f t="shared" ca="1" si="71"/>
        <v>1.3266666666666664</v>
      </c>
      <c r="J400" s="8">
        <f t="shared" ca="1" si="72"/>
        <v>3.4824999999999999</v>
      </c>
      <c r="K400" s="5">
        <f t="shared" ca="1" si="73"/>
        <v>0.1658333333333335</v>
      </c>
      <c r="L400">
        <f t="shared" ca="1" si="74"/>
        <v>27197.440000000002</v>
      </c>
      <c r="M400">
        <f t="shared" ca="1" si="75"/>
        <v>27197</v>
      </c>
      <c r="N400" t="str">
        <f t="shared" ca="1" si="76"/>
        <v>0110101000111101</v>
      </c>
      <c r="O400">
        <f t="shared" ca="1" si="77"/>
        <v>11010100</v>
      </c>
    </row>
    <row r="401" spans="4:15" x14ac:dyDescent="0.25">
      <c r="D401">
        <v>399</v>
      </c>
      <c r="E401">
        <f t="shared" si="67"/>
        <v>59.900000000000006</v>
      </c>
      <c r="F401">
        <f t="shared" ca="1" si="68"/>
        <v>47.930000000000007</v>
      </c>
      <c r="G401" s="1">
        <f t="shared" si="69"/>
        <v>3.3250000000000002</v>
      </c>
      <c r="H401" s="6">
        <f t="shared" ca="1" si="70"/>
        <v>2.3275000000000006</v>
      </c>
      <c r="I401" s="5">
        <f t="shared" ca="1" si="71"/>
        <v>0.99749999999999961</v>
      </c>
      <c r="J401" s="8">
        <f t="shared" ca="1" si="72"/>
        <v>3.4912500000000004</v>
      </c>
      <c r="K401" s="5">
        <f t="shared" ca="1" si="73"/>
        <v>0.16625000000000023</v>
      </c>
      <c r="L401">
        <f t="shared" ca="1" si="74"/>
        <v>30883.840000000007</v>
      </c>
      <c r="M401">
        <f t="shared" ca="1" si="75"/>
        <v>30884</v>
      </c>
      <c r="N401" t="str">
        <f t="shared" ca="1" si="76"/>
        <v>0111100010100100</v>
      </c>
      <c r="O401">
        <f t="shared" ca="1" si="77"/>
        <v>11110001</v>
      </c>
    </row>
    <row r="402" spans="4:15" x14ac:dyDescent="0.25">
      <c r="D402">
        <v>400</v>
      </c>
      <c r="E402">
        <f t="shared" si="67"/>
        <v>60</v>
      </c>
      <c r="F402">
        <f t="shared" ca="1" si="68"/>
        <v>56</v>
      </c>
      <c r="G402" s="1">
        <f t="shared" si="69"/>
        <v>3.333333333333333</v>
      </c>
      <c r="H402" s="6">
        <f t="shared" ca="1" si="70"/>
        <v>2.9999999999999991</v>
      </c>
      <c r="I402" s="5">
        <f t="shared" ca="1" si="71"/>
        <v>0.33333333333333393</v>
      </c>
      <c r="J402" s="8">
        <f t="shared" ca="1" si="72"/>
        <v>3.1666666666666661</v>
      </c>
      <c r="K402" s="5">
        <f t="shared" ca="1" si="73"/>
        <v>0.16666666666666696</v>
      </c>
      <c r="L402">
        <f t="shared" ca="1" si="74"/>
        <v>38229.333333333321</v>
      </c>
      <c r="M402">
        <f t="shared" ca="1" si="75"/>
        <v>38229</v>
      </c>
      <c r="N402" t="str">
        <f t="shared" ca="1" si="76"/>
        <v>1001010101010101</v>
      </c>
      <c r="O402">
        <f t="shared" ca="1" si="77"/>
        <v>100101010</v>
      </c>
    </row>
    <row r="403" spans="4:15" x14ac:dyDescent="0.25">
      <c r="D403">
        <v>401</v>
      </c>
      <c r="E403">
        <f t="shared" si="67"/>
        <v>60.1</v>
      </c>
      <c r="F403">
        <f t="shared" ca="1" si="68"/>
        <v>68.12</v>
      </c>
      <c r="G403" s="1">
        <f t="shared" si="69"/>
        <v>3.3416666666666659</v>
      </c>
      <c r="H403" s="6">
        <f t="shared" ca="1" si="70"/>
        <v>4.01</v>
      </c>
      <c r="I403" s="5">
        <f t="shared" ca="1" si="71"/>
        <v>0.66833333333333389</v>
      </c>
      <c r="J403" s="8">
        <f t="shared" ca="1" si="72"/>
        <v>3.5087499999999991</v>
      </c>
      <c r="K403" s="5">
        <f t="shared" ca="1" si="73"/>
        <v>0.16708333333333325</v>
      </c>
      <c r="L403">
        <f t="shared" ca="1" si="74"/>
        <v>49261.226666666662</v>
      </c>
      <c r="M403">
        <f t="shared" ca="1" si="75"/>
        <v>49261</v>
      </c>
      <c r="N403" t="str">
        <f t="shared" ca="1" si="76"/>
        <v>1100000001101101</v>
      </c>
      <c r="O403">
        <f t="shared" ca="1" si="77"/>
        <v>110000000</v>
      </c>
    </row>
    <row r="404" spans="4:15" x14ac:dyDescent="0.25">
      <c r="D404">
        <v>402</v>
      </c>
      <c r="E404">
        <f t="shared" si="67"/>
        <v>60.2</v>
      </c>
      <c r="F404">
        <f t="shared" ca="1" si="68"/>
        <v>52.160000000000004</v>
      </c>
      <c r="G404" s="1">
        <f t="shared" si="69"/>
        <v>3.3499999999999996</v>
      </c>
      <c r="H404" s="6">
        <f t="shared" ca="1" si="70"/>
        <v>2.6799999999999997</v>
      </c>
      <c r="I404" s="5">
        <f t="shared" ca="1" si="71"/>
        <v>0.66999999999999993</v>
      </c>
      <c r="J404" s="8">
        <f t="shared" ca="1" si="72"/>
        <v>3.1824999999999997</v>
      </c>
      <c r="K404" s="5">
        <f t="shared" ca="1" si="73"/>
        <v>0.16749999999999998</v>
      </c>
      <c r="L404">
        <f t="shared" ca="1" si="74"/>
        <v>34734.079999999994</v>
      </c>
      <c r="M404">
        <f t="shared" ca="1" si="75"/>
        <v>34734</v>
      </c>
      <c r="N404" t="str">
        <f t="shared" ca="1" si="76"/>
        <v>1000011110101110</v>
      </c>
      <c r="O404">
        <f t="shared" ca="1" si="77"/>
        <v>100001111</v>
      </c>
    </row>
    <row r="405" spans="4:15" x14ac:dyDescent="0.25">
      <c r="D405">
        <v>403</v>
      </c>
      <c r="E405">
        <f t="shared" si="67"/>
        <v>60.300000000000004</v>
      </c>
      <c r="F405">
        <f t="shared" ca="1" si="68"/>
        <v>52.24</v>
      </c>
      <c r="G405" s="1">
        <f t="shared" si="69"/>
        <v>3.3583333333333334</v>
      </c>
      <c r="H405" s="6">
        <f t="shared" ca="1" si="70"/>
        <v>2.6866666666666665</v>
      </c>
      <c r="I405" s="5">
        <f t="shared" ca="1" si="71"/>
        <v>0.67166666666666686</v>
      </c>
      <c r="J405" s="8">
        <f t="shared" ca="1" si="72"/>
        <v>3.5262500000000001</v>
      </c>
      <c r="K405" s="5">
        <f t="shared" ca="1" si="73"/>
        <v>0.16791666666666671</v>
      </c>
      <c r="L405">
        <f t="shared" ca="1" si="74"/>
        <v>34806.897777777776</v>
      </c>
      <c r="M405">
        <f t="shared" ca="1" si="75"/>
        <v>34807</v>
      </c>
      <c r="N405" t="str">
        <f t="shared" ca="1" si="76"/>
        <v>1000011111110111</v>
      </c>
      <c r="O405">
        <f t="shared" ca="1" si="77"/>
        <v>100001111</v>
      </c>
    </row>
    <row r="406" spans="4:15" x14ac:dyDescent="0.25">
      <c r="D406">
        <v>404</v>
      </c>
      <c r="E406">
        <f t="shared" si="67"/>
        <v>60.400000000000006</v>
      </c>
      <c r="F406">
        <f t="shared" ca="1" si="68"/>
        <v>76.56</v>
      </c>
      <c r="G406" s="1">
        <f t="shared" si="69"/>
        <v>3.3666666666666663</v>
      </c>
      <c r="H406" s="6">
        <f t="shared" ca="1" si="70"/>
        <v>4.7133333333333329</v>
      </c>
      <c r="I406" s="5">
        <f t="shared" ca="1" si="71"/>
        <v>1.3466666666666667</v>
      </c>
      <c r="J406" s="8">
        <f t="shared" ca="1" si="72"/>
        <v>3.1983333333333328</v>
      </c>
      <c r="K406" s="5">
        <f t="shared" ca="1" si="73"/>
        <v>0.16833333333333345</v>
      </c>
      <c r="L406">
        <f t="shared" ca="1" si="74"/>
        <v>56943.502222222218</v>
      </c>
      <c r="M406">
        <f t="shared" ca="1" si="75"/>
        <v>56944</v>
      </c>
      <c r="N406" t="str">
        <f t="shared" ca="1" si="76"/>
        <v>1101111001110000</v>
      </c>
      <c r="O406">
        <f t="shared" ca="1" si="77"/>
        <v>110111100</v>
      </c>
    </row>
    <row r="407" spans="4:15" x14ac:dyDescent="0.25">
      <c r="D407">
        <v>405</v>
      </c>
      <c r="E407">
        <f t="shared" si="67"/>
        <v>60.5</v>
      </c>
      <c r="F407">
        <f t="shared" ca="1" si="68"/>
        <v>40.25</v>
      </c>
      <c r="G407" s="1">
        <f t="shared" si="69"/>
        <v>3.3749999999999991</v>
      </c>
      <c r="H407" s="6">
        <f t="shared" ca="1" si="70"/>
        <v>1.6874999999999998</v>
      </c>
      <c r="I407" s="5">
        <f t="shared" ca="1" si="71"/>
        <v>1.6874999999999993</v>
      </c>
      <c r="J407" s="8">
        <f t="shared" ca="1" si="72"/>
        <v>3.2062499999999989</v>
      </c>
      <c r="K407" s="5">
        <f t="shared" ca="1" si="73"/>
        <v>0.16875000000000018</v>
      </c>
      <c r="L407">
        <f t="shared" ca="1" si="74"/>
        <v>23893.333333333332</v>
      </c>
      <c r="M407">
        <f t="shared" ca="1" si="75"/>
        <v>23893</v>
      </c>
      <c r="N407" t="str">
        <f t="shared" ca="1" si="76"/>
        <v>0101110101010101</v>
      </c>
      <c r="O407">
        <f t="shared" ca="1" si="77"/>
        <v>10111010</v>
      </c>
    </row>
    <row r="408" spans="4:15" x14ac:dyDescent="0.25">
      <c r="D408">
        <v>406</v>
      </c>
      <c r="E408">
        <f t="shared" si="67"/>
        <v>60.6</v>
      </c>
      <c r="F408">
        <f t="shared" ca="1" si="68"/>
        <v>68.72</v>
      </c>
      <c r="G408" s="1">
        <f t="shared" si="69"/>
        <v>3.3833333333333329</v>
      </c>
      <c r="H408" s="6">
        <f t="shared" ca="1" si="70"/>
        <v>4.0599999999999996</v>
      </c>
      <c r="I408" s="5">
        <f t="shared" ca="1" si="71"/>
        <v>0.67666666666666675</v>
      </c>
      <c r="J408" s="8">
        <f t="shared" ca="1" si="72"/>
        <v>3.214166666666666</v>
      </c>
      <c r="K408" s="5">
        <f t="shared" ca="1" si="73"/>
        <v>0.16916666666666691</v>
      </c>
      <c r="L408">
        <f t="shared" ca="1" si="74"/>
        <v>49807.359999999993</v>
      </c>
      <c r="M408">
        <f t="shared" ca="1" si="75"/>
        <v>49807</v>
      </c>
      <c r="N408" t="str">
        <f t="shared" ca="1" si="76"/>
        <v>1100001010001111</v>
      </c>
      <c r="O408">
        <f t="shared" ca="1" si="77"/>
        <v>110000101</v>
      </c>
    </row>
    <row r="409" spans="4:15" x14ac:dyDescent="0.25">
      <c r="D409">
        <v>407</v>
      </c>
      <c r="E409">
        <f t="shared" si="67"/>
        <v>60.7</v>
      </c>
      <c r="F409">
        <f t="shared" ca="1" si="68"/>
        <v>64.77000000000001</v>
      </c>
      <c r="G409" s="1">
        <f t="shared" si="69"/>
        <v>3.3916666666666666</v>
      </c>
      <c r="H409" s="6">
        <f t="shared" ca="1" si="70"/>
        <v>3.7308333333333339</v>
      </c>
      <c r="I409" s="5">
        <f t="shared" ca="1" si="71"/>
        <v>0.33916666666666728</v>
      </c>
      <c r="J409" s="8">
        <f t="shared" ca="1" si="72"/>
        <v>3.222083333333333</v>
      </c>
      <c r="K409" s="5">
        <f t="shared" ca="1" si="73"/>
        <v>0.16958333333333364</v>
      </c>
      <c r="L409">
        <f t="shared" ca="1" si="74"/>
        <v>46211.982222222228</v>
      </c>
      <c r="M409">
        <f t="shared" ca="1" si="75"/>
        <v>46212</v>
      </c>
      <c r="N409" t="str">
        <f t="shared" ca="1" si="76"/>
        <v>1011010010000100</v>
      </c>
      <c r="O409">
        <f t="shared" ca="1" si="77"/>
        <v>101101001</v>
      </c>
    </row>
    <row r="410" spans="4:15" x14ac:dyDescent="0.25">
      <c r="D410">
        <v>408</v>
      </c>
      <c r="E410">
        <f t="shared" si="67"/>
        <v>60.800000000000004</v>
      </c>
      <c r="F410">
        <f t="shared" ca="1" si="68"/>
        <v>73.040000000000006</v>
      </c>
      <c r="G410" s="1">
        <f t="shared" si="69"/>
        <v>3.3999999999999995</v>
      </c>
      <c r="H410" s="6">
        <f t="shared" ca="1" si="70"/>
        <v>4.42</v>
      </c>
      <c r="I410" s="5">
        <f t="shared" ca="1" si="71"/>
        <v>1.0200000000000005</v>
      </c>
      <c r="J410" s="8">
        <f t="shared" ca="1" si="72"/>
        <v>3.5699999999999994</v>
      </c>
      <c r="K410" s="5">
        <f t="shared" ca="1" si="73"/>
        <v>0.16999999999999993</v>
      </c>
      <c r="L410">
        <f t="shared" ca="1" si="74"/>
        <v>53739.519999999997</v>
      </c>
      <c r="M410">
        <f t="shared" ca="1" si="75"/>
        <v>53740</v>
      </c>
      <c r="N410" t="str">
        <f t="shared" ca="1" si="76"/>
        <v>1101000111101100</v>
      </c>
      <c r="O410">
        <f t="shared" ca="1" si="77"/>
        <v>110100011</v>
      </c>
    </row>
    <row r="411" spans="4:15" x14ac:dyDescent="0.25">
      <c r="D411">
        <v>409</v>
      </c>
      <c r="E411">
        <f t="shared" si="67"/>
        <v>60.900000000000006</v>
      </c>
      <c r="F411">
        <f t="shared" ca="1" si="68"/>
        <v>81.350000000000009</v>
      </c>
      <c r="G411" s="1">
        <f t="shared" si="69"/>
        <v>3.4083333333333332</v>
      </c>
      <c r="H411" s="6">
        <f t="shared" ca="1" si="70"/>
        <v>5.1124999999999998</v>
      </c>
      <c r="I411" s="5">
        <f t="shared" ca="1" si="71"/>
        <v>1.7041666666666666</v>
      </c>
      <c r="J411" s="8">
        <f t="shared" ca="1" si="72"/>
        <v>3.2379166666666666</v>
      </c>
      <c r="K411" s="5">
        <f t="shared" ca="1" si="73"/>
        <v>0.17041666666666666</v>
      </c>
      <c r="L411">
        <f t="shared" ca="1" si="74"/>
        <v>61303.466666666667</v>
      </c>
      <c r="M411">
        <f t="shared" ca="1" si="75"/>
        <v>61303</v>
      </c>
      <c r="N411" t="str">
        <f t="shared" ca="1" si="76"/>
        <v>1110111101110111</v>
      </c>
      <c r="O411">
        <f t="shared" ca="1" si="77"/>
        <v>111011110</v>
      </c>
    </row>
    <row r="412" spans="4:15" x14ac:dyDescent="0.25">
      <c r="D412">
        <v>410</v>
      </c>
      <c r="E412">
        <f t="shared" si="67"/>
        <v>61</v>
      </c>
      <c r="F412">
        <f t="shared" ca="1" si="68"/>
        <v>40.5</v>
      </c>
      <c r="G412" s="1">
        <f t="shared" si="69"/>
        <v>3.4166666666666661</v>
      </c>
      <c r="H412" s="6">
        <f t="shared" ca="1" si="70"/>
        <v>1.7083333333333333</v>
      </c>
      <c r="I412" s="5">
        <f t="shared" ca="1" si="71"/>
        <v>1.7083333333333328</v>
      </c>
      <c r="J412" s="8">
        <f t="shared" ca="1" si="72"/>
        <v>3.5874999999999995</v>
      </c>
      <c r="K412" s="5">
        <f t="shared" ca="1" si="73"/>
        <v>0.17083333333333339</v>
      </c>
      <c r="L412">
        <f t="shared" ca="1" si="74"/>
        <v>24120.888888888887</v>
      </c>
      <c r="M412">
        <f t="shared" ca="1" si="75"/>
        <v>24121</v>
      </c>
      <c r="N412" t="str">
        <f t="shared" ca="1" si="76"/>
        <v>0101111000111001</v>
      </c>
      <c r="O412">
        <f t="shared" ca="1" si="77"/>
        <v>10111100</v>
      </c>
    </row>
    <row r="413" spans="4:15" x14ac:dyDescent="0.25">
      <c r="D413">
        <v>411</v>
      </c>
      <c r="E413">
        <f t="shared" si="67"/>
        <v>61.1</v>
      </c>
      <c r="F413">
        <f t="shared" ca="1" si="68"/>
        <v>61.1</v>
      </c>
      <c r="G413" s="1">
        <f t="shared" si="69"/>
        <v>3.4249999999999998</v>
      </c>
      <c r="H413" s="6">
        <f t="shared" ca="1" si="70"/>
        <v>3.4249999999999998</v>
      </c>
      <c r="I413" s="5">
        <f t="shared" ca="1" si="71"/>
        <v>0</v>
      </c>
      <c r="J413" s="8">
        <f t="shared" ca="1" si="72"/>
        <v>3.2537499999999997</v>
      </c>
      <c r="K413" s="5">
        <f t="shared" ca="1" si="73"/>
        <v>0.17125000000000012</v>
      </c>
      <c r="L413">
        <f t="shared" ca="1" si="74"/>
        <v>42871.466666666667</v>
      </c>
      <c r="M413">
        <f t="shared" ca="1" si="75"/>
        <v>42871</v>
      </c>
      <c r="N413" t="str">
        <f t="shared" ca="1" si="76"/>
        <v>1010011101110111</v>
      </c>
      <c r="O413">
        <f t="shared" ca="1" si="77"/>
        <v>101001110</v>
      </c>
    </row>
    <row r="414" spans="4:15" x14ac:dyDescent="0.25">
      <c r="D414">
        <v>412</v>
      </c>
      <c r="E414">
        <f t="shared" si="67"/>
        <v>61.2</v>
      </c>
      <c r="F414">
        <f t="shared" ca="1" si="68"/>
        <v>73.56</v>
      </c>
      <c r="G414" s="1">
        <f t="shared" si="69"/>
        <v>3.4333333333333327</v>
      </c>
      <c r="H414" s="6">
        <f t="shared" ca="1" si="70"/>
        <v>4.4633333333333329</v>
      </c>
      <c r="I414" s="5">
        <f t="shared" ca="1" si="71"/>
        <v>1.0300000000000002</v>
      </c>
      <c r="J414" s="8">
        <f t="shared" ca="1" si="72"/>
        <v>3.6049999999999995</v>
      </c>
      <c r="K414" s="5">
        <f t="shared" ca="1" si="73"/>
        <v>0.17166666666666686</v>
      </c>
      <c r="L414">
        <f t="shared" ca="1" si="74"/>
        <v>54212.835555555554</v>
      </c>
      <c r="M414">
        <f t="shared" ca="1" si="75"/>
        <v>54213</v>
      </c>
      <c r="N414" t="str">
        <f t="shared" ca="1" si="76"/>
        <v>1101001111000101</v>
      </c>
      <c r="O414">
        <f t="shared" ca="1" si="77"/>
        <v>110100111</v>
      </c>
    </row>
    <row r="415" spans="4:15" x14ac:dyDescent="0.25">
      <c r="D415">
        <v>413</v>
      </c>
      <c r="E415">
        <f t="shared" si="67"/>
        <v>61.300000000000004</v>
      </c>
      <c r="F415">
        <f t="shared" ca="1" si="68"/>
        <v>69.56</v>
      </c>
      <c r="G415" s="1">
        <f t="shared" si="69"/>
        <v>3.4416666666666664</v>
      </c>
      <c r="H415" s="6">
        <f t="shared" ca="1" si="70"/>
        <v>4.13</v>
      </c>
      <c r="I415" s="5">
        <f t="shared" ca="1" si="71"/>
        <v>0.68833333333333346</v>
      </c>
      <c r="J415" s="8">
        <f t="shared" ca="1" si="72"/>
        <v>3.61375</v>
      </c>
      <c r="K415" s="5">
        <f t="shared" ca="1" si="73"/>
        <v>0.17208333333333359</v>
      </c>
      <c r="L415">
        <f t="shared" ca="1" si="74"/>
        <v>50571.946666666663</v>
      </c>
      <c r="M415">
        <f t="shared" ca="1" si="75"/>
        <v>50572</v>
      </c>
      <c r="N415" t="str">
        <f t="shared" ca="1" si="76"/>
        <v>1100010110001100</v>
      </c>
      <c r="O415">
        <f t="shared" ca="1" si="77"/>
        <v>110001011</v>
      </c>
    </row>
    <row r="416" spans="4:15" x14ac:dyDescent="0.25">
      <c r="D416">
        <v>414</v>
      </c>
      <c r="E416">
        <f t="shared" si="67"/>
        <v>61.400000000000006</v>
      </c>
      <c r="F416">
        <f t="shared" ca="1" si="68"/>
        <v>77.960000000000008</v>
      </c>
      <c r="G416" s="1">
        <f t="shared" si="69"/>
        <v>3.45</v>
      </c>
      <c r="H416" s="6">
        <f t="shared" ca="1" si="70"/>
        <v>4.83</v>
      </c>
      <c r="I416" s="5">
        <f t="shared" ca="1" si="71"/>
        <v>1.38</v>
      </c>
      <c r="J416" s="8">
        <f t="shared" ca="1" si="72"/>
        <v>3.6225000000000005</v>
      </c>
      <c r="K416" s="5">
        <f t="shared" ca="1" si="73"/>
        <v>0.17250000000000032</v>
      </c>
      <c r="L416">
        <f t="shared" ca="1" si="74"/>
        <v>58217.813333333332</v>
      </c>
      <c r="M416">
        <f t="shared" ca="1" si="75"/>
        <v>58218</v>
      </c>
      <c r="N416" t="str">
        <f t="shared" ca="1" si="76"/>
        <v>1110001101101010</v>
      </c>
      <c r="O416">
        <f t="shared" ca="1" si="77"/>
        <v>111000110</v>
      </c>
    </row>
    <row r="417" spans="4:15" x14ac:dyDescent="0.25">
      <c r="D417">
        <v>415</v>
      </c>
      <c r="E417">
        <f t="shared" si="67"/>
        <v>61.5</v>
      </c>
      <c r="F417">
        <f t="shared" ca="1" si="68"/>
        <v>49.05</v>
      </c>
      <c r="G417" s="1">
        <f t="shared" si="69"/>
        <v>3.458333333333333</v>
      </c>
      <c r="H417" s="6">
        <f t="shared" ca="1" si="70"/>
        <v>2.4208333333333325</v>
      </c>
      <c r="I417" s="5">
        <f t="shared" ca="1" si="71"/>
        <v>1.0375000000000005</v>
      </c>
      <c r="J417" s="8">
        <f t="shared" ca="1" si="72"/>
        <v>3.2854166666666664</v>
      </c>
      <c r="K417" s="5">
        <f t="shared" ca="1" si="73"/>
        <v>0.17291666666666661</v>
      </c>
      <c r="L417">
        <f t="shared" ca="1" si="74"/>
        <v>31903.288888888881</v>
      </c>
      <c r="M417">
        <f t="shared" ca="1" si="75"/>
        <v>31903</v>
      </c>
      <c r="N417" t="str">
        <f t="shared" ca="1" si="76"/>
        <v>0111110010011111</v>
      </c>
      <c r="O417">
        <f t="shared" ca="1" si="77"/>
        <v>11111001</v>
      </c>
    </row>
    <row r="418" spans="4:15" x14ac:dyDescent="0.25">
      <c r="D418">
        <v>416</v>
      </c>
      <c r="E418">
        <f t="shared" si="67"/>
        <v>61.6</v>
      </c>
      <c r="F418">
        <f t="shared" ca="1" si="68"/>
        <v>57.44</v>
      </c>
      <c r="G418" s="1">
        <f t="shared" si="69"/>
        <v>3.4666666666666659</v>
      </c>
      <c r="H418" s="6">
        <f t="shared" ca="1" si="70"/>
        <v>3.1199999999999992</v>
      </c>
      <c r="I418" s="5">
        <f t="shared" ca="1" si="71"/>
        <v>0.34666666666666668</v>
      </c>
      <c r="J418" s="8">
        <f t="shared" ca="1" si="72"/>
        <v>3.6399999999999992</v>
      </c>
      <c r="K418" s="5">
        <f t="shared" ca="1" si="73"/>
        <v>0.17333333333333334</v>
      </c>
      <c r="L418">
        <f t="shared" ca="1" si="74"/>
        <v>39540.053333333322</v>
      </c>
      <c r="M418">
        <f t="shared" ca="1" si="75"/>
        <v>39540</v>
      </c>
      <c r="N418" t="str">
        <f t="shared" ca="1" si="76"/>
        <v>1001101001110100</v>
      </c>
      <c r="O418">
        <f t="shared" ca="1" si="77"/>
        <v>100110100</v>
      </c>
    </row>
    <row r="419" spans="4:15" x14ac:dyDescent="0.25">
      <c r="D419">
        <v>417</v>
      </c>
      <c r="E419">
        <f t="shared" si="67"/>
        <v>61.7</v>
      </c>
      <c r="F419">
        <f t="shared" ca="1" si="68"/>
        <v>82.550000000000011</v>
      </c>
      <c r="G419" s="1">
        <f t="shared" si="69"/>
        <v>3.4749999999999996</v>
      </c>
      <c r="H419" s="6">
        <f t="shared" ca="1" si="70"/>
        <v>5.2125000000000004</v>
      </c>
      <c r="I419" s="5">
        <f t="shared" ca="1" si="71"/>
        <v>1.7375000000000007</v>
      </c>
      <c r="J419" s="8">
        <f t="shared" ca="1" si="72"/>
        <v>3.6487499999999997</v>
      </c>
      <c r="K419" s="5">
        <f t="shared" ca="1" si="73"/>
        <v>0.17375000000000007</v>
      </c>
      <c r="L419">
        <f t="shared" ca="1" si="74"/>
        <v>62395.733333333337</v>
      </c>
      <c r="M419">
        <f t="shared" ca="1" si="75"/>
        <v>62396</v>
      </c>
      <c r="N419" t="str">
        <f t="shared" ca="1" si="76"/>
        <v>1111001110111100</v>
      </c>
      <c r="O419">
        <f t="shared" ca="1" si="77"/>
        <v>111100111</v>
      </c>
    </row>
    <row r="420" spans="4:15" x14ac:dyDescent="0.25">
      <c r="D420">
        <v>418</v>
      </c>
      <c r="E420">
        <f t="shared" si="67"/>
        <v>61.800000000000004</v>
      </c>
      <c r="F420">
        <f t="shared" ca="1" si="68"/>
        <v>74.34</v>
      </c>
      <c r="G420" s="1">
        <f t="shared" si="69"/>
        <v>3.4833333333333334</v>
      </c>
      <c r="H420" s="6">
        <f t="shared" ca="1" si="70"/>
        <v>4.5283333333333333</v>
      </c>
      <c r="I420" s="5">
        <f t="shared" ca="1" si="71"/>
        <v>1.0449999999999999</v>
      </c>
      <c r="J420" s="8">
        <f t="shared" ca="1" si="72"/>
        <v>3.6575000000000002</v>
      </c>
      <c r="K420" s="5">
        <f t="shared" ca="1" si="73"/>
        <v>0.1741666666666668</v>
      </c>
      <c r="L420">
        <f t="shared" ca="1" si="74"/>
        <v>54922.808888888889</v>
      </c>
      <c r="M420">
        <f t="shared" ca="1" si="75"/>
        <v>54923</v>
      </c>
      <c r="N420" t="str">
        <f t="shared" ca="1" si="76"/>
        <v>1101011010001011</v>
      </c>
      <c r="O420">
        <f t="shared" ca="1" si="77"/>
        <v>110101101</v>
      </c>
    </row>
    <row r="421" spans="4:15" x14ac:dyDescent="0.25">
      <c r="D421">
        <v>419</v>
      </c>
      <c r="E421">
        <f t="shared" si="67"/>
        <v>61.900000000000006</v>
      </c>
      <c r="F421">
        <f t="shared" ca="1" si="68"/>
        <v>66.09</v>
      </c>
      <c r="G421" s="1">
        <f t="shared" si="69"/>
        <v>3.4916666666666663</v>
      </c>
      <c r="H421" s="6">
        <f t="shared" ca="1" si="70"/>
        <v>3.8408333333333333</v>
      </c>
      <c r="I421" s="5">
        <f t="shared" ca="1" si="71"/>
        <v>0.34916666666666707</v>
      </c>
      <c r="J421" s="8">
        <f t="shared" ca="1" si="72"/>
        <v>3.3170833333333327</v>
      </c>
      <c r="K421" s="5">
        <f t="shared" ca="1" si="73"/>
        <v>0.17458333333333353</v>
      </c>
      <c r="L421">
        <f t="shared" ca="1" si="74"/>
        <v>47413.475555555553</v>
      </c>
      <c r="M421">
        <f t="shared" ca="1" si="75"/>
        <v>47413</v>
      </c>
      <c r="N421" t="str">
        <f t="shared" ca="1" si="76"/>
        <v>1011100100110101</v>
      </c>
      <c r="O421">
        <f t="shared" ca="1" si="77"/>
        <v>101110010</v>
      </c>
    </row>
    <row r="422" spans="4:15" x14ac:dyDescent="0.25">
      <c r="D422">
        <v>420</v>
      </c>
      <c r="E422">
        <f t="shared" si="67"/>
        <v>62</v>
      </c>
      <c r="F422">
        <f t="shared" ca="1" si="68"/>
        <v>62</v>
      </c>
      <c r="G422" s="1">
        <f t="shared" si="69"/>
        <v>3.4999999999999991</v>
      </c>
      <c r="H422" s="6">
        <f t="shared" ca="1" si="70"/>
        <v>3.4999999999999991</v>
      </c>
      <c r="I422" s="5">
        <f t="shared" ca="1" si="71"/>
        <v>0</v>
      </c>
      <c r="J422" s="8">
        <f t="shared" ca="1" si="72"/>
        <v>3.6749999999999994</v>
      </c>
      <c r="K422" s="5">
        <f t="shared" ca="1" si="73"/>
        <v>0.17500000000000027</v>
      </c>
      <c r="L422">
        <f t="shared" ca="1" si="74"/>
        <v>43690.666666666657</v>
      </c>
      <c r="M422">
        <f t="shared" ca="1" si="75"/>
        <v>43691</v>
      </c>
      <c r="N422" t="str">
        <f t="shared" ca="1" si="76"/>
        <v>1010101010101011</v>
      </c>
      <c r="O422">
        <f t="shared" ca="1" si="77"/>
        <v>101010101</v>
      </c>
    </row>
    <row r="423" spans="4:15" x14ac:dyDescent="0.25">
      <c r="D423">
        <v>421</v>
      </c>
      <c r="E423">
        <f t="shared" si="67"/>
        <v>62.1</v>
      </c>
      <c r="F423">
        <f t="shared" ca="1" si="68"/>
        <v>57.89</v>
      </c>
      <c r="G423" s="1">
        <f t="shared" si="69"/>
        <v>3.5083333333333329</v>
      </c>
      <c r="H423" s="6">
        <f t="shared" ca="1" si="70"/>
        <v>3.1574999999999998</v>
      </c>
      <c r="I423" s="5">
        <f t="shared" ca="1" si="71"/>
        <v>0.35083333333333311</v>
      </c>
      <c r="J423" s="8">
        <f t="shared" ca="1" si="72"/>
        <v>3.6837499999999999</v>
      </c>
      <c r="K423" s="5">
        <f t="shared" ca="1" si="73"/>
        <v>0.175416666666667</v>
      </c>
      <c r="L423">
        <f t="shared" ca="1" si="74"/>
        <v>39949.653333333328</v>
      </c>
      <c r="M423">
        <f t="shared" ca="1" si="75"/>
        <v>39950</v>
      </c>
      <c r="N423" t="str">
        <f t="shared" ca="1" si="76"/>
        <v>1001110000001110</v>
      </c>
      <c r="O423">
        <f t="shared" ca="1" si="77"/>
        <v>100111000</v>
      </c>
    </row>
    <row r="424" spans="4:15" x14ac:dyDescent="0.25">
      <c r="D424">
        <v>422</v>
      </c>
      <c r="E424">
        <f t="shared" si="67"/>
        <v>62.2</v>
      </c>
      <c r="F424">
        <f t="shared" ca="1" si="68"/>
        <v>83.300000000000011</v>
      </c>
      <c r="G424" s="1">
        <f t="shared" si="69"/>
        <v>3.5166666666666666</v>
      </c>
      <c r="H424" s="6">
        <f t="shared" ca="1" si="70"/>
        <v>5.2750000000000004</v>
      </c>
      <c r="I424" s="5">
        <f t="shared" ca="1" si="71"/>
        <v>1.7583333333333337</v>
      </c>
      <c r="J424" s="8">
        <f t="shared" ca="1" si="72"/>
        <v>3.3408333333333333</v>
      </c>
      <c r="K424" s="5">
        <f t="shared" ca="1" si="73"/>
        <v>0.17583333333333329</v>
      </c>
      <c r="L424">
        <f t="shared" ca="1" si="74"/>
        <v>63078.400000000001</v>
      </c>
      <c r="M424">
        <f t="shared" ca="1" si="75"/>
        <v>63078</v>
      </c>
      <c r="N424" t="str">
        <f t="shared" ca="1" si="76"/>
        <v>1111011001100110</v>
      </c>
      <c r="O424">
        <f t="shared" ca="1" si="77"/>
        <v>111101100</v>
      </c>
    </row>
    <row r="425" spans="4:15" x14ac:dyDescent="0.25">
      <c r="D425">
        <v>423</v>
      </c>
      <c r="E425">
        <f t="shared" si="67"/>
        <v>62.300000000000004</v>
      </c>
      <c r="F425">
        <f t="shared" ca="1" si="68"/>
        <v>41.150000000000006</v>
      </c>
      <c r="G425" s="1">
        <f t="shared" si="69"/>
        <v>3.5249999999999995</v>
      </c>
      <c r="H425" s="6">
        <f t="shared" ca="1" si="70"/>
        <v>1.7625000000000004</v>
      </c>
      <c r="I425" s="5">
        <f t="shared" ca="1" si="71"/>
        <v>1.7624999999999991</v>
      </c>
      <c r="J425" s="8">
        <f t="shared" ca="1" si="72"/>
        <v>3.7012499999999995</v>
      </c>
      <c r="K425" s="5">
        <f t="shared" ca="1" si="73"/>
        <v>0.17625000000000002</v>
      </c>
      <c r="L425">
        <f t="shared" ca="1" si="74"/>
        <v>24712.533333333336</v>
      </c>
      <c r="M425">
        <f t="shared" ca="1" si="75"/>
        <v>24713</v>
      </c>
      <c r="N425" t="str">
        <f t="shared" ca="1" si="76"/>
        <v>0110000010001001</v>
      </c>
      <c r="O425">
        <f t="shared" ca="1" si="77"/>
        <v>11000001</v>
      </c>
    </row>
    <row r="426" spans="4:15" x14ac:dyDescent="0.25">
      <c r="D426">
        <v>424</v>
      </c>
      <c r="E426">
        <f t="shared" si="67"/>
        <v>62.400000000000006</v>
      </c>
      <c r="F426">
        <f t="shared" ca="1" si="68"/>
        <v>49.680000000000007</v>
      </c>
      <c r="G426" s="1">
        <f t="shared" si="69"/>
        <v>3.5333333333333332</v>
      </c>
      <c r="H426" s="6">
        <f t="shared" ca="1" si="70"/>
        <v>2.4733333333333336</v>
      </c>
      <c r="I426" s="5">
        <f t="shared" ca="1" si="71"/>
        <v>1.0599999999999996</v>
      </c>
      <c r="J426" s="8">
        <f t="shared" ca="1" si="72"/>
        <v>3.71</v>
      </c>
      <c r="K426" s="5">
        <f t="shared" ca="1" si="73"/>
        <v>0.17666666666666675</v>
      </c>
      <c r="L426">
        <f t="shared" ca="1" si="74"/>
        <v>32476.728888888891</v>
      </c>
      <c r="M426">
        <f t="shared" ca="1" si="75"/>
        <v>32477</v>
      </c>
      <c r="N426" t="str">
        <f t="shared" ca="1" si="76"/>
        <v>0111111011011101</v>
      </c>
      <c r="O426">
        <f t="shared" ca="1" si="77"/>
        <v>11111101</v>
      </c>
    </row>
    <row r="427" spans="4:15" x14ac:dyDescent="0.25">
      <c r="D427">
        <v>425</v>
      </c>
      <c r="E427">
        <f t="shared" si="67"/>
        <v>62.5</v>
      </c>
      <c r="F427">
        <f t="shared" ca="1" si="68"/>
        <v>54</v>
      </c>
      <c r="G427" s="1">
        <f t="shared" si="69"/>
        <v>3.5416666666666661</v>
      </c>
      <c r="H427" s="6">
        <f t="shared" ca="1" si="70"/>
        <v>2.833333333333333</v>
      </c>
      <c r="I427" s="5">
        <f t="shared" ca="1" si="71"/>
        <v>0.70833333333333304</v>
      </c>
      <c r="J427" s="8">
        <f t="shared" ca="1" si="72"/>
        <v>3.3645833333333326</v>
      </c>
      <c r="K427" s="5">
        <f t="shared" ca="1" si="73"/>
        <v>0.17708333333333348</v>
      </c>
      <c r="L427">
        <f t="shared" ca="1" si="74"/>
        <v>36408.888888888883</v>
      </c>
      <c r="M427">
        <f t="shared" ca="1" si="75"/>
        <v>36409</v>
      </c>
      <c r="N427" t="str">
        <f t="shared" ca="1" si="76"/>
        <v>1000111000111001</v>
      </c>
      <c r="O427">
        <f t="shared" ca="1" si="77"/>
        <v>100011100</v>
      </c>
    </row>
    <row r="428" spans="4:15" x14ac:dyDescent="0.25">
      <c r="D428">
        <v>426</v>
      </c>
      <c r="E428">
        <f t="shared" si="67"/>
        <v>62.6</v>
      </c>
      <c r="F428">
        <f t="shared" ca="1" si="68"/>
        <v>58.34</v>
      </c>
      <c r="G428" s="1">
        <f t="shared" si="69"/>
        <v>3.55</v>
      </c>
      <c r="H428" s="6">
        <f t="shared" ca="1" si="70"/>
        <v>3.1949999999999994</v>
      </c>
      <c r="I428" s="5">
        <f t="shared" ca="1" si="71"/>
        <v>0.35500000000000043</v>
      </c>
      <c r="J428" s="8">
        <f t="shared" ca="1" si="72"/>
        <v>3.7275</v>
      </c>
      <c r="K428" s="5">
        <f t="shared" ca="1" si="73"/>
        <v>0.17750000000000021</v>
      </c>
      <c r="L428">
        <f t="shared" ca="1" si="74"/>
        <v>40359.253333333327</v>
      </c>
      <c r="M428">
        <f t="shared" ca="1" si="75"/>
        <v>40359</v>
      </c>
      <c r="N428" t="str">
        <f t="shared" ca="1" si="76"/>
        <v>1001110110100111</v>
      </c>
      <c r="O428">
        <f t="shared" ca="1" si="77"/>
        <v>100111011</v>
      </c>
    </row>
    <row r="429" spans="4:15" x14ac:dyDescent="0.25">
      <c r="D429">
        <v>427</v>
      </c>
      <c r="E429">
        <f t="shared" si="67"/>
        <v>62.7</v>
      </c>
      <c r="F429">
        <f t="shared" ca="1" si="68"/>
        <v>58.43</v>
      </c>
      <c r="G429" s="1">
        <f t="shared" si="69"/>
        <v>3.5583333333333327</v>
      </c>
      <c r="H429" s="6">
        <f t="shared" ca="1" si="70"/>
        <v>3.2024999999999997</v>
      </c>
      <c r="I429" s="5">
        <f t="shared" ca="1" si="71"/>
        <v>0.355833333333333</v>
      </c>
      <c r="J429" s="8">
        <f t="shared" ca="1" si="72"/>
        <v>3.7362499999999996</v>
      </c>
      <c r="K429" s="5">
        <f t="shared" ca="1" si="73"/>
        <v>0.17791666666666694</v>
      </c>
      <c r="L429">
        <f t="shared" ca="1" si="74"/>
        <v>40441.173333333332</v>
      </c>
      <c r="M429">
        <f t="shared" ca="1" si="75"/>
        <v>40441</v>
      </c>
      <c r="N429" t="str">
        <f t="shared" ca="1" si="76"/>
        <v>1001110111111001</v>
      </c>
      <c r="O429">
        <f t="shared" ca="1" si="77"/>
        <v>100111011</v>
      </c>
    </row>
    <row r="430" spans="4:15" x14ac:dyDescent="0.25">
      <c r="D430">
        <v>428</v>
      </c>
      <c r="E430">
        <f t="shared" si="67"/>
        <v>62.800000000000004</v>
      </c>
      <c r="F430">
        <f t="shared" ca="1" si="68"/>
        <v>84.2</v>
      </c>
      <c r="G430" s="1">
        <f t="shared" si="69"/>
        <v>3.5666666666666664</v>
      </c>
      <c r="H430" s="6">
        <f t="shared" ca="1" si="70"/>
        <v>5.35</v>
      </c>
      <c r="I430" s="5">
        <f t="shared" ca="1" si="71"/>
        <v>1.7833333333333332</v>
      </c>
      <c r="J430" s="8">
        <f t="shared" ca="1" si="72"/>
        <v>3.3883333333333328</v>
      </c>
      <c r="K430" s="5">
        <f t="shared" ca="1" si="73"/>
        <v>0.17833333333333368</v>
      </c>
      <c r="L430">
        <f t="shared" ca="1" si="74"/>
        <v>63897.599999999999</v>
      </c>
      <c r="M430">
        <f t="shared" ca="1" si="75"/>
        <v>63898</v>
      </c>
      <c r="N430" t="str">
        <f t="shared" ca="1" si="76"/>
        <v>1111100110011010</v>
      </c>
      <c r="O430">
        <f t="shared" ca="1" si="77"/>
        <v>111110011</v>
      </c>
    </row>
    <row r="431" spans="4:15" x14ac:dyDescent="0.25">
      <c r="D431">
        <v>429</v>
      </c>
      <c r="E431">
        <f t="shared" si="67"/>
        <v>62.900000000000006</v>
      </c>
      <c r="F431">
        <f t="shared" ca="1" si="68"/>
        <v>80.06</v>
      </c>
      <c r="G431" s="1">
        <f t="shared" si="69"/>
        <v>3.5750000000000002</v>
      </c>
      <c r="H431" s="6">
        <f t="shared" ca="1" si="70"/>
        <v>5.0049999999999999</v>
      </c>
      <c r="I431" s="5">
        <f t="shared" ca="1" si="71"/>
        <v>1.4299999999999997</v>
      </c>
      <c r="J431" s="8">
        <f t="shared" ca="1" si="72"/>
        <v>3.3962500000000002</v>
      </c>
      <c r="K431" s="5">
        <f t="shared" ca="1" si="73"/>
        <v>0.17874999999999996</v>
      </c>
      <c r="L431">
        <f t="shared" ca="1" si="74"/>
        <v>60129.279999999999</v>
      </c>
      <c r="M431">
        <f t="shared" ca="1" si="75"/>
        <v>60129</v>
      </c>
      <c r="N431" t="str">
        <f t="shared" ca="1" si="76"/>
        <v>1110101011100001</v>
      </c>
      <c r="O431">
        <f t="shared" ca="1" si="77"/>
        <v>111010101</v>
      </c>
    </row>
    <row r="432" spans="4:15" x14ac:dyDescent="0.25">
      <c r="D432">
        <v>430</v>
      </c>
      <c r="E432">
        <f t="shared" si="67"/>
        <v>63</v>
      </c>
      <c r="F432">
        <f t="shared" ca="1" si="68"/>
        <v>75.900000000000006</v>
      </c>
      <c r="G432" s="1">
        <f t="shared" si="69"/>
        <v>3.583333333333333</v>
      </c>
      <c r="H432" s="6">
        <f t="shared" ca="1" si="70"/>
        <v>4.6583333333333332</v>
      </c>
      <c r="I432" s="5">
        <f t="shared" ca="1" si="71"/>
        <v>1.0750000000000002</v>
      </c>
      <c r="J432" s="8">
        <f t="shared" ca="1" si="72"/>
        <v>3.7624999999999997</v>
      </c>
      <c r="K432" s="5">
        <f t="shared" ca="1" si="73"/>
        <v>0.1791666666666667</v>
      </c>
      <c r="L432">
        <f t="shared" ca="1" si="74"/>
        <v>56342.755555555552</v>
      </c>
      <c r="M432">
        <f t="shared" ca="1" si="75"/>
        <v>56343</v>
      </c>
      <c r="N432" t="str">
        <f t="shared" ca="1" si="76"/>
        <v>1101110000010111</v>
      </c>
      <c r="O432">
        <f t="shared" ca="1" si="77"/>
        <v>110111000</v>
      </c>
    </row>
    <row r="433" spans="4:15" x14ac:dyDescent="0.25">
      <c r="D433">
        <v>431</v>
      </c>
      <c r="E433">
        <f t="shared" si="67"/>
        <v>63.1</v>
      </c>
      <c r="F433">
        <f t="shared" ca="1" si="68"/>
        <v>63.1</v>
      </c>
      <c r="G433" s="1">
        <f t="shared" si="69"/>
        <v>3.5916666666666659</v>
      </c>
      <c r="H433" s="6">
        <f t="shared" ca="1" si="70"/>
        <v>3.5916666666666659</v>
      </c>
      <c r="I433" s="5">
        <f t="shared" ca="1" si="71"/>
        <v>0</v>
      </c>
      <c r="J433" s="8">
        <f t="shared" ca="1" si="72"/>
        <v>3.4120833333333325</v>
      </c>
      <c r="K433" s="5">
        <f t="shared" ca="1" si="73"/>
        <v>0.17958333333333343</v>
      </c>
      <c r="L433">
        <f t="shared" ca="1" si="74"/>
        <v>44691.911111111105</v>
      </c>
      <c r="M433">
        <f t="shared" ca="1" si="75"/>
        <v>44692</v>
      </c>
      <c r="N433" t="str">
        <f t="shared" ca="1" si="76"/>
        <v>1010111010010100</v>
      </c>
      <c r="O433">
        <f t="shared" ca="1" si="77"/>
        <v>101011101</v>
      </c>
    </row>
    <row r="434" spans="4:15" x14ac:dyDescent="0.25">
      <c r="D434">
        <v>432</v>
      </c>
      <c r="E434">
        <f t="shared" si="67"/>
        <v>63.2</v>
      </c>
      <c r="F434">
        <f t="shared" ca="1" si="68"/>
        <v>54.56</v>
      </c>
      <c r="G434" s="1">
        <f t="shared" si="69"/>
        <v>3.5999999999999996</v>
      </c>
      <c r="H434" s="6">
        <f t="shared" ca="1" si="70"/>
        <v>2.88</v>
      </c>
      <c r="I434" s="5">
        <f t="shared" ca="1" si="71"/>
        <v>0.71999999999999975</v>
      </c>
      <c r="J434" s="8">
        <f t="shared" ca="1" si="72"/>
        <v>3.78</v>
      </c>
      <c r="K434" s="5">
        <f t="shared" ca="1" si="73"/>
        <v>0.18000000000000016</v>
      </c>
      <c r="L434">
        <f t="shared" ca="1" si="74"/>
        <v>36918.613333333335</v>
      </c>
      <c r="M434">
        <f t="shared" ca="1" si="75"/>
        <v>36919</v>
      </c>
      <c r="N434" t="str">
        <f t="shared" ca="1" si="76"/>
        <v>1001000000110111</v>
      </c>
      <c r="O434">
        <f t="shared" ca="1" si="77"/>
        <v>100100000</v>
      </c>
    </row>
    <row r="435" spans="4:15" x14ac:dyDescent="0.25">
      <c r="D435">
        <v>433</v>
      </c>
      <c r="E435">
        <f t="shared" si="67"/>
        <v>63.300000000000004</v>
      </c>
      <c r="F435">
        <f t="shared" ca="1" si="68"/>
        <v>54.64</v>
      </c>
      <c r="G435" s="1">
        <f t="shared" si="69"/>
        <v>3.6083333333333334</v>
      </c>
      <c r="H435" s="6">
        <f t="shared" ca="1" si="70"/>
        <v>2.8866666666666658</v>
      </c>
      <c r="I435" s="5">
        <f t="shared" ca="1" si="71"/>
        <v>0.72166666666666757</v>
      </c>
      <c r="J435" s="8">
        <f t="shared" ca="1" si="72"/>
        <v>3.4279166666666665</v>
      </c>
      <c r="K435" s="5">
        <f t="shared" ca="1" si="73"/>
        <v>0.18041666666666689</v>
      </c>
      <c r="L435">
        <f t="shared" ca="1" si="74"/>
        <v>36991.431111111102</v>
      </c>
      <c r="M435">
        <f t="shared" ca="1" si="75"/>
        <v>36991</v>
      </c>
      <c r="N435" t="str">
        <f t="shared" ca="1" si="76"/>
        <v>1001000001111111</v>
      </c>
      <c r="O435">
        <f t="shared" ca="1" si="77"/>
        <v>100100000</v>
      </c>
    </row>
    <row r="436" spans="4:15" x14ac:dyDescent="0.25">
      <c r="D436">
        <v>434</v>
      </c>
      <c r="E436">
        <f t="shared" si="67"/>
        <v>63.400000000000006</v>
      </c>
      <c r="F436">
        <f t="shared" ca="1" si="68"/>
        <v>85.100000000000009</v>
      </c>
      <c r="G436" s="1">
        <f t="shared" si="69"/>
        <v>3.6166666666666663</v>
      </c>
      <c r="H436" s="6">
        <f t="shared" ca="1" si="70"/>
        <v>5.4249999999999998</v>
      </c>
      <c r="I436" s="5">
        <f t="shared" ca="1" si="71"/>
        <v>1.8083333333333336</v>
      </c>
      <c r="J436" s="8">
        <f t="shared" ca="1" si="72"/>
        <v>3.4358333333333326</v>
      </c>
      <c r="K436" s="5">
        <f t="shared" ca="1" si="73"/>
        <v>0.18083333333333362</v>
      </c>
      <c r="L436">
        <f t="shared" ca="1" si="74"/>
        <v>64716.799999999996</v>
      </c>
      <c r="M436">
        <f t="shared" ca="1" si="75"/>
        <v>64717</v>
      </c>
      <c r="N436" t="str">
        <f t="shared" ca="1" si="76"/>
        <v>1111110011001101</v>
      </c>
      <c r="O436">
        <f t="shared" ca="1" si="77"/>
        <v>111111001</v>
      </c>
    </row>
    <row r="437" spans="4:15" x14ac:dyDescent="0.25">
      <c r="D437">
        <v>435</v>
      </c>
      <c r="E437">
        <f t="shared" si="67"/>
        <v>63.5</v>
      </c>
      <c r="F437">
        <f t="shared" ca="1" si="68"/>
        <v>59.15</v>
      </c>
      <c r="G437" s="1">
        <f t="shared" si="69"/>
        <v>3.6249999999999991</v>
      </c>
      <c r="H437" s="6">
        <f t="shared" ca="1" si="70"/>
        <v>3.2624999999999993</v>
      </c>
      <c r="I437" s="5">
        <f t="shared" ca="1" si="71"/>
        <v>0.36249999999999982</v>
      </c>
      <c r="J437" s="8">
        <f t="shared" ca="1" si="72"/>
        <v>3.806249999999999</v>
      </c>
      <c r="K437" s="5">
        <f t="shared" ca="1" si="73"/>
        <v>0.18124999999999991</v>
      </c>
      <c r="L437">
        <f t="shared" ca="1" si="74"/>
        <v>41096.533333333326</v>
      </c>
      <c r="M437">
        <f t="shared" ca="1" si="75"/>
        <v>41097</v>
      </c>
      <c r="N437" t="str">
        <f t="shared" ca="1" si="76"/>
        <v>1010000010001001</v>
      </c>
      <c r="O437">
        <f t="shared" ca="1" si="77"/>
        <v>101000001</v>
      </c>
    </row>
    <row r="438" spans="4:15" x14ac:dyDescent="0.25">
      <c r="D438">
        <v>436</v>
      </c>
      <c r="E438">
        <f t="shared" si="67"/>
        <v>63.6</v>
      </c>
      <c r="F438">
        <f t="shared" ca="1" si="68"/>
        <v>67.960000000000008</v>
      </c>
      <c r="G438" s="1">
        <f t="shared" si="69"/>
        <v>3.6333333333333329</v>
      </c>
      <c r="H438" s="6">
        <f t="shared" ca="1" si="70"/>
        <v>3.996666666666667</v>
      </c>
      <c r="I438" s="5">
        <f t="shared" ca="1" si="71"/>
        <v>0.36333333333333417</v>
      </c>
      <c r="J438" s="8">
        <f t="shared" ca="1" si="72"/>
        <v>3.8149999999999995</v>
      </c>
      <c r="K438" s="5">
        <f t="shared" ca="1" si="73"/>
        <v>0.18166666666666664</v>
      </c>
      <c r="L438">
        <f t="shared" ca="1" si="74"/>
        <v>49115.591111111113</v>
      </c>
      <c r="M438">
        <f t="shared" ca="1" si="75"/>
        <v>49116</v>
      </c>
      <c r="N438" t="str">
        <f t="shared" ca="1" si="76"/>
        <v>1011111111011100</v>
      </c>
      <c r="O438">
        <f t="shared" ca="1" si="77"/>
        <v>101111111</v>
      </c>
    </row>
    <row r="439" spans="4:15" x14ac:dyDescent="0.25">
      <c r="D439">
        <v>437</v>
      </c>
      <c r="E439">
        <f t="shared" si="67"/>
        <v>63.7</v>
      </c>
      <c r="F439">
        <f t="shared" ca="1" si="68"/>
        <v>54.96</v>
      </c>
      <c r="G439" s="1">
        <f t="shared" si="69"/>
        <v>3.6416666666666666</v>
      </c>
      <c r="H439" s="6">
        <f t="shared" ca="1" si="70"/>
        <v>2.9133333333333331</v>
      </c>
      <c r="I439" s="5">
        <f t="shared" ca="1" si="71"/>
        <v>0.7283333333333335</v>
      </c>
      <c r="J439" s="8">
        <f t="shared" ca="1" si="72"/>
        <v>3.4595833333333332</v>
      </c>
      <c r="K439" s="5">
        <f t="shared" ca="1" si="73"/>
        <v>0.18208333333333337</v>
      </c>
      <c r="L439">
        <f t="shared" ca="1" si="74"/>
        <v>37282.702222222222</v>
      </c>
      <c r="M439">
        <f t="shared" ca="1" si="75"/>
        <v>37283</v>
      </c>
      <c r="N439" t="str">
        <f t="shared" ca="1" si="76"/>
        <v>1001000110100011</v>
      </c>
      <c r="O439">
        <f t="shared" ca="1" si="77"/>
        <v>100100011</v>
      </c>
    </row>
    <row r="440" spans="4:15" x14ac:dyDescent="0.25">
      <c r="D440">
        <v>438</v>
      </c>
      <c r="E440">
        <f t="shared" si="67"/>
        <v>63.800000000000004</v>
      </c>
      <c r="F440">
        <f t="shared" ca="1" si="68"/>
        <v>59.42</v>
      </c>
      <c r="G440" s="1">
        <f t="shared" si="69"/>
        <v>3.6499999999999995</v>
      </c>
      <c r="H440" s="6">
        <f t="shared" ca="1" si="70"/>
        <v>3.2849999999999993</v>
      </c>
      <c r="I440" s="5">
        <f t="shared" ca="1" si="71"/>
        <v>0.36500000000000021</v>
      </c>
      <c r="J440" s="8">
        <f t="shared" ca="1" si="72"/>
        <v>3.8324999999999996</v>
      </c>
      <c r="K440" s="5">
        <f t="shared" ca="1" si="73"/>
        <v>0.18250000000000011</v>
      </c>
      <c r="L440">
        <f t="shared" ca="1" si="74"/>
        <v>41342.293333333328</v>
      </c>
      <c r="M440">
        <f t="shared" ca="1" si="75"/>
        <v>41342</v>
      </c>
      <c r="N440" t="str">
        <f t="shared" ca="1" si="76"/>
        <v>1010000101111110</v>
      </c>
      <c r="O440">
        <f t="shared" ca="1" si="77"/>
        <v>101000010</v>
      </c>
    </row>
    <row r="441" spans="4:15" x14ac:dyDescent="0.25">
      <c r="D441">
        <v>439</v>
      </c>
      <c r="E441">
        <f t="shared" si="67"/>
        <v>63.900000000000006</v>
      </c>
      <c r="F441">
        <f t="shared" ca="1" si="68"/>
        <v>41.95</v>
      </c>
      <c r="G441" s="1">
        <f t="shared" si="69"/>
        <v>3.6583333333333332</v>
      </c>
      <c r="H441" s="6">
        <f t="shared" ca="1" si="70"/>
        <v>1.8291666666666668</v>
      </c>
      <c r="I441" s="5">
        <f t="shared" ca="1" si="71"/>
        <v>1.8291666666666664</v>
      </c>
      <c r="J441" s="8">
        <f t="shared" ca="1" si="72"/>
        <v>3.8412500000000001</v>
      </c>
      <c r="K441" s="5">
        <f t="shared" ca="1" si="73"/>
        <v>0.18291666666666684</v>
      </c>
      <c r="L441">
        <f t="shared" ca="1" si="74"/>
        <v>25440.711111111112</v>
      </c>
      <c r="M441">
        <f t="shared" ca="1" si="75"/>
        <v>25441</v>
      </c>
      <c r="N441" t="str">
        <f t="shared" ca="1" si="76"/>
        <v>0110001101100001</v>
      </c>
      <c r="O441">
        <f t="shared" ca="1" si="77"/>
        <v>11000110</v>
      </c>
    </row>
    <row r="442" spans="4:15" x14ac:dyDescent="0.25">
      <c r="D442">
        <v>440</v>
      </c>
      <c r="E442">
        <f t="shared" si="67"/>
        <v>64</v>
      </c>
      <c r="F442">
        <f t="shared" ca="1" si="68"/>
        <v>81.599999999999994</v>
      </c>
      <c r="G442" s="1">
        <f t="shared" si="69"/>
        <v>3.6666666666666661</v>
      </c>
      <c r="H442" s="6">
        <f t="shared" ca="1" si="70"/>
        <v>5.133333333333332</v>
      </c>
      <c r="I442" s="5">
        <f t="shared" ca="1" si="71"/>
        <v>1.4666666666666659</v>
      </c>
      <c r="J442" s="8">
        <f t="shared" ca="1" si="72"/>
        <v>3.8499999999999996</v>
      </c>
      <c r="K442" s="5">
        <f t="shared" ca="1" si="73"/>
        <v>0.18333333333333357</v>
      </c>
      <c r="L442">
        <f t="shared" ca="1" si="74"/>
        <v>61531.022222222207</v>
      </c>
      <c r="M442">
        <f t="shared" ca="1" si="75"/>
        <v>61531</v>
      </c>
      <c r="N442" t="str">
        <f t="shared" ca="1" si="76"/>
        <v>1111000001011011</v>
      </c>
      <c r="O442">
        <f t="shared" ca="1" si="77"/>
        <v>111100000</v>
      </c>
    </row>
    <row r="443" spans="4:15" x14ac:dyDescent="0.25">
      <c r="D443">
        <v>441</v>
      </c>
      <c r="E443">
        <f t="shared" si="67"/>
        <v>64.099999999999994</v>
      </c>
      <c r="F443">
        <f t="shared" ca="1" si="68"/>
        <v>59.69</v>
      </c>
      <c r="G443" s="1">
        <f t="shared" si="69"/>
        <v>3.6749999999999989</v>
      </c>
      <c r="H443" s="6">
        <f t="shared" ca="1" si="70"/>
        <v>3.3074999999999992</v>
      </c>
      <c r="I443" s="5">
        <f t="shared" ca="1" si="71"/>
        <v>0.36749999999999972</v>
      </c>
      <c r="J443" s="8">
        <f t="shared" ca="1" si="72"/>
        <v>3.4912499999999986</v>
      </c>
      <c r="K443" s="5">
        <f t="shared" ca="1" si="73"/>
        <v>0.1837500000000003</v>
      </c>
      <c r="L443">
        <f t="shared" ca="1" si="74"/>
        <v>41588.053333333322</v>
      </c>
      <c r="M443">
        <f t="shared" ca="1" si="75"/>
        <v>41588</v>
      </c>
      <c r="N443" t="str">
        <f t="shared" ca="1" si="76"/>
        <v>1010001001110100</v>
      </c>
      <c r="O443">
        <f t="shared" ca="1" si="77"/>
        <v>101000100</v>
      </c>
    </row>
    <row r="444" spans="4:15" x14ac:dyDescent="0.25">
      <c r="D444">
        <v>442</v>
      </c>
      <c r="E444">
        <f t="shared" si="67"/>
        <v>64.2</v>
      </c>
      <c r="F444">
        <f t="shared" ca="1" si="68"/>
        <v>81.88</v>
      </c>
      <c r="G444" s="1">
        <f t="shared" si="69"/>
        <v>3.6833333333333327</v>
      </c>
      <c r="H444" s="6">
        <f t="shared" ca="1" si="70"/>
        <v>5.1566666666666654</v>
      </c>
      <c r="I444" s="5">
        <f t="shared" ca="1" si="71"/>
        <v>1.4733333333333327</v>
      </c>
      <c r="J444" s="8">
        <f t="shared" ca="1" si="72"/>
        <v>3.4991666666666661</v>
      </c>
      <c r="K444" s="5">
        <f t="shared" ca="1" si="73"/>
        <v>0.18416666666666659</v>
      </c>
      <c r="L444">
        <f t="shared" ca="1" si="74"/>
        <v>61785.884444444433</v>
      </c>
      <c r="M444">
        <f t="shared" ca="1" si="75"/>
        <v>61786</v>
      </c>
      <c r="N444" t="str">
        <f t="shared" ca="1" si="76"/>
        <v>1111000101011010</v>
      </c>
      <c r="O444">
        <f t="shared" ca="1" si="77"/>
        <v>111100010</v>
      </c>
    </row>
    <row r="445" spans="4:15" x14ac:dyDescent="0.25">
      <c r="D445">
        <v>443</v>
      </c>
      <c r="E445">
        <f t="shared" si="67"/>
        <v>64.300000000000011</v>
      </c>
      <c r="F445">
        <f t="shared" ca="1" si="68"/>
        <v>68.730000000000018</v>
      </c>
      <c r="G445" s="1">
        <f t="shared" si="69"/>
        <v>3.6916666666666673</v>
      </c>
      <c r="H445" s="6">
        <f t="shared" ca="1" si="70"/>
        <v>4.060833333333334</v>
      </c>
      <c r="I445" s="5">
        <f t="shared" ca="1" si="71"/>
        <v>0.36916666666666664</v>
      </c>
      <c r="J445" s="8">
        <f t="shared" ca="1" si="72"/>
        <v>3.507083333333334</v>
      </c>
      <c r="K445" s="5">
        <f t="shared" ca="1" si="73"/>
        <v>0.18458333333333332</v>
      </c>
      <c r="L445">
        <f t="shared" ca="1" si="74"/>
        <v>49816.462222222232</v>
      </c>
      <c r="M445">
        <f t="shared" ca="1" si="75"/>
        <v>49816</v>
      </c>
      <c r="N445" t="str">
        <f t="shared" ca="1" si="76"/>
        <v>1100001010011000</v>
      </c>
      <c r="O445">
        <f t="shared" ca="1" si="77"/>
        <v>110000101</v>
      </c>
    </row>
    <row r="446" spans="4:15" x14ac:dyDescent="0.25">
      <c r="D446">
        <v>444</v>
      </c>
      <c r="E446">
        <f t="shared" si="67"/>
        <v>64.400000000000006</v>
      </c>
      <c r="F446">
        <f t="shared" ca="1" si="68"/>
        <v>86.600000000000009</v>
      </c>
      <c r="G446" s="1">
        <f t="shared" si="69"/>
        <v>3.7</v>
      </c>
      <c r="H446" s="6">
        <f t="shared" ca="1" si="70"/>
        <v>5.55</v>
      </c>
      <c r="I446" s="5">
        <f t="shared" ca="1" si="71"/>
        <v>1.8499999999999996</v>
      </c>
      <c r="J446" s="8">
        <f t="shared" ca="1" si="72"/>
        <v>3.8850000000000002</v>
      </c>
      <c r="K446" s="5">
        <f t="shared" ca="1" si="73"/>
        <v>0.18500000000000005</v>
      </c>
      <c r="L446">
        <f t="shared" ca="1" si="74"/>
        <v>66082.133333333331</v>
      </c>
      <c r="M446">
        <f t="shared" ca="1" si="75"/>
        <v>66082</v>
      </c>
      <c r="N446" t="str">
        <f t="shared" ca="1" si="76"/>
        <v>10000001000100010</v>
      </c>
      <c r="O446">
        <f t="shared" ca="1" si="77"/>
        <v>100000010</v>
      </c>
    </row>
    <row r="447" spans="4:15" x14ac:dyDescent="0.25">
      <c r="D447">
        <v>445</v>
      </c>
      <c r="E447">
        <f t="shared" si="67"/>
        <v>64.5</v>
      </c>
      <c r="F447">
        <f t="shared" ca="1" si="68"/>
        <v>46.7</v>
      </c>
      <c r="G447" s="1">
        <f t="shared" si="69"/>
        <v>3.708333333333333</v>
      </c>
      <c r="H447" s="6">
        <f t="shared" ca="1" si="70"/>
        <v>2.2249999999999996</v>
      </c>
      <c r="I447" s="5">
        <f t="shared" ca="1" si="71"/>
        <v>1.4833333333333334</v>
      </c>
      <c r="J447" s="8">
        <f t="shared" ca="1" si="72"/>
        <v>3.8937499999999998</v>
      </c>
      <c r="K447" s="5">
        <f t="shared" ca="1" si="73"/>
        <v>0.18541666666666679</v>
      </c>
      <c r="L447">
        <f t="shared" ca="1" si="74"/>
        <v>29764.266666666663</v>
      </c>
      <c r="M447">
        <f t="shared" ca="1" si="75"/>
        <v>29764</v>
      </c>
      <c r="N447" t="str">
        <f t="shared" ca="1" si="76"/>
        <v>0111010001000100</v>
      </c>
      <c r="O447">
        <f t="shared" ca="1" si="77"/>
        <v>11101000</v>
      </c>
    </row>
    <row r="448" spans="4:15" x14ac:dyDescent="0.25">
      <c r="D448">
        <v>446</v>
      </c>
      <c r="E448">
        <f t="shared" si="67"/>
        <v>64.599999999999994</v>
      </c>
      <c r="F448">
        <f t="shared" ca="1" si="68"/>
        <v>73.52</v>
      </c>
      <c r="G448" s="1">
        <f t="shared" si="69"/>
        <v>3.7166666666666659</v>
      </c>
      <c r="H448" s="6">
        <f t="shared" ca="1" si="70"/>
        <v>4.4599999999999991</v>
      </c>
      <c r="I448" s="5">
        <f t="shared" ca="1" si="71"/>
        <v>0.74333333333333318</v>
      </c>
      <c r="J448" s="8">
        <f t="shared" ca="1" si="72"/>
        <v>3.9024999999999994</v>
      </c>
      <c r="K448" s="5">
        <f t="shared" ca="1" si="73"/>
        <v>0.18583333333333352</v>
      </c>
      <c r="L448">
        <f t="shared" ca="1" si="74"/>
        <v>54176.426666666659</v>
      </c>
      <c r="M448">
        <f t="shared" ca="1" si="75"/>
        <v>54176</v>
      </c>
      <c r="N448" t="str">
        <f t="shared" ca="1" si="76"/>
        <v>1101001110100000</v>
      </c>
      <c r="O448">
        <f t="shared" ca="1" si="77"/>
        <v>110100111</v>
      </c>
    </row>
    <row r="449" spans="4:15" x14ac:dyDescent="0.25">
      <c r="D449">
        <v>447</v>
      </c>
      <c r="E449">
        <f t="shared" si="67"/>
        <v>64.7</v>
      </c>
      <c r="F449">
        <f t="shared" ca="1" si="68"/>
        <v>60.230000000000004</v>
      </c>
      <c r="G449" s="1">
        <f t="shared" si="69"/>
        <v>3.7249999999999996</v>
      </c>
      <c r="H449" s="6">
        <f t="shared" ca="1" si="70"/>
        <v>3.3525</v>
      </c>
      <c r="I449" s="5">
        <f t="shared" ca="1" si="71"/>
        <v>0.37249999999999961</v>
      </c>
      <c r="J449" s="8">
        <f t="shared" ca="1" si="72"/>
        <v>3.5387499999999994</v>
      </c>
      <c r="K449" s="5">
        <f t="shared" ca="1" si="73"/>
        <v>0.18625000000000025</v>
      </c>
      <c r="L449">
        <f t="shared" ca="1" si="74"/>
        <v>42079.573333333334</v>
      </c>
      <c r="M449">
        <f t="shared" ca="1" si="75"/>
        <v>42080</v>
      </c>
      <c r="N449" t="str">
        <f t="shared" ca="1" si="76"/>
        <v>1010010001100000</v>
      </c>
      <c r="O449">
        <f t="shared" ca="1" si="77"/>
        <v>101001000</v>
      </c>
    </row>
    <row r="450" spans="4:15" x14ac:dyDescent="0.25">
      <c r="D450">
        <v>448</v>
      </c>
      <c r="E450">
        <f t="shared" si="67"/>
        <v>64.800000000000011</v>
      </c>
      <c r="F450">
        <f t="shared" ca="1" si="68"/>
        <v>46.88000000000001</v>
      </c>
      <c r="G450" s="1">
        <f t="shared" si="69"/>
        <v>3.7333333333333334</v>
      </c>
      <c r="H450" s="6">
        <f t="shared" ca="1" si="70"/>
        <v>2.2400000000000002</v>
      </c>
      <c r="I450" s="5">
        <f t="shared" ca="1" si="71"/>
        <v>1.4933333333333332</v>
      </c>
      <c r="J450" s="8">
        <f t="shared" ca="1" si="72"/>
        <v>3.5466666666666664</v>
      </c>
      <c r="K450" s="5">
        <f t="shared" ca="1" si="73"/>
        <v>0.18666666666666698</v>
      </c>
      <c r="L450">
        <f t="shared" ca="1" si="74"/>
        <v>29928.10666666667</v>
      </c>
      <c r="M450">
        <f t="shared" ca="1" si="75"/>
        <v>29928</v>
      </c>
      <c r="N450" t="str">
        <f t="shared" ca="1" si="76"/>
        <v>0111010011101000</v>
      </c>
      <c r="O450">
        <f t="shared" ca="1" si="77"/>
        <v>11101001</v>
      </c>
    </row>
    <row r="451" spans="4:15" x14ac:dyDescent="0.25">
      <c r="D451">
        <v>449</v>
      </c>
      <c r="E451">
        <f t="shared" ref="E451:E514" si="78">0.1*D451+20</f>
        <v>64.900000000000006</v>
      </c>
      <c r="F451">
        <f t="shared" ref="F451:F514" ca="1" si="79">0.1*D451+20 + (RANDBETWEEN(-5,5)/100)*D451</f>
        <v>64.900000000000006</v>
      </c>
      <c r="G451" s="1">
        <f t="shared" ref="G451:G514" si="80">1/12*E451-5/3</f>
        <v>3.7416666666666663</v>
      </c>
      <c r="H451" s="6">
        <f t="shared" ref="H451:H514" ca="1" si="81">1/12*F451-5/3</f>
        <v>3.7416666666666663</v>
      </c>
      <c r="I451" s="5">
        <f t="shared" ref="I451:I514" ca="1" si="82">ABS(G451-H451)</f>
        <v>0</v>
      </c>
      <c r="J451" s="8">
        <f t="shared" ref="J451:J514" ca="1" si="83" xml:space="preserve"> G451 * (1 + $B$1 * IF(RANDBETWEEN(0,1)=0,-1,1))</f>
        <v>3.9287499999999995</v>
      </c>
      <c r="K451" s="5">
        <f t="shared" ref="K451:K514" ca="1" si="84">ABS(G451-J451)</f>
        <v>0.18708333333333327</v>
      </c>
      <c r="L451">
        <f t="shared" ref="L451:L514" ca="1" si="85">(H451-$B$2)/($B$3-$B$2)*(2^$B$4)</f>
        <v>46330.311111111107</v>
      </c>
      <c r="M451">
        <f t="shared" ref="M451:M514" ca="1" si="86">ROUND(L451,0)</f>
        <v>46330</v>
      </c>
      <c r="N451" t="str">
        <f t="shared" ref="N451:N514" ca="1" si="87">_xlfn.BASE(M451,2,$B$4)</f>
        <v>1011010011111010</v>
      </c>
      <c r="O451">
        <f t="shared" ref="O451:O514" ca="1" si="88">VALUE(LEFT(N451,9))</f>
        <v>101101001</v>
      </c>
    </row>
    <row r="452" spans="4:15" x14ac:dyDescent="0.25">
      <c r="D452">
        <v>450</v>
      </c>
      <c r="E452">
        <f t="shared" si="78"/>
        <v>65</v>
      </c>
      <c r="F452">
        <f t="shared" ca="1" si="79"/>
        <v>87.5</v>
      </c>
      <c r="G452" s="1">
        <f t="shared" si="80"/>
        <v>3.7499999999999991</v>
      </c>
      <c r="H452" s="6">
        <f t="shared" ca="1" si="81"/>
        <v>5.6249999999999991</v>
      </c>
      <c r="I452" s="5">
        <f t="shared" ca="1" si="82"/>
        <v>1.875</v>
      </c>
      <c r="J452" s="8">
        <f t="shared" ca="1" si="83"/>
        <v>3.5624999999999991</v>
      </c>
      <c r="K452" s="5">
        <f t="shared" ca="1" si="84"/>
        <v>0.1875</v>
      </c>
      <c r="L452">
        <f t="shared" ca="1" si="85"/>
        <v>66901.333333333328</v>
      </c>
      <c r="M452">
        <f t="shared" ca="1" si="86"/>
        <v>66901</v>
      </c>
      <c r="N452" t="str">
        <f t="shared" ca="1" si="87"/>
        <v>10000010101010101</v>
      </c>
      <c r="O452">
        <f t="shared" ca="1" si="88"/>
        <v>100000101</v>
      </c>
    </row>
    <row r="453" spans="4:15" x14ac:dyDescent="0.25">
      <c r="D453">
        <v>451</v>
      </c>
      <c r="E453">
        <f t="shared" si="78"/>
        <v>65.099999999999994</v>
      </c>
      <c r="F453">
        <f t="shared" ca="1" si="79"/>
        <v>47.059999999999995</v>
      </c>
      <c r="G453" s="1">
        <f t="shared" si="80"/>
        <v>3.758333333333332</v>
      </c>
      <c r="H453" s="6">
        <f t="shared" ca="1" si="81"/>
        <v>2.254999999999999</v>
      </c>
      <c r="I453" s="5">
        <f t="shared" ca="1" si="82"/>
        <v>1.503333333333333</v>
      </c>
      <c r="J453" s="8">
        <f t="shared" ca="1" si="83"/>
        <v>3.5704166666666652</v>
      </c>
      <c r="K453" s="5">
        <f t="shared" ca="1" si="84"/>
        <v>0.18791666666666673</v>
      </c>
      <c r="L453">
        <f t="shared" ca="1" si="85"/>
        <v>30091.946666666656</v>
      </c>
      <c r="M453">
        <f t="shared" ca="1" si="86"/>
        <v>30092</v>
      </c>
      <c r="N453" t="str">
        <f t="shared" ca="1" si="87"/>
        <v>0111010110001100</v>
      </c>
      <c r="O453">
        <f t="shared" ca="1" si="88"/>
        <v>11101011</v>
      </c>
    </row>
    <row r="454" spans="4:15" x14ac:dyDescent="0.25">
      <c r="D454">
        <v>452</v>
      </c>
      <c r="E454">
        <f t="shared" si="78"/>
        <v>65.2</v>
      </c>
      <c r="F454">
        <f t="shared" ca="1" si="79"/>
        <v>65.2</v>
      </c>
      <c r="G454" s="1">
        <f t="shared" si="80"/>
        <v>3.7666666666666666</v>
      </c>
      <c r="H454" s="6">
        <f t="shared" ca="1" si="81"/>
        <v>3.7666666666666666</v>
      </c>
      <c r="I454" s="5">
        <f t="shared" ca="1" si="82"/>
        <v>0</v>
      </c>
      <c r="J454" s="8">
        <f t="shared" ca="1" si="83"/>
        <v>3.5783333333333331</v>
      </c>
      <c r="K454" s="5">
        <f t="shared" ca="1" si="84"/>
        <v>0.18833333333333346</v>
      </c>
      <c r="L454">
        <f t="shared" ca="1" si="85"/>
        <v>46603.37777777778</v>
      </c>
      <c r="M454">
        <f t="shared" ca="1" si="86"/>
        <v>46603</v>
      </c>
      <c r="N454" t="str">
        <f t="shared" ca="1" si="87"/>
        <v>1011011000001011</v>
      </c>
      <c r="O454">
        <f t="shared" ca="1" si="88"/>
        <v>101101100</v>
      </c>
    </row>
    <row r="455" spans="4:15" x14ac:dyDescent="0.25">
      <c r="D455">
        <v>453</v>
      </c>
      <c r="E455">
        <f t="shared" si="78"/>
        <v>65.300000000000011</v>
      </c>
      <c r="F455">
        <f t="shared" ca="1" si="79"/>
        <v>56.240000000000009</v>
      </c>
      <c r="G455" s="1">
        <f t="shared" si="80"/>
        <v>3.7750000000000004</v>
      </c>
      <c r="H455" s="6">
        <f t="shared" ca="1" si="81"/>
        <v>3.0200000000000005</v>
      </c>
      <c r="I455" s="5">
        <f t="shared" ca="1" si="82"/>
        <v>0.75499999999999989</v>
      </c>
      <c r="J455" s="8">
        <f t="shared" ca="1" si="83"/>
        <v>3.5862500000000002</v>
      </c>
      <c r="K455" s="5">
        <f t="shared" ca="1" si="84"/>
        <v>0.1887500000000002</v>
      </c>
      <c r="L455">
        <f t="shared" ca="1" si="85"/>
        <v>38447.786666666674</v>
      </c>
      <c r="M455">
        <f t="shared" ca="1" si="86"/>
        <v>38448</v>
      </c>
      <c r="N455" t="str">
        <f t="shared" ca="1" si="87"/>
        <v>1001011000110000</v>
      </c>
      <c r="O455">
        <f t="shared" ca="1" si="88"/>
        <v>100101100</v>
      </c>
    </row>
    <row r="456" spans="4:15" x14ac:dyDescent="0.25">
      <c r="D456">
        <v>454</v>
      </c>
      <c r="E456">
        <f t="shared" si="78"/>
        <v>65.400000000000006</v>
      </c>
      <c r="F456">
        <f t="shared" ca="1" si="79"/>
        <v>42.7</v>
      </c>
      <c r="G456" s="1">
        <f t="shared" si="80"/>
        <v>3.7833333333333332</v>
      </c>
      <c r="H456" s="6">
        <f t="shared" ca="1" si="81"/>
        <v>1.8916666666666668</v>
      </c>
      <c r="I456" s="5">
        <f t="shared" ca="1" si="82"/>
        <v>1.8916666666666664</v>
      </c>
      <c r="J456" s="8">
        <f t="shared" ca="1" si="83"/>
        <v>3.5941666666666663</v>
      </c>
      <c r="K456" s="5">
        <f t="shared" ca="1" si="84"/>
        <v>0.18916666666666693</v>
      </c>
      <c r="L456">
        <f t="shared" ca="1" si="85"/>
        <v>26123.377777777776</v>
      </c>
      <c r="M456">
        <f t="shared" ca="1" si="86"/>
        <v>26123</v>
      </c>
      <c r="N456" t="str">
        <f t="shared" ca="1" si="87"/>
        <v>0110011000001011</v>
      </c>
      <c r="O456">
        <f t="shared" ca="1" si="88"/>
        <v>11001100</v>
      </c>
    </row>
    <row r="457" spans="4:15" x14ac:dyDescent="0.25">
      <c r="D457">
        <v>455</v>
      </c>
      <c r="E457">
        <f t="shared" si="78"/>
        <v>65.5</v>
      </c>
      <c r="F457">
        <f t="shared" ca="1" si="79"/>
        <v>70.05</v>
      </c>
      <c r="G457" s="1">
        <f t="shared" si="80"/>
        <v>3.7916666666666661</v>
      </c>
      <c r="H457" s="6">
        <f t="shared" ca="1" si="81"/>
        <v>4.1708333333333325</v>
      </c>
      <c r="I457" s="5">
        <f t="shared" ca="1" si="82"/>
        <v>0.37916666666666643</v>
      </c>
      <c r="J457" s="8">
        <f t="shared" ca="1" si="83"/>
        <v>3.9812499999999997</v>
      </c>
      <c r="K457" s="5">
        <f t="shared" ca="1" si="84"/>
        <v>0.18958333333333366</v>
      </c>
      <c r="L457">
        <f t="shared" ca="1" si="85"/>
        <v>51017.955555555549</v>
      </c>
      <c r="M457">
        <f t="shared" ca="1" si="86"/>
        <v>51018</v>
      </c>
      <c r="N457" t="str">
        <f t="shared" ca="1" si="87"/>
        <v>1100011101001010</v>
      </c>
      <c r="O457">
        <f t="shared" ca="1" si="88"/>
        <v>110001110</v>
      </c>
    </row>
    <row r="458" spans="4:15" x14ac:dyDescent="0.25">
      <c r="D458">
        <v>456</v>
      </c>
      <c r="E458">
        <f t="shared" si="78"/>
        <v>65.599999999999994</v>
      </c>
      <c r="F458">
        <f t="shared" ca="1" si="79"/>
        <v>79.28</v>
      </c>
      <c r="G458" s="1">
        <f t="shared" si="80"/>
        <v>3.7999999999999989</v>
      </c>
      <c r="H458" s="6">
        <f t="shared" ca="1" si="81"/>
        <v>4.9399999999999995</v>
      </c>
      <c r="I458" s="5">
        <f t="shared" ca="1" si="82"/>
        <v>1.1400000000000006</v>
      </c>
      <c r="J458" s="8">
        <f t="shared" ca="1" si="83"/>
        <v>3.9899999999999989</v>
      </c>
      <c r="K458" s="5">
        <f t="shared" ca="1" si="84"/>
        <v>0.18999999999999995</v>
      </c>
      <c r="L458">
        <f t="shared" ca="1" si="85"/>
        <v>59419.306666666664</v>
      </c>
      <c r="M458">
        <f t="shared" ca="1" si="86"/>
        <v>59419</v>
      </c>
      <c r="N458" t="str">
        <f t="shared" ca="1" si="87"/>
        <v>1110100000011011</v>
      </c>
      <c r="O458">
        <f t="shared" ca="1" si="88"/>
        <v>111010000</v>
      </c>
    </row>
    <row r="459" spans="4:15" x14ac:dyDescent="0.25">
      <c r="D459">
        <v>457</v>
      </c>
      <c r="E459">
        <f t="shared" si="78"/>
        <v>65.7</v>
      </c>
      <c r="F459">
        <f t="shared" ca="1" si="79"/>
        <v>70.27000000000001</v>
      </c>
      <c r="G459" s="1">
        <f t="shared" si="80"/>
        <v>3.8083333333333327</v>
      </c>
      <c r="H459" s="6">
        <f t="shared" ca="1" si="81"/>
        <v>4.1891666666666669</v>
      </c>
      <c r="I459" s="5">
        <f t="shared" ca="1" si="82"/>
        <v>0.38083333333333425</v>
      </c>
      <c r="J459" s="8">
        <f t="shared" ca="1" si="83"/>
        <v>3.617916666666666</v>
      </c>
      <c r="K459" s="5">
        <f t="shared" ca="1" si="84"/>
        <v>0.19041666666666668</v>
      </c>
      <c r="L459">
        <f t="shared" ca="1" si="85"/>
        <v>51218.204444444447</v>
      </c>
      <c r="M459">
        <f t="shared" ca="1" si="86"/>
        <v>51218</v>
      </c>
      <c r="N459" t="str">
        <f t="shared" ca="1" si="87"/>
        <v>1100100000010010</v>
      </c>
      <c r="O459">
        <f t="shared" ca="1" si="88"/>
        <v>110010000</v>
      </c>
    </row>
    <row r="460" spans="4:15" x14ac:dyDescent="0.25">
      <c r="D460">
        <v>458</v>
      </c>
      <c r="E460">
        <f t="shared" si="78"/>
        <v>65.800000000000011</v>
      </c>
      <c r="F460">
        <f t="shared" ca="1" si="79"/>
        <v>84.12</v>
      </c>
      <c r="G460" s="1">
        <f t="shared" si="80"/>
        <v>3.8166666666666673</v>
      </c>
      <c r="H460" s="6">
        <f t="shared" ca="1" si="81"/>
        <v>5.3433333333333328</v>
      </c>
      <c r="I460" s="5">
        <f t="shared" ca="1" si="82"/>
        <v>1.5266666666666655</v>
      </c>
      <c r="J460" s="8">
        <f t="shared" ca="1" si="83"/>
        <v>4.0075000000000012</v>
      </c>
      <c r="K460" s="5">
        <f t="shared" ca="1" si="84"/>
        <v>0.19083333333333385</v>
      </c>
      <c r="L460">
        <f t="shared" ca="1" si="85"/>
        <v>63824.782222222217</v>
      </c>
      <c r="M460">
        <f t="shared" ca="1" si="86"/>
        <v>63825</v>
      </c>
      <c r="N460" t="str">
        <f t="shared" ca="1" si="87"/>
        <v>1111100101010001</v>
      </c>
      <c r="O460">
        <f t="shared" ca="1" si="88"/>
        <v>111110010</v>
      </c>
    </row>
    <row r="461" spans="4:15" x14ac:dyDescent="0.25">
      <c r="D461">
        <v>459</v>
      </c>
      <c r="E461">
        <f t="shared" si="78"/>
        <v>65.900000000000006</v>
      </c>
      <c r="F461">
        <f t="shared" ca="1" si="79"/>
        <v>42.95</v>
      </c>
      <c r="G461" s="1">
        <f t="shared" si="80"/>
        <v>3.8250000000000002</v>
      </c>
      <c r="H461" s="6">
        <f t="shared" ca="1" si="81"/>
        <v>1.9124999999999999</v>
      </c>
      <c r="I461" s="5">
        <f t="shared" ca="1" si="82"/>
        <v>1.9125000000000003</v>
      </c>
      <c r="J461" s="8">
        <f t="shared" ca="1" si="83"/>
        <v>4.0162500000000003</v>
      </c>
      <c r="K461" s="5">
        <f t="shared" ca="1" si="84"/>
        <v>0.19125000000000014</v>
      </c>
      <c r="L461">
        <f t="shared" ca="1" si="85"/>
        <v>26350.933333333331</v>
      </c>
      <c r="M461">
        <f t="shared" ca="1" si="86"/>
        <v>26351</v>
      </c>
      <c r="N461" t="str">
        <f t="shared" ca="1" si="87"/>
        <v>0110011011101111</v>
      </c>
      <c r="O461">
        <f t="shared" ca="1" si="88"/>
        <v>11001101</v>
      </c>
    </row>
    <row r="462" spans="4:15" x14ac:dyDescent="0.25">
      <c r="D462">
        <v>460</v>
      </c>
      <c r="E462">
        <f t="shared" si="78"/>
        <v>66</v>
      </c>
      <c r="F462">
        <f t="shared" ca="1" si="79"/>
        <v>52.2</v>
      </c>
      <c r="G462" s="1">
        <f t="shared" si="80"/>
        <v>3.833333333333333</v>
      </c>
      <c r="H462" s="6">
        <f t="shared" ca="1" si="81"/>
        <v>2.6833333333333327</v>
      </c>
      <c r="I462" s="5">
        <f t="shared" ca="1" si="82"/>
        <v>1.1500000000000004</v>
      </c>
      <c r="J462" s="8">
        <f t="shared" ca="1" si="83"/>
        <v>4.0249999999999995</v>
      </c>
      <c r="K462" s="5">
        <f t="shared" ca="1" si="84"/>
        <v>0.19166666666666643</v>
      </c>
      <c r="L462">
        <f t="shared" ca="1" si="85"/>
        <v>34770.488888888882</v>
      </c>
      <c r="M462">
        <f t="shared" ca="1" si="86"/>
        <v>34770</v>
      </c>
      <c r="N462" t="str">
        <f t="shared" ca="1" si="87"/>
        <v>1000011111010010</v>
      </c>
      <c r="O462">
        <f t="shared" ca="1" si="88"/>
        <v>100001111</v>
      </c>
    </row>
    <row r="463" spans="4:15" x14ac:dyDescent="0.25">
      <c r="D463">
        <v>461</v>
      </c>
      <c r="E463">
        <f t="shared" si="78"/>
        <v>66.099999999999994</v>
      </c>
      <c r="F463">
        <f t="shared" ca="1" si="79"/>
        <v>66.099999999999994</v>
      </c>
      <c r="G463" s="1">
        <f t="shared" si="80"/>
        <v>3.8416666666666659</v>
      </c>
      <c r="H463" s="6">
        <f t="shared" ca="1" si="81"/>
        <v>3.8416666666666659</v>
      </c>
      <c r="I463" s="5">
        <f t="shared" ca="1" si="82"/>
        <v>0</v>
      </c>
      <c r="J463" s="8">
        <f t="shared" ca="1" si="83"/>
        <v>3.6495833333333323</v>
      </c>
      <c r="K463" s="5">
        <f t="shared" ca="1" si="84"/>
        <v>0.19208333333333361</v>
      </c>
      <c r="L463">
        <f t="shared" ca="1" si="85"/>
        <v>47422.577777777769</v>
      </c>
      <c r="M463">
        <f t="shared" ca="1" si="86"/>
        <v>47423</v>
      </c>
      <c r="N463" t="str">
        <f t="shared" ca="1" si="87"/>
        <v>1011100100111111</v>
      </c>
      <c r="O463">
        <f t="shared" ca="1" si="88"/>
        <v>101110010</v>
      </c>
    </row>
    <row r="464" spans="4:15" x14ac:dyDescent="0.25">
      <c r="D464">
        <v>462</v>
      </c>
      <c r="E464">
        <f t="shared" si="78"/>
        <v>66.2</v>
      </c>
      <c r="F464">
        <f t="shared" ca="1" si="79"/>
        <v>75.44</v>
      </c>
      <c r="G464" s="1">
        <f t="shared" si="80"/>
        <v>3.8499999999999996</v>
      </c>
      <c r="H464" s="6">
        <f t="shared" ca="1" si="81"/>
        <v>4.6199999999999992</v>
      </c>
      <c r="I464" s="5">
        <f t="shared" ca="1" si="82"/>
        <v>0.76999999999999957</v>
      </c>
      <c r="J464" s="8">
        <f t="shared" ca="1" si="83"/>
        <v>3.6574999999999993</v>
      </c>
      <c r="K464" s="5">
        <f t="shared" ca="1" si="84"/>
        <v>0.19250000000000034</v>
      </c>
      <c r="L464">
        <f t="shared" ca="1" si="85"/>
        <v>55924.053333333322</v>
      </c>
      <c r="M464">
        <f t="shared" ca="1" si="86"/>
        <v>55924</v>
      </c>
      <c r="N464" t="str">
        <f t="shared" ca="1" si="87"/>
        <v>1101101001110100</v>
      </c>
      <c r="O464">
        <f t="shared" ca="1" si="88"/>
        <v>110110100</v>
      </c>
    </row>
    <row r="465" spans="4:15" x14ac:dyDescent="0.25">
      <c r="D465">
        <v>463</v>
      </c>
      <c r="E465">
        <f t="shared" si="78"/>
        <v>66.300000000000011</v>
      </c>
      <c r="F465">
        <f t="shared" ca="1" si="79"/>
        <v>43.150000000000006</v>
      </c>
      <c r="G465" s="1">
        <f t="shared" si="80"/>
        <v>3.8583333333333334</v>
      </c>
      <c r="H465" s="6">
        <f t="shared" ca="1" si="81"/>
        <v>1.9291666666666669</v>
      </c>
      <c r="I465" s="5">
        <f t="shared" ca="1" si="82"/>
        <v>1.9291666666666665</v>
      </c>
      <c r="J465" s="8">
        <f t="shared" ca="1" si="83"/>
        <v>3.6654166666666668</v>
      </c>
      <c r="K465" s="5">
        <f t="shared" ca="1" si="84"/>
        <v>0.19291666666666663</v>
      </c>
      <c r="L465">
        <f t="shared" ca="1" si="85"/>
        <v>26532.977777777782</v>
      </c>
      <c r="M465">
        <f t="shared" ca="1" si="86"/>
        <v>26533</v>
      </c>
      <c r="N465" t="str">
        <f t="shared" ca="1" si="87"/>
        <v>0110011110100101</v>
      </c>
      <c r="O465">
        <f t="shared" ca="1" si="88"/>
        <v>11001111</v>
      </c>
    </row>
    <row r="466" spans="4:15" x14ac:dyDescent="0.25">
      <c r="D466">
        <v>464</v>
      </c>
      <c r="E466">
        <f t="shared" si="78"/>
        <v>66.400000000000006</v>
      </c>
      <c r="F466">
        <f t="shared" ca="1" si="79"/>
        <v>47.84</v>
      </c>
      <c r="G466" s="1">
        <f t="shared" si="80"/>
        <v>3.8666666666666663</v>
      </c>
      <c r="H466" s="6">
        <f t="shared" ca="1" si="81"/>
        <v>2.3200000000000003</v>
      </c>
      <c r="I466" s="5">
        <f t="shared" ca="1" si="82"/>
        <v>1.546666666666666</v>
      </c>
      <c r="J466" s="8">
        <f t="shared" ca="1" si="83"/>
        <v>3.6733333333333329</v>
      </c>
      <c r="K466" s="5">
        <f t="shared" ca="1" si="84"/>
        <v>0.19333333333333336</v>
      </c>
      <c r="L466">
        <f t="shared" ca="1" si="85"/>
        <v>30801.920000000002</v>
      </c>
      <c r="M466">
        <f t="shared" ca="1" si="86"/>
        <v>30802</v>
      </c>
      <c r="N466" t="str">
        <f t="shared" ca="1" si="87"/>
        <v>0111100001010010</v>
      </c>
      <c r="O466">
        <f t="shared" ca="1" si="88"/>
        <v>11110000</v>
      </c>
    </row>
    <row r="467" spans="4:15" x14ac:dyDescent="0.25">
      <c r="D467">
        <v>465</v>
      </c>
      <c r="E467">
        <f t="shared" si="78"/>
        <v>66.5</v>
      </c>
      <c r="F467">
        <f t="shared" ca="1" si="79"/>
        <v>47.9</v>
      </c>
      <c r="G467" s="1">
        <f t="shared" si="80"/>
        <v>3.8749999999999991</v>
      </c>
      <c r="H467" s="6">
        <f t="shared" ca="1" si="81"/>
        <v>2.3249999999999993</v>
      </c>
      <c r="I467" s="5">
        <f t="shared" ca="1" si="82"/>
        <v>1.5499999999999998</v>
      </c>
      <c r="J467" s="8">
        <f t="shared" ca="1" si="83"/>
        <v>3.681249999999999</v>
      </c>
      <c r="K467" s="5">
        <f t="shared" ca="1" si="84"/>
        <v>0.19375000000000009</v>
      </c>
      <c r="L467">
        <f t="shared" ca="1" si="85"/>
        <v>30856.533333333326</v>
      </c>
      <c r="M467">
        <f t="shared" ca="1" si="86"/>
        <v>30857</v>
      </c>
      <c r="N467" t="str">
        <f t="shared" ca="1" si="87"/>
        <v>0111100010001001</v>
      </c>
      <c r="O467">
        <f t="shared" ca="1" si="88"/>
        <v>11110001</v>
      </c>
    </row>
    <row r="468" spans="4:15" x14ac:dyDescent="0.25">
      <c r="D468">
        <v>466</v>
      </c>
      <c r="E468">
        <f t="shared" si="78"/>
        <v>66.599999999999994</v>
      </c>
      <c r="F468">
        <f t="shared" ca="1" si="79"/>
        <v>80.58</v>
      </c>
      <c r="G468" s="1">
        <f t="shared" si="80"/>
        <v>3.883333333333332</v>
      </c>
      <c r="H468" s="6">
        <f t="shared" ca="1" si="81"/>
        <v>5.0483333333333329</v>
      </c>
      <c r="I468" s="5">
        <f t="shared" ca="1" si="82"/>
        <v>1.1650000000000009</v>
      </c>
      <c r="J468" s="8">
        <f t="shared" ca="1" si="83"/>
        <v>3.6891666666666652</v>
      </c>
      <c r="K468" s="5">
        <f t="shared" ca="1" si="84"/>
        <v>0.19416666666666682</v>
      </c>
      <c r="L468">
        <f t="shared" ca="1" si="85"/>
        <v>60602.595555555548</v>
      </c>
      <c r="M468">
        <f t="shared" ca="1" si="86"/>
        <v>60603</v>
      </c>
      <c r="N468" t="str">
        <f t="shared" ca="1" si="87"/>
        <v>1110110010111011</v>
      </c>
      <c r="O468">
        <f t="shared" ca="1" si="88"/>
        <v>111011001</v>
      </c>
    </row>
    <row r="469" spans="4:15" x14ac:dyDescent="0.25">
      <c r="D469">
        <v>467</v>
      </c>
      <c r="E469">
        <f t="shared" si="78"/>
        <v>66.7</v>
      </c>
      <c r="F469">
        <f t="shared" ca="1" si="79"/>
        <v>62.03</v>
      </c>
      <c r="G469" s="1">
        <f t="shared" si="80"/>
        <v>3.8916666666666666</v>
      </c>
      <c r="H469" s="6">
        <f t="shared" ca="1" si="81"/>
        <v>3.5024999999999995</v>
      </c>
      <c r="I469" s="5">
        <f t="shared" ca="1" si="82"/>
        <v>0.3891666666666671</v>
      </c>
      <c r="J469" s="8">
        <f t="shared" ca="1" si="83"/>
        <v>4.0862499999999997</v>
      </c>
      <c r="K469" s="5">
        <f t="shared" ca="1" si="84"/>
        <v>0.19458333333333311</v>
      </c>
      <c r="L469">
        <f t="shared" ca="1" si="85"/>
        <v>43717.973333333328</v>
      </c>
      <c r="M469">
        <f t="shared" ca="1" si="86"/>
        <v>43718</v>
      </c>
      <c r="N469" t="str">
        <f t="shared" ca="1" si="87"/>
        <v>1010101011000110</v>
      </c>
      <c r="O469">
        <f t="shared" ca="1" si="88"/>
        <v>101010101</v>
      </c>
    </row>
    <row r="470" spans="4:15" x14ac:dyDescent="0.25">
      <c r="D470">
        <v>468</v>
      </c>
      <c r="E470">
        <f t="shared" si="78"/>
        <v>66.800000000000011</v>
      </c>
      <c r="F470">
        <f t="shared" ca="1" si="79"/>
        <v>52.760000000000012</v>
      </c>
      <c r="G470" s="1">
        <f t="shared" si="80"/>
        <v>3.9000000000000004</v>
      </c>
      <c r="H470" s="6">
        <f t="shared" ca="1" si="81"/>
        <v>2.7300000000000004</v>
      </c>
      <c r="I470" s="5">
        <f t="shared" ca="1" si="82"/>
        <v>1.17</v>
      </c>
      <c r="J470" s="8">
        <f t="shared" ca="1" si="83"/>
        <v>4.0950000000000006</v>
      </c>
      <c r="K470" s="5">
        <f t="shared" ca="1" si="84"/>
        <v>0.19500000000000028</v>
      </c>
      <c r="L470">
        <f t="shared" ca="1" si="85"/>
        <v>35280.21333333334</v>
      </c>
      <c r="M470">
        <f t="shared" ca="1" si="86"/>
        <v>35280</v>
      </c>
      <c r="N470" t="str">
        <f t="shared" ca="1" si="87"/>
        <v>1000100111010000</v>
      </c>
      <c r="O470">
        <f t="shared" ca="1" si="88"/>
        <v>100010011</v>
      </c>
    </row>
    <row r="471" spans="4:15" x14ac:dyDescent="0.25">
      <c r="D471">
        <v>469</v>
      </c>
      <c r="E471">
        <f t="shared" si="78"/>
        <v>66.900000000000006</v>
      </c>
      <c r="F471">
        <f t="shared" ca="1" si="79"/>
        <v>48.14</v>
      </c>
      <c r="G471" s="1">
        <f t="shared" si="80"/>
        <v>3.9083333333333332</v>
      </c>
      <c r="H471" s="6">
        <f t="shared" ca="1" si="81"/>
        <v>2.3449999999999998</v>
      </c>
      <c r="I471" s="5">
        <f t="shared" ca="1" si="82"/>
        <v>1.5633333333333335</v>
      </c>
      <c r="J471" s="8">
        <f t="shared" ca="1" si="83"/>
        <v>3.7129166666666662</v>
      </c>
      <c r="K471" s="5">
        <f t="shared" ca="1" si="84"/>
        <v>0.19541666666666702</v>
      </c>
      <c r="L471">
        <f t="shared" ca="1" si="85"/>
        <v>31074.986666666664</v>
      </c>
      <c r="M471">
        <f t="shared" ca="1" si="86"/>
        <v>31075</v>
      </c>
      <c r="N471" t="str">
        <f t="shared" ca="1" si="87"/>
        <v>0111100101100011</v>
      </c>
      <c r="O471">
        <f t="shared" ca="1" si="88"/>
        <v>11110010</v>
      </c>
    </row>
    <row r="472" spans="4:15" x14ac:dyDescent="0.25">
      <c r="D472">
        <v>470</v>
      </c>
      <c r="E472">
        <f t="shared" si="78"/>
        <v>67</v>
      </c>
      <c r="F472">
        <f t="shared" ca="1" si="79"/>
        <v>57.6</v>
      </c>
      <c r="G472" s="1">
        <f t="shared" si="80"/>
        <v>3.9166666666666661</v>
      </c>
      <c r="H472" s="6">
        <f t="shared" ca="1" si="81"/>
        <v>3.1333333333333329</v>
      </c>
      <c r="I472" s="5">
        <f t="shared" ca="1" si="82"/>
        <v>0.78333333333333321</v>
      </c>
      <c r="J472" s="8">
        <f t="shared" ca="1" si="83"/>
        <v>4.1124999999999998</v>
      </c>
      <c r="K472" s="5">
        <f t="shared" ca="1" si="84"/>
        <v>0.19583333333333375</v>
      </c>
      <c r="L472">
        <f t="shared" ca="1" si="85"/>
        <v>39685.688888888886</v>
      </c>
      <c r="M472">
        <f t="shared" ca="1" si="86"/>
        <v>39686</v>
      </c>
      <c r="N472" t="str">
        <f t="shared" ca="1" si="87"/>
        <v>1001101100000110</v>
      </c>
      <c r="O472">
        <f t="shared" ca="1" si="88"/>
        <v>100110110</v>
      </c>
    </row>
    <row r="473" spans="4:15" x14ac:dyDescent="0.25">
      <c r="D473">
        <v>471</v>
      </c>
      <c r="E473">
        <f t="shared" si="78"/>
        <v>67.099999999999994</v>
      </c>
      <c r="F473">
        <f t="shared" ca="1" si="79"/>
        <v>48.259999999999991</v>
      </c>
      <c r="G473" s="1">
        <f t="shared" si="80"/>
        <v>3.9249999999999989</v>
      </c>
      <c r="H473" s="6">
        <f t="shared" ca="1" si="81"/>
        <v>2.3549999999999986</v>
      </c>
      <c r="I473" s="5">
        <f t="shared" ca="1" si="82"/>
        <v>1.5700000000000003</v>
      </c>
      <c r="J473" s="8">
        <f t="shared" ca="1" si="83"/>
        <v>3.7287499999999989</v>
      </c>
      <c r="K473" s="5">
        <f t="shared" ca="1" si="84"/>
        <v>0.19625000000000004</v>
      </c>
      <c r="L473">
        <f t="shared" ca="1" si="85"/>
        <v>31184.213333333319</v>
      </c>
      <c r="M473">
        <f t="shared" ca="1" si="86"/>
        <v>31184</v>
      </c>
      <c r="N473" t="str">
        <f t="shared" ca="1" si="87"/>
        <v>0111100111010000</v>
      </c>
      <c r="O473">
        <f t="shared" ca="1" si="88"/>
        <v>11110011</v>
      </c>
    </row>
    <row r="474" spans="4:15" x14ac:dyDescent="0.25">
      <c r="D474">
        <v>472</v>
      </c>
      <c r="E474">
        <f t="shared" si="78"/>
        <v>67.2</v>
      </c>
      <c r="F474">
        <f t="shared" ca="1" si="79"/>
        <v>57.760000000000005</v>
      </c>
      <c r="G474" s="1">
        <f t="shared" si="80"/>
        <v>3.9333333333333327</v>
      </c>
      <c r="H474" s="6">
        <f t="shared" ca="1" si="81"/>
        <v>3.1466666666666665</v>
      </c>
      <c r="I474" s="5">
        <f t="shared" ca="1" si="82"/>
        <v>0.78666666666666618</v>
      </c>
      <c r="J474" s="8">
        <f t="shared" ca="1" si="83"/>
        <v>4.13</v>
      </c>
      <c r="K474" s="5">
        <f t="shared" ca="1" si="84"/>
        <v>0.19666666666666721</v>
      </c>
      <c r="L474">
        <f t="shared" ca="1" si="85"/>
        <v>39831.324444444443</v>
      </c>
      <c r="M474">
        <f t="shared" ca="1" si="86"/>
        <v>39831</v>
      </c>
      <c r="N474" t="str">
        <f t="shared" ca="1" si="87"/>
        <v>1001101110010111</v>
      </c>
      <c r="O474">
        <f t="shared" ca="1" si="88"/>
        <v>100110111</v>
      </c>
    </row>
    <row r="475" spans="4:15" x14ac:dyDescent="0.25">
      <c r="D475">
        <v>473</v>
      </c>
      <c r="E475">
        <f t="shared" si="78"/>
        <v>67.300000000000011</v>
      </c>
      <c r="F475">
        <f t="shared" ca="1" si="79"/>
        <v>76.760000000000019</v>
      </c>
      <c r="G475" s="1">
        <f t="shared" si="80"/>
        <v>3.9416666666666673</v>
      </c>
      <c r="H475" s="6">
        <f t="shared" ca="1" si="81"/>
        <v>4.7300000000000013</v>
      </c>
      <c r="I475" s="5">
        <f t="shared" ca="1" si="82"/>
        <v>0.788333333333334</v>
      </c>
      <c r="J475" s="8">
        <f t="shared" ca="1" si="83"/>
        <v>4.1387500000000008</v>
      </c>
      <c r="K475" s="5">
        <f t="shared" ca="1" si="84"/>
        <v>0.1970833333333335</v>
      </c>
      <c r="L475">
        <f t="shared" ca="1" si="85"/>
        <v>57125.546666666683</v>
      </c>
      <c r="M475">
        <f t="shared" ca="1" si="86"/>
        <v>57126</v>
      </c>
      <c r="N475" t="str">
        <f t="shared" ca="1" si="87"/>
        <v>1101111100100110</v>
      </c>
      <c r="O475">
        <f t="shared" ca="1" si="88"/>
        <v>110111110</v>
      </c>
    </row>
    <row r="476" spans="4:15" x14ac:dyDescent="0.25">
      <c r="D476">
        <v>474</v>
      </c>
      <c r="E476">
        <f t="shared" si="78"/>
        <v>67.400000000000006</v>
      </c>
      <c r="F476">
        <f t="shared" ca="1" si="79"/>
        <v>43.7</v>
      </c>
      <c r="G476" s="1">
        <f t="shared" si="80"/>
        <v>3.95</v>
      </c>
      <c r="H476" s="6">
        <f t="shared" ca="1" si="81"/>
        <v>1.9749999999999999</v>
      </c>
      <c r="I476" s="5">
        <f t="shared" ca="1" si="82"/>
        <v>1.9750000000000003</v>
      </c>
      <c r="J476" s="8">
        <f t="shared" ca="1" si="83"/>
        <v>4.1475</v>
      </c>
      <c r="K476" s="5">
        <f t="shared" ca="1" si="84"/>
        <v>0.19749999999999979</v>
      </c>
      <c r="L476">
        <f t="shared" ca="1" si="85"/>
        <v>27033.599999999995</v>
      </c>
      <c r="M476">
        <f t="shared" ca="1" si="86"/>
        <v>27034</v>
      </c>
      <c r="N476" t="str">
        <f t="shared" ca="1" si="87"/>
        <v>0110100110011010</v>
      </c>
      <c r="O476">
        <f t="shared" ca="1" si="88"/>
        <v>11010011</v>
      </c>
    </row>
    <row r="477" spans="4:15" x14ac:dyDescent="0.25">
      <c r="D477">
        <v>475</v>
      </c>
      <c r="E477">
        <f t="shared" si="78"/>
        <v>67.5</v>
      </c>
      <c r="F477">
        <f t="shared" ca="1" si="79"/>
        <v>48.5</v>
      </c>
      <c r="G477" s="1">
        <f t="shared" si="80"/>
        <v>3.958333333333333</v>
      </c>
      <c r="H477" s="6">
        <f t="shared" ca="1" si="81"/>
        <v>2.3749999999999991</v>
      </c>
      <c r="I477" s="5">
        <f t="shared" ca="1" si="82"/>
        <v>1.5833333333333339</v>
      </c>
      <c r="J477" s="8">
        <f t="shared" ca="1" si="83"/>
        <v>4.15625</v>
      </c>
      <c r="K477" s="5">
        <f t="shared" ca="1" si="84"/>
        <v>0.19791666666666696</v>
      </c>
      <c r="L477">
        <f t="shared" ca="1" si="85"/>
        <v>31402.666666666657</v>
      </c>
      <c r="M477">
        <f t="shared" ca="1" si="86"/>
        <v>31403</v>
      </c>
      <c r="N477" t="str">
        <f t="shared" ca="1" si="87"/>
        <v>0111101010101011</v>
      </c>
      <c r="O477">
        <f t="shared" ca="1" si="88"/>
        <v>11110101</v>
      </c>
    </row>
    <row r="478" spans="4:15" x14ac:dyDescent="0.25">
      <c r="D478">
        <v>476</v>
      </c>
      <c r="E478">
        <f t="shared" si="78"/>
        <v>67.599999999999994</v>
      </c>
      <c r="F478">
        <f t="shared" ca="1" si="79"/>
        <v>53.319999999999993</v>
      </c>
      <c r="G478" s="1">
        <f t="shared" si="80"/>
        <v>3.9666666666666659</v>
      </c>
      <c r="H478" s="6">
        <f t="shared" ca="1" si="81"/>
        <v>2.7766666666666655</v>
      </c>
      <c r="I478" s="5">
        <f t="shared" ca="1" si="82"/>
        <v>1.1900000000000004</v>
      </c>
      <c r="J478" s="8">
        <f t="shared" ca="1" si="83"/>
        <v>3.7683333333333326</v>
      </c>
      <c r="K478" s="5">
        <f t="shared" ca="1" si="84"/>
        <v>0.19833333333333325</v>
      </c>
      <c r="L478">
        <f t="shared" ca="1" si="85"/>
        <v>35789.937777777763</v>
      </c>
      <c r="M478">
        <f t="shared" ca="1" si="86"/>
        <v>35790</v>
      </c>
      <c r="N478" t="str">
        <f t="shared" ca="1" si="87"/>
        <v>1000101111001110</v>
      </c>
      <c r="O478">
        <f t="shared" ca="1" si="88"/>
        <v>100010111</v>
      </c>
    </row>
    <row r="479" spans="4:15" x14ac:dyDescent="0.25">
      <c r="D479">
        <v>477</v>
      </c>
      <c r="E479">
        <f t="shared" si="78"/>
        <v>67.7</v>
      </c>
      <c r="F479">
        <f t="shared" ca="1" si="79"/>
        <v>62.93</v>
      </c>
      <c r="G479" s="1">
        <f t="shared" si="80"/>
        <v>3.9749999999999996</v>
      </c>
      <c r="H479" s="6">
        <f t="shared" ca="1" si="81"/>
        <v>3.5774999999999997</v>
      </c>
      <c r="I479" s="5">
        <f t="shared" ca="1" si="82"/>
        <v>0.39749999999999996</v>
      </c>
      <c r="J479" s="8">
        <f t="shared" ca="1" si="83"/>
        <v>3.7762499999999997</v>
      </c>
      <c r="K479" s="5">
        <f t="shared" ca="1" si="84"/>
        <v>0.19874999999999998</v>
      </c>
      <c r="L479">
        <f t="shared" ca="1" si="85"/>
        <v>44537.173333333332</v>
      </c>
      <c r="M479">
        <f t="shared" ca="1" si="86"/>
        <v>44537</v>
      </c>
      <c r="N479" t="str">
        <f t="shared" ca="1" si="87"/>
        <v>1010110111111001</v>
      </c>
      <c r="O479">
        <f t="shared" ca="1" si="88"/>
        <v>101011011</v>
      </c>
    </row>
    <row r="480" spans="4:15" x14ac:dyDescent="0.25">
      <c r="D480">
        <v>478</v>
      </c>
      <c r="E480">
        <f t="shared" si="78"/>
        <v>67.800000000000011</v>
      </c>
      <c r="F480">
        <f t="shared" ca="1" si="79"/>
        <v>72.580000000000013</v>
      </c>
      <c r="G480" s="1">
        <f t="shared" si="80"/>
        <v>3.9833333333333334</v>
      </c>
      <c r="H480" s="6">
        <f t="shared" ca="1" si="81"/>
        <v>4.3816666666666668</v>
      </c>
      <c r="I480" s="5">
        <f t="shared" ca="1" si="82"/>
        <v>0.39833333333333343</v>
      </c>
      <c r="J480" s="8">
        <f t="shared" ca="1" si="83"/>
        <v>4.1825000000000001</v>
      </c>
      <c r="K480" s="5">
        <f t="shared" ca="1" si="84"/>
        <v>0.19916666666666671</v>
      </c>
      <c r="L480">
        <f t="shared" ca="1" si="85"/>
        <v>53320.817777777782</v>
      </c>
      <c r="M480">
        <f t="shared" ca="1" si="86"/>
        <v>53321</v>
      </c>
      <c r="N480" t="str">
        <f t="shared" ca="1" si="87"/>
        <v>1101000001001001</v>
      </c>
      <c r="O480">
        <f t="shared" ca="1" si="88"/>
        <v>110100000</v>
      </c>
    </row>
    <row r="481" spans="4:15" x14ac:dyDescent="0.25">
      <c r="D481">
        <v>479</v>
      </c>
      <c r="E481">
        <f t="shared" si="78"/>
        <v>67.900000000000006</v>
      </c>
      <c r="F481">
        <f t="shared" ca="1" si="79"/>
        <v>87.06</v>
      </c>
      <c r="G481" s="1">
        <f t="shared" si="80"/>
        <v>3.9916666666666663</v>
      </c>
      <c r="H481" s="6">
        <f t="shared" ca="1" si="81"/>
        <v>5.5883333333333329</v>
      </c>
      <c r="I481" s="5">
        <f t="shared" ca="1" si="82"/>
        <v>1.5966666666666667</v>
      </c>
      <c r="J481" s="8">
        <f t="shared" ca="1" si="83"/>
        <v>4.1912500000000001</v>
      </c>
      <c r="K481" s="5">
        <f t="shared" ca="1" si="84"/>
        <v>0.19958333333333389</v>
      </c>
      <c r="L481">
        <f t="shared" ca="1" si="85"/>
        <v>66500.835555555546</v>
      </c>
      <c r="M481">
        <f t="shared" ca="1" si="86"/>
        <v>66501</v>
      </c>
      <c r="N481" t="str">
        <f t="shared" ca="1" si="87"/>
        <v>10000001111000101</v>
      </c>
      <c r="O481">
        <f t="shared" ca="1" si="88"/>
        <v>100000011</v>
      </c>
    </row>
    <row r="482" spans="4:15" x14ac:dyDescent="0.25">
      <c r="D482">
        <v>480</v>
      </c>
      <c r="E482">
        <f t="shared" si="78"/>
        <v>68</v>
      </c>
      <c r="F482">
        <f t="shared" ca="1" si="79"/>
        <v>82.4</v>
      </c>
      <c r="G482" s="1">
        <f t="shared" si="80"/>
        <v>3.9999999999999991</v>
      </c>
      <c r="H482" s="6">
        <f t="shared" ca="1" si="81"/>
        <v>5.2</v>
      </c>
      <c r="I482" s="5">
        <f t="shared" ca="1" si="82"/>
        <v>1.2000000000000011</v>
      </c>
      <c r="J482" s="8">
        <f t="shared" ca="1" si="83"/>
        <v>3.7999999999999989</v>
      </c>
      <c r="K482" s="5">
        <f t="shared" ca="1" si="84"/>
        <v>0.20000000000000018</v>
      </c>
      <c r="L482">
        <f t="shared" ca="1" si="85"/>
        <v>62259.200000000004</v>
      </c>
      <c r="M482">
        <f t="shared" ca="1" si="86"/>
        <v>62259</v>
      </c>
      <c r="N482" t="str">
        <f t="shared" ca="1" si="87"/>
        <v>1111001100110011</v>
      </c>
      <c r="O482">
        <f t="shared" ca="1" si="88"/>
        <v>111100110</v>
      </c>
    </row>
    <row r="483" spans="4:15" x14ac:dyDescent="0.25">
      <c r="D483">
        <v>481</v>
      </c>
      <c r="E483">
        <f t="shared" si="78"/>
        <v>68.099999999999994</v>
      </c>
      <c r="F483">
        <f t="shared" ca="1" si="79"/>
        <v>58.47999999999999</v>
      </c>
      <c r="G483" s="1">
        <f t="shared" si="80"/>
        <v>4.008333333333332</v>
      </c>
      <c r="H483" s="6">
        <f t="shared" ca="1" si="81"/>
        <v>3.2066666666666652</v>
      </c>
      <c r="I483" s="5">
        <f t="shared" ca="1" si="82"/>
        <v>0.80166666666666675</v>
      </c>
      <c r="J483" s="8">
        <f t="shared" ca="1" si="83"/>
        <v>3.8079166666666651</v>
      </c>
      <c r="K483" s="5">
        <f t="shared" ca="1" si="84"/>
        <v>0.20041666666666691</v>
      </c>
      <c r="L483">
        <f t="shared" ca="1" si="85"/>
        <v>40486.684444444429</v>
      </c>
      <c r="M483">
        <f t="shared" ca="1" si="86"/>
        <v>40487</v>
      </c>
      <c r="N483" t="str">
        <f t="shared" ca="1" si="87"/>
        <v>1001111000100111</v>
      </c>
      <c r="O483">
        <f t="shared" ca="1" si="88"/>
        <v>100111100</v>
      </c>
    </row>
    <row r="484" spans="4:15" x14ac:dyDescent="0.25">
      <c r="D484">
        <v>482</v>
      </c>
      <c r="E484">
        <f t="shared" si="78"/>
        <v>68.2</v>
      </c>
      <c r="F484">
        <f t="shared" ca="1" si="79"/>
        <v>73.02000000000001</v>
      </c>
      <c r="G484" s="1">
        <f t="shared" si="80"/>
        <v>4.0166666666666666</v>
      </c>
      <c r="H484" s="6">
        <f t="shared" ca="1" si="81"/>
        <v>4.4183333333333339</v>
      </c>
      <c r="I484" s="5">
        <f t="shared" ca="1" si="82"/>
        <v>0.40166666666666728</v>
      </c>
      <c r="J484" s="8">
        <f t="shared" ca="1" si="83"/>
        <v>4.2175000000000002</v>
      </c>
      <c r="K484" s="5">
        <f t="shared" ca="1" si="84"/>
        <v>0.20083333333333364</v>
      </c>
      <c r="L484">
        <f t="shared" ca="1" si="85"/>
        <v>53721.315555555564</v>
      </c>
      <c r="M484">
        <f t="shared" ca="1" si="86"/>
        <v>53721</v>
      </c>
      <c r="N484" t="str">
        <f t="shared" ca="1" si="87"/>
        <v>1101000111011001</v>
      </c>
      <c r="O484">
        <f t="shared" ca="1" si="88"/>
        <v>110100011</v>
      </c>
    </row>
    <row r="485" spans="4:15" x14ac:dyDescent="0.25">
      <c r="D485">
        <v>483</v>
      </c>
      <c r="E485">
        <f t="shared" si="78"/>
        <v>68.300000000000011</v>
      </c>
      <c r="F485">
        <f t="shared" ca="1" si="79"/>
        <v>58.640000000000015</v>
      </c>
      <c r="G485" s="1">
        <f t="shared" si="80"/>
        <v>4.0250000000000004</v>
      </c>
      <c r="H485" s="6">
        <f t="shared" ca="1" si="81"/>
        <v>3.2200000000000006</v>
      </c>
      <c r="I485" s="5">
        <f t="shared" ca="1" si="82"/>
        <v>0.80499999999999972</v>
      </c>
      <c r="J485" s="8">
        <f t="shared" ca="1" si="83"/>
        <v>3.82375</v>
      </c>
      <c r="K485" s="5">
        <f t="shared" ca="1" si="84"/>
        <v>0.20125000000000037</v>
      </c>
      <c r="L485">
        <f t="shared" ca="1" si="85"/>
        <v>40632.320000000007</v>
      </c>
      <c r="M485">
        <f t="shared" ca="1" si="86"/>
        <v>40632</v>
      </c>
      <c r="N485" t="str">
        <f t="shared" ca="1" si="87"/>
        <v>1001111010111000</v>
      </c>
      <c r="O485">
        <f t="shared" ca="1" si="88"/>
        <v>100111101</v>
      </c>
    </row>
    <row r="486" spans="4:15" x14ac:dyDescent="0.25">
      <c r="D486">
        <v>484</v>
      </c>
      <c r="E486">
        <f t="shared" si="78"/>
        <v>68.400000000000006</v>
      </c>
      <c r="F486">
        <f t="shared" ca="1" si="79"/>
        <v>82.92</v>
      </c>
      <c r="G486" s="1">
        <f t="shared" si="80"/>
        <v>4.0333333333333332</v>
      </c>
      <c r="H486" s="6">
        <f t="shared" ca="1" si="81"/>
        <v>5.2433333333333332</v>
      </c>
      <c r="I486" s="5">
        <f t="shared" ca="1" si="82"/>
        <v>1.21</v>
      </c>
      <c r="J486" s="8">
        <f t="shared" ca="1" si="83"/>
        <v>3.8316666666666666</v>
      </c>
      <c r="K486" s="5">
        <f t="shared" ca="1" si="84"/>
        <v>0.20166666666666666</v>
      </c>
      <c r="L486">
        <f t="shared" ca="1" si="85"/>
        <v>62732.515555555554</v>
      </c>
      <c r="M486">
        <f t="shared" ca="1" si="86"/>
        <v>62733</v>
      </c>
      <c r="N486" t="str">
        <f t="shared" ca="1" si="87"/>
        <v>1111010100001101</v>
      </c>
      <c r="O486">
        <f t="shared" ca="1" si="88"/>
        <v>111101010</v>
      </c>
    </row>
    <row r="487" spans="4:15" x14ac:dyDescent="0.25">
      <c r="D487">
        <v>485</v>
      </c>
      <c r="E487">
        <f t="shared" si="78"/>
        <v>68.5</v>
      </c>
      <c r="F487">
        <f t="shared" ca="1" si="79"/>
        <v>53.95</v>
      </c>
      <c r="G487" s="1">
        <f t="shared" si="80"/>
        <v>4.0416666666666661</v>
      </c>
      <c r="H487" s="6">
        <f t="shared" ca="1" si="81"/>
        <v>2.8291666666666666</v>
      </c>
      <c r="I487" s="5">
        <f t="shared" ca="1" si="82"/>
        <v>1.2124999999999995</v>
      </c>
      <c r="J487" s="8">
        <f t="shared" ca="1" si="83"/>
        <v>3.8395833333333327</v>
      </c>
      <c r="K487" s="5">
        <f t="shared" ca="1" si="84"/>
        <v>0.20208333333333339</v>
      </c>
      <c r="L487">
        <f t="shared" ca="1" si="85"/>
        <v>36363.37777777778</v>
      </c>
      <c r="M487">
        <f t="shared" ca="1" si="86"/>
        <v>36363</v>
      </c>
      <c r="N487" t="str">
        <f t="shared" ca="1" si="87"/>
        <v>1000111000001011</v>
      </c>
      <c r="O487">
        <f t="shared" ca="1" si="88"/>
        <v>100011100</v>
      </c>
    </row>
    <row r="488" spans="4:15" x14ac:dyDescent="0.25">
      <c r="D488">
        <v>486</v>
      </c>
      <c r="E488">
        <f t="shared" si="78"/>
        <v>68.599999999999994</v>
      </c>
      <c r="F488">
        <f t="shared" ca="1" si="79"/>
        <v>44.3</v>
      </c>
      <c r="G488" s="1">
        <f t="shared" si="80"/>
        <v>4.0499999999999989</v>
      </c>
      <c r="H488" s="6">
        <f t="shared" ca="1" si="81"/>
        <v>2.0249999999999995</v>
      </c>
      <c r="I488" s="5">
        <f t="shared" ca="1" si="82"/>
        <v>2.0249999999999995</v>
      </c>
      <c r="J488" s="8">
        <f t="shared" ca="1" si="83"/>
        <v>4.2524999999999995</v>
      </c>
      <c r="K488" s="5">
        <f t="shared" ca="1" si="84"/>
        <v>0.20250000000000057</v>
      </c>
      <c r="L488">
        <f t="shared" ca="1" si="85"/>
        <v>27579.733333333326</v>
      </c>
      <c r="M488">
        <f t="shared" ca="1" si="86"/>
        <v>27580</v>
      </c>
      <c r="N488" t="str">
        <f t="shared" ca="1" si="87"/>
        <v>0110101110111100</v>
      </c>
      <c r="O488">
        <f t="shared" ca="1" si="88"/>
        <v>11010111</v>
      </c>
    </row>
    <row r="489" spans="4:15" x14ac:dyDescent="0.25">
      <c r="D489">
        <v>487</v>
      </c>
      <c r="E489">
        <f t="shared" si="78"/>
        <v>68.7</v>
      </c>
      <c r="F489">
        <f t="shared" ca="1" si="79"/>
        <v>68.7</v>
      </c>
      <c r="G489" s="1">
        <f t="shared" si="80"/>
        <v>4.0583333333333327</v>
      </c>
      <c r="H489" s="6">
        <f t="shared" ca="1" si="81"/>
        <v>4.0583333333333327</v>
      </c>
      <c r="I489" s="5">
        <f t="shared" ca="1" si="82"/>
        <v>0</v>
      </c>
      <c r="J489" s="8">
        <f t="shared" ca="1" si="83"/>
        <v>3.8554166666666658</v>
      </c>
      <c r="K489" s="5">
        <f t="shared" ca="1" si="84"/>
        <v>0.20291666666666686</v>
      </c>
      <c r="L489">
        <f t="shared" ca="1" si="85"/>
        <v>49789.155555555546</v>
      </c>
      <c r="M489">
        <f t="shared" ca="1" si="86"/>
        <v>49789</v>
      </c>
      <c r="N489" t="str">
        <f t="shared" ca="1" si="87"/>
        <v>1100001001111101</v>
      </c>
      <c r="O489">
        <f t="shared" ca="1" si="88"/>
        <v>110000100</v>
      </c>
    </row>
    <row r="490" spans="4:15" x14ac:dyDescent="0.25">
      <c r="D490">
        <v>488</v>
      </c>
      <c r="E490">
        <f t="shared" si="78"/>
        <v>68.800000000000011</v>
      </c>
      <c r="F490">
        <f t="shared" ca="1" si="79"/>
        <v>63.920000000000009</v>
      </c>
      <c r="G490" s="1">
        <f t="shared" si="80"/>
        <v>4.0666666666666673</v>
      </c>
      <c r="H490" s="6">
        <f t="shared" ca="1" si="81"/>
        <v>3.66</v>
      </c>
      <c r="I490" s="5">
        <f t="shared" ca="1" si="82"/>
        <v>0.40666666666666718</v>
      </c>
      <c r="J490" s="8">
        <f t="shared" ca="1" si="83"/>
        <v>4.2700000000000005</v>
      </c>
      <c r="K490" s="5">
        <f t="shared" ca="1" si="84"/>
        <v>0.20333333333333314</v>
      </c>
      <c r="L490">
        <f t="shared" ca="1" si="85"/>
        <v>45438.293333333335</v>
      </c>
      <c r="M490">
        <f t="shared" ca="1" si="86"/>
        <v>45438</v>
      </c>
      <c r="N490" t="str">
        <f t="shared" ca="1" si="87"/>
        <v>1011000101111110</v>
      </c>
      <c r="O490">
        <f t="shared" ca="1" si="88"/>
        <v>101100010</v>
      </c>
    </row>
    <row r="491" spans="4:15" x14ac:dyDescent="0.25">
      <c r="D491">
        <v>489</v>
      </c>
      <c r="E491">
        <f t="shared" si="78"/>
        <v>68.900000000000006</v>
      </c>
      <c r="F491">
        <f t="shared" ca="1" si="79"/>
        <v>78.680000000000007</v>
      </c>
      <c r="G491" s="1">
        <f t="shared" si="80"/>
        <v>4.0750000000000002</v>
      </c>
      <c r="H491" s="6">
        <f t="shared" ca="1" si="81"/>
        <v>4.8899999999999997</v>
      </c>
      <c r="I491" s="5">
        <f t="shared" ca="1" si="82"/>
        <v>0.8149999999999995</v>
      </c>
      <c r="J491" s="8">
        <f t="shared" ca="1" si="83"/>
        <v>3.8712499999999999</v>
      </c>
      <c r="K491" s="5">
        <f t="shared" ca="1" si="84"/>
        <v>0.20375000000000032</v>
      </c>
      <c r="L491">
        <f t="shared" ca="1" si="85"/>
        <v>58873.173333333332</v>
      </c>
      <c r="M491">
        <f t="shared" ca="1" si="86"/>
        <v>58873</v>
      </c>
      <c r="N491" t="str">
        <f t="shared" ca="1" si="87"/>
        <v>1110010111111001</v>
      </c>
      <c r="O491">
        <f t="shared" ca="1" si="88"/>
        <v>111001011</v>
      </c>
    </row>
    <row r="492" spans="4:15" x14ac:dyDescent="0.25">
      <c r="D492">
        <v>490</v>
      </c>
      <c r="E492">
        <f t="shared" si="78"/>
        <v>69</v>
      </c>
      <c r="F492">
        <f t="shared" ca="1" si="79"/>
        <v>54.3</v>
      </c>
      <c r="G492" s="1">
        <f t="shared" si="80"/>
        <v>4.083333333333333</v>
      </c>
      <c r="H492" s="6">
        <f t="shared" ca="1" si="81"/>
        <v>2.8583333333333325</v>
      </c>
      <c r="I492" s="5">
        <f t="shared" ca="1" si="82"/>
        <v>1.2250000000000005</v>
      </c>
      <c r="J492" s="8">
        <f t="shared" ca="1" si="83"/>
        <v>4.2874999999999996</v>
      </c>
      <c r="K492" s="5">
        <f t="shared" ca="1" si="84"/>
        <v>0.20416666666666661</v>
      </c>
      <c r="L492">
        <f t="shared" ca="1" si="85"/>
        <v>36681.955555555549</v>
      </c>
      <c r="M492">
        <f t="shared" ca="1" si="86"/>
        <v>36682</v>
      </c>
      <c r="N492" t="str">
        <f t="shared" ca="1" si="87"/>
        <v>1000111101001010</v>
      </c>
      <c r="O492">
        <f t="shared" ca="1" si="88"/>
        <v>100011110</v>
      </c>
    </row>
    <row r="493" spans="4:15" x14ac:dyDescent="0.25">
      <c r="D493">
        <v>491</v>
      </c>
      <c r="E493">
        <f t="shared" si="78"/>
        <v>69.099999999999994</v>
      </c>
      <c r="F493">
        <f t="shared" ca="1" si="79"/>
        <v>49.459999999999994</v>
      </c>
      <c r="G493" s="1">
        <f t="shared" si="80"/>
        <v>4.0916666666666659</v>
      </c>
      <c r="H493" s="6">
        <f t="shared" ca="1" si="81"/>
        <v>2.4549999999999992</v>
      </c>
      <c r="I493" s="5">
        <f t="shared" ca="1" si="82"/>
        <v>1.6366666666666667</v>
      </c>
      <c r="J493" s="8">
        <f t="shared" ca="1" si="83"/>
        <v>3.8870833333333326</v>
      </c>
      <c r="K493" s="5">
        <f t="shared" ca="1" si="84"/>
        <v>0.20458333333333334</v>
      </c>
      <c r="L493">
        <f t="shared" ca="1" si="85"/>
        <v>32276.479999999992</v>
      </c>
      <c r="M493">
        <f t="shared" ca="1" si="86"/>
        <v>32276</v>
      </c>
      <c r="N493" t="str">
        <f t="shared" ca="1" si="87"/>
        <v>0111111000010100</v>
      </c>
      <c r="O493">
        <f t="shared" ca="1" si="88"/>
        <v>11111100</v>
      </c>
    </row>
    <row r="494" spans="4:15" x14ac:dyDescent="0.25">
      <c r="D494">
        <v>492</v>
      </c>
      <c r="E494">
        <f t="shared" si="78"/>
        <v>69.2</v>
      </c>
      <c r="F494">
        <f t="shared" ca="1" si="79"/>
        <v>88.88</v>
      </c>
      <c r="G494" s="1">
        <f t="shared" si="80"/>
        <v>4.0999999999999996</v>
      </c>
      <c r="H494" s="6">
        <f t="shared" ca="1" si="81"/>
        <v>5.7399999999999993</v>
      </c>
      <c r="I494" s="5">
        <f t="shared" ca="1" si="82"/>
        <v>1.6399999999999997</v>
      </c>
      <c r="J494" s="8">
        <f t="shared" ca="1" si="83"/>
        <v>3.8949999999999996</v>
      </c>
      <c r="K494" s="5">
        <f t="shared" ca="1" si="84"/>
        <v>0.20500000000000007</v>
      </c>
      <c r="L494">
        <f t="shared" ca="1" si="85"/>
        <v>68157.439999999988</v>
      </c>
      <c r="M494">
        <f t="shared" ca="1" si="86"/>
        <v>68157</v>
      </c>
      <c r="N494" t="str">
        <f t="shared" ca="1" si="87"/>
        <v>10000101000111101</v>
      </c>
      <c r="O494">
        <f t="shared" ca="1" si="88"/>
        <v>100001010</v>
      </c>
    </row>
    <row r="495" spans="4:15" x14ac:dyDescent="0.25">
      <c r="D495">
        <v>493</v>
      </c>
      <c r="E495">
        <f t="shared" si="78"/>
        <v>69.300000000000011</v>
      </c>
      <c r="F495">
        <f t="shared" ca="1" si="79"/>
        <v>79.160000000000011</v>
      </c>
      <c r="G495" s="1">
        <f t="shared" si="80"/>
        <v>4.1083333333333334</v>
      </c>
      <c r="H495" s="6">
        <f t="shared" ca="1" si="81"/>
        <v>4.9300000000000006</v>
      </c>
      <c r="I495" s="5">
        <f t="shared" ca="1" si="82"/>
        <v>0.82166666666666721</v>
      </c>
      <c r="J495" s="8">
        <f t="shared" ca="1" si="83"/>
        <v>3.9029166666666666</v>
      </c>
      <c r="K495" s="5">
        <f t="shared" ca="1" si="84"/>
        <v>0.2054166666666668</v>
      </c>
      <c r="L495">
        <f t="shared" ca="1" si="85"/>
        <v>59310.080000000009</v>
      </c>
      <c r="M495">
        <f t="shared" ca="1" si="86"/>
        <v>59310</v>
      </c>
      <c r="N495" t="str">
        <f t="shared" ca="1" si="87"/>
        <v>1110011110101110</v>
      </c>
      <c r="O495">
        <f t="shared" ca="1" si="88"/>
        <v>111001111</v>
      </c>
    </row>
    <row r="496" spans="4:15" x14ac:dyDescent="0.25">
      <c r="D496">
        <v>494</v>
      </c>
      <c r="E496">
        <f t="shared" si="78"/>
        <v>69.400000000000006</v>
      </c>
      <c r="F496">
        <f t="shared" ca="1" si="79"/>
        <v>49.64</v>
      </c>
      <c r="G496" s="1">
        <f t="shared" si="80"/>
        <v>4.1166666666666663</v>
      </c>
      <c r="H496" s="6">
        <f t="shared" ca="1" si="81"/>
        <v>2.4699999999999998</v>
      </c>
      <c r="I496" s="5">
        <f t="shared" ca="1" si="82"/>
        <v>1.6466666666666665</v>
      </c>
      <c r="J496" s="8">
        <f t="shared" ca="1" si="83"/>
        <v>4.3224999999999998</v>
      </c>
      <c r="K496" s="5">
        <f t="shared" ca="1" si="84"/>
        <v>0.20583333333333353</v>
      </c>
      <c r="L496">
        <f t="shared" ca="1" si="85"/>
        <v>32440.319999999996</v>
      </c>
      <c r="M496">
        <f t="shared" ca="1" si="86"/>
        <v>32440</v>
      </c>
      <c r="N496" t="str">
        <f t="shared" ca="1" si="87"/>
        <v>0111111010111000</v>
      </c>
      <c r="O496">
        <f t="shared" ca="1" si="88"/>
        <v>11111101</v>
      </c>
    </row>
    <row r="497" spans="4:15" x14ac:dyDescent="0.25">
      <c r="D497">
        <v>495</v>
      </c>
      <c r="E497">
        <f t="shared" si="78"/>
        <v>69.5</v>
      </c>
      <c r="F497">
        <f t="shared" ca="1" si="79"/>
        <v>94.25</v>
      </c>
      <c r="G497" s="1">
        <f t="shared" si="80"/>
        <v>4.1249999999999991</v>
      </c>
      <c r="H497" s="6">
        <f t="shared" ca="1" si="81"/>
        <v>6.1874999999999991</v>
      </c>
      <c r="I497" s="5">
        <f t="shared" ca="1" si="82"/>
        <v>2.0625</v>
      </c>
      <c r="J497" s="8">
        <f t="shared" ca="1" si="83"/>
        <v>4.3312499999999989</v>
      </c>
      <c r="K497" s="5">
        <f t="shared" ca="1" si="84"/>
        <v>0.20624999999999982</v>
      </c>
      <c r="L497">
        <f t="shared" ca="1" si="85"/>
        <v>73045.333333333328</v>
      </c>
      <c r="M497">
        <f t="shared" ca="1" si="86"/>
        <v>73045</v>
      </c>
      <c r="N497" t="str">
        <f t="shared" ca="1" si="87"/>
        <v>10001110101010101</v>
      </c>
      <c r="O497">
        <f t="shared" ca="1" si="88"/>
        <v>100011101</v>
      </c>
    </row>
    <row r="498" spans="4:15" x14ac:dyDescent="0.25">
      <c r="D498">
        <v>496</v>
      </c>
      <c r="E498">
        <f t="shared" si="78"/>
        <v>69.599999999999994</v>
      </c>
      <c r="F498">
        <f t="shared" ca="1" si="79"/>
        <v>94.399999999999991</v>
      </c>
      <c r="G498" s="1">
        <f t="shared" si="80"/>
        <v>4.133333333333332</v>
      </c>
      <c r="H498" s="6">
        <f t="shared" ca="1" si="81"/>
        <v>6.1999999999999984</v>
      </c>
      <c r="I498" s="5">
        <f t="shared" ca="1" si="82"/>
        <v>2.0666666666666664</v>
      </c>
      <c r="J498" s="8">
        <f t="shared" ca="1" si="83"/>
        <v>4.339999999999999</v>
      </c>
      <c r="K498" s="5">
        <f t="shared" ca="1" si="84"/>
        <v>0.206666666666667</v>
      </c>
      <c r="L498">
        <f t="shared" ca="1" si="85"/>
        <v>73181.866666666654</v>
      </c>
      <c r="M498">
        <f t="shared" ca="1" si="86"/>
        <v>73182</v>
      </c>
      <c r="N498" t="str">
        <f t="shared" ca="1" si="87"/>
        <v>10001110111011110</v>
      </c>
      <c r="O498">
        <f t="shared" ca="1" si="88"/>
        <v>100011101</v>
      </c>
    </row>
    <row r="499" spans="4:15" x14ac:dyDescent="0.25">
      <c r="D499">
        <v>497</v>
      </c>
      <c r="E499">
        <f t="shared" si="78"/>
        <v>69.7</v>
      </c>
      <c r="F499">
        <f t="shared" ca="1" si="79"/>
        <v>64.73</v>
      </c>
      <c r="G499" s="1">
        <f t="shared" si="80"/>
        <v>4.1416666666666666</v>
      </c>
      <c r="H499" s="6">
        <f t="shared" ca="1" si="81"/>
        <v>3.7275</v>
      </c>
      <c r="I499" s="5">
        <f t="shared" ca="1" si="82"/>
        <v>0.41416666666666657</v>
      </c>
      <c r="J499" s="8">
        <f t="shared" ca="1" si="83"/>
        <v>3.9345833333333329</v>
      </c>
      <c r="K499" s="5">
        <f t="shared" ca="1" si="84"/>
        <v>0.20708333333333373</v>
      </c>
      <c r="L499">
        <f t="shared" ca="1" si="85"/>
        <v>46175.573333333334</v>
      </c>
      <c r="M499">
        <f t="shared" ca="1" si="86"/>
        <v>46176</v>
      </c>
      <c r="N499" t="str">
        <f t="shared" ca="1" si="87"/>
        <v>1011010001100000</v>
      </c>
      <c r="O499">
        <f t="shared" ca="1" si="88"/>
        <v>101101000</v>
      </c>
    </row>
    <row r="500" spans="4:15" x14ac:dyDescent="0.25">
      <c r="D500">
        <v>498</v>
      </c>
      <c r="E500">
        <f t="shared" si="78"/>
        <v>69.800000000000011</v>
      </c>
      <c r="F500">
        <f t="shared" ca="1" si="79"/>
        <v>54.860000000000014</v>
      </c>
      <c r="G500" s="1">
        <f t="shared" si="80"/>
        <v>4.1500000000000004</v>
      </c>
      <c r="H500" s="6">
        <f t="shared" ca="1" si="81"/>
        <v>2.9050000000000002</v>
      </c>
      <c r="I500" s="5">
        <f t="shared" ca="1" si="82"/>
        <v>1.2450000000000001</v>
      </c>
      <c r="J500" s="8">
        <f t="shared" ca="1" si="83"/>
        <v>4.3575000000000008</v>
      </c>
      <c r="K500" s="5">
        <f t="shared" ca="1" si="84"/>
        <v>0.20750000000000046</v>
      </c>
      <c r="L500">
        <f t="shared" ca="1" si="85"/>
        <v>37191.68</v>
      </c>
      <c r="M500">
        <f t="shared" ca="1" si="86"/>
        <v>37192</v>
      </c>
      <c r="N500" t="str">
        <f t="shared" ca="1" si="87"/>
        <v>1001000101001000</v>
      </c>
      <c r="O500">
        <f t="shared" ca="1" si="88"/>
        <v>100100010</v>
      </c>
    </row>
    <row r="501" spans="4:15" x14ac:dyDescent="0.25">
      <c r="D501">
        <v>499</v>
      </c>
      <c r="E501">
        <f t="shared" si="78"/>
        <v>69.900000000000006</v>
      </c>
      <c r="F501">
        <f t="shared" ca="1" si="79"/>
        <v>54.930000000000007</v>
      </c>
      <c r="G501" s="1">
        <f t="shared" si="80"/>
        <v>4.1583333333333332</v>
      </c>
      <c r="H501" s="6">
        <f t="shared" ca="1" si="81"/>
        <v>2.9108333333333336</v>
      </c>
      <c r="I501" s="5">
        <f t="shared" ca="1" si="82"/>
        <v>1.2474999999999996</v>
      </c>
      <c r="J501" s="8">
        <f t="shared" ca="1" si="83"/>
        <v>3.9504166666666665</v>
      </c>
      <c r="K501" s="5">
        <f t="shared" ca="1" si="84"/>
        <v>0.20791666666666675</v>
      </c>
      <c r="L501">
        <f t="shared" ca="1" si="85"/>
        <v>37255.395555555559</v>
      </c>
      <c r="M501">
        <f t="shared" ca="1" si="86"/>
        <v>37255</v>
      </c>
      <c r="N501" t="str">
        <f t="shared" ca="1" si="87"/>
        <v>1001000110000111</v>
      </c>
      <c r="O501">
        <f t="shared" ca="1" si="88"/>
        <v>100100011</v>
      </c>
    </row>
    <row r="502" spans="4:15" x14ac:dyDescent="0.25">
      <c r="D502">
        <v>500</v>
      </c>
      <c r="E502">
        <f t="shared" si="78"/>
        <v>70</v>
      </c>
      <c r="F502">
        <f t="shared" ca="1" si="79"/>
        <v>80</v>
      </c>
      <c r="G502" s="1">
        <f t="shared" si="80"/>
        <v>4.1666666666666661</v>
      </c>
      <c r="H502" s="6">
        <f t="shared" ca="1" si="81"/>
        <v>4.9999999999999991</v>
      </c>
      <c r="I502" s="5">
        <f t="shared" ca="1" si="82"/>
        <v>0.83333333333333304</v>
      </c>
      <c r="J502" s="8">
        <f t="shared" ca="1" si="83"/>
        <v>4.375</v>
      </c>
      <c r="K502" s="5">
        <f t="shared" ca="1" si="84"/>
        <v>0.20833333333333393</v>
      </c>
      <c r="L502">
        <f t="shared" ca="1" si="85"/>
        <v>60074.666666666657</v>
      </c>
      <c r="M502">
        <f t="shared" ca="1" si="86"/>
        <v>60075</v>
      </c>
      <c r="N502" t="str">
        <f t="shared" ca="1" si="87"/>
        <v>1110101010101011</v>
      </c>
      <c r="O502">
        <f t="shared" ca="1" si="88"/>
        <v>111010101</v>
      </c>
    </row>
    <row r="503" spans="4:15" x14ac:dyDescent="0.25">
      <c r="D503">
        <v>501</v>
      </c>
      <c r="E503">
        <f t="shared" si="78"/>
        <v>70.099999999999994</v>
      </c>
      <c r="F503">
        <f t="shared" ca="1" si="79"/>
        <v>65.089999999999989</v>
      </c>
      <c r="G503" s="1">
        <f t="shared" si="80"/>
        <v>4.1749999999999989</v>
      </c>
      <c r="H503" s="6">
        <f t="shared" ca="1" si="81"/>
        <v>3.7574999999999985</v>
      </c>
      <c r="I503" s="5">
        <f t="shared" ca="1" si="82"/>
        <v>0.41750000000000043</v>
      </c>
      <c r="J503" s="8">
        <f t="shared" ca="1" si="83"/>
        <v>3.9662499999999987</v>
      </c>
      <c r="K503" s="5">
        <f t="shared" ca="1" si="84"/>
        <v>0.20875000000000021</v>
      </c>
      <c r="L503">
        <f t="shared" ca="1" si="85"/>
        <v>46503.253333333319</v>
      </c>
      <c r="M503">
        <f t="shared" ca="1" si="86"/>
        <v>46503</v>
      </c>
      <c r="N503" t="str">
        <f t="shared" ca="1" si="87"/>
        <v>1011010110100111</v>
      </c>
      <c r="O503">
        <f t="shared" ca="1" si="88"/>
        <v>101101011</v>
      </c>
    </row>
    <row r="504" spans="4:15" x14ac:dyDescent="0.25">
      <c r="D504">
        <v>502</v>
      </c>
      <c r="E504">
        <f t="shared" si="78"/>
        <v>70.2</v>
      </c>
      <c r="F504">
        <f t="shared" ca="1" si="79"/>
        <v>85.26</v>
      </c>
      <c r="G504" s="1">
        <f t="shared" si="80"/>
        <v>4.1833333333333327</v>
      </c>
      <c r="H504" s="6">
        <f t="shared" ca="1" si="81"/>
        <v>5.4383333333333335</v>
      </c>
      <c r="I504" s="5">
        <f t="shared" ca="1" si="82"/>
        <v>1.2550000000000008</v>
      </c>
      <c r="J504" s="8">
        <f t="shared" ca="1" si="83"/>
        <v>4.3924999999999992</v>
      </c>
      <c r="K504" s="5">
        <f t="shared" ca="1" si="84"/>
        <v>0.2091666666666665</v>
      </c>
      <c r="L504">
        <f t="shared" ca="1" si="85"/>
        <v>64862.435555555559</v>
      </c>
      <c r="M504">
        <f t="shared" ca="1" si="86"/>
        <v>64862</v>
      </c>
      <c r="N504" t="str">
        <f t="shared" ca="1" si="87"/>
        <v>1111110101011110</v>
      </c>
      <c r="O504">
        <f t="shared" ca="1" si="88"/>
        <v>111111010</v>
      </c>
    </row>
    <row r="505" spans="4:15" x14ac:dyDescent="0.25">
      <c r="D505">
        <v>503</v>
      </c>
      <c r="E505">
        <f t="shared" si="78"/>
        <v>70.300000000000011</v>
      </c>
      <c r="F505">
        <f t="shared" ca="1" si="79"/>
        <v>55.210000000000008</v>
      </c>
      <c r="G505" s="1">
        <f t="shared" si="80"/>
        <v>4.1916666666666673</v>
      </c>
      <c r="H505" s="6">
        <f t="shared" ca="1" si="81"/>
        <v>2.934166666666667</v>
      </c>
      <c r="I505" s="5">
        <f t="shared" ca="1" si="82"/>
        <v>1.2575000000000003</v>
      </c>
      <c r="J505" s="8">
        <f t="shared" ca="1" si="83"/>
        <v>3.9820833333333336</v>
      </c>
      <c r="K505" s="5">
        <f t="shared" ca="1" si="84"/>
        <v>0.20958333333333368</v>
      </c>
      <c r="L505">
        <f t="shared" ca="1" si="85"/>
        <v>37510.257777777784</v>
      </c>
      <c r="M505">
        <f t="shared" ca="1" si="86"/>
        <v>37510</v>
      </c>
      <c r="N505" t="str">
        <f t="shared" ca="1" si="87"/>
        <v>1001001010000110</v>
      </c>
      <c r="O505">
        <f t="shared" ca="1" si="88"/>
        <v>100100101</v>
      </c>
    </row>
    <row r="506" spans="4:15" x14ac:dyDescent="0.25">
      <c r="D506">
        <v>504</v>
      </c>
      <c r="E506">
        <f t="shared" si="78"/>
        <v>70.400000000000006</v>
      </c>
      <c r="F506">
        <f t="shared" ca="1" si="79"/>
        <v>45.2</v>
      </c>
      <c r="G506" s="1">
        <f t="shared" si="80"/>
        <v>4.2</v>
      </c>
      <c r="H506" s="6">
        <f t="shared" ca="1" si="81"/>
        <v>2.0999999999999996</v>
      </c>
      <c r="I506" s="5">
        <f t="shared" ca="1" si="82"/>
        <v>2.1000000000000005</v>
      </c>
      <c r="J506" s="8">
        <f t="shared" ca="1" si="83"/>
        <v>3.9899999999999998</v>
      </c>
      <c r="K506" s="5">
        <f t="shared" ca="1" si="84"/>
        <v>0.21000000000000041</v>
      </c>
      <c r="L506">
        <f t="shared" ca="1" si="85"/>
        <v>28398.933333333331</v>
      </c>
      <c r="M506">
        <f t="shared" ca="1" si="86"/>
        <v>28399</v>
      </c>
      <c r="N506" t="str">
        <f t="shared" ca="1" si="87"/>
        <v>0110111011101111</v>
      </c>
      <c r="O506">
        <f t="shared" ca="1" si="88"/>
        <v>11011101</v>
      </c>
    </row>
    <row r="507" spans="4:15" x14ac:dyDescent="0.25">
      <c r="D507">
        <v>505</v>
      </c>
      <c r="E507">
        <f t="shared" si="78"/>
        <v>70.5</v>
      </c>
      <c r="F507">
        <f t="shared" ca="1" si="79"/>
        <v>65.45</v>
      </c>
      <c r="G507" s="1">
        <f t="shared" si="80"/>
        <v>4.208333333333333</v>
      </c>
      <c r="H507" s="6">
        <f t="shared" ca="1" si="81"/>
        <v>3.7874999999999996</v>
      </c>
      <c r="I507" s="5">
        <f t="shared" ca="1" si="82"/>
        <v>0.42083333333333339</v>
      </c>
      <c r="J507" s="8">
        <f t="shared" ca="1" si="83"/>
        <v>4.4187500000000002</v>
      </c>
      <c r="K507" s="5">
        <f t="shared" ca="1" si="84"/>
        <v>0.21041666666666714</v>
      </c>
      <c r="L507">
        <f t="shared" ca="1" si="85"/>
        <v>46830.933333333327</v>
      </c>
      <c r="M507">
        <f t="shared" ca="1" si="86"/>
        <v>46831</v>
      </c>
      <c r="N507" t="str">
        <f t="shared" ca="1" si="87"/>
        <v>1011011011101111</v>
      </c>
      <c r="O507">
        <f t="shared" ca="1" si="88"/>
        <v>101101101</v>
      </c>
    </row>
    <row r="508" spans="4:15" x14ac:dyDescent="0.25">
      <c r="D508">
        <v>506</v>
      </c>
      <c r="E508">
        <f t="shared" si="78"/>
        <v>70.599999999999994</v>
      </c>
      <c r="F508">
        <f t="shared" ca="1" si="79"/>
        <v>50.359999999999992</v>
      </c>
      <c r="G508" s="1">
        <f t="shared" si="80"/>
        <v>4.2166666666666659</v>
      </c>
      <c r="H508" s="6">
        <f t="shared" ca="1" si="81"/>
        <v>2.5299999999999985</v>
      </c>
      <c r="I508" s="5">
        <f t="shared" ca="1" si="82"/>
        <v>1.6866666666666674</v>
      </c>
      <c r="J508" s="8">
        <f t="shared" ca="1" si="83"/>
        <v>4.0058333333333325</v>
      </c>
      <c r="K508" s="5">
        <f t="shared" ca="1" si="84"/>
        <v>0.21083333333333343</v>
      </c>
      <c r="L508">
        <f t="shared" ca="1" si="85"/>
        <v>33095.679999999986</v>
      </c>
      <c r="M508">
        <f t="shared" ca="1" si="86"/>
        <v>33096</v>
      </c>
      <c r="N508" t="str">
        <f t="shared" ca="1" si="87"/>
        <v>1000000101001000</v>
      </c>
      <c r="O508">
        <f t="shared" ca="1" si="88"/>
        <v>100000010</v>
      </c>
    </row>
    <row r="509" spans="4:15" x14ac:dyDescent="0.25">
      <c r="D509">
        <v>507</v>
      </c>
      <c r="E509">
        <f t="shared" si="78"/>
        <v>70.7</v>
      </c>
      <c r="F509">
        <f t="shared" ca="1" si="79"/>
        <v>50.42</v>
      </c>
      <c r="G509" s="1">
        <f t="shared" si="80"/>
        <v>4.2249999999999996</v>
      </c>
      <c r="H509" s="6">
        <f t="shared" ca="1" si="81"/>
        <v>2.5349999999999993</v>
      </c>
      <c r="I509" s="5">
        <f t="shared" ca="1" si="82"/>
        <v>1.6900000000000004</v>
      </c>
      <c r="J509" s="8">
        <f t="shared" ca="1" si="83"/>
        <v>4.4362500000000002</v>
      </c>
      <c r="K509" s="5">
        <f t="shared" ca="1" si="84"/>
        <v>0.2112500000000006</v>
      </c>
      <c r="L509">
        <f t="shared" ca="1" si="85"/>
        <v>33150.293333333328</v>
      </c>
      <c r="M509">
        <f t="shared" ca="1" si="86"/>
        <v>33150</v>
      </c>
      <c r="N509" t="str">
        <f t="shared" ca="1" si="87"/>
        <v>1000000101111110</v>
      </c>
      <c r="O509">
        <f t="shared" ca="1" si="88"/>
        <v>100000010</v>
      </c>
    </row>
    <row r="510" spans="4:15" x14ac:dyDescent="0.25">
      <c r="D510">
        <v>508</v>
      </c>
      <c r="E510">
        <f t="shared" si="78"/>
        <v>70.800000000000011</v>
      </c>
      <c r="F510">
        <f t="shared" ca="1" si="79"/>
        <v>80.960000000000008</v>
      </c>
      <c r="G510" s="1">
        <f t="shared" si="80"/>
        <v>4.2333333333333334</v>
      </c>
      <c r="H510" s="6">
        <f t="shared" ca="1" si="81"/>
        <v>5.08</v>
      </c>
      <c r="I510" s="5">
        <f t="shared" ca="1" si="82"/>
        <v>0.84666666666666668</v>
      </c>
      <c r="J510" s="8">
        <f t="shared" ca="1" si="83"/>
        <v>4.0216666666666665</v>
      </c>
      <c r="K510" s="5">
        <f t="shared" ca="1" si="84"/>
        <v>0.21166666666666689</v>
      </c>
      <c r="L510">
        <f t="shared" ca="1" si="85"/>
        <v>60948.480000000003</v>
      </c>
      <c r="M510">
        <f t="shared" ca="1" si="86"/>
        <v>60948</v>
      </c>
      <c r="N510" t="str">
        <f t="shared" ca="1" si="87"/>
        <v>1110111000010100</v>
      </c>
      <c r="O510">
        <f t="shared" ca="1" si="88"/>
        <v>111011100</v>
      </c>
    </row>
    <row r="511" spans="4:15" x14ac:dyDescent="0.25">
      <c r="D511">
        <v>509</v>
      </c>
      <c r="E511">
        <f t="shared" si="78"/>
        <v>70.900000000000006</v>
      </c>
      <c r="F511">
        <f t="shared" ca="1" si="79"/>
        <v>96.350000000000009</v>
      </c>
      <c r="G511" s="1">
        <f t="shared" si="80"/>
        <v>4.2416666666666663</v>
      </c>
      <c r="H511" s="6">
        <f t="shared" ca="1" si="81"/>
        <v>6.3624999999999998</v>
      </c>
      <c r="I511" s="5">
        <f t="shared" ca="1" si="82"/>
        <v>2.1208333333333336</v>
      </c>
      <c r="J511" s="8">
        <f t="shared" ca="1" si="83"/>
        <v>4.4537499999999994</v>
      </c>
      <c r="K511" s="5">
        <f t="shared" ca="1" si="84"/>
        <v>0.21208333333333318</v>
      </c>
      <c r="L511">
        <f t="shared" ca="1" si="85"/>
        <v>74956.800000000003</v>
      </c>
      <c r="M511">
        <f t="shared" ca="1" si="86"/>
        <v>74957</v>
      </c>
      <c r="N511" t="str">
        <f t="shared" ca="1" si="87"/>
        <v>10010010011001101</v>
      </c>
      <c r="O511">
        <f t="shared" ca="1" si="88"/>
        <v>100100100</v>
      </c>
    </row>
    <row r="512" spans="4:15" x14ac:dyDescent="0.25">
      <c r="D512">
        <v>510</v>
      </c>
      <c r="E512">
        <f t="shared" si="78"/>
        <v>71</v>
      </c>
      <c r="F512">
        <f t="shared" ca="1" si="79"/>
        <v>86.3</v>
      </c>
      <c r="G512" s="1">
        <f t="shared" si="80"/>
        <v>4.2499999999999991</v>
      </c>
      <c r="H512" s="6">
        <f t="shared" ca="1" si="81"/>
        <v>5.5249999999999995</v>
      </c>
      <c r="I512" s="5">
        <f t="shared" ca="1" si="82"/>
        <v>1.2750000000000004</v>
      </c>
      <c r="J512" s="8">
        <f t="shared" ca="1" si="83"/>
        <v>4.4624999999999995</v>
      </c>
      <c r="K512" s="5">
        <f t="shared" ca="1" si="84"/>
        <v>0.21250000000000036</v>
      </c>
      <c r="L512">
        <f t="shared" ca="1" si="85"/>
        <v>65809.066666666666</v>
      </c>
      <c r="M512">
        <f t="shared" ca="1" si="86"/>
        <v>65809</v>
      </c>
      <c r="N512" t="str">
        <f t="shared" ca="1" si="87"/>
        <v>10000000100010001</v>
      </c>
      <c r="O512">
        <f t="shared" ca="1" si="88"/>
        <v>100000001</v>
      </c>
    </row>
    <row r="513" spans="4:15" x14ac:dyDescent="0.25">
      <c r="D513">
        <v>511</v>
      </c>
      <c r="E513">
        <f t="shared" si="78"/>
        <v>71.099999999999994</v>
      </c>
      <c r="F513">
        <f t="shared" ca="1" si="79"/>
        <v>76.209999999999994</v>
      </c>
      <c r="G513" s="1">
        <f t="shared" si="80"/>
        <v>4.258333333333332</v>
      </c>
      <c r="H513" s="6">
        <f t="shared" ca="1" si="81"/>
        <v>4.6841666666666653</v>
      </c>
      <c r="I513" s="5">
        <f t="shared" ca="1" si="82"/>
        <v>0.42583333333333329</v>
      </c>
      <c r="J513" s="8">
        <f t="shared" ca="1" si="83"/>
        <v>4.0454166666666653</v>
      </c>
      <c r="K513" s="5">
        <f t="shared" ca="1" si="84"/>
        <v>0.21291666666666664</v>
      </c>
      <c r="L513">
        <f t="shared" ca="1" si="85"/>
        <v>56624.924444444427</v>
      </c>
      <c r="M513">
        <f t="shared" ca="1" si="86"/>
        <v>56625</v>
      </c>
      <c r="N513" t="str">
        <f t="shared" ca="1" si="87"/>
        <v>1101110100110001</v>
      </c>
      <c r="O513">
        <f t="shared" ca="1" si="88"/>
        <v>110111010</v>
      </c>
    </row>
    <row r="514" spans="4:15" x14ac:dyDescent="0.25">
      <c r="D514">
        <v>512</v>
      </c>
      <c r="E514">
        <f t="shared" si="78"/>
        <v>71.2</v>
      </c>
      <c r="F514">
        <f t="shared" ca="1" si="79"/>
        <v>81.44</v>
      </c>
      <c r="G514" s="1">
        <f t="shared" si="80"/>
        <v>4.2666666666666666</v>
      </c>
      <c r="H514" s="6">
        <f t="shared" ca="1" si="81"/>
        <v>5.1199999999999992</v>
      </c>
      <c r="I514" s="5">
        <f t="shared" ca="1" si="82"/>
        <v>0.85333333333333261</v>
      </c>
      <c r="J514" s="8">
        <f t="shared" ca="1" si="83"/>
        <v>4.0533333333333328</v>
      </c>
      <c r="K514" s="5">
        <f t="shared" ca="1" si="84"/>
        <v>0.21333333333333382</v>
      </c>
      <c r="L514">
        <f t="shared" ca="1" si="85"/>
        <v>61385.386666666658</v>
      </c>
      <c r="M514">
        <f t="shared" ca="1" si="86"/>
        <v>61385</v>
      </c>
      <c r="N514" t="str">
        <f t="shared" ca="1" si="87"/>
        <v>1110111111001001</v>
      </c>
      <c r="O514">
        <f t="shared" ca="1" si="88"/>
        <v>111011111</v>
      </c>
    </row>
    <row r="515" spans="4:15" x14ac:dyDescent="0.25">
      <c r="D515">
        <v>513</v>
      </c>
      <c r="E515">
        <f t="shared" ref="E515:E578" si="89">0.1*D515+20</f>
        <v>71.300000000000011</v>
      </c>
      <c r="F515">
        <f t="shared" ref="F515:F578" ca="1" si="90">0.1*D515+20 + (RANDBETWEEN(-5,5)/100)*D515</f>
        <v>61.040000000000013</v>
      </c>
      <c r="G515" s="1">
        <f t="shared" ref="G515:G578" si="91">1/12*E515-5/3</f>
        <v>4.2750000000000004</v>
      </c>
      <c r="H515" s="6">
        <f t="shared" ref="H515:H578" ca="1" si="92">1/12*F515-5/3</f>
        <v>3.4200000000000008</v>
      </c>
      <c r="I515" s="5">
        <f t="shared" ref="I515:I578" ca="1" si="93">ABS(G515-H515)</f>
        <v>0.85499999999999954</v>
      </c>
      <c r="J515" s="8">
        <f t="shared" ref="J515:J578" ca="1" si="94" xml:space="preserve"> G515 * (1 + $B$1 * IF(RANDBETWEEN(0,1)=0,-1,1))</f>
        <v>4.0612500000000002</v>
      </c>
      <c r="K515" s="5">
        <f t="shared" ref="K515:K578" ca="1" si="95">ABS(G515-J515)</f>
        <v>0.21375000000000011</v>
      </c>
      <c r="L515">
        <f t="shared" ref="L515:L578" ca="1" si="96">(H515-$B$2)/($B$3-$B$2)*(2^$B$4)</f>
        <v>42816.85333333334</v>
      </c>
      <c r="M515">
        <f t="shared" ref="M515:M578" ca="1" si="97">ROUND(L515,0)</f>
        <v>42817</v>
      </c>
      <c r="N515" t="str">
        <f t="shared" ref="N515:N578" ca="1" si="98">_xlfn.BASE(M515,2,$B$4)</f>
        <v>1010011101000001</v>
      </c>
      <c r="O515">
        <f t="shared" ref="O515:O578" ca="1" si="99">VALUE(LEFT(N515,9))</f>
        <v>101001110</v>
      </c>
    </row>
    <row r="516" spans="4:15" x14ac:dyDescent="0.25">
      <c r="D516">
        <v>514</v>
      </c>
      <c r="E516">
        <f t="shared" si="89"/>
        <v>71.400000000000006</v>
      </c>
      <c r="F516">
        <f t="shared" ca="1" si="90"/>
        <v>61.120000000000005</v>
      </c>
      <c r="G516" s="1">
        <f t="shared" si="91"/>
        <v>4.2833333333333332</v>
      </c>
      <c r="H516" s="6">
        <f t="shared" ca="1" si="92"/>
        <v>3.4266666666666667</v>
      </c>
      <c r="I516" s="5">
        <f t="shared" ca="1" si="93"/>
        <v>0.85666666666666647</v>
      </c>
      <c r="J516" s="8">
        <f t="shared" ca="1" si="94"/>
        <v>4.4975000000000005</v>
      </c>
      <c r="K516" s="5">
        <f t="shared" ca="1" si="95"/>
        <v>0.21416666666666728</v>
      </c>
      <c r="L516">
        <f t="shared" ca="1" si="96"/>
        <v>42889.671111111114</v>
      </c>
      <c r="M516">
        <f t="shared" ca="1" si="97"/>
        <v>42890</v>
      </c>
      <c r="N516" t="str">
        <f t="shared" ca="1" si="98"/>
        <v>1010011110001010</v>
      </c>
      <c r="O516">
        <f t="shared" ca="1" si="99"/>
        <v>101001111</v>
      </c>
    </row>
    <row r="517" spans="4:15" x14ac:dyDescent="0.25">
      <c r="D517">
        <v>515</v>
      </c>
      <c r="E517">
        <f t="shared" si="89"/>
        <v>71.5</v>
      </c>
      <c r="F517">
        <f t="shared" ca="1" si="90"/>
        <v>92.1</v>
      </c>
      <c r="G517" s="1">
        <f t="shared" si="91"/>
        <v>4.2916666666666661</v>
      </c>
      <c r="H517" s="6">
        <f t="shared" ca="1" si="92"/>
        <v>6.008333333333332</v>
      </c>
      <c r="I517" s="5">
        <f t="shared" ca="1" si="93"/>
        <v>1.7166666666666659</v>
      </c>
      <c r="J517" s="8">
        <f t="shared" ca="1" si="94"/>
        <v>4.0770833333333325</v>
      </c>
      <c r="K517" s="5">
        <f t="shared" ca="1" si="95"/>
        <v>0.21458333333333357</v>
      </c>
      <c r="L517">
        <f t="shared" ca="1" si="96"/>
        <v>71088.355555555536</v>
      </c>
      <c r="M517">
        <f t="shared" ca="1" si="97"/>
        <v>71088</v>
      </c>
      <c r="N517" t="str">
        <f t="shared" ca="1" si="98"/>
        <v>10001010110110000</v>
      </c>
      <c r="O517">
        <f t="shared" ca="1" si="99"/>
        <v>100010101</v>
      </c>
    </row>
    <row r="518" spans="4:15" x14ac:dyDescent="0.25">
      <c r="D518">
        <v>516</v>
      </c>
      <c r="E518">
        <f t="shared" si="89"/>
        <v>71.599999999999994</v>
      </c>
      <c r="F518">
        <f t="shared" ca="1" si="90"/>
        <v>87.08</v>
      </c>
      <c r="G518" s="1">
        <f t="shared" si="91"/>
        <v>4.2999999999999989</v>
      </c>
      <c r="H518" s="6">
        <f t="shared" ca="1" si="92"/>
        <v>5.589999999999999</v>
      </c>
      <c r="I518" s="5">
        <f t="shared" ca="1" si="93"/>
        <v>1.29</v>
      </c>
      <c r="J518" s="8">
        <f t="shared" ca="1" si="94"/>
        <v>4.0849999999999991</v>
      </c>
      <c r="K518" s="5">
        <f t="shared" ca="1" si="95"/>
        <v>0.21499999999999986</v>
      </c>
      <c r="L518">
        <f t="shared" ca="1" si="96"/>
        <v>66519.039999999994</v>
      </c>
      <c r="M518">
        <f t="shared" ca="1" si="97"/>
        <v>66519</v>
      </c>
      <c r="N518" t="str">
        <f t="shared" ca="1" si="98"/>
        <v>10000001111010111</v>
      </c>
      <c r="O518">
        <f t="shared" ca="1" si="99"/>
        <v>100000011</v>
      </c>
    </row>
    <row r="519" spans="4:15" x14ac:dyDescent="0.25">
      <c r="D519">
        <v>517</v>
      </c>
      <c r="E519">
        <f t="shared" si="89"/>
        <v>71.7</v>
      </c>
      <c r="F519">
        <f t="shared" ca="1" si="90"/>
        <v>82.04</v>
      </c>
      <c r="G519" s="1">
        <f t="shared" si="91"/>
        <v>4.3083333333333327</v>
      </c>
      <c r="H519" s="6">
        <f t="shared" ca="1" si="92"/>
        <v>5.17</v>
      </c>
      <c r="I519" s="5">
        <f t="shared" ca="1" si="93"/>
        <v>0.86166666666666725</v>
      </c>
      <c r="J519" s="8">
        <f t="shared" ca="1" si="94"/>
        <v>4.5237499999999997</v>
      </c>
      <c r="K519" s="5">
        <f t="shared" ca="1" si="95"/>
        <v>0.21541666666666703</v>
      </c>
      <c r="L519">
        <f t="shared" ca="1" si="96"/>
        <v>61931.519999999997</v>
      </c>
      <c r="M519">
        <f t="shared" ca="1" si="97"/>
        <v>61932</v>
      </c>
      <c r="N519" t="str">
        <f t="shared" ca="1" si="98"/>
        <v>1111000111101100</v>
      </c>
      <c r="O519">
        <f t="shared" ca="1" si="99"/>
        <v>111100011</v>
      </c>
    </row>
    <row r="520" spans="4:15" x14ac:dyDescent="0.25">
      <c r="D520">
        <v>518</v>
      </c>
      <c r="E520">
        <f t="shared" si="89"/>
        <v>71.800000000000011</v>
      </c>
      <c r="F520">
        <f t="shared" ca="1" si="90"/>
        <v>45.900000000000006</v>
      </c>
      <c r="G520" s="1">
        <f t="shared" si="91"/>
        <v>4.3166666666666673</v>
      </c>
      <c r="H520" s="6">
        <f t="shared" ca="1" si="92"/>
        <v>2.1583333333333332</v>
      </c>
      <c r="I520" s="5">
        <f t="shared" ca="1" si="93"/>
        <v>2.1583333333333341</v>
      </c>
      <c r="J520" s="8">
        <f t="shared" ca="1" si="94"/>
        <v>4.100833333333334</v>
      </c>
      <c r="K520" s="5">
        <f t="shared" ca="1" si="95"/>
        <v>0.21583333333333332</v>
      </c>
      <c r="L520">
        <f t="shared" ca="1" si="96"/>
        <v>29036.088888888888</v>
      </c>
      <c r="M520">
        <f t="shared" ca="1" si="97"/>
        <v>29036</v>
      </c>
      <c r="N520" t="str">
        <f t="shared" ca="1" si="98"/>
        <v>0111000101101100</v>
      </c>
      <c r="O520">
        <f t="shared" ca="1" si="99"/>
        <v>11100010</v>
      </c>
    </row>
    <row r="521" spans="4:15" x14ac:dyDescent="0.25">
      <c r="D521">
        <v>519</v>
      </c>
      <c r="E521">
        <f t="shared" si="89"/>
        <v>71.900000000000006</v>
      </c>
      <c r="F521">
        <f t="shared" ca="1" si="90"/>
        <v>97.850000000000009</v>
      </c>
      <c r="G521" s="1">
        <f t="shared" si="91"/>
        <v>4.3250000000000002</v>
      </c>
      <c r="H521" s="6">
        <f t="shared" ca="1" si="92"/>
        <v>6.4874999999999998</v>
      </c>
      <c r="I521" s="5">
        <f t="shared" ca="1" si="93"/>
        <v>2.1624999999999996</v>
      </c>
      <c r="J521" s="8">
        <f t="shared" ca="1" si="94"/>
        <v>4.5412500000000007</v>
      </c>
      <c r="K521" s="5">
        <f t="shared" ca="1" si="95"/>
        <v>0.2162500000000005</v>
      </c>
      <c r="L521">
        <f t="shared" ca="1" si="96"/>
        <v>76322.133333333331</v>
      </c>
      <c r="M521">
        <f t="shared" ca="1" si="97"/>
        <v>76322</v>
      </c>
      <c r="N521" t="str">
        <f t="shared" ca="1" si="98"/>
        <v>10010101000100010</v>
      </c>
      <c r="O521">
        <f t="shared" ca="1" si="99"/>
        <v>100101010</v>
      </c>
    </row>
    <row r="522" spans="4:15" x14ac:dyDescent="0.25">
      <c r="D522">
        <v>520</v>
      </c>
      <c r="E522">
        <f t="shared" si="89"/>
        <v>72</v>
      </c>
      <c r="F522">
        <f t="shared" ca="1" si="90"/>
        <v>98</v>
      </c>
      <c r="G522" s="1">
        <f t="shared" si="91"/>
        <v>4.333333333333333</v>
      </c>
      <c r="H522" s="6">
        <f t="shared" ca="1" si="92"/>
        <v>6.4999999999999991</v>
      </c>
      <c r="I522" s="5">
        <f t="shared" ca="1" si="93"/>
        <v>2.1666666666666661</v>
      </c>
      <c r="J522" s="8">
        <f t="shared" ca="1" si="94"/>
        <v>4.1166666666666663</v>
      </c>
      <c r="K522" s="5">
        <f t="shared" ca="1" si="95"/>
        <v>0.21666666666666679</v>
      </c>
      <c r="L522">
        <f t="shared" ca="1" si="96"/>
        <v>76458.666666666657</v>
      </c>
      <c r="M522">
        <f t="shared" ca="1" si="97"/>
        <v>76459</v>
      </c>
      <c r="N522" t="str">
        <f t="shared" ca="1" si="98"/>
        <v>10010101010101011</v>
      </c>
      <c r="O522">
        <f t="shared" ca="1" si="99"/>
        <v>100101010</v>
      </c>
    </row>
    <row r="523" spans="4:15" x14ac:dyDescent="0.25">
      <c r="D523">
        <v>521</v>
      </c>
      <c r="E523">
        <f t="shared" si="89"/>
        <v>72.099999999999994</v>
      </c>
      <c r="F523">
        <f t="shared" ca="1" si="90"/>
        <v>82.52</v>
      </c>
      <c r="G523" s="1">
        <f t="shared" si="91"/>
        <v>4.3416666666666659</v>
      </c>
      <c r="H523" s="6">
        <f t="shared" ca="1" si="92"/>
        <v>5.2099999999999991</v>
      </c>
      <c r="I523" s="5">
        <f t="shared" ca="1" si="93"/>
        <v>0.86833333333333318</v>
      </c>
      <c r="J523" s="8">
        <f t="shared" ca="1" si="94"/>
        <v>4.558749999999999</v>
      </c>
      <c r="K523" s="5">
        <f t="shared" ca="1" si="95"/>
        <v>0.21708333333333307</v>
      </c>
      <c r="L523">
        <f t="shared" ca="1" si="96"/>
        <v>62368.426666666659</v>
      </c>
      <c r="M523">
        <f t="shared" ca="1" si="97"/>
        <v>62368</v>
      </c>
      <c r="N523" t="str">
        <f t="shared" ca="1" si="98"/>
        <v>1111001110100000</v>
      </c>
      <c r="O523">
        <f t="shared" ca="1" si="99"/>
        <v>111100111</v>
      </c>
    </row>
    <row r="524" spans="4:15" x14ac:dyDescent="0.25">
      <c r="D524">
        <v>522</v>
      </c>
      <c r="E524">
        <f t="shared" si="89"/>
        <v>72.2</v>
      </c>
      <c r="F524">
        <f t="shared" ca="1" si="90"/>
        <v>56.540000000000006</v>
      </c>
      <c r="G524" s="1">
        <f t="shared" si="91"/>
        <v>4.3499999999999996</v>
      </c>
      <c r="H524" s="6">
        <f t="shared" ca="1" si="92"/>
        <v>3.0449999999999999</v>
      </c>
      <c r="I524" s="5">
        <f t="shared" ca="1" si="93"/>
        <v>1.3049999999999997</v>
      </c>
      <c r="J524" s="8">
        <f t="shared" ca="1" si="94"/>
        <v>4.1324999999999994</v>
      </c>
      <c r="K524" s="5">
        <f t="shared" ca="1" si="95"/>
        <v>0.21750000000000025</v>
      </c>
      <c r="L524">
        <f t="shared" ca="1" si="96"/>
        <v>38720.853333333333</v>
      </c>
      <c r="M524">
        <f t="shared" ca="1" si="97"/>
        <v>38721</v>
      </c>
      <c r="N524" t="str">
        <f t="shared" ca="1" si="98"/>
        <v>1001011101000001</v>
      </c>
      <c r="O524">
        <f t="shared" ca="1" si="99"/>
        <v>100101110</v>
      </c>
    </row>
    <row r="525" spans="4:15" x14ac:dyDescent="0.25">
      <c r="D525">
        <v>523</v>
      </c>
      <c r="E525">
        <f t="shared" si="89"/>
        <v>72.300000000000011</v>
      </c>
      <c r="F525">
        <f t="shared" ca="1" si="90"/>
        <v>93.220000000000013</v>
      </c>
      <c r="G525" s="1">
        <f t="shared" si="91"/>
        <v>4.3583333333333334</v>
      </c>
      <c r="H525" s="6">
        <f t="shared" ca="1" si="92"/>
        <v>6.1016666666666675</v>
      </c>
      <c r="I525" s="5">
        <f t="shared" ca="1" si="93"/>
        <v>1.7433333333333341</v>
      </c>
      <c r="J525" s="8">
        <f t="shared" ca="1" si="94"/>
        <v>4.5762499999999999</v>
      </c>
      <c r="K525" s="5">
        <f t="shared" ca="1" si="95"/>
        <v>0.21791666666666654</v>
      </c>
      <c r="L525">
        <f t="shared" ca="1" si="96"/>
        <v>72107.804444444453</v>
      </c>
      <c r="M525">
        <f t="shared" ca="1" si="97"/>
        <v>72108</v>
      </c>
      <c r="N525" t="str">
        <f t="shared" ca="1" si="98"/>
        <v>10001100110101100</v>
      </c>
      <c r="O525">
        <f t="shared" ca="1" si="99"/>
        <v>100011001</v>
      </c>
    </row>
    <row r="526" spans="4:15" x14ac:dyDescent="0.25">
      <c r="D526">
        <v>524</v>
      </c>
      <c r="E526">
        <f t="shared" si="89"/>
        <v>72.400000000000006</v>
      </c>
      <c r="F526">
        <f t="shared" ca="1" si="90"/>
        <v>67.160000000000011</v>
      </c>
      <c r="G526" s="1">
        <f t="shared" si="91"/>
        <v>4.3666666666666663</v>
      </c>
      <c r="H526" s="6">
        <f t="shared" ca="1" si="92"/>
        <v>3.9300000000000006</v>
      </c>
      <c r="I526" s="5">
        <f t="shared" ca="1" si="93"/>
        <v>0.43666666666666565</v>
      </c>
      <c r="J526" s="8">
        <f t="shared" ca="1" si="94"/>
        <v>4.1483333333333325</v>
      </c>
      <c r="K526" s="5">
        <f t="shared" ca="1" si="95"/>
        <v>0.21833333333333371</v>
      </c>
      <c r="L526">
        <f t="shared" ca="1" si="96"/>
        <v>48387.413333333338</v>
      </c>
      <c r="M526">
        <f t="shared" ca="1" si="97"/>
        <v>48387</v>
      </c>
      <c r="N526" t="str">
        <f t="shared" ca="1" si="98"/>
        <v>1011110100000011</v>
      </c>
      <c r="O526">
        <f t="shared" ca="1" si="99"/>
        <v>101111010</v>
      </c>
    </row>
    <row r="527" spans="4:15" x14ac:dyDescent="0.25">
      <c r="D527">
        <v>525</v>
      </c>
      <c r="E527">
        <f t="shared" si="89"/>
        <v>72.5</v>
      </c>
      <c r="F527">
        <f t="shared" ca="1" si="90"/>
        <v>98.75</v>
      </c>
      <c r="G527" s="1">
        <f t="shared" si="91"/>
        <v>4.3749999999999991</v>
      </c>
      <c r="H527" s="6">
        <f t="shared" ca="1" si="92"/>
        <v>6.5624999999999991</v>
      </c>
      <c r="I527" s="5">
        <f t="shared" ca="1" si="93"/>
        <v>2.1875</v>
      </c>
      <c r="J527" s="8">
        <f t="shared" ca="1" si="94"/>
        <v>4.5937499999999991</v>
      </c>
      <c r="K527" s="5">
        <f t="shared" ca="1" si="95"/>
        <v>0.21875</v>
      </c>
      <c r="L527">
        <f t="shared" ca="1" si="96"/>
        <v>77141.333333333328</v>
      </c>
      <c r="M527">
        <f t="shared" ca="1" si="97"/>
        <v>77141</v>
      </c>
      <c r="N527" t="str">
        <f t="shared" ca="1" si="98"/>
        <v>10010110101010101</v>
      </c>
      <c r="O527">
        <f t="shared" ca="1" si="99"/>
        <v>100101101</v>
      </c>
    </row>
    <row r="528" spans="4:15" x14ac:dyDescent="0.25">
      <c r="D528">
        <v>526</v>
      </c>
      <c r="E528">
        <f t="shared" si="89"/>
        <v>72.599999999999994</v>
      </c>
      <c r="F528">
        <f t="shared" ca="1" si="90"/>
        <v>51.559999999999995</v>
      </c>
      <c r="G528" s="1">
        <f t="shared" si="91"/>
        <v>4.383333333333332</v>
      </c>
      <c r="H528" s="6">
        <f t="shared" ca="1" si="92"/>
        <v>2.629999999999999</v>
      </c>
      <c r="I528" s="5">
        <f t="shared" ca="1" si="93"/>
        <v>1.753333333333333</v>
      </c>
      <c r="J528" s="8">
        <f t="shared" ca="1" si="94"/>
        <v>4.6024999999999991</v>
      </c>
      <c r="K528" s="5">
        <f t="shared" ca="1" si="95"/>
        <v>0.21916666666666718</v>
      </c>
      <c r="L528">
        <f t="shared" ca="1" si="96"/>
        <v>34187.946666666656</v>
      </c>
      <c r="M528">
        <f t="shared" ca="1" si="97"/>
        <v>34188</v>
      </c>
      <c r="N528" t="str">
        <f t="shared" ca="1" si="98"/>
        <v>1000010110001100</v>
      </c>
      <c r="O528">
        <f t="shared" ca="1" si="99"/>
        <v>100001011</v>
      </c>
    </row>
    <row r="529" spans="4:15" x14ac:dyDescent="0.25">
      <c r="D529">
        <v>527</v>
      </c>
      <c r="E529">
        <f t="shared" si="89"/>
        <v>72.7</v>
      </c>
      <c r="F529">
        <f t="shared" ca="1" si="90"/>
        <v>99.050000000000011</v>
      </c>
      <c r="G529" s="1">
        <f t="shared" si="91"/>
        <v>4.3916666666666666</v>
      </c>
      <c r="H529" s="6">
        <f t="shared" ca="1" si="92"/>
        <v>6.5874999999999995</v>
      </c>
      <c r="I529" s="5">
        <f t="shared" ca="1" si="93"/>
        <v>2.1958333333333329</v>
      </c>
      <c r="J529" s="8">
        <f t="shared" ca="1" si="94"/>
        <v>4.1720833333333331</v>
      </c>
      <c r="K529" s="5">
        <f t="shared" ca="1" si="95"/>
        <v>0.21958333333333346</v>
      </c>
      <c r="L529">
        <f t="shared" ca="1" si="96"/>
        <v>77414.399999999994</v>
      </c>
      <c r="M529">
        <f t="shared" ca="1" si="97"/>
        <v>77414</v>
      </c>
      <c r="N529" t="str">
        <f t="shared" ca="1" si="98"/>
        <v>10010111001100110</v>
      </c>
      <c r="O529">
        <f t="shared" ca="1" si="99"/>
        <v>100101110</v>
      </c>
    </row>
    <row r="530" spans="4:15" x14ac:dyDescent="0.25">
      <c r="D530">
        <v>528</v>
      </c>
      <c r="E530">
        <f t="shared" si="89"/>
        <v>72.800000000000011</v>
      </c>
      <c r="F530">
        <f t="shared" ca="1" si="90"/>
        <v>93.920000000000016</v>
      </c>
      <c r="G530" s="1">
        <f t="shared" si="91"/>
        <v>4.4000000000000004</v>
      </c>
      <c r="H530" s="6">
        <f t="shared" ca="1" si="92"/>
        <v>6.160000000000001</v>
      </c>
      <c r="I530" s="5">
        <f t="shared" ca="1" si="93"/>
        <v>1.7600000000000007</v>
      </c>
      <c r="J530" s="8">
        <f t="shared" ca="1" si="94"/>
        <v>4.620000000000001</v>
      </c>
      <c r="K530" s="5">
        <f t="shared" ca="1" si="95"/>
        <v>0.22000000000000064</v>
      </c>
      <c r="L530">
        <f t="shared" ca="1" si="96"/>
        <v>72744.960000000006</v>
      </c>
      <c r="M530">
        <f t="shared" ca="1" si="97"/>
        <v>72745</v>
      </c>
      <c r="N530" t="str">
        <f t="shared" ca="1" si="98"/>
        <v>10001110000101001</v>
      </c>
      <c r="O530">
        <f t="shared" ca="1" si="99"/>
        <v>100011100</v>
      </c>
    </row>
    <row r="531" spans="4:15" x14ac:dyDescent="0.25">
      <c r="D531">
        <v>529</v>
      </c>
      <c r="E531">
        <f t="shared" si="89"/>
        <v>72.900000000000006</v>
      </c>
      <c r="F531">
        <f t="shared" ca="1" si="90"/>
        <v>88.77000000000001</v>
      </c>
      <c r="G531" s="1">
        <f t="shared" si="91"/>
        <v>4.4083333333333332</v>
      </c>
      <c r="H531" s="6">
        <f t="shared" ca="1" si="92"/>
        <v>5.7308333333333339</v>
      </c>
      <c r="I531" s="5">
        <f t="shared" ca="1" si="93"/>
        <v>1.3225000000000007</v>
      </c>
      <c r="J531" s="8">
        <f t="shared" ca="1" si="94"/>
        <v>4.6287500000000001</v>
      </c>
      <c r="K531" s="5">
        <f t="shared" ca="1" si="95"/>
        <v>0.22041666666666693</v>
      </c>
      <c r="L531">
        <f t="shared" ca="1" si="96"/>
        <v>68057.315555555557</v>
      </c>
      <c r="M531">
        <f t="shared" ca="1" si="97"/>
        <v>68057</v>
      </c>
      <c r="N531" t="str">
        <f t="shared" ca="1" si="98"/>
        <v>10000100111011001</v>
      </c>
      <c r="O531">
        <f t="shared" ca="1" si="99"/>
        <v>100001001</v>
      </c>
    </row>
    <row r="532" spans="4:15" x14ac:dyDescent="0.25">
      <c r="D532">
        <v>530</v>
      </c>
      <c r="E532">
        <f t="shared" si="89"/>
        <v>73</v>
      </c>
      <c r="F532">
        <f t="shared" ca="1" si="90"/>
        <v>46.5</v>
      </c>
      <c r="G532" s="1">
        <f t="shared" si="91"/>
        <v>4.4166666666666661</v>
      </c>
      <c r="H532" s="6">
        <f t="shared" ca="1" si="92"/>
        <v>2.208333333333333</v>
      </c>
      <c r="I532" s="5">
        <f t="shared" ca="1" si="93"/>
        <v>2.208333333333333</v>
      </c>
      <c r="J532" s="8">
        <f t="shared" ca="1" si="94"/>
        <v>4.6374999999999993</v>
      </c>
      <c r="K532" s="5">
        <f t="shared" ca="1" si="95"/>
        <v>0.22083333333333321</v>
      </c>
      <c r="L532">
        <f t="shared" ca="1" si="96"/>
        <v>29582.222222222219</v>
      </c>
      <c r="M532">
        <f t="shared" ca="1" si="97"/>
        <v>29582</v>
      </c>
      <c r="N532" t="str">
        <f t="shared" ca="1" si="98"/>
        <v>0111001110001110</v>
      </c>
      <c r="O532">
        <f t="shared" ca="1" si="99"/>
        <v>11100111</v>
      </c>
    </row>
    <row r="533" spans="4:15" x14ac:dyDescent="0.25">
      <c r="D533">
        <v>531</v>
      </c>
      <c r="E533">
        <f t="shared" si="89"/>
        <v>73.099999999999994</v>
      </c>
      <c r="F533">
        <f t="shared" ca="1" si="90"/>
        <v>78.41</v>
      </c>
      <c r="G533" s="1">
        <f t="shared" si="91"/>
        <v>4.4249999999999989</v>
      </c>
      <c r="H533" s="6">
        <f t="shared" ca="1" si="92"/>
        <v>4.8674999999999988</v>
      </c>
      <c r="I533" s="5">
        <f t="shared" ca="1" si="93"/>
        <v>0.44249999999999989</v>
      </c>
      <c r="J533" s="8">
        <f t="shared" ca="1" si="94"/>
        <v>4.2037499999999985</v>
      </c>
      <c r="K533" s="5">
        <f t="shared" ca="1" si="95"/>
        <v>0.22125000000000039</v>
      </c>
      <c r="L533">
        <f t="shared" ca="1" si="96"/>
        <v>58627.413333333323</v>
      </c>
      <c r="M533">
        <f t="shared" ca="1" si="97"/>
        <v>58627</v>
      </c>
      <c r="N533" t="str">
        <f t="shared" ca="1" si="98"/>
        <v>1110010100000011</v>
      </c>
      <c r="O533">
        <f t="shared" ca="1" si="99"/>
        <v>111001010</v>
      </c>
    </row>
    <row r="534" spans="4:15" x14ac:dyDescent="0.25">
      <c r="D534">
        <v>532</v>
      </c>
      <c r="E534">
        <f t="shared" si="89"/>
        <v>73.2</v>
      </c>
      <c r="F534">
        <f t="shared" ca="1" si="90"/>
        <v>89.16</v>
      </c>
      <c r="G534" s="1">
        <f t="shared" si="91"/>
        <v>4.4333333333333327</v>
      </c>
      <c r="H534" s="6">
        <f t="shared" ca="1" si="92"/>
        <v>5.7633333333333328</v>
      </c>
      <c r="I534" s="5">
        <f t="shared" ca="1" si="93"/>
        <v>1.33</v>
      </c>
      <c r="J534" s="8">
        <f t="shared" ca="1" si="94"/>
        <v>4.211666666666666</v>
      </c>
      <c r="K534" s="5">
        <f t="shared" ca="1" si="95"/>
        <v>0.22166666666666668</v>
      </c>
      <c r="L534">
        <f t="shared" ca="1" si="96"/>
        <v>68412.302222222221</v>
      </c>
      <c r="M534">
        <f t="shared" ca="1" si="97"/>
        <v>68412</v>
      </c>
      <c r="N534" t="str">
        <f t="shared" ca="1" si="98"/>
        <v>10000101100111100</v>
      </c>
      <c r="O534">
        <f t="shared" ca="1" si="99"/>
        <v>100001011</v>
      </c>
    </row>
    <row r="535" spans="4:15" x14ac:dyDescent="0.25">
      <c r="D535">
        <v>533</v>
      </c>
      <c r="E535">
        <f t="shared" si="89"/>
        <v>73.300000000000011</v>
      </c>
      <c r="F535">
        <f t="shared" ca="1" si="90"/>
        <v>78.63000000000001</v>
      </c>
      <c r="G535" s="1">
        <f t="shared" si="91"/>
        <v>4.4416666666666673</v>
      </c>
      <c r="H535" s="6">
        <f t="shared" ca="1" si="92"/>
        <v>4.8858333333333333</v>
      </c>
      <c r="I535" s="5">
        <f t="shared" ca="1" si="93"/>
        <v>0.44416666666666593</v>
      </c>
      <c r="J535" s="8">
        <f t="shared" ca="1" si="94"/>
        <v>4.6637500000000012</v>
      </c>
      <c r="K535" s="5">
        <f t="shared" ca="1" si="95"/>
        <v>0.22208333333333385</v>
      </c>
      <c r="L535">
        <f t="shared" ca="1" si="96"/>
        <v>58827.662222222221</v>
      </c>
      <c r="M535">
        <f t="shared" ca="1" si="97"/>
        <v>58828</v>
      </c>
      <c r="N535" t="str">
        <f t="shared" ca="1" si="98"/>
        <v>1110010111001100</v>
      </c>
      <c r="O535">
        <f t="shared" ca="1" si="99"/>
        <v>111001011</v>
      </c>
    </row>
    <row r="536" spans="4:15" x14ac:dyDescent="0.25">
      <c r="D536">
        <v>534</v>
      </c>
      <c r="E536">
        <f t="shared" si="89"/>
        <v>73.400000000000006</v>
      </c>
      <c r="F536">
        <f t="shared" ca="1" si="90"/>
        <v>100.10000000000001</v>
      </c>
      <c r="G536" s="1">
        <f t="shared" si="91"/>
        <v>4.45</v>
      </c>
      <c r="H536" s="6">
        <f t="shared" ca="1" si="92"/>
        <v>6.6749999999999998</v>
      </c>
      <c r="I536" s="5">
        <f t="shared" ca="1" si="93"/>
        <v>2.2249999999999996</v>
      </c>
      <c r="J536" s="8">
        <f t="shared" ca="1" si="94"/>
        <v>4.6725000000000003</v>
      </c>
      <c r="K536" s="5">
        <f t="shared" ca="1" si="95"/>
        <v>0.22250000000000014</v>
      </c>
      <c r="L536">
        <f t="shared" ca="1" si="96"/>
        <v>78370.133333333331</v>
      </c>
      <c r="M536">
        <f t="shared" ca="1" si="97"/>
        <v>78370</v>
      </c>
      <c r="N536" t="str">
        <f t="shared" ca="1" si="98"/>
        <v>10011001000100010</v>
      </c>
      <c r="O536">
        <f t="shared" ca="1" si="99"/>
        <v>100110010</v>
      </c>
    </row>
    <row r="537" spans="4:15" x14ac:dyDescent="0.25">
      <c r="D537">
        <v>535</v>
      </c>
      <c r="E537">
        <f t="shared" si="89"/>
        <v>73.5</v>
      </c>
      <c r="F537">
        <f t="shared" ca="1" si="90"/>
        <v>62.8</v>
      </c>
      <c r="G537" s="1">
        <f t="shared" si="91"/>
        <v>4.458333333333333</v>
      </c>
      <c r="H537" s="6">
        <f t="shared" ca="1" si="92"/>
        <v>3.5666666666666655</v>
      </c>
      <c r="I537" s="5">
        <f t="shared" ca="1" si="93"/>
        <v>0.8916666666666675</v>
      </c>
      <c r="J537" s="8">
        <f t="shared" ca="1" si="94"/>
        <v>4.2354166666666666</v>
      </c>
      <c r="K537" s="5">
        <f t="shared" ca="1" si="95"/>
        <v>0.22291666666666643</v>
      </c>
      <c r="L537">
        <f t="shared" ca="1" si="96"/>
        <v>44418.844444444432</v>
      </c>
      <c r="M537">
        <f t="shared" ca="1" si="97"/>
        <v>44419</v>
      </c>
      <c r="N537" t="str">
        <f t="shared" ca="1" si="98"/>
        <v>1010110110000011</v>
      </c>
      <c r="O537">
        <f t="shared" ca="1" si="99"/>
        <v>101011011</v>
      </c>
    </row>
    <row r="538" spans="4:15" x14ac:dyDescent="0.25">
      <c r="D538">
        <v>536</v>
      </c>
      <c r="E538">
        <f t="shared" si="89"/>
        <v>73.599999999999994</v>
      </c>
      <c r="F538">
        <f t="shared" ca="1" si="90"/>
        <v>78.959999999999994</v>
      </c>
      <c r="G538" s="1">
        <f t="shared" si="91"/>
        <v>4.4666666666666659</v>
      </c>
      <c r="H538" s="6">
        <f t="shared" ca="1" si="92"/>
        <v>4.9133333333333322</v>
      </c>
      <c r="I538" s="5">
        <f t="shared" ca="1" si="93"/>
        <v>0.44666666666666632</v>
      </c>
      <c r="J538" s="8">
        <f t="shared" ca="1" si="94"/>
        <v>4.2433333333333323</v>
      </c>
      <c r="K538" s="5">
        <f t="shared" ca="1" si="95"/>
        <v>0.22333333333333361</v>
      </c>
      <c r="L538">
        <f t="shared" ca="1" si="96"/>
        <v>59128.035555555543</v>
      </c>
      <c r="M538">
        <f t="shared" ca="1" si="97"/>
        <v>59128</v>
      </c>
      <c r="N538" t="str">
        <f t="shared" ca="1" si="98"/>
        <v>1110011011111000</v>
      </c>
      <c r="O538">
        <f t="shared" ca="1" si="99"/>
        <v>111001101</v>
      </c>
    </row>
    <row r="539" spans="4:15" x14ac:dyDescent="0.25">
      <c r="D539">
        <v>537</v>
      </c>
      <c r="E539">
        <f t="shared" si="89"/>
        <v>73.7</v>
      </c>
      <c r="F539">
        <f t="shared" ca="1" si="90"/>
        <v>79.070000000000007</v>
      </c>
      <c r="G539" s="1">
        <f t="shared" si="91"/>
        <v>4.4749999999999996</v>
      </c>
      <c r="H539" s="6">
        <f t="shared" ca="1" si="92"/>
        <v>4.9225000000000003</v>
      </c>
      <c r="I539" s="5">
        <f t="shared" ca="1" si="93"/>
        <v>0.44750000000000068</v>
      </c>
      <c r="J539" s="8">
        <f t="shared" ca="1" si="94"/>
        <v>4.6987499999999995</v>
      </c>
      <c r="K539" s="5">
        <f t="shared" ca="1" si="95"/>
        <v>0.22374999999999989</v>
      </c>
      <c r="L539">
        <f t="shared" ca="1" si="96"/>
        <v>59228.160000000003</v>
      </c>
      <c r="M539">
        <f t="shared" ca="1" si="97"/>
        <v>59228</v>
      </c>
      <c r="N539" t="str">
        <f t="shared" ca="1" si="98"/>
        <v>1110011101011100</v>
      </c>
      <c r="O539">
        <f t="shared" ca="1" si="99"/>
        <v>111001110</v>
      </c>
    </row>
    <row r="540" spans="4:15" x14ac:dyDescent="0.25">
      <c r="D540">
        <v>538</v>
      </c>
      <c r="E540">
        <f t="shared" si="89"/>
        <v>73.800000000000011</v>
      </c>
      <c r="F540">
        <f t="shared" ca="1" si="90"/>
        <v>46.900000000000006</v>
      </c>
      <c r="G540" s="1">
        <f t="shared" si="91"/>
        <v>4.4833333333333334</v>
      </c>
      <c r="H540" s="6">
        <f t="shared" ca="1" si="92"/>
        <v>2.2416666666666671</v>
      </c>
      <c r="I540" s="5">
        <f t="shared" ca="1" si="93"/>
        <v>2.2416666666666663</v>
      </c>
      <c r="J540" s="8">
        <f t="shared" ca="1" si="94"/>
        <v>4.7075000000000005</v>
      </c>
      <c r="K540" s="5">
        <f t="shared" ca="1" si="95"/>
        <v>0.22416666666666707</v>
      </c>
      <c r="L540">
        <f t="shared" ca="1" si="96"/>
        <v>29946.311111111117</v>
      </c>
      <c r="M540">
        <f t="shared" ca="1" si="97"/>
        <v>29946</v>
      </c>
      <c r="N540" t="str">
        <f t="shared" ca="1" si="98"/>
        <v>0111010011111010</v>
      </c>
      <c r="O540">
        <f t="shared" ca="1" si="99"/>
        <v>11101001</v>
      </c>
    </row>
    <row r="541" spans="4:15" x14ac:dyDescent="0.25">
      <c r="D541">
        <v>539</v>
      </c>
      <c r="E541">
        <f t="shared" si="89"/>
        <v>73.900000000000006</v>
      </c>
      <c r="F541">
        <f t="shared" ca="1" si="90"/>
        <v>63.120000000000005</v>
      </c>
      <c r="G541" s="1">
        <f t="shared" si="91"/>
        <v>4.4916666666666663</v>
      </c>
      <c r="H541" s="6">
        <f t="shared" ca="1" si="92"/>
        <v>3.5933333333333328</v>
      </c>
      <c r="I541" s="5">
        <f t="shared" ca="1" si="93"/>
        <v>0.89833333333333343</v>
      </c>
      <c r="J541" s="8">
        <f t="shared" ca="1" si="94"/>
        <v>4.2670833333333329</v>
      </c>
      <c r="K541" s="5">
        <f t="shared" ca="1" si="95"/>
        <v>0.22458333333333336</v>
      </c>
      <c r="L541">
        <f t="shared" ca="1" si="96"/>
        <v>44710.115555555552</v>
      </c>
      <c r="M541">
        <f t="shared" ca="1" si="97"/>
        <v>44710</v>
      </c>
      <c r="N541" t="str">
        <f t="shared" ca="1" si="98"/>
        <v>1010111010100110</v>
      </c>
      <c r="O541">
        <f t="shared" ca="1" si="99"/>
        <v>101011101</v>
      </c>
    </row>
    <row r="542" spans="4:15" x14ac:dyDescent="0.25">
      <c r="D542">
        <v>540</v>
      </c>
      <c r="E542">
        <f t="shared" si="89"/>
        <v>74</v>
      </c>
      <c r="F542">
        <f t="shared" ca="1" si="90"/>
        <v>68.599999999999994</v>
      </c>
      <c r="G542" s="1">
        <f t="shared" si="91"/>
        <v>4.4999999999999991</v>
      </c>
      <c r="H542" s="6">
        <f t="shared" ca="1" si="92"/>
        <v>4.0499999999999989</v>
      </c>
      <c r="I542" s="5">
        <f t="shared" ca="1" si="93"/>
        <v>0.45000000000000018</v>
      </c>
      <c r="J542" s="8">
        <f t="shared" ca="1" si="94"/>
        <v>4.7249999999999996</v>
      </c>
      <c r="K542" s="5">
        <f t="shared" ca="1" si="95"/>
        <v>0.22500000000000053</v>
      </c>
      <c r="L542">
        <f t="shared" ca="1" si="96"/>
        <v>49698.133333333324</v>
      </c>
      <c r="M542">
        <f t="shared" ca="1" si="97"/>
        <v>49698</v>
      </c>
      <c r="N542" t="str">
        <f t="shared" ca="1" si="98"/>
        <v>1100001000100010</v>
      </c>
      <c r="O542">
        <f t="shared" ca="1" si="99"/>
        <v>110000100</v>
      </c>
    </row>
    <row r="543" spans="4:15" x14ac:dyDescent="0.25">
      <c r="D543">
        <v>541</v>
      </c>
      <c r="E543">
        <f t="shared" si="89"/>
        <v>74.099999999999994</v>
      </c>
      <c r="F543">
        <f t="shared" ca="1" si="90"/>
        <v>57.86999999999999</v>
      </c>
      <c r="G543" s="1">
        <f t="shared" si="91"/>
        <v>4.508333333333332</v>
      </c>
      <c r="H543" s="6">
        <f t="shared" ca="1" si="92"/>
        <v>3.1558333333333319</v>
      </c>
      <c r="I543" s="5">
        <f t="shared" ca="1" si="93"/>
        <v>1.3525</v>
      </c>
      <c r="J543" s="8">
        <f t="shared" ca="1" si="94"/>
        <v>4.7337499999999988</v>
      </c>
      <c r="K543" s="5">
        <f t="shared" ca="1" si="95"/>
        <v>0.22541666666666682</v>
      </c>
      <c r="L543">
        <f t="shared" ca="1" si="96"/>
        <v>39931.448888888874</v>
      </c>
      <c r="M543">
        <f t="shared" ca="1" si="97"/>
        <v>39931</v>
      </c>
      <c r="N543" t="str">
        <f t="shared" ca="1" si="98"/>
        <v>1001101111111011</v>
      </c>
      <c r="O543">
        <f t="shared" ca="1" si="99"/>
        <v>100110111</v>
      </c>
    </row>
    <row r="544" spans="4:15" x14ac:dyDescent="0.25">
      <c r="D544">
        <v>542</v>
      </c>
      <c r="E544">
        <f t="shared" si="89"/>
        <v>74.2</v>
      </c>
      <c r="F544">
        <f t="shared" ca="1" si="90"/>
        <v>90.460000000000008</v>
      </c>
      <c r="G544" s="1">
        <f t="shared" si="91"/>
        <v>4.5166666666666666</v>
      </c>
      <c r="H544" s="6">
        <f t="shared" ca="1" si="92"/>
        <v>5.871666666666667</v>
      </c>
      <c r="I544" s="5">
        <f t="shared" ca="1" si="93"/>
        <v>1.3550000000000004</v>
      </c>
      <c r="J544" s="8">
        <f t="shared" ca="1" si="94"/>
        <v>4.7424999999999997</v>
      </c>
      <c r="K544" s="5">
        <f t="shared" ca="1" si="95"/>
        <v>0.22583333333333311</v>
      </c>
      <c r="L544">
        <f t="shared" ca="1" si="96"/>
        <v>69595.59111111112</v>
      </c>
      <c r="M544">
        <f t="shared" ca="1" si="97"/>
        <v>69596</v>
      </c>
      <c r="N544" t="str">
        <f t="shared" ca="1" si="98"/>
        <v>10000111111011100</v>
      </c>
      <c r="O544">
        <f t="shared" ca="1" si="99"/>
        <v>100001111</v>
      </c>
    </row>
    <row r="545" spans="4:15" x14ac:dyDescent="0.25">
      <c r="D545">
        <v>543</v>
      </c>
      <c r="E545">
        <f t="shared" si="89"/>
        <v>74.300000000000011</v>
      </c>
      <c r="F545">
        <f t="shared" ca="1" si="90"/>
        <v>74.300000000000011</v>
      </c>
      <c r="G545" s="1">
        <f t="shared" si="91"/>
        <v>4.5250000000000004</v>
      </c>
      <c r="H545" s="6">
        <f t="shared" ca="1" si="92"/>
        <v>4.5250000000000004</v>
      </c>
      <c r="I545" s="5">
        <f t="shared" ca="1" si="93"/>
        <v>0</v>
      </c>
      <c r="J545" s="8">
        <f t="shared" ca="1" si="94"/>
        <v>4.2987500000000001</v>
      </c>
      <c r="K545" s="5">
        <f t="shared" ca="1" si="95"/>
        <v>0.22625000000000028</v>
      </c>
      <c r="L545">
        <f t="shared" ca="1" si="96"/>
        <v>54886.400000000001</v>
      </c>
      <c r="M545">
        <f t="shared" ca="1" si="97"/>
        <v>54886</v>
      </c>
      <c r="N545" t="str">
        <f t="shared" ca="1" si="98"/>
        <v>1101011001100110</v>
      </c>
      <c r="O545">
        <f t="shared" ca="1" si="99"/>
        <v>110101100</v>
      </c>
    </row>
    <row r="546" spans="4:15" x14ac:dyDescent="0.25">
      <c r="D546">
        <v>544</v>
      </c>
      <c r="E546">
        <f t="shared" si="89"/>
        <v>74.400000000000006</v>
      </c>
      <c r="F546">
        <f t="shared" ca="1" si="90"/>
        <v>90.72</v>
      </c>
      <c r="G546" s="1">
        <f t="shared" si="91"/>
        <v>4.5333333333333332</v>
      </c>
      <c r="H546" s="6">
        <f t="shared" ca="1" si="92"/>
        <v>5.8933333333333326</v>
      </c>
      <c r="I546" s="5">
        <f t="shared" ca="1" si="93"/>
        <v>1.3599999999999994</v>
      </c>
      <c r="J546" s="8">
        <f t="shared" ca="1" si="94"/>
        <v>4.76</v>
      </c>
      <c r="K546" s="5">
        <f t="shared" ca="1" si="95"/>
        <v>0.22666666666666657</v>
      </c>
      <c r="L546">
        <f t="shared" ca="1" si="96"/>
        <v>69832.248888888877</v>
      </c>
      <c r="M546">
        <f t="shared" ca="1" si="97"/>
        <v>69832</v>
      </c>
      <c r="N546" t="str">
        <f t="shared" ca="1" si="98"/>
        <v>10001000011001000</v>
      </c>
      <c r="O546">
        <f t="shared" ca="1" si="99"/>
        <v>100010000</v>
      </c>
    </row>
    <row r="547" spans="4:15" x14ac:dyDescent="0.25">
      <c r="D547">
        <v>545</v>
      </c>
      <c r="E547">
        <f t="shared" si="89"/>
        <v>74.5</v>
      </c>
      <c r="F547">
        <f t="shared" ca="1" si="90"/>
        <v>47.25</v>
      </c>
      <c r="G547" s="1">
        <f t="shared" si="91"/>
        <v>4.5416666666666661</v>
      </c>
      <c r="H547" s="6">
        <f t="shared" ca="1" si="92"/>
        <v>2.270833333333333</v>
      </c>
      <c r="I547" s="5">
        <f t="shared" ca="1" si="93"/>
        <v>2.270833333333333</v>
      </c>
      <c r="J547" s="8">
        <f t="shared" ca="1" si="94"/>
        <v>4.7687499999999998</v>
      </c>
      <c r="K547" s="5">
        <f t="shared" ca="1" si="95"/>
        <v>0.22708333333333375</v>
      </c>
      <c r="L547">
        <f t="shared" ca="1" si="96"/>
        <v>30264.888888888887</v>
      </c>
      <c r="M547">
        <f t="shared" ca="1" si="97"/>
        <v>30265</v>
      </c>
      <c r="N547" t="str">
        <f t="shared" ca="1" si="98"/>
        <v>0111011000111001</v>
      </c>
      <c r="O547">
        <f t="shared" ca="1" si="99"/>
        <v>11101100</v>
      </c>
    </row>
    <row r="548" spans="4:15" x14ac:dyDescent="0.25">
      <c r="D548">
        <v>546</v>
      </c>
      <c r="E548">
        <f t="shared" si="89"/>
        <v>74.599999999999994</v>
      </c>
      <c r="F548">
        <f t="shared" ca="1" si="90"/>
        <v>101.89999999999999</v>
      </c>
      <c r="G548" s="1">
        <f t="shared" si="91"/>
        <v>4.5499999999999989</v>
      </c>
      <c r="H548" s="6">
        <f t="shared" ca="1" si="92"/>
        <v>6.8249999999999984</v>
      </c>
      <c r="I548" s="5">
        <f t="shared" ca="1" si="93"/>
        <v>2.2749999999999995</v>
      </c>
      <c r="J548" s="8">
        <f t="shared" ca="1" si="94"/>
        <v>4.777499999999999</v>
      </c>
      <c r="K548" s="5">
        <f t="shared" ca="1" si="95"/>
        <v>0.22750000000000004</v>
      </c>
      <c r="L548">
        <f t="shared" ca="1" si="96"/>
        <v>80008.533333333311</v>
      </c>
      <c r="M548">
        <f t="shared" ca="1" si="97"/>
        <v>80009</v>
      </c>
      <c r="N548" t="str">
        <f t="shared" ca="1" si="98"/>
        <v>10011100010001001</v>
      </c>
      <c r="O548">
        <f t="shared" ca="1" si="99"/>
        <v>100111000</v>
      </c>
    </row>
    <row r="549" spans="4:15" x14ac:dyDescent="0.25">
      <c r="D549">
        <v>547</v>
      </c>
      <c r="E549">
        <f t="shared" si="89"/>
        <v>74.7</v>
      </c>
      <c r="F549">
        <f t="shared" ca="1" si="90"/>
        <v>52.820000000000007</v>
      </c>
      <c r="G549" s="1">
        <f t="shared" si="91"/>
        <v>4.5583333333333327</v>
      </c>
      <c r="H549" s="6">
        <f t="shared" ca="1" si="92"/>
        <v>2.7350000000000003</v>
      </c>
      <c r="I549" s="5">
        <f t="shared" ca="1" si="93"/>
        <v>1.8233333333333324</v>
      </c>
      <c r="J549" s="8">
        <f t="shared" ca="1" si="94"/>
        <v>4.7862499999999999</v>
      </c>
      <c r="K549" s="5">
        <f t="shared" ca="1" si="95"/>
        <v>0.22791666666666721</v>
      </c>
      <c r="L549">
        <f t="shared" ca="1" si="96"/>
        <v>35334.826666666668</v>
      </c>
      <c r="M549">
        <f t="shared" ca="1" si="97"/>
        <v>35335</v>
      </c>
      <c r="N549" t="str">
        <f t="shared" ca="1" si="98"/>
        <v>1000101000000111</v>
      </c>
      <c r="O549">
        <f t="shared" ca="1" si="99"/>
        <v>100010100</v>
      </c>
    </row>
    <row r="550" spans="4:15" x14ac:dyDescent="0.25">
      <c r="D550">
        <v>548</v>
      </c>
      <c r="E550">
        <f t="shared" si="89"/>
        <v>74.800000000000011</v>
      </c>
      <c r="F550">
        <f t="shared" ca="1" si="90"/>
        <v>58.360000000000014</v>
      </c>
      <c r="G550" s="1">
        <f t="shared" si="91"/>
        <v>4.5666666666666673</v>
      </c>
      <c r="H550" s="6">
        <f t="shared" ca="1" si="92"/>
        <v>3.1966666666666672</v>
      </c>
      <c r="I550" s="5">
        <f t="shared" ca="1" si="93"/>
        <v>1.37</v>
      </c>
      <c r="J550" s="8">
        <f t="shared" ca="1" si="94"/>
        <v>4.3383333333333338</v>
      </c>
      <c r="K550" s="5">
        <f t="shared" ca="1" si="95"/>
        <v>0.2283333333333335</v>
      </c>
      <c r="L550">
        <f t="shared" ca="1" si="96"/>
        <v>40377.457777777781</v>
      </c>
      <c r="M550">
        <f t="shared" ca="1" si="97"/>
        <v>40377</v>
      </c>
      <c r="N550" t="str">
        <f t="shared" ca="1" si="98"/>
        <v>1001110110111001</v>
      </c>
      <c r="O550">
        <f t="shared" ca="1" si="99"/>
        <v>100111011</v>
      </c>
    </row>
    <row r="551" spans="4:15" x14ac:dyDescent="0.25">
      <c r="D551">
        <v>549</v>
      </c>
      <c r="E551">
        <f t="shared" si="89"/>
        <v>74.900000000000006</v>
      </c>
      <c r="F551">
        <f t="shared" ca="1" si="90"/>
        <v>52.940000000000005</v>
      </c>
      <c r="G551" s="1">
        <f t="shared" si="91"/>
        <v>4.5750000000000002</v>
      </c>
      <c r="H551" s="6">
        <f t="shared" ca="1" si="92"/>
        <v>2.7450000000000001</v>
      </c>
      <c r="I551" s="5">
        <f t="shared" ca="1" si="93"/>
        <v>1.83</v>
      </c>
      <c r="J551" s="8">
        <f t="shared" ca="1" si="94"/>
        <v>4.3462500000000004</v>
      </c>
      <c r="K551" s="5">
        <f t="shared" ca="1" si="95"/>
        <v>0.22874999999999979</v>
      </c>
      <c r="L551">
        <f t="shared" ca="1" si="96"/>
        <v>35444.053333333337</v>
      </c>
      <c r="M551">
        <f t="shared" ca="1" si="97"/>
        <v>35444</v>
      </c>
      <c r="N551" t="str">
        <f t="shared" ca="1" si="98"/>
        <v>1000101001110100</v>
      </c>
      <c r="O551">
        <f t="shared" ca="1" si="99"/>
        <v>100010100</v>
      </c>
    </row>
    <row r="552" spans="4:15" x14ac:dyDescent="0.25">
      <c r="D552">
        <v>550</v>
      </c>
      <c r="E552">
        <f t="shared" si="89"/>
        <v>75</v>
      </c>
      <c r="F552">
        <f t="shared" ca="1" si="90"/>
        <v>80.5</v>
      </c>
      <c r="G552" s="1">
        <f t="shared" si="91"/>
        <v>4.583333333333333</v>
      </c>
      <c r="H552" s="6">
        <f t="shared" ca="1" si="92"/>
        <v>5.0416666666666661</v>
      </c>
      <c r="I552" s="5">
        <f t="shared" ca="1" si="93"/>
        <v>0.45833333333333304</v>
      </c>
      <c r="J552" s="8">
        <f t="shared" ca="1" si="94"/>
        <v>4.3541666666666661</v>
      </c>
      <c r="K552" s="5">
        <f t="shared" ca="1" si="95"/>
        <v>0.22916666666666696</v>
      </c>
      <c r="L552">
        <f t="shared" ca="1" si="96"/>
        <v>60529.777777777774</v>
      </c>
      <c r="M552">
        <f t="shared" ca="1" si="97"/>
        <v>60530</v>
      </c>
      <c r="N552" t="str">
        <f t="shared" ca="1" si="98"/>
        <v>1110110001110010</v>
      </c>
      <c r="O552">
        <f t="shared" ca="1" si="99"/>
        <v>111011000</v>
      </c>
    </row>
    <row r="553" spans="4:15" x14ac:dyDescent="0.25">
      <c r="D553">
        <v>551</v>
      </c>
      <c r="E553">
        <f t="shared" si="89"/>
        <v>75.099999999999994</v>
      </c>
      <c r="F553">
        <f t="shared" ca="1" si="90"/>
        <v>53.059999999999995</v>
      </c>
      <c r="G553" s="1">
        <f t="shared" si="91"/>
        <v>4.5916666666666659</v>
      </c>
      <c r="H553" s="6">
        <f t="shared" ca="1" si="92"/>
        <v>2.754999999999999</v>
      </c>
      <c r="I553" s="5">
        <f t="shared" ca="1" si="93"/>
        <v>1.8366666666666669</v>
      </c>
      <c r="J553" s="8">
        <f t="shared" ca="1" si="94"/>
        <v>4.8212499999999991</v>
      </c>
      <c r="K553" s="5">
        <f t="shared" ca="1" si="95"/>
        <v>0.22958333333333325</v>
      </c>
      <c r="L553">
        <f t="shared" ca="1" si="96"/>
        <v>35553.279999999992</v>
      </c>
      <c r="M553">
        <f t="shared" ca="1" si="97"/>
        <v>35553</v>
      </c>
      <c r="N553" t="str">
        <f t="shared" ca="1" si="98"/>
        <v>1000101011100001</v>
      </c>
      <c r="O553">
        <f t="shared" ca="1" si="99"/>
        <v>100010101</v>
      </c>
    </row>
    <row r="554" spans="4:15" x14ac:dyDescent="0.25">
      <c r="D554">
        <v>552</v>
      </c>
      <c r="E554">
        <f t="shared" si="89"/>
        <v>75.2</v>
      </c>
      <c r="F554">
        <f t="shared" ca="1" si="90"/>
        <v>53.120000000000005</v>
      </c>
      <c r="G554" s="1">
        <f t="shared" si="91"/>
        <v>4.5999999999999996</v>
      </c>
      <c r="H554" s="6">
        <f t="shared" ca="1" si="92"/>
        <v>2.76</v>
      </c>
      <c r="I554" s="5">
        <f t="shared" ca="1" si="93"/>
        <v>1.8399999999999999</v>
      </c>
      <c r="J554" s="8">
        <f t="shared" ca="1" si="94"/>
        <v>4.83</v>
      </c>
      <c r="K554" s="5">
        <f t="shared" ca="1" si="95"/>
        <v>0.23000000000000043</v>
      </c>
      <c r="L554">
        <f t="shared" ca="1" si="96"/>
        <v>35607.893333333333</v>
      </c>
      <c r="M554">
        <f t="shared" ca="1" si="97"/>
        <v>35608</v>
      </c>
      <c r="N554" t="str">
        <f t="shared" ca="1" si="98"/>
        <v>1000101100011000</v>
      </c>
      <c r="O554">
        <f t="shared" ca="1" si="99"/>
        <v>100010110</v>
      </c>
    </row>
    <row r="555" spans="4:15" x14ac:dyDescent="0.25">
      <c r="D555">
        <v>553</v>
      </c>
      <c r="E555">
        <f t="shared" si="89"/>
        <v>75.300000000000011</v>
      </c>
      <c r="F555">
        <f t="shared" ca="1" si="90"/>
        <v>47.650000000000006</v>
      </c>
      <c r="G555" s="1">
        <f t="shared" si="91"/>
        <v>4.6083333333333334</v>
      </c>
      <c r="H555" s="6">
        <f t="shared" ca="1" si="92"/>
        <v>2.3041666666666671</v>
      </c>
      <c r="I555" s="5">
        <f t="shared" ca="1" si="93"/>
        <v>2.3041666666666663</v>
      </c>
      <c r="J555" s="8">
        <f t="shared" ca="1" si="94"/>
        <v>4.3779166666666667</v>
      </c>
      <c r="K555" s="5">
        <f t="shared" ca="1" si="95"/>
        <v>0.23041666666666671</v>
      </c>
      <c r="L555">
        <f t="shared" ca="1" si="96"/>
        <v>30628.977777777782</v>
      </c>
      <c r="M555">
        <f t="shared" ca="1" si="97"/>
        <v>30629</v>
      </c>
      <c r="N555" t="str">
        <f t="shared" ca="1" si="98"/>
        <v>0111011110100101</v>
      </c>
      <c r="O555">
        <f t="shared" ca="1" si="99"/>
        <v>11101111</v>
      </c>
    </row>
    <row r="556" spans="4:15" x14ac:dyDescent="0.25">
      <c r="D556">
        <v>554</v>
      </c>
      <c r="E556">
        <f t="shared" si="89"/>
        <v>75.400000000000006</v>
      </c>
      <c r="F556">
        <f t="shared" ca="1" si="90"/>
        <v>53.240000000000009</v>
      </c>
      <c r="G556" s="1">
        <f t="shared" si="91"/>
        <v>4.6166666666666663</v>
      </c>
      <c r="H556" s="6">
        <f t="shared" ca="1" si="92"/>
        <v>2.7700000000000005</v>
      </c>
      <c r="I556" s="5">
        <f t="shared" ca="1" si="93"/>
        <v>1.8466666666666658</v>
      </c>
      <c r="J556" s="8">
        <f t="shared" ca="1" si="94"/>
        <v>4.3858333333333324</v>
      </c>
      <c r="K556" s="5">
        <f t="shared" ca="1" si="95"/>
        <v>0.23083333333333389</v>
      </c>
      <c r="L556">
        <f t="shared" ca="1" si="96"/>
        <v>35717.120000000003</v>
      </c>
      <c r="M556">
        <f t="shared" ca="1" si="97"/>
        <v>35717</v>
      </c>
      <c r="N556" t="str">
        <f t="shared" ca="1" si="98"/>
        <v>1000101110000101</v>
      </c>
      <c r="O556">
        <f t="shared" ca="1" si="99"/>
        <v>100010111</v>
      </c>
    </row>
    <row r="557" spans="4:15" x14ac:dyDescent="0.25">
      <c r="D557">
        <v>555</v>
      </c>
      <c r="E557">
        <f t="shared" si="89"/>
        <v>75.5</v>
      </c>
      <c r="F557">
        <f t="shared" ca="1" si="90"/>
        <v>69.95</v>
      </c>
      <c r="G557" s="1">
        <f t="shared" si="91"/>
        <v>4.6249999999999991</v>
      </c>
      <c r="H557" s="6">
        <f t="shared" ca="1" si="92"/>
        <v>4.1624999999999996</v>
      </c>
      <c r="I557" s="5">
        <f t="shared" ca="1" si="93"/>
        <v>0.46249999999999947</v>
      </c>
      <c r="J557" s="8">
        <f t="shared" ca="1" si="94"/>
        <v>4.3937499999999989</v>
      </c>
      <c r="K557" s="5">
        <f t="shared" ca="1" si="95"/>
        <v>0.23125000000000018</v>
      </c>
      <c r="L557">
        <f t="shared" ca="1" si="96"/>
        <v>50926.933333333327</v>
      </c>
      <c r="M557">
        <f t="shared" ca="1" si="97"/>
        <v>50927</v>
      </c>
      <c r="N557" t="str">
        <f t="shared" ca="1" si="98"/>
        <v>1100011011101111</v>
      </c>
      <c r="O557">
        <f t="shared" ca="1" si="99"/>
        <v>110001101</v>
      </c>
    </row>
    <row r="558" spans="4:15" x14ac:dyDescent="0.25">
      <c r="D558">
        <v>556</v>
      </c>
      <c r="E558">
        <f t="shared" si="89"/>
        <v>75.599999999999994</v>
      </c>
      <c r="F558">
        <f t="shared" ca="1" si="90"/>
        <v>70.039999999999992</v>
      </c>
      <c r="G558" s="1">
        <f t="shared" si="91"/>
        <v>4.633333333333332</v>
      </c>
      <c r="H558" s="6">
        <f t="shared" ca="1" si="92"/>
        <v>4.169999999999999</v>
      </c>
      <c r="I558" s="5">
        <f t="shared" ca="1" si="93"/>
        <v>0.46333333333333293</v>
      </c>
      <c r="J558" s="8">
        <f t="shared" ca="1" si="94"/>
        <v>4.4016666666666655</v>
      </c>
      <c r="K558" s="5">
        <f t="shared" ca="1" si="95"/>
        <v>0.23166666666666647</v>
      </c>
      <c r="L558">
        <f t="shared" ca="1" si="96"/>
        <v>51008.853333333325</v>
      </c>
      <c r="M558">
        <f t="shared" ca="1" si="97"/>
        <v>51009</v>
      </c>
      <c r="N558" t="str">
        <f t="shared" ca="1" si="98"/>
        <v>1100011101000001</v>
      </c>
      <c r="O558">
        <f t="shared" ca="1" si="99"/>
        <v>110001110</v>
      </c>
    </row>
    <row r="559" spans="4:15" x14ac:dyDescent="0.25">
      <c r="D559">
        <v>557</v>
      </c>
      <c r="E559">
        <f t="shared" si="89"/>
        <v>75.7</v>
      </c>
      <c r="F559">
        <f t="shared" ca="1" si="90"/>
        <v>64.56</v>
      </c>
      <c r="G559" s="1">
        <f t="shared" si="91"/>
        <v>4.6416666666666666</v>
      </c>
      <c r="H559" s="6">
        <f t="shared" ca="1" si="92"/>
        <v>3.7133333333333329</v>
      </c>
      <c r="I559" s="5">
        <f t="shared" ca="1" si="93"/>
        <v>0.92833333333333368</v>
      </c>
      <c r="J559" s="8">
        <f t="shared" ca="1" si="94"/>
        <v>4.409583333333333</v>
      </c>
      <c r="K559" s="5">
        <f t="shared" ca="1" si="95"/>
        <v>0.23208333333333364</v>
      </c>
      <c r="L559">
        <f t="shared" ca="1" si="96"/>
        <v>46020.835555555554</v>
      </c>
      <c r="M559">
        <f t="shared" ca="1" si="97"/>
        <v>46021</v>
      </c>
      <c r="N559" t="str">
        <f t="shared" ca="1" si="98"/>
        <v>1011001111000101</v>
      </c>
      <c r="O559">
        <f t="shared" ca="1" si="99"/>
        <v>101100111</v>
      </c>
    </row>
    <row r="560" spans="4:15" x14ac:dyDescent="0.25">
      <c r="D560">
        <v>558</v>
      </c>
      <c r="E560">
        <f t="shared" si="89"/>
        <v>75.800000000000011</v>
      </c>
      <c r="F560">
        <f t="shared" ca="1" si="90"/>
        <v>98.12</v>
      </c>
      <c r="G560" s="1">
        <f t="shared" si="91"/>
        <v>4.6500000000000004</v>
      </c>
      <c r="H560" s="6">
        <f t="shared" ca="1" si="92"/>
        <v>6.5099999999999989</v>
      </c>
      <c r="I560" s="5">
        <f t="shared" ca="1" si="93"/>
        <v>1.8599999999999985</v>
      </c>
      <c r="J560" s="8">
        <f t="shared" ca="1" si="94"/>
        <v>4.8825000000000003</v>
      </c>
      <c r="K560" s="5">
        <f t="shared" ca="1" si="95"/>
        <v>0.23249999999999993</v>
      </c>
      <c r="L560">
        <f t="shared" ca="1" si="96"/>
        <v>76567.893333333326</v>
      </c>
      <c r="M560">
        <f t="shared" ca="1" si="97"/>
        <v>76568</v>
      </c>
      <c r="N560" t="str">
        <f t="shared" ca="1" si="98"/>
        <v>10010101100011000</v>
      </c>
      <c r="O560">
        <f t="shared" ca="1" si="99"/>
        <v>100101011</v>
      </c>
    </row>
    <row r="561" spans="4:15" x14ac:dyDescent="0.25">
      <c r="D561">
        <v>559</v>
      </c>
      <c r="E561">
        <f t="shared" si="89"/>
        <v>75.900000000000006</v>
      </c>
      <c r="F561">
        <f t="shared" ca="1" si="90"/>
        <v>64.72</v>
      </c>
      <c r="G561" s="1">
        <f t="shared" si="91"/>
        <v>4.6583333333333332</v>
      </c>
      <c r="H561" s="6">
        <f t="shared" ca="1" si="92"/>
        <v>3.7266666666666657</v>
      </c>
      <c r="I561" s="5">
        <f t="shared" ca="1" si="93"/>
        <v>0.93166666666666753</v>
      </c>
      <c r="J561" s="8">
        <f t="shared" ca="1" si="94"/>
        <v>4.4254166666666661</v>
      </c>
      <c r="K561" s="5">
        <f t="shared" ca="1" si="95"/>
        <v>0.2329166666666671</v>
      </c>
      <c r="L561">
        <f t="shared" ca="1" si="96"/>
        <v>46166.471111111103</v>
      </c>
      <c r="M561">
        <f t="shared" ca="1" si="97"/>
        <v>46166</v>
      </c>
      <c r="N561" t="str">
        <f t="shared" ca="1" si="98"/>
        <v>1011010001010110</v>
      </c>
      <c r="O561">
        <f t="shared" ca="1" si="99"/>
        <v>101101000</v>
      </c>
    </row>
    <row r="562" spans="4:15" x14ac:dyDescent="0.25">
      <c r="D562">
        <v>560</v>
      </c>
      <c r="E562">
        <f t="shared" si="89"/>
        <v>76</v>
      </c>
      <c r="F562">
        <f t="shared" ca="1" si="90"/>
        <v>81.599999999999994</v>
      </c>
      <c r="G562" s="1">
        <f t="shared" si="91"/>
        <v>4.6666666666666661</v>
      </c>
      <c r="H562" s="6">
        <f t="shared" ca="1" si="92"/>
        <v>5.133333333333332</v>
      </c>
      <c r="I562" s="5">
        <f t="shared" ca="1" si="93"/>
        <v>0.4666666666666659</v>
      </c>
      <c r="J562" s="8">
        <f t="shared" ca="1" si="94"/>
        <v>4.4333333333333327</v>
      </c>
      <c r="K562" s="5">
        <f t="shared" ca="1" si="95"/>
        <v>0.23333333333333339</v>
      </c>
      <c r="L562">
        <f t="shared" ca="1" si="96"/>
        <v>61531.022222222207</v>
      </c>
      <c r="M562">
        <f t="shared" ca="1" si="97"/>
        <v>61531</v>
      </c>
      <c r="N562" t="str">
        <f t="shared" ca="1" si="98"/>
        <v>1111000001011011</v>
      </c>
      <c r="O562">
        <f t="shared" ca="1" si="99"/>
        <v>111100000</v>
      </c>
    </row>
    <row r="563" spans="4:15" x14ac:dyDescent="0.25">
      <c r="D563">
        <v>561</v>
      </c>
      <c r="E563">
        <f t="shared" si="89"/>
        <v>76.099999999999994</v>
      </c>
      <c r="F563">
        <f t="shared" ca="1" si="90"/>
        <v>92.929999999999993</v>
      </c>
      <c r="G563" s="1">
        <f t="shared" si="91"/>
        <v>4.6749999999999989</v>
      </c>
      <c r="H563" s="6">
        <f t="shared" ca="1" si="92"/>
        <v>6.0774999999999988</v>
      </c>
      <c r="I563" s="5">
        <f t="shared" ca="1" si="93"/>
        <v>1.4024999999999999</v>
      </c>
      <c r="J563" s="8">
        <f t="shared" ca="1" si="94"/>
        <v>4.4412499999999984</v>
      </c>
      <c r="K563" s="5">
        <f t="shared" ca="1" si="95"/>
        <v>0.23375000000000057</v>
      </c>
      <c r="L563">
        <f t="shared" ca="1" si="96"/>
        <v>71843.839999999982</v>
      </c>
      <c r="M563">
        <f t="shared" ca="1" si="97"/>
        <v>71844</v>
      </c>
      <c r="N563" t="str">
        <f t="shared" ca="1" si="98"/>
        <v>10001100010100100</v>
      </c>
      <c r="O563">
        <f t="shared" ca="1" si="99"/>
        <v>100011000</v>
      </c>
    </row>
    <row r="564" spans="4:15" x14ac:dyDescent="0.25">
      <c r="D564">
        <v>562</v>
      </c>
      <c r="E564">
        <f t="shared" si="89"/>
        <v>76.2</v>
      </c>
      <c r="F564">
        <f t="shared" ca="1" si="90"/>
        <v>70.58</v>
      </c>
      <c r="G564" s="1">
        <f t="shared" si="91"/>
        <v>4.6833333333333327</v>
      </c>
      <c r="H564" s="6">
        <f t="shared" ca="1" si="92"/>
        <v>4.214999999999999</v>
      </c>
      <c r="I564" s="5">
        <f t="shared" ca="1" si="93"/>
        <v>0.46833333333333371</v>
      </c>
      <c r="J564" s="8">
        <f t="shared" ca="1" si="94"/>
        <v>4.9174999999999995</v>
      </c>
      <c r="K564" s="5">
        <f t="shared" ca="1" si="95"/>
        <v>0.23416666666666686</v>
      </c>
      <c r="L564">
        <f t="shared" ca="1" si="96"/>
        <v>51500.373333333322</v>
      </c>
      <c r="M564">
        <f t="shared" ca="1" si="97"/>
        <v>51500</v>
      </c>
      <c r="N564" t="str">
        <f t="shared" ca="1" si="98"/>
        <v>1100100100101100</v>
      </c>
      <c r="O564">
        <f t="shared" ca="1" si="99"/>
        <v>110010010</v>
      </c>
    </row>
    <row r="565" spans="4:15" x14ac:dyDescent="0.25">
      <c r="D565">
        <v>563</v>
      </c>
      <c r="E565">
        <f t="shared" si="89"/>
        <v>76.300000000000011</v>
      </c>
      <c r="F565">
        <f t="shared" ca="1" si="90"/>
        <v>59.410000000000011</v>
      </c>
      <c r="G565" s="1">
        <f t="shared" si="91"/>
        <v>4.6916666666666673</v>
      </c>
      <c r="H565" s="6">
        <f t="shared" ca="1" si="92"/>
        <v>3.2841666666666667</v>
      </c>
      <c r="I565" s="5">
        <f t="shared" ca="1" si="93"/>
        <v>1.4075000000000006</v>
      </c>
      <c r="J565" s="8">
        <f t="shared" ca="1" si="94"/>
        <v>4.9262500000000005</v>
      </c>
      <c r="K565" s="5">
        <f t="shared" ca="1" si="95"/>
        <v>0.23458333333333314</v>
      </c>
      <c r="L565">
        <f t="shared" ca="1" si="96"/>
        <v>41333.191111111111</v>
      </c>
      <c r="M565">
        <f t="shared" ca="1" si="97"/>
        <v>41333</v>
      </c>
      <c r="N565" t="str">
        <f t="shared" ca="1" si="98"/>
        <v>1010000101110101</v>
      </c>
      <c r="O565">
        <f t="shared" ca="1" si="99"/>
        <v>101000010</v>
      </c>
    </row>
    <row r="566" spans="4:15" x14ac:dyDescent="0.25">
      <c r="D566">
        <v>564</v>
      </c>
      <c r="E566">
        <f t="shared" si="89"/>
        <v>76.400000000000006</v>
      </c>
      <c r="F566">
        <f t="shared" ca="1" si="90"/>
        <v>104.60000000000001</v>
      </c>
      <c r="G566" s="1">
        <f t="shared" si="91"/>
        <v>4.7</v>
      </c>
      <c r="H566" s="6">
        <f t="shared" ca="1" si="92"/>
        <v>7.05</v>
      </c>
      <c r="I566" s="5">
        <f t="shared" ca="1" si="93"/>
        <v>2.3499999999999996</v>
      </c>
      <c r="J566" s="8">
        <f t="shared" ca="1" si="94"/>
        <v>4.9350000000000005</v>
      </c>
      <c r="K566" s="5">
        <f t="shared" ca="1" si="95"/>
        <v>0.23500000000000032</v>
      </c>
      <c r="L566">
        <f t="shared" ca="1" si="96"/>
        <v>82466.133333333331</v>
      </c>
      <c r="M566">
        <f t="shared" ca="1" si="97"/>
        <v>82466</v>
      </c>
      <c r="N566" t="str">
        <f t="shared" ca="1" si="98"/>
        <v>10100001000100010</v>
      </c>
      <c r="O566">
        <f t="shared" ca="1" si="99"/>
        <v>101000010</v>
      </c>
    </row>
    <row r="567" spans="4:15" x14ac:dyDescent="0.25">
      <c r="D567">
        <v>565</v>
      </c>
      <c r="E567">
        <f t="shared" si="89"/>
        <v>76.5</v>
      </c>
      <c r="F567">
        <f t="shared" ca="1" si="90"/>
        <v>99.1</v>
      </c>
      <c r="G567" s="1">
        <f t="shared" si="91"/>
        <v>4.708333333333333</v>
      </c>
      <c r="H567" s="6">
        <f t="shared" ca="1" si="92"/>
        <v>6.5916666666666659</v>
      </c>
      <c r="I567" s="5">
        <f t="shared" ca="1" si="93"/>
        <v>1.8833333333333329</v>
      </c>
      <c r="J567" s="8">
        <f t="shared" ca="1" si="94"/>
        <v>4.4729166666666664</v>
      </c>
      <c r="K567" s="5">
        <f t="shared" ca="1" si="95"/>
        <v>0.23541666666666661</v>
      </c>
      <c r="L567">
        <f t="shared" ca="1" si="96"/>
        <v>77459.911111111098</v>
      </c>
      <c r="M567">
        <f t="shared" ca="1" si="97"/>
        <v>77460</v>
      </c>
      <c r="N567" t="str">
        <f t="shared" ca="1" si="98"/>
        <v>10010111010010100</v>
      </c>
      <c r="O567">
        <f t="shared" ca="1" si="99"/>
        <v>100101110</v>
      </c>
    </row>
    <row r="568" spans="4:15" x14ac:dyDescent="0.25">
      <c r="D568">
        <v>566</v>
      </c>
      <c r="E568">
        <f t="shared" si="89"/>
        <v>76.599999999999994</v>
      </c>
      <c r="F568">
        <f t="shared" ca="1" si="90"/>
        <v>82.259999999999991</v>
      </c>
      <c r="G568" s="1">
        <f t="shared" si="91"/>
        <v>4.7166666666666659</v>
      </c>
      <c r="H568" s="6">
        <f t="shared" ca="1" si="92"/>
        <v>5.1883333333333317</v>
      </c>
      <c r="I568" s="5">
        <f t="shared" ca="1" si="93"/>
        <v>0.47166666666666579</v>
      </c>
      <c r="J568" s="8">
        <f t="shared" ca="1" si="94"/>
        <v>4.4808333333333321</v>
      </c>
      <c r="K568" s="5">
        <f t="shared" ca="1" si="95"/>
        <v>0.23583333333333378</v>
      </c>
      <c r="L568">
        <f t="shared" ca="1" si="96"/>
        <v>62131.768888888873</v>
      </c>
      <c r="M568">
        <f t="shared" ca="1" si="97"/>
        <v>62132</v>
      </c>
      <c r="N568" t="str">
        <f t="shared" ca="1" si="98"/>
        <v>1111001010110100</v>
      </c>
      <c r="O568">
        <f t="shared" ca="1" si="99"/>
        <v>111100101</v>
      </c>
    </row>
    <row r="569" spans="4:15" x14ac:dyDescent="0.25">
      <c r="D569">
        <v>567</v>
      </c>
      <c r="E569">
        <f t="shared" si="89"/>
        <v>76.7</v>
      </c>
      <c r="F569">
        <f t="shared" ca="1" si="90"/>
        <v>54.02</v>
      </c>
      <c r="G569" s="1">
        <f t="shared" si="91"/>
        <v>4.7249999999999996</v>
      </c>
      <c r="H569" s="6">
        <f t="shared" ca="1" si="92"/>
        <v>2.835</v>
      </c>
      <c r="I569" s="5">
        <f t="shared" ca="1" si="93"/>
        <v>1.8899999999999997</v>
      </c>
      <c r="J569" s="8">
        <f t="shared" ca="1" si="94"/>
        <v>4.4887499999999996</v>
      </c>
      <c r="K569" s="5">
        <f t="shared" ca="1" si="95"/>
        <v>0.23625000000000007</v>
      </c>
      <c r="L569">
        <f t="shared" ca="1" si="96"/>
        <v>36427.093333333331</v>
      </c>
      <c r="M569">
        <f t="shared" ca="1" si="97"/>
        <v>36427</v>
      </c>
      <c r="N569" t="str">
        <f t="shared" ca="1" si="98"/>
        <v>1000111001001011</v>
      </c>
      <c r="O569">
        <f t="shared" ca="1" si="99"/>
        <v>100011100</v>
      </c>
    </row>
    <row r="570" spans="4:15" x14ac:dyDescent="0.25">
      <c r="D570">
        <v>568</v>
      </c>
      <c r="E570">
        <f t="shared" si="89"/>
        <v>76.800000000000011</v>
      </c>
      <c r="F570">
        <f t="shared" ca="1" si="90"/>
        <v>76.800000000000011</v>
      </c>
      <c r="G570" s="1">
        <f t="shared" si="91"/>
        <v>4.7333333333333334</v>
      </c>
      <c r="H570" s="6">
        <f t="shared" ca="1" si="92"/>
        <v>4.7333333333333334</v>
      </c>
      <c r="I570" s="5">
        <f t="shared" ca="1" si="93"/>
        <v>0</v>
      </c>
      <c r="J570" s="8">
        <f t="shared" ca="1" si="94"/>
        <v>4.4966666666666661</v>
      </c>
      <c r="K570" s="5">
        <f t="shared" ca="1" si="95"/>
        <v>0.23666666666666725</v>
      </c>
      <c r="L570">
        <f t="shared" ca="1" si="96"/>
        <v>57161.955555555556</v>
      </c>
      <c r="M570">
        <f t="shared" ca="1" si="97"/>
        <v>57162</v>
      </c>
      <c r="N570" t="str">
        <f t="shared" ca="1" si="98"/>
        <v>1101111101001010</v>
      </c>
      <c r="O570">
        <f t="shared" ca="1" si="99"/>
        <v>110111110</v>
      </c>
    </row>
    <row r="571" spans="4:15" x14ac:dyDescent="0.25">
      <c r="D571">
        <v>569</v>
      </c>
      <c r="E571">
        <f t="shared" si="89"/>
        <v>76.900000000000006</v>
      </c>
      <c r="F571">
        <f t="shared" ca="1" si="90"/>
        <v>54.14</v>
      </c>
      <c r="G571" s="1">
        <f t="shared" si="91"/>
        <v>4.7416666666666663</v>
      </c>
      <c r="H571" s="6">
        <f t="shared" ca="1" si="92"/>
        <v>2.8449999999999998</v>
      </c>
      <c r="I571" s="5">
        <f t="shared" ca="1" si="93"/>
        <v>1.8966666666666665</v>
      </c>
      <c r="J571" s="8">
        <f t="shared" ca="1" si="94"/>
        <v>4.9787499999999998</v>
      </c>
      <c r="K571" s="5">
        <f t="shared" ca="1" si="95"/>
        <v>0.23708333333333353</v>
      </c>
      <c r="L571">
        <f t="shared" ca="1" si="96"/>
        <v>36536.32</v>
      </c>
      <c r="M571">
        <f t="shared" ca="1" si="97"/>
        <v>36536</v>
      </c>
      <c r="N571" t="str">
        <f t="shared" ca="1" si="98"/>
        <v>1000111010111000</v>
      </c>
      <c r="O571">
        <f t="shared" ca="1" si="99"/>
        <v>100011101</v>
      </c>
    </row>
    <row r="572" spans="4:15" x14ac:dyDescent="0.25">
      <c r="D572">
        <v>570</v>
      </c>
      <c r="E572">
        <f t="shared" si="89"/>
        <v>77</v>
      </c>
      <c r="F572">
        <f t="shared" ca="1" si="90"/>
        <v>77</v>
      </c>
      <c r="G572" s="1">
        <f t="shared" si="91"/>
        <v>4.7499999999999991</v>
      </c>
      <c r="H572" s="6">
        <f t="shared" ca="1" si="92"/>
        <v>4.7499999999999991</v>
      </c>
      <c r="I572" s="5">
        <f t="shared" ca="1" si="93"/>
        <v>0</v>
      </c>
      <c r="J572" s="8">
        <f t="shared" ca="1" si="94"/>
        <v>4.5124999999999993</v>
      </c>
      <c r="K572" s="5">
        <f t="shared" ca="1" si="95"/>
        <v>0.23749999999999982</v>
      </c>
      <c r="L572">
        <f t="shared" ca="1" si="96"/>
        <v>57343.999999999993</v>
      </c>
      <c r="M572">
        <f t="shared" ca="1" si="97"/>
        <v>57344</v>
      </c>
      <c r="N572" t="str">
        <f t="shared" ca="1" si="98"/>
        <v>1110000000000000</v>
      </c>
      <c r="O572">
        <f t="shared" ca="1" si="99"/>
        <v>111000000</v>
      </c>
    </row>
    <row r="573" spans="4:15" x14ac:dyDescent="0.25">
      <c r="D573">
        <v>571</v>
      </c>
      <c r="E573">
        <f t="shared" si="89"/>
        <v>77.099999999999994</v>
      </c>
      <c r="F573">
        <f t="shared" ca="1" si="90"/>
        <v>48.55</v>
      </c>
      <c r="G573" s="1">
        <f t="shared" si="91"/>
        <v>4.758333333333332</v>
      </c>
      <c r="H573" s="6">
        <f t="shared" ca="1" si="92"/>
        <v>2.3791666666666655</v>
      </c>
      <c r="I573" s="5">
        <f t="shared" ca="1" si="93"/>
        <v>2.3791666666666664</v>
      </c>
      <c r="J573" s="8">
        <f t="shared" ca="1" si="94"/>
        <v>4.520416666666665</v>
      </c>
      <c r="K573" s="5">
        <f t="shared" ca="1" si="95"/>
        <v>0.237916666666667</v>
      </c>
      <c r="L573">
        <f t="shared" ca="1" si="96"/>
        <v>31448.177777777764</v>
      </c>
      <c r="M573">
        <f t="shared" ca="1" si="97"/>
        <v>31448</v>
      </c>
      <c r="N573" t="str">
        <f t="shared" ca="1" si="98"/>
        <v>0111101011011000</v>
      </c>
      <c r="O573">
        <f t="shared" ca="1" si="99"/>
        <v>11110101</v>
      </c>
    </row>
    <row r="574" spans="4:15" x14ac:dyDescent="0.25">
      <c r="D574">
        <v>572</v>
      </c>
      <c r="E574">
        <f t="shared" si="89"/>
        <v>77.2</v>
      </c>
      <c r="F574">
        <f t="shared" ca="1" si="90"/>
        <v>71.48</v>
      </c>
      <c r="G574" s="1">
        <f t="shared" si="91"/>
        <v>4.7666666666666666</v>
      </c>
      <c r="H574" s="6">
        <f t="shared" ca="1" si="92"/>
        <v>4.29</v>
      </c>
      <c r="I574" s="5">
        <f t="shared" ca="1" si="93"/>
        <v>0.47666666666666657</v>
      </c>
      <c r="J574" s="8">
        <f t="shared" ca="1" si="94"/>
        <v>5.0049999999999999</v>
      </c>
      <c r="K574" s="5">
        <f t="shared" ca="1" si="95"/>
        <v>0.23833333333333329</v>
      </c>
      <c r="L574">
        <f t="shared" ca="1" si="96"/>
        <v>52319.573333333334</v>
      </c>
      <c r="M574">
        <f t="shared" ca="1" si="97"/>
        <v>52320</v>
      </c>
      <c r="N574" t="str">
        <f t="shared" ca="1" si="98"/>
        <v>1100110001100000</v>
      </c>
      <c r="O574">
        <f t="shared" ca="1" si="99"/>
        <v>110011000</v>
      </c>
    </row>
    <row r="575" spans="4:15" x14ac:dyDescent="0.25">
      <c r="D575">
        <v>573</v>
      </c>
      <c r="E575">
        <f t="shared" si="89"/>
        <v>77.300000000000011</v>
      </c>
      <c r="F575">
        <f t="shared" ca="1" si="90"/>
        <v>94.490000000000009</v>
      </c>
      <c r="G575" s="1">
        <f t="shared" si="91"/>
        <v>4.7750000000000004</v>
      </c>
      <c r="H575" s="6">
        <f t="shared" ca="1" si="92"/>
        <v>6.2075000000000005</v>
      </c>
      <c r="I575" s="5">
        <f t="shared" ca="1" si="93"/>
        <v>1.4325000000000001</v>
      </c>
      <c r="J575" s="8">
        <f t="shared" ca="1" si="94"/>
        <v>5.0137500000000008</v>
      </c>
      <c r="K575" s="5">
        <f t="shared" ca="1" si="95"/>
        <v>0.23875000000000046</v>
      </c>
      <c r="L575">
        <f t="shared" ca="1" si="96"/>
        <v>73263.786666666667</v>
      </c>
      <c r="M575">
        <f t="shared" ca="1" si="97"/>
        <v>73264</v>
      </c>
      <c r="N575" t="str">
        <f t="shared" ca="1" si="98"/>
        <v>10001111000110000</v>
      </c>
      <c r="O575">
        <f t="shared" ca="1" si="99"/>
        <v>100011110</v>
      </c>
    </row>
    <row r="576" spans="4:15" x14ac:dyDescent="0.25">
      <c r="D576">
        <v>574</v>
      </c>
      <c r="E576">
        <f t="shared" si="89"/>
        <v>77.400000000000006</v>
      </c>
      <c r="F576">
        <f t="shared" ca="1" si="90"/>
        <v>60.180000000000007</v>
      </c>
      <c r="G576" s="1">
        <f t="shared" si="91"/>
        <v>4.7833333333333332</v>
      </c>
      <c r="H576" s="6">
        <f t="shared" ca="1" si="92"/>
        <v>3.3483333333333336</v>
      </c>
      <c r="I576" s="5">
        <f t="shared" ca="1" si="93"/>
        <v>1.4349999999999996</v>
      </c>
      <c r="J576" s="8">
        <f t="shared" ca="1" si="94"/>
        <v>4.5441666666666665</v>
      </c>
      <c r="K576" s="5">
        <f t="shared" ca="1" si="95"/>
        <v>0.23916666666666675</v>
      </c>
      <c r="L576">
        <f t="shared" ca="1" si="96"/>
        <v>42034.062222222223</v>
      </c>
      <c r="M576">
        <f t="shared" ca="1" si="97"/>
        <v>42034</v>
      </c>
      <c r="N576" t="str">
        <f t="shared" ca="1" si="98"/>
        <v>1010010000110010</v>
      </c>
      <c r="O576">
        <f t="shared" ca="1" si="99"/>
        <v>101001000</v>
      </c>
    </row>
    <row r="577" spans="4:15" x14ac:dyDescent="0.25">
      <c r="D577">
        <v>575</v>
      </c>
      <c r="E577">
        <f t="shared" si="89"/>
        <v>77.5</v>
      </c>
      <c r="F577">
        <f t="shared" ca="1" si="90"/>
        <v>94.75</v>
      </c>
      <c r="G577" s="1">
        <f t="shared" si="91"/>
        <v>4.7916666666666661</v>
      </c>
      <c r="H577" s="6">
        <f t="shared" ca="1" si="92"/>
        <v>6.2291666666666661</v>
      </c>
      <c r="I577" s="5">
        <f t="shared" ca="1" si="93"/>
        <v>1.4375</v>
      </c>
      <c r="J577" s="8">
        <f t="shared" ca="1" si="94"/>
        <v>4.5520833333333321</v>
      </c>
      <c r="K577" s="5">
        <f t="shared" ca="1" si="95"/>
        <v>0.23958333333333393</v>
      </c>
      <c r="L577">
        <f t="shared" ca="1" si="96"/>
        <v>73500.444444444438</v>
      </c>
      <c r="M577">
        <f t="shared" ca="1" si="97"/>
        <v>73500</v>
      </c>
      <c r="N577" t="str">
        <f t="shared" ca="1" si="98"/>
        <v>10001111100011100</v>
      </c>
      <c r="O577">
        <f t="shared" ca="1" si="99"/>
        <v>100011111</v>
      </c>
    </row>
    <row r="578" spans="4:15" x14ac:dyDescent="0.25">
      <c r="D578">
        <v>576</v>
      </c>
      <c r="E578">
        <f t="shared" si="89"/>
        <v>77.599999999999994</v>
      </c>
      <c r="F578">
        <f t="shared" ca="1" si="90"/>
        <v>60.319999999999993</v>
      </c>
      <c r="G578" s="1">
        <f t="shared" si="91"/>
        <v>4.7999999999999989</v>
      </c>
      <c r="H578" s="6">
        <f t="shared" ca="1" si="92"/>
        <v>3.3599999999999985</v>
      </c>
      <c r="I578" s="5">
        <f t="shared" ca="1" si="93"/>
        <v>1.4400000000000004</v>
      </c>
      <c r="J578" s="8">
        <f t="shared" ca="1" si="94"/>
        <v>5.0399999999999991</v>
      </c>
      <c r="K578" s="5">
        <f t="shared" ca="1" si="95"/>
        <v>0.24000000000000021</v>
      </c>
      <c r="L578">
        <f t="shared" ca="1" si="96"/>
        <v>42161.493333333317</v>
      </c>
      <c r="M578">
        <f t="shared" ca="1" si="97"/>
        <v>42161</v>
      </c>
      <c r="N578" t="str">
        <f t="shared" ca="1" si="98"/>
        <v>1010010010110001</v>
      </c>
      <c r="O578">
        <f t="shared" ca="1" si="99"/>
        <v>101001001</v>
      </c>
    </row>
    <row r="579" spans="4:15" x14ac:dyDescent="0.25">
      <c r="D579">
        <v>577</v>
      </c>
      <c r="E579">
        <f t="shared" ref="E579:E602" si="100">0.1*D579+20</f>
        <v>77.7</v>
      </c>
      <c r="F579">
        <f t="shared" ref="F579:F602" ca="1" si="101">0.1*D579+20 + (RANDBETWEEN(-5,5)/100)*D579</f>
        <v>100.78</v>
      </c>
      <c r="G579" s="1">
        <f t="shared" ref="G579:G602" si="102">1/12*E579-5/3</f>
        <v>4.8083333333333327</v>
      </c>
      <c r="H579" s="6">
        <f t="shared" ref="H579:H602" ca="1" si="103">1/12*F579-5/3</f>
        <v>6.7316666666666665</v>
      </c>
      <c r="I579" s="5">
        <f t="shared" ref="I579:I602" ca="1" si="104">ABS(G579-H579)</f>
        <v>1.9233333333333338</v>
      </c>
      <c r="J579" s="8">
        <f t="shared" ref="J579:J602" ca="1" si="105" xml:space="preserve"> G579 * (1 + $B$1 * IF(RANDBETWEEN(0,1)=0,-1,1))</f>
        <v>5.0487499999999992</v>
      </c>
      <c r="K579" s="5">
        <f t="shared" ref="K579:K602" ca="1" si="106">ABS(G579-J579)</f>
        <v>0.2404166666666665</v>
      </c>
      <c r="L579">
        <f t="shared" ref="L579:L602" ca="1" si="107">(H579-$B$2)/($B$3-$B$2)*(2^$B$4)</f>
        <v>78989.084444444437</v>
      </c>
      <c r="M579">
        <f t="shared" ref="M579:M602" ca="1" si="108">ROUND(L579,0)</f>
        <v>78989</v>
      </c>
      <c r="N579" t="str">
        <f t="shared" ref="N579:N602" ca="1" si="109">_xlfn.BASE(M579,2,$B$4)</f>
        <v>10011010010001101</v>
      </c>
      <c r="O579">
        <f t="shared" ref="O579:O602" ca="1" si="110">VALUE(LEFT(N579,9))</f>
        <v>100110100</v>
      </c>
    </row>
    <row r="580" spans="4:15" x14ac:dyDescent="0.25">
      <c r="D580">
        <v>578</v>
      </c>
      <c r="E580">
        <f t="shared" si="100"/>
        <v>77.800000000000011</v>
      </c>
      <c r="F580">
        <f t="shared" ca="1" si="101"/>
        <v>83.580000000000013</v>
      </c>
      <c r="G580" s="1">
        <f t="shared" si="102"/>
        <v>4.8166666666666673</v>
      </c>
      <c r="H580" s="6">
        <f t="shared" ca="1" si="103"/>
        <v>5.2983333333333338</v>
      </c>
      <c r="I580" s="5">
        <f t="shared" ca="1" si="104"/>
        <v>0.48166666666666647</v>
      </c>
      <c r="J580" s="8">
        <f t="shared" ca="1" si="105"/>
        <v>5.057500000000001</v>
      </c>
      <c r="K580" s="5">
        <f t="shared" ca="1" si="106"/>
        <v>0.24083333333333368</v>
      </c>
      <c r="L580">
        <f t="shared" ca="1" si="107"/>
        <v>63333.262222222227</v>
      </c>
      <c r="M580">
        <f t="shared" ca="1" si="108"/>
        <v>63333</v>
      </c>
      <c r="N580" t="str">
        <f t="shared" ca="1" si="109"/>
        <v>1111011101100101</v>
      </c>
      <c r="O580">
        <f t="shared" ca="1" si="110"/>
        <v>111101110</v>
      </c>
    </row>
    <row r="581" spans="4:15" x14ac:dyDescent="0.25">
      <c r="D581">
        <v>579</v>
      </c>
      <c r="E581">
        <f t="shared" si="100"/>
        <v>77.900000000000006</v>
      </c>
      <c r="F581">
        <f t="shared" ca="1" si="101"/>
        <v>66.320000000000007</v>
      </c>
      <c r="G581" s="1">
        <f t="shared" si="102"/>
        <v>4.8250000000000002</v>
      </c>
      <c r="H581" s="6">
        <f t="shared" ca="1" si="103"/>
        <v>3.8600000000000003</v>
      </c>
      <c r="I581" s="5">
        <f t="shared" ca="1" si="104"/>
        <v>0.96499999999999986</v>
      </c>
      <c r="J581" s="8">
        <f t="shared" ca="1" si="105"/>
        <v>5.0662500000000001</v>
      </c>
      <c r="K581" s="5">
        <f t="shared" ca="1" si="106"/>
        <v>0.24124999999999996</v>
      </c>
      <c r="L581">
        <f t="shared" ca="1" si="107"/>
        <v>47622.826666666668</v>
      </c>
      <c r="M581">
        <f t="shared" ca="1" si="108"/>
        <v>47623</v>
      </c>
      <c r="N581" t="str">
        <f t="shared" ca="1" si="109"/>
        <v>1011101000000111</v>
      </c>
      <c r="O581">
        <f t="shared" ca="1" si="110"/>
        <v>101110100</v>
      </c>
    </row>
    <row r="582" spans="4:15" x14ac:dyDescent="0.25">
      <c r="D582">
        <v>580</v>
      </c>
      <c r="E582">
        <f t="shared" si="100"/>
        <v>78</v>
      </c>
      <c r="F582">
        <f t="shared" ca="1" si="101"/>
        <v>107</v>
      </c>
      <c r="G582" s="1">
        <f t="shared" si="102"/>
        <v>4.833333333333333</v>
      </c>
      <c r="H582" s="6">
        <f t="shared" ca="1" si="103"/>
        <v>7.2499999999999991</v>
      </c>
      <c r="I582" s="5">
        <f t="shared" ca="1" si="104"/>
        <v>2.4166666666666661</v>
      </c>
      <c r="J582" s="8">
        <f t="shared" ca="1" si="105"/>
        <v>4.5916666666666659</v>
      </c>
      <c r="K582" s="5">
        <f t="shared" ca="1" si="106"/>
        <v>0.24166666666666714</v>
      </c>
      <c r="L582">
        <f t="shared" ca="1" si="107"/>
        <v>84650.666666666657</v>
      </c>
      <c r="M582">
        <f t="shared" ca="1" si="108"/>
        <v>84651</v>
      </c>
      <c r="N582" t="str">
        <f t="shared" ca="1" si="109"/>
        <v>10100101010101011</v>
      </c>
      <c r="O582">
        <f t="shared" ca="1" si="110"/>
        <v>101001010</v>
      </c>
    </row>
    <row r="583" spans="4:15" x14ac:dyDescent="0.25">
      <c r="D583">
        <v>581</v>
      </c>
      <c r="E583">
        <f t="shared" si="100"/>
        <v>78.099999999999994</v>
      </c>
      <c r="F583">
        <f t="shared" ca="1" si="101"/>
        <v>89.72</v>
      </c>
      <c r="G583" s="1">
        <f t="shared" si="102"/>
        <v>4.8416666666666659</v>
      </c>
      <c r="H583" s="6">
        <f t="shared" ca="1" si="103"/>
        <v>5.81</v>
      </c>
      <c r="I583" s="5">
        <f t="shared" ca="1" si="104"/>
        <v>0.96833333333333371</v>
      </c>
      <c r="J583" s="8">
        <f t="shared" ca="1" si="105"/>
        <v>4.5995833333333325</v>
      </c>
      <c r="K583" s="5">
        <f t="shared" ca="1" si="106"/>
        <v>0.24208333333333343</v>
      </c>
      <c r="L583">
        <f t="shared" ca="1" si="107"/>
        <v>68922.026666666658</v>
      </c>
      <c r="M583">
        <f t="shared" ca="1" si="108"/>
        <v>68922</v>
      </c>
      <c r="N583" t="str">
        <f t="shared" ca="1" si="109"/>
        <v>10000110100111010</v>
      </c>
      <c r="O583">
        <f t="shared" ca="1" si="110"/>
        <v>100001101</v>
      </c>
    </row>
    <row r="584" spans="4:15" x14ac:dyDescent="0.25">
      <c r="D584">
        <v>582</v>
      </c>
      <c r="E584">
        <f t="shared" si="100"/>
        <v>78.2</v>
      </c>
      <c r="F584">
        <f t="shared" ca="1" si="101"/>
        <v>72.38</v>
      </c>
      <c r="G584" s="1">
        <f t="shared" si="102"/>
        <v>4.8499999999999996</v>
      </c>
      <c r="H584" s="6">
        <f t="shared" ca="1" si="103"/>
        <v>4.3649999999999993</v>
      </c>
      <c r="I584" s="5">
        <f t="shared" ca="1" si="104"/>
        <v>0.48500000000000032</v>
      </c>
      <c r="J584" s="8">
        <f t="shared" ca="1" si="105"/>
        <v>4.607499999999999</v>
      </c>
      <c r="K584" s="5">
        <f t="shared" ca="1" si="106"/>
        <v>0.2425000000000006</v>
      </c>
      <c r="L584">
        <f t="shared" ca="1" si="107"/>
        <v>53138.773333333324</v>
      </c>
      <c r="M584">
        <f t="shared" ca="1" si="108"/>
        <v>53139</v>
      </c>
      <c r="N584" t="str">
        <f t="shared" ca="1" si="109"/>
        <v>1100111110010011</v>
      </c>
      <c r="O584">
        <f t="shared" ca="1" si="110"/>
        <v>110011111</v>
      </c>
    </row>
    <row r="585" spans="4:15" x14ac:dyDescent="0.25">
      <c r="D585">
        <v>583</v>
      </c>
      <c r="E585">
        <f t="shared" si="100"/>
        <v>78.300000000000011</v>
      </c>
      <c r="F585">
        <f t="shared" ca="1" si="101"/>
        <v>78.300000000000011</v>
      </c>
      <c r="G585" s="1">
        <f t="shared" si="102"/>
        <v>4.8583333333333334</v>
      </c>
      <c r="H585" s="6">
        <f t="shared" ca="1" si="103"/>
        <v>4.8583333333333334</v>
      </c>
      <c r="I585" s="5">
        <f t="shared" ca="1" si="104"/>
        <v>0</v>
      </c>
      <c r="J585" s="8">
        <f t="shared" ca="1" si="105"/>
        <v>5.1012500000000003</v>
      </c>
      <c r="K585" s="5">
        <f t="shared" ca="1" si="106"/>
        <v>0.24291666666666689</v>
      </c>
      <c r="L585">
        <f t="shared" ca="1" si="107"/>
        <v>58527.288888888892</v>
      </c>
      <c r="M585">
        <f t="shared" ca="1" si="108"/>
        <v>58527</v>
      </c>
      <c r="N585" t="str">
        <f t="shared" ca="1" si="109"/>
        <v>1110010010011111</v>
      </c>
      <c r="O585">
        <f t="shared" ca="1" si="110"/>
        <v>111001001</v>
      </c>
    </row>
    <row r="586" spans="4:15" x14ac:dyDescent="0.25">
      <c r="D586">
        <v>584</v>
      </c>
      <c r="E586">
        <f t="shared" si="100"/>
        <v>78.400000000000006</v>
      </c>
      <c r="F586">
        <f t="shared" ca="1" si="101"/>
        <v>78.400000000000006</v>
      </c>
      <c r="G586" s="1">
        <f t="shared" si="102"/>
        <v>4.8666666666666663</v>
      </c>
      <c r="H586" s="6">
        <f t="shared" ca="1" si="103"/>
        <v>4.8666666666666663</v>
      </c>
      <c r="I586" s="5">
        <f t="shared" ca="1" si="104"/>
        <v>0</v>
      </c>
      <c r="J586" s="8">
        <f t="shared" ca="1" si="105"/>
        <v>5.1099999999999994</v>
      </c>
      <c r="K586" s="5">
        <f t="shared" ca="1" si="106"/>
        <v>0.24333333333333318</v>
      </c>
      <c r="L586">
        <f t="shared" ca="1" si="107"/>
        <v>58618.311111111107</v>
      </c>
      <c r="M586">
        <f t="shared" ca="1" si="108"/>
        <v>58618</v>
      </c>
      <c r="N586" t="str">
        <f t="shared" ca="1" si="109"/>
        <v>1110010011111010</v>
      </c>
      <c r="O586">
        <f t="shared" ca="1" si="110"/>
        <v>111001001</v>
      </c>
    </row>
    <row r="587" spans="4:15" x14ac:dyDescent="0.25">
      <c r="D587">
        <v>585</v>
      </c>
      <c r="E587">
        <f t="shared" si="100"/>
        <v>78.5</v>
      </c>
      <c r="F587">
        <f t="shared" ca="1" si="101"/>
        <v>60.95</v>
      </c>
      <c r="G587" s="1">
        <f t="shared" si="102"/>
        <v>4.8749999999999991</v>
      </c>
      <c r="H587" s="6">
        <f t="shared" ca="1" si="103"/>
        <v>3.4124999999999996</v>
      </c>
      <c r="I587" s="5">
        <f t="shared" ca="1" si="104"/>
        <v>1.4624999999999995</v>
      </c>
      <c r="J587" s="8">
        <f t="shared" ca="1" si="105"/>
        <v>5.1187499999999995</v>
      </c>
      <c r="K587" s="5">
        <f t="shared" ca="1" si="106"/>
        <v>0.24375000000000036</v>
      </c>
      <c r="L587">
        <f t="shared" ca="1" si="107"/>
        <v>42734.933333333327</v>
      </c>
      <c r="M587">
        <f t="shared" ca="1" si="108"/>
        <v>42735</v>
      </c>
      <c r="N587" t="str">
        <f t="shared" ca="1" si="109"/>
        <v>1010011011101111</v>
      </c>
      <c r="O587">
        <f t="shared" ca="1" si="110"/>
        <v>101001101</v>
      </c>
    </row>
    <row r="588" spans="4:15" x14ac:dyDescent="0.25">
      <c r="D588">
        <v>586</v>
      </c>
      <c r="E588">
        <f t="shared" si="100"/>
        <v>78.599999999999994</v>
      </c>
      <c r="F588">
        <f t="shared" ca="1" si="101"/>
        <v>61.019999999999996</v>
      </c>
      <c r="G588" s="1">
        <f t="shared" si="102"/>
        <v>4.883333333333332</v>
      </c>
      <c r="H588" s="6">
        <f t="shared" ca="1" si="103"/>
        <v>3.4183333333333321</v>
      </c>
      <c r="I588" s="5">
        <f t="shared" ca="1" si="104"/>
        <v>1.4649999999999999</v>
      </c>
      <c r="J588" s="8">
        <f t="shared" ca="1" si="105"/>
        <v>4.6391666666666653</v>
      </c>
      <c r="K588" s="5">
        <f t="shared" ca="1" si="106"/>
        <v>0.24416666666666664</v>
      </c>
      <c r="L588">
        <f t="shared" ca="1" si="107"/>
        <v>42798.648888888878</v>
      </c>
      <c r="M588">
        <f t="shared" ca="1" si="108"/>
        <v>42799</v>
      </c>
      <c r="N588" t="str">
        <f t="shared" ca="1" si="109"/>
        <v>1010011100101111</v>
      </c>
      <c r="O588">
        <f t="shared" ca="1" si="110"/>
        <v>101001110</v>
      </c>
    </row>
    <row r="589" spans="4:15" x14ac:dyDescent="0.25">
      <c r="D589">
        <v>587</v>
      </c>
      <c r="E589">
        <f t="shared" si="100"/>
        <v>78.7</v>
      </c>
      <c r="F589">
        <f t="shared" ca="1" si="101"/>
        <v>61.09</v>
      </c>
      <c r="G589" s="1">
        <f t="shared" si="102"/>
        <v>4.8916666666666666</v>
      </c>
      <c r="H589" s="6">
        <f t="shared" ca="1" si="103"/>
        <v>3.4241666666666664</v>
      </c>
      <c r="I589" s="5">
        <f t="shared" ca="1" si="104"/>
        <v>1.4675000000000002</v>
      </c>
      <c r="J589" s="8">
        <f t="shared" ca="1" si="105"/>
        <v>4.6470833333333328</v>
      </c>
      <c r="K589" s="5">
        <f t="shared" ca="1" si="106"/>
        <v>0.24458333333333382</v>
      </c>
      <c r="L589">
        <f t="shared" ca="1" si="107"/>
        <v>42862.364444444444</v>
      </c>
      <c r="M589">
        <f t="shared" ca="1" si="108"/>
        <v>42862</v>
      </c>
      <c r="N589" t="str">
        <f t="shared" ca="1" si="109"/>
        <v>1010011101101110</v>
      </c>
      <c r="O589">
        <f t="shared" ca="1" si="110"/>
        <v>101001110</v>
      </c>
    </row>
    <row r="590" spans="4:15" x14ac:dyDescent="0.25">
      <c r="D590">
        <v>588</v>
      </c>
      <c r="E590">
        <f t="shared" si="100"/>
        <v>78.800000000000011</v>
      </c>
      <c r="F590">
        <f t="shared" ca="1" si="101"/>
        <v>84.68</v>
      </c>
      <c r="G590" s="1">
        <f t="shared" si="102"/>
        <v>4.9000000000000004</v>
      </c>
      <c r="H590" s="6">
        <f t="shared" ca="1" si="103"/>
        <v>5.39</v>
      </c>
      <c r="I590" s="5">
        <f t="shared" ca="1" si="104"/>
        <v>0.48999999999999932</v>
      </c>
      <c r="J590" s="8">
        <f t="shared" ca="1" si="105"/>
        <v>5.1450000000000005</v>
      </c>
      <c r="K590" s="5">
        <f t="shared" ca="1" si="106"/>
        <v>0.24500000000000011</v>
      </c>
      <c r="L590">
        <f t="shared" ca="1" si="107"/>
        <v>64334.506666666661</v>
      </c>
      <c r="M590">
        <f t="shared" ca="1" si="108"/>
        <v>64335</v>
      </c>
      <c r="N590" t="str">
        <f t="shared" ca="1" si="109"/>
        <v>1111101101001111</v>
      </c>
      <c r="O590">
        <f t="shared" ca="1" si="110"/>
        <v>111110110</v>
      </c>
    </row>
    <row r="591" spans="4:15" x14ac:dyDescent="0.25">
      <c r="D591">
        <v>589</v>
      </c>
      <c r="E591">
        <f t="shared" si="100"/>
        <v>78.900000000000006</v>
      </c>
      <c r="F591">
        <f t="shared" ca="1" si="101"/>
        <v>96.570000000000007</v>
      </c>
      <c r="G591" s="1">
        <f t="shared" si="102"/>
        <v>4.9083333333333332</v>
      </c>
      <c r="H591" s="6">
        <f t="shared" ca="1" si="103"/>
        <v>6.3808333333333325</v>
      </c>
      <c r="I591" s="5">
        <f t="shared" ca="1" si="104"/>
        <v>1.4724999999999993</v>
      </c>
      <c r="J591" s="8">
        <f t="shared" ca="1" si="105"/>
        <v>4.6629166666666659</v>
      </c>
      <c r="K591" s="5">
        <f t="shared" ca="1" si="106"/>
        <v>0.24541666666666728</v>
      </c>
      <c r="L591">
        <f t="shared" ca="1" si="107"/>
        <v>75157.048888888879</v>
      </c>
      <c r="M591">
        <f t="shared" ca="1" si="108"/>
        <v>75157</v>
      </c>
      <c r="N591" t="str">
        <f t="shared" ca="1" si="109"/>
        <v>10010010110010101</v>
      </c>
      <c r="O591">
        <f t="shared" ca="1" si="110"/>
        <v>100100101</v>
      </c>
    </row>
    <row r="592" spans="4:15" x14ac:dyDescent="0.25">
      <c r="D592">
        <v>590</v>
      </c>
      <c r="E592">
        <f t="shared" si="100"/>
        <v>79</v>
      </c>
      <c r="F592">
        <f t="shared" ca="1" si="101"/>
        <v>108.5</v>
      </c>
      <c r="G592" s="1">
        <f t="shared" si="102"/>
        <v>4.9166666666666661</v>
      </c>
      <c r="H592" s="6">
        <f t="shared" ca="1" si="103"/>
        <v>7.3749999999999991</v>
      </c>
      <c r="I592" s="5">
        <f t="shared" ca="1" si="104"/>
        <v>2.458333333333333</v>
      </c>
      <c r="J592" s="8">
        <f t="shared" ca="1" si="105"/>
        <v>4.6708333333333325</v>
      </c>
      <c r="K592" s="5">
        <f t="shared" ca="1" si="106"/>
        <v>0.24583333333333357</v>
      </c>
      <c r="L592">
        <f t="shared" ca="1" si="107"/>
        <v>86015.999999999985</v>
      </c>
      <c r="M592">
        <f t="shared" ca="1" si="108"/>
        <v>86016</v>
      </c>
      <c r="N592" t="str">
        <f t="shared" ca="1" si="109"/>
        <v>10101000000000000</v>
      </c>
      <c r="O592">
        <f t="shared" ca="1" si="110"/>
        <v>101010000</v>
      </c>
    </row>
    <row r="593" spans="4:15" x14ac:dyDescent="0.25">
      <c r="D593">
        <v>591</v>
      </c>
      <c r="E593">
        <f t="shared" si="100"/>
        <v>79.099999999999994</v>
      </c>
      <c r="F593">
        <f t="shared" ca="1" si="101"/>
        <v>61.36999999999999</v>
      </c>
      <c r="G593" s="1">
        <f t="shared" si="102"/>
        <v>4.9249999999999989</v>
      </c>
      <c r="H593" s="6">
        <f t="shared" ca="1" si="103"/>
        <v>3.4474999999999989</v>
      </c>
      <c r="I593" s="5">
        <f t="shared" ca="1" si="104"/>
        <v>1.4775</v>
      </c>
      <c r="J593" s="8">
        <f t="shared" ca="1" si="105"/>
        <v>4.6787499999999991</v>
      </c>
      <c r="K593" s="5">
        <f t="shared" ca="1" si="106"/>
        <v>0.24624999999999986</v>
      </c>
      <c r="L593">
        <f t="shared" ca="1" si="107"/>
        <v>43117.226666666655</v>
      </c>
      <c r="M593">
        <f t="shared" ca="1" si="108"/>
        <v>43117</v>
      </c>
      <c r="N593" t="str">
        <f t="shared" ca="1" si="109"/>
        <v>1010100001101101</v>
      </c>
      <c r="O593">
        <f t="shared" ca="1" si="110"/>
        <v>101010000</v>
      </c>
    </row>
    <row r="594" spans="4:15" x14ac:dyDescent="0.25">
      <c r="D594">
        <v>592</v>
      </c>
      <c r="E594">
        <f t="shared" si="100"/>
        <v>79.2</v>
      </c>
      <c r="F594">
        <f t="shared" ca="1" si="101"/>
        <v>49.6</v>
      </c>
      <c r="G594" s="1">
        <f t="shared" si="102"/>
        <v>4.9333333333333327</v>
      </c>
      <c r="H594" s="6">
        <f t="shared" ca="1" si="103"/>
        <v>2.4666666666666659</v>
      </c>
      <c r="I594" s="5">
        <f t="shared" ca="1" si="104"/>
        <v>2.4666666666666668</v>
      </c>
      <c r="J594" s="8">
        <f t="shared" ca="1" si="105"/>
        <v>4.6866666666666656</v>
      </c>
      <c r="K594" s="5">
        <f t="shared" ca="1" si="106"/>
        <v>0.24666666666666703</v>
      </c>
      <c r="L594">
        <f t="shared" ca="1" si="107"/>
        <v>32403.911111111101</v>
      </c>
      <c r="M594">
        <f t="shared" ca="1" si="108"/>
        <v>32404</v>
      </c>
      <c r="N594" t="str">
        <f t="shared" ca="1" si="109"/>
        <v>0111111010010100</v>
      </c>
      <c r="O594">
        <f t="shared" ca="1" si="110"/>
        <v>11111101</v>
      </c>
    </row>
    <row r="595" spans="4:15" x14ac:dyDescent="0.25">
      <c r="D595">
        <v>593</v>
      </c>
      <c r="E595">
        <f t="shared" si="100"/>
        <v>79.300000000000011</v>
      </c>
      <c r="F595">
        <f t="shared" ca="1" si="101"/>
        <v>103.02000000000001</v>
      </c>
      <c r="G595" s="1">
        <f t="shared" si="102"/>
        <v>4.9416666666666673</v>
      </c>
      <c r="H595" s="6">
        <f t="shared" ca="1" si="103"/>
        <v>6.9183333333333339</v>
      </c>
      <c r="I595" s="5">
        <f t="shared" ca="1" si="104"/>
        <v>1.9766666666666666</v>
      </c>
      <c r="J595" s="8">
        <f t="shared" ca="1" si="105"/>
        <v>4.694583333333334</v>
      </c>
      <c r="K595" s="5">
        <f t="shared" ca="1" si="106"/>
        <v>0.24708333333333332</v>
      </c>
      <c r="L595">
        <f t="shared" ca="1" si="107"/>
        <v>81027.982222222228</v>
      </c>
      <c r="M595">
        <f t="shared" ca="1" si="108"/>
        <v>81028</v>
      </c>
      <c r="N595" t="str">
        <f t="shared" ca="1" si="109"/>
        <v>10011110010000100</v>
      </c>
      <c r="O595">
        <f t="shared" ca="1" si="110"/>
        <v>100111100</v>
      </c>
    </row>
    <row r="596" spans="4:15" x14ac:dyDescent="0.25">
      <c r="D596">
        <v>594</v>
      </c>
      <c r="E596">
        <f t="shared" si="100"/>
        <v>79.400000000000006</v>
      </c>
      <c r="F596">
        <f t="shared" ca="1" si="101"/>
        <v>109.10000000000001</v>
      </c>
      <c r="G596" s="1">
        <f t="shared" si="102"/>
        <v>4.95</v>
      </c>
      <c r="H596" s="6">
        <f t="shared" ca="1" si="103"/>
        <v>7.4249999999999998</v>
      </c>
      <c r="I596" s="5">
        <f t="shared" ca="1" si="104"/>
        <v>2.4749999999999996</v>
      </c>
      <c r="J596" s="8">
        <f t="shared" ca="1" si="105"/>
        <v>4.7024999999999997</v>
      </c>
      <c r="K596" s="5">
        <f t="shared" ca="1" si="106"/>
        <v>0.2475000000000005</v>
      </c>
      <c r="L596">
        <f t="shared" ca="1" si="107"/>
        <v>86562.133333333331</v>
      </c>
      <c r="M596">
        <f t="shared" ca="1" si="108"/>
        <v>86562</v>
      </c>
      <c r="N596" t="str">
        <f t="shared" ca="1" si="109"/>
        <v>10101001000100010</v>
      </c>
      <c r="O596">
        <f t="shared" ca="1" si="110"/>
        <v>101010010</v>
      </c>
    </row>
    <row r="597" spans="4:15" x14ac:dyDescent="0.25">
      <c r="D597">
        <v>595</v>
      </c>
      <c r="E597">
        <f t="shared" si="100"/>
        <v>79.5</v>
      </c>
      <c r="F597">
        <f t="shared" ca="1" si="101"/>
        <v>97.35</v>
      </c>
      <c r="G597" s="1">
        <f t="shared" si="102"/>
        <v>4.958333333333333</v>
      </c>
      <c r="H597" s="6">
        <f t="shared" ca="1" si="103"/>
        <v>6.445833333333332</v>
      </c>
      <c r="I597" s="5">
        <f t="shared" ca="1" si="104"/>
        <v>1.4874999999999989</v>
      </c>
      <c r="J597" s="8">
        <f t="shared" ca="1" si="105"/>
        <v>5.2062499999999998</v>
      </c>
      <c r="K597" s="5">
        <f t="shared" ca="1" si="106"/>
        <v>0.24791666666666679</v>
      </c>
      <c r="L597">
        <f t="shared" ca="1" si="107"/>
        <v>75867.022222222207</v>
      </c>
      <c r="M597">
        <f t="shared" ca="1" si="108"/>
        <v>75867</v>
      </c>
      <c r="N597" t="str">
        <f t="shared" ca="1" si="109"/>
        <v>10010100001011011</v>
      </c>
      <c r="O597">
        <f t="shared" ca="1" si="110"/>
        <v>100101000</v>
      </c>
    </row>
    <row r="598" spans="4:15" x14ac:dyDescent="0.25">
      <c r="D598">
        <v>596</v>
      </c>
      <c r="E598">
        <f t="shared" si="100"/>
        <v>79.599999999999994</v>
      </c>
      <c r="F598">
        <f t="shared" ca="1" si="101"/>
        <v>103.44</v>
      </c>
      <c r="G598" s="1">
        <f t="shared" si="102"/>
        <v>4.9666666666666659</v>
      </c>
      <c r="H598" s="6">
        <f t="shared" ca="1" si="103"/>
        <v>6.9533333333333323</v>
      </c>
      <c r="I598" s="5">
        <f t="shared" ca="1" si="104"/>
        <v>1.9866666666666664</v>
      </c>
      <c r="J598" s="8">
        <f t="shared" ca="1" si="105"/>
        <v>4.7183333333333328</v>
      </c>
      <c r="K598" s="5">
        <f t="shared" ca="1" si="106"/>
        <v>0.24833333333333307</v>
      </c>
      <c r="L598">
        <f t="shared" ca="1" si="107"/>
        <v>81410.275555555549</v>
      </c>
      <c r="M598">
        <f t="shared" ca="1" si="108"/>
        <v>81410</v>
      </c>
      <c r="N598" t="str">
        <f t="shared" ca="1" si="109"/>
        <v>10011111000000010</v>
      </c>
      <c r="O598">
        <f t="shared" ca="1" si="110"/>
        <v>100111110</v>
      </c>
    </row>
    <row r="599" spans="4:15" x14ac:dyDescent="0.25">
      <c r="D599">
        <v>597</v>
      </c>
      <c r="E599">
        <f t="shared" si="100"/>
        <v>79.7</v>
      </c>
      <c r="F599">
        <f t="shared" ca="1" si="101"/>
        <v>73.73</v>
      </c>
      <c r="G599" s="1">
        <f t="shared" si="102"/>
        <v>4.9749999999999996</v>
      </c>
      <c r="H599" s="6">
        <f t="shared" ca="1" si="103"/>
        <v>4.4775</v>
      </c>
      <c r="I599" s="5">
        <f t="shared" ca="1" si="104"/>
        <v>0.49749999999999961</v>
      </c>
      <c r="J599" s="8">
        <f t="shared" ca="1" si="105"/>
        <v>5.2237499999999999</v>
      </c>
      <c r="K599" s="5">
        <f t="shared" ca="1" si="106"/>
        <v>0.24875000000000025</v>
      </c>
      <c r="L599">
        <f t="shared" ca="1" si="107"/>
        <v>54367.573333333334</v>
      </c>
      <c r="M599">
        <f t="shared" ca="1" si="108"/>
        <v>54368</v>
      </c>
      <c r="N599" t="str">
        <f t="shared" ca="1" si="109"/>
        <v>1101010001100000</v>
      </c>
      <c r="O599">
        <f t="shared" ca="1" si="110"/>
        <v>110101000</v>
      </c>
    </row>
    <row r="600" spans="4:15" x14ac:dyDescent="0.25">
      <c r="D600">
        <v>598</v>
      </c>
      <c r="E600">
        <f t="shared" si="100"/>
        <v>79.800000000000011</v>
      </c>
      <c r="F600">
        <f t="shared" ca="1" si="101"/>
        <v>97.740000000000009</v>
      </c>
      <c r="G600" s="1">
        <f t="shared" si="102"/>
        <v>4.9833333333333334</v>
      </c>
      <c r="H600" s="6">
        <f t="shared" ca="1" si="103"/>
        <v>6.4783333333333326</v>
      </c>
      <c r="I600" s="5">
        <f t="shared" ca="1" si="104"/>
        <v>1.4949999999999992</v>
      </c>
      <c r="J600" s="8">
        <f t="shared" ca="1" si="105"/>
        <v>4.7341666666666669</v>
      </c>
      <c r="K600" s="5">
        <f t="shared" ca="1" si="106"/>
        <v>0.24916666666666654</v>
      </c>
      <c r="L600">
        <f t="shared" ca="1" si="107"/>
        <v>76222.008888888886</v>
      </c>
      <c r="M600">
        <f t="shared" ca="1" si="108"/>
        <v>76222</v>
      </c>
      <c r="N600" t="str">
        <f t="shared" ca="1" si="109"/>
        <v>10010100110111110</v>
      </c>
      <c r="O600">
        <f t="shared" ca="1" si="110"/>
        <v>100101001</v>
      </c>
    </row>
    <row r="601" spans="4:15" x14ac:dyDescent="0.25">
      <c r="D601">
        <v>599</v>
      </c>
      <c r="E601">
        <f t="shared" si="100"/>
        <v>79.900000000000006</v>
      </c>
      <c r="F601">
        <f t="shared" ca="1" si="101"/>
        <v>67.92</v>
      </c>
      <c r="G601" s="1">
        <f t="shared" si="102"/>
        <v>4.9916666666666663</v>
      </c>
      <c r="H601" s="6">
        <f t="shared" ca="1" si="103"/>
        <v>3.9933333333333332</v>
      </c>
      <c r="I601" s="5">
        <f t="shared" ca="1" si="104"/>
        <v>0.99833333333333307</v>
      </c>
      <c r="J601" s="8">
        <f t="shared" ca="1" si="105"/>
        <v>4.7420833333333325</v>
      </c>
      <c r="K601" s="5">
        <f t="shared" ca="1" si="106"/>
        <v>0.24958333333333371</v>
      </c>
      <c r="L601">
        <f t="shared" ca="1" si="107"/>
        <v>49079.182222222218</v>
      </c>
      <c r="M601">
        <f t="shared" ca="1" si="108"/>
        <v>49079</v>
      </c>
      <c r="N601" t="str">
        <f t="shared" ca="1" si="109"/>
        <v>1011111110110111</v>
      </c>
      <c r="O601">
        <f t="shared" ca="1" si="110"/>
        <v>101111111</v>
      </c>
    </row>
    <row r="602" spans="4:15" x14ac:dyDescent="0.25">
      <c r="D602">
        <v>600</v>
      </c>
      <c r="E602">
        <f t="shared" si="100"/>
        <v>80</v>
      </c>
      <c r="F602">
        <f t="shared" ca="1" si="101"/>
        <v>104</v>
      </c>
      <c r="G602" s="1">
        <f t="shared" si="102"/>
        <v>4.9999999999999991</v>
      </c>
      <c r="H602" s="6">
        <f t="shared" ca="1" si="103"/>
        <v>6.9999999999999991</v>
      </c>
      <c r="I602" s="5">
        <f t="shared" ca="1" si="104"/>
        <v>2</v>
      </c>
      <c r="J602" s="8">
        <f t="shared" ca="1" si="105"/>
        <v>4.7499999999999991</v>
      </c>
      <c r="K602" s="5">
        <f t="shared" ca="1" si="106"/>
        <v>0.25</v>
      </c>
      <c r="L602">
        <f t="shared" ca="1" si="107"/>
        <v>81919.999999999985</v>
      </c>
      <c r="M602">
        <f t="shared" ca="1" si="108"/>
        <v>81920</v>
      </c>
      <c r="N602" t="str">
        <f t="shared" ca="1" si="109"/>
        <v>10100000000000000</v>
      </c>
      <c r="O602">
        <f t="shared" ca="1" si="110"/>
        <v>101000000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AD1D-1583-4B64-94F2-80C5B939A333}">
  <dimension ref="A1:Y602"/>
  <sheetViews>
    <sheetView topLeftCell="F1" workbookViewId="0">
      <pane ySplit="1" topLeftCell="A2" activePane="bottomLeft" state="frozen"/>
      <selection pane="bottomLeft" activeCell="R2" sqref="R2"/>
    </sheetView>
  </sheetViews>
  <sheetFormatPr defaultRowHeight="15" x14ac:dyDescent="0.25"/>
  <cols>
    <col min="1" max="1" width="33.28515625" customWidth="1"/>
    <col min="2" max="2" width="9.28515625" customWidth="1"/>
    <col min="3" max="3" width="20" customWidth="1"/>
    <col min="8" max="8" width="12.85546875" customWidth="1"/>
    <col min="9" max="9" width="11" customWidth="1"/>
    <col min="10" max="10" width="9.5703125" bestFit="1" customWidth="1"/>
    <col min="11" max="11" width="13.140625" style="11" bestFit="1" customWidth="1"/>
    <col min="12" max="12" width="10.7109375" customWidth="1"/>
    <col min="13" max="13" width="9.140625" style="14"/>
    <col min="20" max="20" width="16.140625" customWidth="1"/>
    <col min="22" max="23" width="17.5703125" customWidth="1"/>
    <col min="24" max="24" width="15.28515625" customWidth="1"/>
  </cols>
  <sheetData>
    <row r="1" spans="1:25" x14ac:dyDescent="0.25"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s="11" t="s">
        <v>59</v>
      </c>
      <c r="L1" t="s">
        <v>60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8</v>
      </c>
      <c r="V1" t="s">
        <v>76</v>
      </c>
      <c r="W1" t="s">
        <v>78</v>
      </c>
      <c r="X1" t="s">
        <v>77</v>
      </c>
    </row>
    <row r="2" spans="1:25" x14ac:dyDescent="0.25">
      <c r="A2" t="s">
        <v>51</v>
      </c>
      <c r="B2" s="7">
        <v>-0.05</v>
      </c>
      <c r="C2" s="7">
        <v>0.05</v>
      </c>
      <c r="E2" cm="1">
        <f t="array" ref="E2:E602">_xlfn.SEQUENCE(601,1,0,1)</f>
        <v>0</v>
      </c>
      <c r="F2">
        <f>0.1*E2+20</f>
        <v>20</v>
      </c>
      <c r="G2">
        <f ca="1">F2+(RANDBETWEEN(-10,10)/100)*0.1</f>
        <v>20.007000000000001</v>
      </c>
      <c r="H2" s="5">
        <f ca="1">ABS(F2-G2)</f>
        <v>7.0000000000014495E-3</v>
      </c>
      <c r="I2" s="5">
        <f ca="1">ABS(F2-G2)/F2</f>
        <v>3.5000000000007248E-4</v>
      </c>
      <c r="J2" s="10">
        <f>1/12*F2-5/3</f>
        <v>0</v>
      </c>
      <c r="K2" s="12">
        <f ca="1">(1/12*G2-5/3) + J2*RANDBETWEEN($B$2,$C$2)</f>
        <v>5.8333333333338011E-4</v>
      </c>
      <c r="L2" s="5">
        <f ca="1">IF(J2=0, ABS(J2-K2), ABS(J2-K2)/J2)</f>
        <v>5.8333333333338011E-4</v>
      </c>
      <c r="N2">
        <f ca="1">G2-$B$29</f>
        <v>-4.9929999999999986</v>
      </c>
      <c r="O2">
        <f ca="1">0.001 + 0.0000015*N2</f>
        <v>9.925105E-4</v>
      </c>
      <c r="P2">
        <f ca="1">1 + 0.000025*N2</f>
        <v>0.999875175</v>
      </c>
      <c r="Q2">
        <f ca="1">(K2-O2)*P2</f>
        <v>-4.0912609112679074E-4</v>
      </c>
      <c r="R2">
        <f ca="1">Q2*32768/6.144</f>
        <v>-2.182005819342884</v>
      </c>
      <c r="S2">
        <f ca="1">4*SIN(PI()*R2/32768)</f>
        <v>-8.3678874537820044E-4</v>
      </c>
      <c r="T2">
        <f ca="1">RANDBETWEEN(-1*$B$15,1*$B$15)</f>
        <v>2</v>
      </c>
      <c r="U2">
        <f ca="1">ROUND(R2+S2+T2,0)</f>
        <v>0</v>
      </c>
      <c r="V2">
        <f ca="1">U2*6.144/32768</f>
        <v>0</v>
      </c>
      <c r="W2" s="3" t="e">
        <f ca="1">ABS(J2-V2)/J2</f>
        <v>#DIV/0!</v>
      </c>
      <c r="X2">
        <f ca="1">(U2*6.144/32768 -O2)/P2</f>
        <v>-9.9263440558967778E-4</v>
      </c>
      <c r="Y2" s="4" t="e">
        <f ca="1">ABS(J2-X2)/J2</f>
        <v>#DIV/0!</v>
      </c>
    </row>
    <row r="3" spans="1:25" x14ac:dyDescent="0.25">
      <c r="A3" t="s">
        <v>61</v>
      </c>
      <c r="B3" s="5">
        <f ca="1">MAX(L:L)</f>
        <v>7.0000000000005863E-2</v>
      </c>
      <c r="E3">
        <v>1</v>
      </c>
      <c r="F3">
        <f t="shared" ref="F3:F66" si="0">0.1*E3+20</f>
        <v>20.100000000000001</v>
      </c>
      <c r="G3">
        <f t="shared" ref="G3:G66" ca="1" si="1">F3+(RANDBETWEEN(-10,10)/100)*0.1</f>
        <v>20.107000000000003</v>
      </c>
      <c r="H3" s="5">
        <f t="shared" ref="H3:H66" ca="1" si="2">ABS(F3-G3)</f>
        <v>7.0000000000014495E-3</v>
      </c>
      <c r="I3" s="5">
        <f t="shared" ref="I3:I66" ca="1" si="3">ABS(F3-G3)/F3</f>
        <v>3.4825870646773376E-4</v>
      </c>
      <c r="J3" s="10">
        <f t="shared" ref="J3:J66" si="4">1/12*F3-5/3</f>
        <v>8.3333333333333037E-3</v>
      </c>
      <c r="K3" s="12">
        <f t="shared" ref="K3:K66" ca="1" si="5">(1/12*G3-5/3) + J3*RANDBETWEEN($B$2,$C$2)</f>
        <v>8.9166666666666838E-3</v>
      </c>
      <c r="L3" s="5">
        <f t="shared" ref="L3:L66" ca="1" si="6">IF(J3=0, ABS(J3-K3), ABS(J3-K3)/J3)</f>
        <v>7.0000000000005863E-2</v>
      </c>
      <c r="N3">
        <f t="shared" ref="N3:N66" ca="1" si="7">G3-$B$29</f>
        <v>-4.8929999999999971</v>
      </c>
      <c r="O3">
        <f t="shared" ref="O3:O66" ca="1" si="8">0.001 + 0.0000015*N3</f>
        <v>9.9266049999999998E-4</v>
      </c>
      <c r="P3">
        <f t="shared" ref="P3:P66" ca="1" si="9">1 + 0.000025*N3</f>
        <v>0.99987767500000002</v>
      </c>
      <c r="Q3">
        <f t="shared" ref="Q3:Q66" ca="1" si="10">(K3-O3)*P3</f>
        <v>7.9230368626123475E-3</v>
      </c>
      <c r="R3">
        <f t="shared" ref="R3:R66" ca="1" si="11">Q3*32768/6.144</f>
        <v>42.256196600599189</v>
      </c>
      <c r="S3">
        <f ca="1">4*SIN(PI()*R3/32768)</f>
        <v>1.6205004110479388E-2</v>
      </c>
      <c r="T3">
        <f t="shared" ref="T3:T66" ca="1" si="12">RANDBETWEEN(-1*$B$15,1*$B$15)</f>
        <v>3</v>
      </c>
      <c r="U3">
        <f t="shared" ref="U3:U66" ca="1" si="13">ROUND(R3+S3+T3,0)</f>
        <v>45</v>
      </c>
      <c r="V3">
        <f t="shared" ref="V3:V66" ca="1" si="14">U3*6.144/32768</f>
        <v>8.4375000000000006E-3</v>
      </c>
      <c r="W3" s="3">
        <f ca="1">ABS(J3-V3)/J3</f>
        <v>1.2500000000003664E-2</v>
      </c>
      <c r="X3">
        <f t="shared" ref="X3:X66" ca="1" si="15">(U3*6.144/32768 -O3)/P3</f>
        <v>7.4457503014056202E-3</v>
      </c>
      <c r="Y3" s="4">
        <f t="shared" ref="Y3:Y5" ca="1" si="16">ABS(J3-X3)/J3</f>
        <v>0.1065099638313224</v>
      </c>
    </row>
    <row r="4" spans="1:25" x14ac:dyDescent="0.25">
      <c r="A4" t="s">
        <v>62</v>
      </c>
      <c r="B4" s="5">
        <f ca="1">MIN(L:L)</f>
        <v>0</v>
      </c>
      <c r="E4">
        <v>2</v>
      </c>
      <c r="F4">
        <f t="shared" si="0"/>
        <v>20.2</v>
      </c>
      <c r="G4">
        <f t="shared" ca="1" si="1"/>
        <v>20.192</v>
      </c>
      <c r="H4" s="5">
        <f t="shared" ca="1" si="2"/>
        <v>7.9999999999991189E-3</v>
      </c>
      <c r="I4" s="5">
        <f t="shared" ca="1" si="3"/>
        <v>3.9603960396035243E-4</v>
      </c>
      <c r="J4" s="10">
        <f t="shared" si="4"/>
        <v>1.6666666666666385E-2</v>
      </c>
      <c r="K4" s="12">
        <f t="shared" ca="1" si="5"/>
        <v>1.5999999999999792E-2</v>
      </c>
      <c r="L4" s="5">
        <f t="shared" ca="1" si="6"/>
        <v>3.9999999999996268E-2</v>
      </c>
      <c r="N4">
        <f t="shared" ca="1" si="7"/>
        <v>-4.8079999999999998</v>
      </c>
      <c r="O4">
        <f t="shared" ca="1" si="8"/>
        <v>9.9278800000000009E-4</v>
      </c>
      <c r="P4">
        <f t="shared" ca="1" si="9"/>
        <v>0.99987979999999999</v>
      </c>
      <c r="Q4">
        <f t="shared" ca="1" si="10"/>
        <v>1.5005408133117392E-2</v>
      </c>
      <c r="R4">
        <f t="shared" ca="1" si="11"/>
        <v>80.028843376626085</v>
      </c>
      <c r="S4">
        <f t="shared" ref="S4:S66" ca="1" si="17">4*SIN(PI()*R4/32768)</f>
        <v>3.0690375929055408E-2</v>
      </c>
      <c r="T4">
        <f t="shared" ca="1" si="12"/>
        <v>2</v>
      </c>
      <c r="U4">
        <f t="shared" ca="1" si="13"/>
        <v>82</v>
      </c>
      <c r="V4">
        <f t="shared" ca="1" si="14"/>
        <v>1.5375E-2</v>
      </c>
      <c r="W4" s="3">
        <f t="shared" ref="W4" ca="1" si="18">ABS(J4-V4)/J4</f>
        <v>7.7499999999984442E-2</v>
      </c>
      <c r="X4">
        <f t="shared" ca="1" si="15"/>
        <v>1.4383940949702155E-2</v>
      </c>
      <c r="Y4" s="4">
        <f t="shared" ca="1" si="16"/>
        <v>0.13696354301785613</v>
      </c>
    </row>
    <row r="5" spans="1:25" x14ac:dyDescent="0.25">
      <c r="E5">
        <v>3</v>
      </c>
      <c r="F5">
        <f t="shared" si="0"/>
        <v>20.3</v>
      </c>
      <c r="G5">
        <f t="shared" ca="1" si="1"/>
        <v>20.295000000000002</v>
      </c>
      <c r="H5" s="5">
        <f t="shared" ca="1" si="2"/>
        <v>4.9999999999990052E-3</v>
      </c>
      <c r="I5" s="5">
        <f t="shared" ca="1" si="3"/>
        <v>2.463054187191628E-4</v>
      </c>
      <c r="J5" s="10">
        <f t="shared" si="4"/>
        <v>2.4999999999999911E-2</v>
      </c>
      <c r="K5" s="12">
        <f t="shared" ca="1" si="5"/>
        <v>2.4583333333333401E-2</v>
      </c>
      <c r="L5" s="5">
        <f t="shared" ca="1" si="6"/>
        <v>1.6666666666660449E-2</v>
      </c>
      <c r="N5">
        <f t="shared" ca="1" si="7"/>
        <v>-4.7049999999999983</v>
      </c>
      <c r="O5">
        <f t="shared" ca="1" si="8"/>
        <v>9.9294250000000008E-4</v>
      </c>
      <c r="P5">
        <f t="shared" ca="1" si="9"/>
        <v>0.99988237499999999</v>
      </c>
      <c r="Q5">
        <f t="shared" ca="1" si="10"/>
        <v>2.3587616013611631E-2</v>
      </c>
      <c r="R5">
        <f t="shared" ca="1" si="11"/>
        <v>125.80061873926203</v>
      </c>
      <c r="S5">
        <f t="shared" ca="1" si="17"/>
        <v>4.8242763418459157E-2</v>
      </c>
      <c r="T5">
        <f t="shared" ca="1" si="12"/>
        <v>2</v>
      </c>
      <c r="U5">
        <f t="shared" ca="1" si="13"/>
        <v>128</v>
      </c>
      <c r="V5">
        <f t="shared" ca="1" si="14"/>
        <v>2.4E-2</v>
      </c>
      <c r="X5">
        <f t="shared" ca="1" si="15"/>
        <v>2.3009764023493265E-2</v>
      </c>
      <c r="Y5" s="4">
        <f t="shared" ca="1" si="16"/>
        <v>7.9609439060266129E-2</v>
      </c>
    </row>
    <row r="6" spans="1:25" x14ac:dyDescent="0.25">
      <c r="E6">
        <v>4</v>
      </c>
      <c r="F6">
        <f t="shared" si="0"/>
        <v>20.399999999999999</v>
      </c>
      <c r="G6">
        <f t="shared" ca="1" si="1"/>
        <v>20.395</v>
      </c>
      <c r="H6" s="5">
        <f t="shared" ca="1" si="2"/>
        <v>4.9999999999990052E-3</v>
      </c>
      <c r="I6" s="5">
        <f t="shared" ca="1" si="3"/>
        <v>2.4509803921563754E-4</v>
      </c>
      <c r="J6" s="10">
        <f t="shared" si="4"/>
        <v>3.3333333333332993E-2</v>
      </c>
      <c r="K6" s="12">
        <f t="shared" ca="1" si="5"/>
        <v>3.2916666666666483E-2</v>
      </c>
      <c r="L6" s="5">
        <f t="shared" ca="1" si="6"/>
        <v>1.2499999999995421E-2</v>
      </c>
      <c r="N6">
        <f t="shared" ca="1" si="7"/>
        <v>-4.6050000000000004</v>
      </c>
      <c r="O6">
        <f t="shared" ca="1" si="8"/>
        <v>9.9309250000000006E-4</v>
      </c>
      <c r="P6">
        <f t="shared" ca="1" si="9"/>
        <v>0.99988487500000001</v>
      </c>
      <c r="Q6">
        <f t="shared" ca="1" si="10"/>
        <v>3.1919898965190548E-2</v>
      </c>
      <c r="R6">
        <f t="shared" ca="1" si="11"/>
        <v>170.23946114768293</v>
      </c>
      <c r="S6">
        <f t="shared" ca="1" si="17"/>
        <v>6.528311711724355E-2</v>
      </c>
      <c r="T6">
        <f t="shared" ca="1" si="12"/>
        <v>3</v>
      </c>
      <c r="U6">
        <f t="shared" ca="1" si="13"/>
        <v>173</v>
      </c>
      <c r="V6">
        <f t="shared" ca="1" si="14"/>
        <v>3.2437500000000001E-2</v>
      </c>
      <c r="X6">
        <f t="shared" ca="1" si="15"/>
        <v>3.1448027954218229E-2</v>
      </c>
    </row>
    <row r="7" spans="1:25" x14ac:dyDescent="0.25">
      <c r="E7">
        <v>5</v>
      </c>
      <c r="F7">
        <f t="shared" si="0"/>
        <v>20.5</v>
      </c>
      <c r="G7">
        <f t="shared" ca="1" si="1"/>
        <v>20.498000000000001</v>
      </c>
      <c r="H7" s="5">
        <f t="shared" ca="1" si="2"/>
        <v>1.9999999999988916E-3</v>
      </c>
      <c r="I7" s="5">
        <f t="shared" ca="1" si="3"/>
        <v>9.7560975609702028E-5</v>
      </c>
      <c r="J7" s="10">
        <f t="shared" si="4"/>
        <v>4.1666666666666519E-2</v>
      </c>
      <c r="K7" s="12">
        <f t="shared" ca="1" si="5"/>
        <v>4.149999999999987E-2</v>
      </c>
      <c r="L7" s="5">
        <f t="shared" ca="1" si="6"/>
        <v>3.9999999999995733E-3</v>
      </c>
      <c r="N7">
        <f t="shared" ca="1" si="7"/>
        <v>-4.5019999999999989</v>
      </c>
      <c r="O7">
        <f t="shared" ca="1" si="8"/>
        <v>9.9324700000000005E-4</v>
      </c>
      <c r="P7">
        <f t="shared" ca="1" si="9"/>
        <v>0.99988745000000001</v>
      </c>
      <c r="Q7">
        <f t="shared" ca="1" si="10"/>
        <v>4.0502193964949716E-2</v>
      </c>
      <c r="R7">
        <f t="shared" ca="1" si="11"/>
        <v>216.01170114639848</v>
      </c>
      <c r="S7">
        <f t="shared" ca="1" si="17"/>
        <v>8.2833528388287891E-2</v>
      </c>
      <c r="T7">
        <f t="shared" ca="1" si="12"/>
        <v>-3</v>
      </c>
      <c r="U7">
        <f t="shared" ca="1" si="13"/>
        <v>213</v>
      </c>
      <c r="V7">
        <f t="shared" ca="1" si="14"/>
        <v>3.9937500000000001E-2</v>
      </c>
      <c r="X7">
        <f t="shared" ca="1" si="15"/>
        <v>3.8948636669057103E-2</v>
      </c>
    </row>
    <row r="8" spans="1:25" x14ac:dyDescent="0.25">
      <c r="A8" s="13" t="s">
        <v>63</v>
      </c>
      <c r="B8" s="13"/>
      <c r="C8" s="13"/>
      <c r="D8" s="13"/>
      <c r="E8">
        <v>6</v>
      </c>
      <c r="F8">
        <f t="shared" si="0"/>
        <v>20.6</v>
      </c>
      <c r="G8">
        <f t="shared" ca="1" si="1"/>
        <v>20.599</v>
      </c>
      <c r="H8" s="5">
        <f t="shared" ca="1" si="2"/>
        <v>1.0000000000012221E-3</v>
      </c>
      <c r="I8" s="5">
        <f t="shared" ca="1" si="3"/>
        <v>4.8543689320447672E-5</v>
      </c>
      <c r="J8" s="10">
        <f t="shared" si="4"/>
        <v>5.0000000000000044E-2</v>
      </c>
      <c r="K8" s="12">
        <f t="shared" ca="1" si="5"/>
        <v>4.9916666666666609E-2</v>
      </c>
      <c r="L8" s="5">
        <f t="shared" ca="1" si="6"/>
        <v>1.666666666668702E-3</v>
      </c>
      <c r="N8">
        <f t="shared" ca="1" si="7"/>
        <v>-4.4009999999999998</v>
      </c>
      <c r="O8">
        <f t="shared" ca="1" si="8"/>
        <v>9.9339850000000011E-4</v>
      </c>
      <c r="P8">
        <f t="shared" ca="1" si="9"/>
        <v>0.99988997499999999</v>
      </c>
      <c r="Q8">
        <f t="shared" ca="1" si="10"/>
        <v>4.8917885384086569E-2</v>
      </c>
      <c r="R8">
        <f t="shared" ca="1" si="11"/>
        <v>260.89538871512838</v>
      </c>
      <c r="S8">
        <f t="shared" ca="1" si="17"/>
        <v>0.10004169584529483</v>
      </c>
      <c r="T8">
        <f t="shared" ca="1" si="12"/>
        <v>-1</v>
      </c>
      <c r="U8">
        <f t="shared" ca="1" si="13"/>
        <v>260</v>
      </c>
      <c r="V8">
        <f t="shared" ca="1" si="14"/>
        <v>4.8750000000000002E-2</v>
      </c>
      <c r="X8">
        <f t="shared" ca="1" si="15"/>
        <v>4.7761856498261222E-2</v>
      </c>
    </row>
    <row r="9" spans="1:25" x14ac:dyDescent="0.25">
      <c r="A9" t="s">
        <v>7</v>
      </c>
      <c r="B9">
        <v>16</v>
      </c>
      <c r="C9" s="5"/>
      <c r="E9">
        <v>7</v>
      </c>
      <c r="F9">
        <f t="shared" si="0"/>
        <v>20.7</v>
      </c>
      <c r="G9">
        <f t="shared" ca="1" si="1"/>
        <v>20.695999999999998</v>
      </c>
      <c r="H9" s="5">
        <f t="shared" ca="1" si="2"/>
        <v>4.0000000000013358E-3</v>
      </c>
      <c r="I9" s="5">
        <f t="shared" ca="1" si="3"/>
        <v>1.9323671497590994E-4</v>
      </c>
      <c r="J9" s="10">
        <f t="shared" si="4"/>
        <v>5.8333333333333126E-2</v>
      </c>
      <c r="K9" s="12">
        <f t="shared" ca="1" si="5"/>
        <v>5.7999999999999607E-2</v>
      </c>
      <c r="L9" s="5">
        <f t="shared" ca="1" si="6"/>
        <v>5.7142857142889114E-3</v>
      </c>
      <c r="N9">
        <f t="shared" ca="1" si="7"/>
        <v>-4.304000000000002</v>
      </c>
      <c r="O9">
        <f t="shared" ca="1" si="8"/>
        <v>9.9354400000000007E-4</v>
      </c>
      <c r="P9">
        <f t="shared" ca="1" si="9"/>
        <v>0.99989240000000001</v>
      </c>
      <c r="Q9">
        <f t="shared" ca="1" si="10"/>
        <v>5.7000322105334011E-2</v>
      </c>
      <c r="R9">
        <f t="shared" ca="1" si="11"/>
        <v>304.00171789511472</v>
      </c>
      <c r="S9">
        <f t="shared" ca="1" si="17"/>
        <v>0.11656669358150182</v>
      </c>
      <c r="T9">
        <f t="shared" ca="1" si="12"/>
        <v>-2</v>
      </c>
      <c r="U9">
        <f t="shared" ca="1" si="13"/>
        <v>302</v>
      </c>
      <c r="V9">
        <f t="shared" ca="1" si="14"/>
        <v>5.6625000000000002E-2</v>
      </c>
      <c r="X9">
        <f t="shared" ca="1" si="15"/>
        <v>5.5637442588822562E-2</v>
      </c>
    </row>
    <row r="10" spans="1:25" x14ac:dyDescent="0.25">
      <c r="A10" t="s">
        <v>12</v>
      </c>
      <c r="B10">
        <v>5</v>
      </c>
      <c r="C10" s="9">
        <v>5.5</v>
      </c>
      <c r="E10">
        <v>8</v>
      </c>
      <c r="F10">
        <f t="shared" si="0"/>
        <v>20.8</v>
      </c>
      <c r="G10">
        <f t="shared" ca="1" si="1"/>
        <v>20.798999999999999</v>
      </c>
      <c r="H10" s="5">
        <f t="shared" ca="1" si="2"/>
        <v>1.0000000000012221E-3</v>
      </c>
      <c r="I10" s="5">
        <f t="shared" ca="1" si="3"/>
        <v>4.8076923076981834E-5</v>
      </c>
      <c r="J10" s="10">
        <f t="shared" si="4"/>
        <v>6.6666666666666652E-2</v>
      </c>
      <c r="K10" s="12">
        <f t="shared" ca="1" si="5"/>
        <v>6.6583333333333217E-2</v>
      </c>
      <c r="L10" s="5">
        <f t="shared" ca="1" si="6"/>
        <v>1.2500000000015279E-3</v>
      </c>
      <c r="N10">
        <f t="shared" ca="1" si="7"/>
        <v>-4.2010000000000005</v>
      </c>
      <c r="O10">
        <f t="shared" ca="1" si="8"/>
        <v>9.9369850000000006E-4</v>
      </c>
      <c r="P10">
        <f t="shared" ca="1" si="9"/>
        <v>0.99989497500000002</v>
      </c>
      <c r="Q10">
        <f t="shared" ca="1" si="10"/>
        <v>6.5582746281934848E-2</v>
      </c>
      <c r="R10">
        <f t="shared" ca="1" si="11"/>
        <v>349.77464683698582</v>
      </c>
      <c r="S10">
        <f t="shared" ca="1" si="17"/>
        <v>0.13411175801968278</v>
      </c>
      <c r="T10">
        <f t="shared" ca="1" si="12"/>
        <v>-3</v>
      </c>
      <c r="U10">
        <f t="shared" ca="1" si="13"/>
        <v>347</v>
      </c>
      <c r="V10">
        <f t="shared" ca="1" si="14"/>
        <v>6.5062499999999995E-2</v>
      </c>
      <c r="X10">
        <f t="shared" ca="1" si="15"/>
        <v>6.4075531032646696E-2</v>
      </c>
    </row>
    <row r="11" spans="1:25" x14ac:dyDescent="0.25">
      <c r="A11" t="s">
        <v>13</v>
      </c>
      <c r="B11">
        <v>0</v>
      </c>
      <c r="C11" s="5"/>
      <c r="E11">
        <v>9</v>
      </c>
      <c r="F11">
        <f t="shared" si="0"/>
        <v>20.9</v>
      </c>
      <c r="G11">
        <f t="shared" ca="1" si="1"/>
        <v>20.907</v>
      </c>
      <c r="H11" s="5">
        <f t="shared" ca="1" si="2"/>
        <v>7.0000000000014495E-3</v>
      </c>
      <c r="I11" s="5">
        <f t="shared" ca="1" si="3"/>
        <v>3.3492822966514114E-4</v>
      </c>
      <c r="J11" s="10">
        <f t="shared" si="4"/>
        <v>7.4999999999999734E-2</v>
      </c>
      <c r="K11" s="12">
        <f t="shared" ca="1" si="5"/>
        <v>7.5583333333333114E-2</v>
      </c>
      <c r="L11" s="5">
        <f t="shared" ca="1" si="6"/>
        <v>7.7777777777784289E-3</v>
      </c>
      <c r="N11">
        <f t="shared" ca="1" si="7"/>
        <v>-4.093</v>
      </c>
      <c r="O11">
        <f t="shared" ca="1" si="8"/>
        <v>9.9386050000000001E-4</v>
      </c>
      <c r="P11">
        <f t="shared" ca="1" si="9"/>
        <v>0.99989767500000004</v>
      </c>
      <c r="Q11">
        <f t="shared" ca="1" si="10"/>
        <v>7.4581840465525448E-2</v>
      </c>
      <c r="R11">
        <f t="shared" ca="1" si="11"/>
        <v>397.76981581613569</v>
      </c>
      <c r="S11">
        <f t="shared" ca="1" si="17"/>
        <v>0.15250584190808467</v>
      </c>
      <c r="T11">
        <f t="shared" ca="1" si="12"/>
        <v>2</v>
      </c>
      <c r="U11">
        <f t="shared" ca="1" si="13"/>
        <v>400</v>
      </c>
      <c r="V11">
        <f t="shared" ca="1" si="14"/>
        <v>7.4999999999999997E-2</v>
      </c>
      <c r="X11">
        <f t="shared" ca="1" si="15"/>
        <v>7.4013712953177935E-2</v>
      </c>
    </row>
    <row r="12" spans="1:25" x14ac:dyDescent="0.25">
      <c r="A12" t="s">
        <v>23</v>
      </c>
      <c r="B12">
        <v>16</v>
      </c>
      <c r="C12" t="s">
        <v>22</v>
      </c>
      <c r="E12">
        <v>10</v>
      </c>
      <c r="F12">
        <f t="shared" si="0"/>
        <v>21</v>
      </c>
      <c r="G12">
        <f t="shared" ca="1" si="1"/>
        <v>21.004999999999999</v>
      </c>
      <c r="H12" s="5">
        <f t="shared" ca="1" si="2"/>
        <v>4.9999999999990052E-3</v>
      </c>
      <c r="I12" s="5">
        <f t="shared" ca="1" si="3"/>
        <v>2.3809523809519072E-4</v>
      </c>
      <c r="J12" s="10">
        <f t="shared" si="4"/>
        <v>8.3333333333333259E-2</v>
      </c>
      <c r="K12" s="12">
        <f t="shared" ca="1" si="5"/>
        <v>8.3749999999999769E-2</v>
      </c>
      <c r="L12" s="5">
        <f t="shared" ca="1" si="6"/>
        <v>4.9999999999981214E-3</v>
      </c>
      <c r="N12">
        <f t="shared" ca="1" si="7"/>
        <v>-3.995000000000001</v>
      </c>
      <c r="O12">
        <f t="shared" ca="1" si="8"/>
        <v>9.9400750000000005E-4</v>
      </c>
      <c r="P12">
        <f t="shared" ca="1" si="9"/>
        <v>0.99990012500000003</v>
      </c>
      <c r="Q12">
        <f t="shared" ca="1" si="10"/>
        <v>8.2747727245248828E-2</v>
      </c>
      <c r="R12">
        <f t="shared" ca="1" si="11"/>
        <v>441.3212119746604</v>
      </c>
      <c r="S12">
        <f t="shared" ca="1" si="17"/>
        <v>0.1691940717753786</v>
      </c>
      <c r="T12">
        <f t="shared" ca="1" si="12"/>
        <v>-2</v>
      </c>
      <c r="U12">
        <f t="shared" ca="1" si="13"/>
        <v>439</v>
      </c>
      <c r="V12">
        <f t="shared" ca="1" si="14"/>
        <v>8.2312499999999997E-2</v>
      </c>
      <c r="X12">
        <f t="shared" ca="1" si="15"/>
        <v>8.1326614995672689E-2</v>
      </c>
    </row>
    <row r="13" spans="1:25" x14ac:dyDescent="0.25">
      <c r="A13" t="s">
        <v>14</v>
      </c>
      <c r="B13">
        <v>6.1440000000000001</v>
      </c>
      <c r="C13">
        <v>0</v>
      </c>
      <c r="D13">
        <f>B13*((2^15-1)/(2^15))</f>
        <v>6.1438125000000001</v>
      </c>
      <c r="E13">
        <v>11</v>
      </c>
      <c r="F13">
        <f t="shared" si="0"/>
        <v>21.1</v>
      </c>
      <c r="G13">
        <f t="shared" ca="1" si="1"/>
        <v>21.091000000000001</v>
      </c>
      <c r="H13" s="5">
        <f t="shared" ca="1" si="2"/>
        <v>9.0000000000003411E-3</v>
      </c>
      <c r="I13" s="5">
        <f t="shared" ca="1" si="3"/>
        <v>4.2654028436020573E-4</v>
      </c>
      <c r="J13" s="10">
        <f t="shared" si="4"/>
        <v>9.1666666666666563E-2</v>
      </c>
      <c r="K13" s="12">
        <f t="shared" ca="1" si="5"/>
        <v>9.0916666666666535E-2</v>
      </c>
      <c r="L13" s="5">
        <f t="shared" ca="1" si="6"/>
        <v>8.1818181818185017E-3</v>
      </c>
      <c r="N13">
        <f t="shared" ca="1" si="7"/>
        <v>-3.9089999999999989</v>
      </c>
      <c r="O13">
        <f t="shared" ca="1" si="8"/>
        <v>9.9413650000000002E-4</v>
      </c>
      <c r="P13">
        <f t="shared" ca="1" si="9"/>
        <v>0.99990227499999995</v>
      </c>
      <c r="Q13">
        <f t="shared" ca="1" si="10"/>
        <v>8.9913742487405982E-2</v>
      </c>
      <c r="R13">
        <f t="shared" ca="1" si="11"/>
        <v>479.53995993283189</v>
      </c>
      <c r="S13">
        <f t="shared" ca="1" si="17"/>
        <v>0.18383649196895782</v>
      </c>
      <c r="T13">
        <f t="shared" ca="1" si="12"/>
        <v>1</v>
      </c>
      <c r="U13">
        <f t="shared" ca="1" si="13"/>
        <v>481</v>
      </c>
      <c r="V13">
        <f t="shared" ca="1" si="14"/>
        <v>9.0187500000000004E-2</v>
      </c>
      <c r="X13">
        <f t="shared" ca="1" si="15"/>
        <v>8.9202080773343573E-2</v>
      </c>
    </row>
    <row r="14" spans="1:25" x14ac:dyDescent="0.25">
      <c r="A14" t="s">
        <v>15</v>
      </c>
      <c r="B14">
        <v>128</v>
      </c>
      <c r="C14" t="s">
        <v>21</v>
      </c>
      <c r="E14">
        <v>12</v>
      </c>
      <c r="F14">
        <f t="shared" si="0"/>
        <v>21.2</v>
      </c>
      <c r="G14">
        <f t="shared" ca="1" si="1"/>
        <v>21.204000000000001</v>
      </c>
      <c r="H14" s="5">
        <f t="shared" ca="1" si="2"/>
        <v>4.0000000000013358E-3</v>
      </c>
      <c r="I14" s="5">
        <f t="shared" ca="1" si="3"/>
        <v>1.8867924528308188E-4</v>
      </c>
      <c r="J14" s="10">
        <f t="shared" si="4"/>
        <v>9.9999999999999867E-2</v>
      </c>
      <c r="K14" s="12">
        <f t="shared" ca="1" si="5"/>
        <v>0.10033333333333316</v>
      </c>
      <c r="L14" s="5">
        <f t="shared" ca="1" si="6"/>
        <v>3.3333333333329706E-3</v>
      </c>
      <c r="N14">
        <f t="shared" ca="1" si="7"/>
        <v>-3.7959999999999994</v>
      </c>
      <c r="O14">
        <f t="shared" ca="1" si="8"/>
        <v>9.9430599999999992E-4</v>
      </c>
      <c r="P14">
        <f t="shared" ca="1" si="9"/>
        <v>0.99990509999999999</v>
      </c>
      <c r="Q14">
        <f t="shared" ca="1" si="10"/>
        <v>9.9329600059639228E-2</v>
      </c>
      <c r="R14">
        <f t="shared" ca="1" si="11"/>
        <v>529.75786698474258</v>
      </c>
      <c r="S14">
        <f t="shared" ca="1" si="17"/>
        <v>0.20307226325872854</v>
      </c>
      <c r="T14">
        <f t="shared" ca="1" si="12"/>
        <v>0</v>
      </c>
      <c r="U14">
        <f t="shared" ca="1" si="13"/>
        <v>530</v>
      </c>
      <c r="V14">
        <f t="shared" ca="1" si="14"/>
        <v>9.9375000000000005E-2</v>
      </c>
      <c r="X14">
        <f t="shared" ca="1" si="15"/>
        <v>9.8390031213962212E-2</v>
      </c>
    </row>
    <row r="15" spans="1:25" x14ac:dyDescent="0.25">
      <c r="A15" t="s">
        <v>16</v>
      </c>
      <c r="B15">
        <v>3</v>
      </c>
      <c r="C15" t="s">
        <v>17</v>
      </c>
      <c r="E15">
        <v>13</v>
      </c>
      <c r="F15">
        <f t="shared" si="0"/>
        <v>21.3</v>
      </c>
      <c r="G15">
        <f t="shared" ca="1" si="1"/>
        <v>21.294</v>
      </c>
      <c r="H15" s="5">
        <f t="shared" ca="1" si="2"/>
        <v>6.0000000000002274E-3</v>
      </c>
      <c r="I15" s="5">
        <f t="shared" ca="1" si="3"/>
        <v>2.8169014084508106E-4</v>
      </c>
      <c r="J15" s="10">
        <f t="shared" si="4"/>
        <v>0.10833333333333317</v>
      </c>
      <c r="K15" s="12">
        <f t="shared" ca="1" si="5"/>
        <v>0.10783333333333323</v>
      </c>
      <c r="L15" s="5">
        <f t="shared" ca="1" si="6"/>
        <v>4.6153846153841136E-3</v>
      </c>
      <c r="N15">
        <f t="shared" ca="1" si="7"/>
        <v>-3.7059999999999995</v>
      </c>
      <c r="O15">
        <f t="shared" ca="1" si="8"/>
        <v>9.9444099999999999E-4</v>
      </c>
      <c r="P15">
        <f t="shared" ca="1" si="9"/>
        <v>0.99990734999999997</v>
      </c>
      <c r="Q15">
        <f t="shared" ca="1" si="10"/>
        <v>0.10682899370995855</v>
      </c>
      <c r="R15">
        <f t="shared" ca="1" si="11"/>
        <v>569.75463311977887</v>
      </c>
      <c r="S15">
        <f t="shared" ca="1" si="17"/>
        <v>0.21838952085084634</v>
      </c>
      <c r="T15">
        <f t="shared" ca="1" si="12"/>
        <v>0</v>
      </c>
      <c r="U15">
        <f t="shared" ca="1" si="13"/>
        <v>570</v>
      </c>
      <c r="V15">
        <f t="shared" ca="1" si="14"/>
        <v>0.106875</v>
      </c>
      <c r="X15">
        <f t="shared" ca="1" si="15"/>
        <v>0.10589036974275667</v>
      </c>
    </row>
    <row r="16" spans="1:25" x14ac:dyDescent="0.25">
      <c r="A16" t="s">
        <v>27</v>
      </c>
      <c r="B16">
        <v>5.0000000000000001E-3</v>
      </c>
      <c r="C16" t="s">
        <v>18</v>
      </c>
      <c r="E16">
        <v>14</v>
      </c>
      <c r="F16">
        <f t="shared" si="0"/>
        <v>21.4</v>
      </c>
      <c r="G16">
        <f t="shared" ca="1" si="1"/>
        <v>21.392999999999997</v>
      </c>
      <c r="H16" s="5">
        <f t="shared" ca="1" si="2"/>
        <v>7.0000000000014495E-3</v>
      </c>
      <c r="I16" s="5">
        <f t="shared" ca="1" si="3"/>
        <v>3.2710280373838554E-4</v>
      </c>
      <c r="J16" s="10">
        <f t="shared" si="4"/>
        <v>0.11666666666666647</v>
      </c>
      <c r="K16" s="12">
        <f t="shared" ca="1" si="5"/>
        <v>0.11608333333333287</v>
      </c>
      <c r="L16" s="5">
        <f t="shared" ca="1" si="6"/>
        <v>5.0000000000023125E-3</v>
      </c>
      <c r="N16">
        <f t="shared" ca="1" si="7"/>
        <v>-3.6070000000000029</v>
      </c>
      <c r="O16">
        <f t="shared" ca="1" si="8"/>
        <v>9.945895000000001E-4</v>
      </c>
      <c r="P16">
        <f t="shared" ca="1" si="9"/>
        <v>0.99990982500000003</v>
      </c>
      <c r="Q16">
        <f t="shared" ca="1" si="10"/>
        <v>0.11507836570585771</v>
      </c>
      <c r="R16">
        <f t="shared" ca="1" si="11"/>
        <v>613.7512837645744</v>
      </c>
      <c r="S16">
        <f t="shared" ca="1" si="17"/>
        <v>0.23523486606972052</v>
      </c>
      <c r="T16">
        <f t="shared" ca="1" si="12"/>
        <v>3</v>
      </c>
      <c r="U16">
        <f t="shared" ca="1" si="13"/>
        <v>617</v>
      </c>
      <c r="V16">
        <f t="shared" ca="1" si="14"/>
        <v>0.1156875</v>
      </c>
      <c r="X16">
        <f t="shared" ca="1" si="15"/>
        <v>0.11470325386591736</v>
      </c>
    </row>
    <row r="17" spans="1:24" x14ac:dyDescent="0.25">
      <c r="A17" t="s">
        <v>19</v>
      </c>
      <c r="B17">
        <v>1</v>
      </c>
      <c r="C17" t="s">
        <v>20</v>
      </c>
      <c r="E17">
        <v>15</v>
      </c>
      <c r="F17">
        <f t="shared" si="0"/>
        <v>21.5</v>
      </c>
      <c r="G17">
        <f t="shared" ca="1" si="1"/>
        <v>21.497</v>
      </c>
      <c r="H17" s="5">
        <f t="shared" ca="1" si="2"/>
        <v>3.0000000000001137E-3</v>
      </c>
      <c r="I17" s="5">
        <f t="shared" ca="1" si="3"/>
        <v>1.3953488372093551E-4</v>
      </c>
      <c r="J17" s="10">
        <f t="shared" si="4"/>
        <v>0.12499999999999978</v>
      </c>
      <c r="K17" s="12">
        <f t="shared" ca="1" si="5"/>
        <v>0.12474999999999992</v>
      </c>
      <c r="L17" s="5">
        <f t="shared" ca="1" si="6"/>
        <v>1.999999999998895E-3</v>
      </c>
      <c r="N17">
        <f t="shared" ca="1" si="7"/>
        <v>-3.5030000000000001</v>
      </c>
      <c r="O17">
        <f t="shared" ca="1" si="8"/>
        <v>9.9474549999999996E-4</v>
      </c>
      <c r="P17">
        <f t="shared" ca="1" si="9"/>
        <v>0.99991242499999999</v>
      </c>
      <c r="Q17">
        <f t="shared" ca="1" si="10"/>
        <v>0.12374441663358707</v>
      </c>
      <c r="R17">
        <f t="shared" ca="1" si="11"/>
        <v>659.97022204579764</v>
      </c>
      <c r="S17">
        <f t="shared" ca="1" si="17"/>
        <v>0.25292656279716158</v>
      </c>
      <c r="T17">
        <f t="shared" ca="1" si="12"/>
        <v>-1</v>
      </c>
      <c r="U17">
        <f t="shared" ca="1" si="13"/>
        <v>659</v>
      </c>
      <c r="V17">
        <f t="shared" ca="1" si="14"/>
        <v>0.12356250000000001</v>
      </c>
      <c r="X17">
        <f t="shared" ca="1" si="15"/>
        <v>0.12257848931120142</v>
      </c>
    </row>
    <row r="18" spans="1:24" x14ac:dyDescent="0.25">
      <c r="A18" t="s">
        <v>26</v>
      </c>
      <c r="B18">
        <v>0.15</v>
      </c>
      <c r="C18" t="s">
        <v>24</v>
      </c>
      <c r="E18">
        <v>16</v>
      </c>
      <c r="F18">
        <f t="shared" si="0"/>
        <v>21.6</v>
      </c>
      <c r="G18">
        <f t="shared" ca="1" si="1"/>
        <v>21.605</v>
      </c>
      <c r="H18" s="5">
        <f t="shared" ca="1" si="2"/>
        <v>4.9999999999990052E-3</v>
      </c>
      <c r="I18" s="5">
        <f t="shared" ca="1" si="3"/>
        <v>2.3148148148143541E-4</v>
      </c>
      <c r="J18" s="10">
        <f t="shared" si="4"/>
        <v>0.1333333333333333</v>
      </c>
      <c r="K18" s="12">
        <f t="shared" ca="1" si="5"/>
        <v>0.13374999999999981</v>
      </c>
      <c r="L18" s="5">
        <f t="shared" ca="1" si="6"/>
        <v>3.124999999998824E-3</v>
      </c>
      <c r="N18">
        <f t="shared" ca="1" si="7"/>
        <v>-3.3949999999999996</v>
      </c>
      <c r="O18">
        <f t="shared" ca="1" si="8"/>
        <v>9.9490750000000012E-4</v>
      </c>
      <c r="P18">
        <f t="shared" ca="1" si="9"/>
        <v>0.99991512500000002</v>
      </c>
      <c r="Q18">
        <f t="shared" ca="1" si="10"/>
        <v>0.13274382491152387</v>
      </c>
      <c r="R18">
        <f t="shared" ca="1" si="11"/>
        <v>707.96706619479392</v>
      </c>
      <c r="S18">
        <f t="shared" ca="1" si="17"/>
        <v>0.271293545522938</v>
      </c>
      <c r="T18">
        <f t="shared" ca="1" si="12"/>
        <v>3</v>
      </c>
      <c r="U18">
        <f t="shared" ca="1" si="13"/>
        <v>711</v>
      </c>
      <c r="V18">
        <f t="shared" ca="1" si="14"/>
        <v>0.1333125</v>
      </c>
      <c r="X18">
        <f t="shared" ca="1" si="15"/>
        <v>0.13232882390892928</v>
      </c>
    </row>
    <row r="19" spans="1:24" x14ac:dyDescent="0.25">
      <c r="A19" t="s">
        <v>25</v>
      </c>
      <c r="B19">
        <v>5</v>
      </c>
      <c r="C19" t="s">
        <v>28</v>
      </c>
      <c r="E19">
        <v>17</v>
      </c>
      <c r="F19">
        <f t="shared" si="0"/>
        <v>21.7</v>
      </c>
      <c r="G19">
        <f t="shared" ca="1" si="1"/>
        <v>21.707999999999998</v>
      </c>
      <c r="H19" s="5">
        <f t="shared" ca="1" si="2"/>
        <v>7.9999999999991189E-3</v>
      </c>
      <c r="I19" s="5">
        <f t="shared" ca="1" si="3"/>
        <v>3.6866359447000548E-4</v>
      </c>
      <c r="J19" s="10">
        <f t="shared" si="4"/>
        <v>0.14166666666666639</v>
      </c>
      <c r="K19" s="12">
        <f t="shared" ca="1" si="5"/>
        <v>0.14233333333333298</v>
      </c>
      <c r="L19" s="5">
        <f t="shared" ca="1" si="6"/>
        <v>4.7058823529406678E-3</v>
      </c>
      <c r="N19">
        <f t="shared" ca="1" si="7"/>
        <v>-3.2920000000000016</v>
      </c>
      <c r="O19">
        <f t="shared" ca="1" si="8"/>
        <v>9.9506200000000012E-4</v>
      </c>
      <c r="P19">
        <f t="shared" ca="1" si="9"/>
        <v>0.99991770000000002</v>
      </c>
      <c r="Q19">
        <f t="shared" ca="1" si="10"/>
        <v>0.14132663919360225</v>
      </c>
      <c r="R19">
        <f t="shared" ca="1" si="11"/>
        <v>753.74207569921202</v>
      </c>
      <c r="S19">
        <f t="shared" ca="1" si="17"/>
        <v>0.28880495104999915</v>
      </c>
      <c r="T19">
        <f t="shared" ca="1" si="12"/>
        <v>-3</v>
      </c>
      <c r="U19">
        <f t="shared" ca="1" si="13"/>
        <v>751</v>
      </c>
      <c r="V19">
        <f t="shared" ca="1" si="14"/>
        <v>0.14081250000000001</v>
      </c>
      <c r="X19">
        <f t="shared" ca="1" si="15"/>
        <v>0.13982894592224943</v>
      </c>
    </row>
    <row r="20" spans="1:24" x14ac:dyDescent="0.25">
      <c r="A20" t="s">
        <v>29</v>
      </c>
      <c r="B20">
        <v>80</v>
      </c>
      <c r="C20" t="s">
        <v>30</v>
      </c>
      <c r="E20">
        <v>18</v>
      </c>
      <c r="F20">
        <f t="shared" si="0"/>
        <v>21.8</v>
      </c>
      <c r="G20">
        <f t="shared" ca="1" si="1"/>
        <v>21.808</v>
      </c>
      <c r="H20" s="5">
        <f t="shared" ca="1" si="2"/>
        <v>7.9999999999991189E-3</v>
      </c>
      <c r="I20" s="5">
        <f t="shared" ca="1" si="3"/>
        <v>3.6697247706417974E-4</v>
      </c>
      <c r="J20" s="10">
        <f t="shared" si="4"/>
        <v>0.14999999999999991</v>
      </c>
      <c r="K20" s="12">
        <f t="shared" ca="1" si="5"/>
        <v>0.1506666666666665</v>
      </c>
      <c r="L20" s="5">
        <f t="shared" ca="1" si="6"/>
        <v>4.4444444444439579E-3</v>
      </c>
      <c r="N20">
        <f t="shared" ca="1" si="7"/>
        <v>-3.1920000000000002</v>
      </c>
      <c r="O20">
        <f t="shared" ca="1" si="8"/>
        <v>9.9521200000000009E-4</v>
      </c>
      <c r="P20">
        <f t="shared" ca="1" si="9"/>
        <v>0.99992020000000004</v>
      </c>
      <c r="Q20">
        <f t="shared" ca="1" si="10"/>
        <v>0.14965951088458412</v>
      </c>
      <c r="R20">
        <f t="shared" ca="1" si="11"/>
        <v>798.18405805111536</v>
      </c>
      <c r="S20">
        <f t="shared" ca="1" si="17"/>
        <v>0.30580108329288858</v>
      </c>
      <c r="T20">
        <f t="shared" ca="1" si="12"/>
        <v>-1</v>
      </c>
      <c r="U20">
        <f t="shared" ca="1" si="13"/>
        <v>797</v>
      </c>
      <c r="V20">
        <f t="shared" ca="1" si="14"/>
        <v>0.1494375</v>
      </c>
      <c r="X20">
        <f t="shared" ca="1" si="15"/>
        <v>0.14845413463994428</v>
      </c>
    </row>
    <row r="21" spans="1:24" x14ac:dyDescent="0.25">
      <c r="A21" t="s">
        <v>31</v>
      </c>
      <c r="B21">
        <v>90</v>
      </c>
      <c r="C21" t="s">
        <v>32</v>
      </c>
      <c r="E21">
        <v>19</v>
      </c>
      <c r="F21">
        <f t="shared" si="0"/>
        <v>21.9</v>
      </c>
      <c r="G21">
        <f t="shared" ca="1" si="1"/>
        <v>21.890999999999998</v>
      </c>
      <c r="H21" s="5">
        <f t="shared" ca="1" si="2"/>
        <v>9.0000000000003411E-3</v>
      </c>
      <c r="I21" s="5">
        <f t="shared" ca="1" si="3"/>
        <v>4.1095890410960462E-4</v>
      </c>
      <c r="J21" s="10">
        <f t="shared" si="4"/>
        <v>0.15833333333333299</v>
      </c>
      <c r="K21" s="12">
        <f t="shared" ca="1" si="5"/>
        <v>0.15758333333333296</v>
      </c>
      <c r="L21" s="5">
        <f t="shared" ca="1" si="6"/>
        <v>4.7368421052633473E-3</v>
      </c>
      <c r="N21">
        <f t="shared" ca="1" si="7"/>
        <v>-3.1090000000000018</v>
      </c>
      <c r="O21">
        <f t="shared" ca="1" si="8"/>
        <v>9.9533650000000005E-4</v>
      </c>
      <c r="P21">
        <f t="shared" ca="1" si="9"/>
        <v>0.99992227499999997</v>
      </c>
      <c r="Q21">
        <f t="shared" ca="1" si="10"/>
        <v>0.15657582603127909</v>
      </c>
      <c r="R21">
        <f t="shared" ca="1" si="11"/>
        <v>835.07107216682175</v>
      </c>
      <c r="S21">
        <f t="shared" ca="1" si="17"/>
        <v>0.31990373461335264</v>
      </c>
      <c r="T21">
        <f t="shared" ca="1" si="12"/>
        <v>-2</v>
      </c>
      <c r="U21">
        <f t="shared" ca="1" si="13"/>
        <v>833</v>
      </c>
      <c r="V21">
        <f t="shared" ca="1" si="14"/>
        <v>0.15618750000000001</v>
      </c>
      <c r="X21">
        <f t="shared" ca="1" si="15"/>
        <v>0.15520422674852405</v>
      </c>
    </row>
    <row r="22" spans="1:24" x14ac:dyDescent="0.25">
      <c r="A22" s="2" t="s">
        <v>33</v>
      </c>
      <c r="E22">
        <v>20</v>
      </c>
      <c r="F22">
        <f t="shared" si="0"/>
        <v>22</v>
      </c>
      <c r="G22">
        <f t="shared" ca="1" si="1"/>
        <v>21.992000000000001</v>
      </c>
      <c r="H22" s="5">
        <f t="shared" ca="1" si="2"/>
        <v>7.9999999999991189E-3</v>
      </c>
      <c r="I22" s="5">
        <f t="shared" ca="1" si="3"/>
        <v>3.6363636363632361E-4</v>
      </c>
      <c r="J22" s="10">
        <f t="shared" si="4"/>
        <v>0.16666666666666652</v>
      </c>
      <c r="K22" s="12">
        <f t="shared" ca="1" si="5"/>
        <v>0.16599999999999993</v>
      </c>
      <c r="L22" s="5">
        <f t="shared" ca="1" si="6"/>
        <v>3.9999999999995629E-3</v>
      </c>
      <c r="N22">
        <f t="shared" ca="1" si="7"/>
        <v>-3.0079999999999991</v>
      </c>
      <c r="O22">
        <f t="shared" ca="1" si="8"/>
        <v>9.954880000000001E-4</v>
      </c>
      <c r="P22">
        <f t="shared" ca="1" si="9"/>
        <v>0.99992479999999995</v>
      </c>
      <c r="Q22">
        <f t="shared" ca="1" si="10"/>
        <v>0.16499210366069753</v>
      </c>
      <c r="R22">
        <f t="shared" ca="1" si="11"/>
        <v>879.95788619038683</v>
      </c>
      <c r="S22">
        <f t="shared" ca="1" si="17"/>
        <v>0.33705945737313492</v>
      </c>
      <c r="T22">
        <f t="shared" ca="1" si="12"/>
        <v>-1</v>
      </c>
      <c r="U22">
        <f t="shared" ca="1" si="13"/>
        <v>879</v>
      </c>
      <c r="V22">
        <f t="shared" ca="1" si="14"/>
        <v>0.1648125</v>
      </c>
      <c r="X22">
        <f t="shared" ca="1" si="15"/>
        <v>0.16382933196576385</v>
      </c>
    </row>
    <row r="23" spans="1:24" x14ac:dyDescent="0.25">
      <c r="A23" t="s">
        <v>34</v>
      </c>
      <c r="B23" t="s">
        <v>35</v>
      </c>
      <c r="C23">
        <v>5.5</v>
      </c>
      <c r="E23">
        <v>21</v>
      </c>
      <c r="F23">
        <f t="shared" si="0"/>
        <v>22.1</v>
      </c>
      <c r="G23">
        <f t="shared" ca="1" si="1"/>
        <v>22.105</v>
      </c>
      <c r="H23" s="5">
        <f t="shared" ca="1" si="2"/>
        <v>4.9999999999990052E-3</v>
      </c>
      <c r="I23" s="5">
        <f t="shared" ca="1" si="3"/>
        <v>2.2624434389135768E-4</v>
      </c>
      <c r="J23" s="10">
        <f t="shared" si="4"/>
        <v>0.17500000000000004</v>
      </c>
      <c r="K23" s="12">
        <f t="shared" ca="1" si="5"/>
        <v>0.17541666666666655</v>
      </c>
      <c r="L23" s="5">
        <f t="shared" ca="1" si="6"/>
        <v>2.3809523809514839E-3</v>
      </c>
      <c r="N23">
        <f t="shared" ca="1" si="7"/>
        <v>-2.8949999999999996</v>
      </c>
      <c r="O23">
        <f t="shared" ca="1" si="8"/>
        <v>9.9565750000000001E-4</v>
      </c>
      <c r="P23">
        <f t="shared" ca="1" si="9"/>
        <v>0.99992762499999999</v>
      </c>
      <c r="Q23">
        <f t="shared" ca="1" si="10"/>
        <v>0.17440838544612811</v>
      </c>
      <c r="R23">
        <f t="shared" ca="1" si="11"/>
        <v>930.1780557126832</v>
      </c>
      <c r="S23">
        <f t="shared" ca="1" si="17"/>
        <v>0.35624617272153425</v>
      </c>
      <c r="T23">
        <f t="shared" ca="1" si="12"/>
        <v>-2</v>
      </c>
      <c r="U23">
        <f t="shared" ca="1" si="13"/>
        <v>929</v>
      </c>
      <c r="V23">
        <f t="shared" ca="1" si="14"/>
        <v>0.1741875</v>
      </c>
      <c r="X23">
        <f t="shared" ca="1" si="15"/>
        <v>0.17320437816686982</v>
      </c>
    </row>
    <row r="24" spans="1:24" x14ac:dyDescent="0.25">
      <c r="A24" t="s">
        <v>36</v>
      </c>
      <c r="B24" t="s">
        <v>37</v>
      </c>
      <c r="C24" t="s">
        <v>38</v>
      </c>
      <c r="E24">
        <v>22</v>
      </c>
      <c r="F24">
        <f t="shared" si="0"/>
        <v>22.2</v>
      </c>
      <c r="G24">
        <f t="shared" ca="1" si="1"/>
        <v>22.204000000000001</v>
      </c>
      <c r="H24" s="5">
        <f t="shared" ca="1" si="2"/>
        <v>4.0000000000013358E-3</v>
      </c>
      <c r="I24" s="5">
        <f t="shared" ca="1" si="3"/>
        <v>1.8018018018024036E-4</v>
      </c>
      <c r="J24" s="10">
        <f t="shared" si="4"/>
        <v>0.18333333333333313</v>
      </c>
      <c r="K24" s="12">
        <f t="shared" ca="1" si="5"/>
        <v>0.18366666666666664</v>
      </c>
      <c r="L24" s="5">
        <f t="shared" ca="1" si="6"/>
        <v>1.818181818182831E-3</v>
      </c>
      <c r="N24">
        <f t="shared" ca="1" si="7"/>
        <v>-2.7959999999999994</v>
      </c>
      <c r="O24">
        <f t="shared" ca="1" si="8"/>
        <v>9.9580600000000012E-4</v>
      </c>
      <c r="P24">
        <f t="shared" ca="1" si="9"/>
        <v>0.99993010000000004</v>
      </c>
      <c r="Q24">
        <f t="shared" ca="1" si="10"/>
        <v>0.18265809197350608</v>
      </c>
      <c r="R24">
        <f t="shared" ca="1" si="11"/>
        <v>974.17649052536569</v>
      </c>
      <c r="S24">
        <f t="shared" ca="1" si="17"/>
        <v>0.3730490898391155</v>
      </c>
      <c r="T24">
        <f t="shared" ca="1" si="12"/>
        <v>-3</v>
      </c>
      <c r="U24">
        <f t="shared" ca="1" si="13"/>
        <v>972</v>
      </c>
      <c r="V24">
        <f t="shared" ca="1" si="14"/>
        <v>0.18225</v>
      </c>
      <c r="X24">
        <f t="shared" ca="1" si="15"/>
        <v>0.18126686455383231</v>
      </c>
    </row>
    <row r="25" spans="1:24" x14ac:dyDescent="0.25">
      <c r="E25">
        <v>23</v>
      </c>
      <c r="F25">
        <f t="shared" si="0"/>
        <v>22.3</v>
      </c>
      <c r="G25">
        <f t="shared" ca="1" si="1"/>
        <v>22.297000000000001</v>
      </c>
      <c r="H25" s="5">
        <f t="shared" ca="1" si="2"/>
        <v>3.0000000000001137E-3</v>
      </c>
      <c r="I25" s="5">
        <f t="shared" ca="1" si="3"/>
        <v>1.3452914798206788E-4</v>
      </c>
      <c r="J25" s="10">
        <f t="shared" si="4"/>
        <v>0.19166666666666665</v>
      </c>
      <c r="K25" s="12">
        <f t="shared" ca="1" si="5"/>
        <v>0.19141666666666657</v>
      </c>
      <c r="L25" s="5">
        <f t="shared" ca="1" si="6"/>
        <v>1.3043478260873923E-3</v>
      </c>
      <c r="N25">
        <f t="shared" ca="1" si="7"/>
        <v>-2.7029999999999994</v>
      </c>
      <c r="O25">
        <f t="shared" ca="1" si="8"/>
        <v>9.9594549999999999E-4</v>
      </c>
      <c r="P25">
        <f t="shared" ca="1" si="9"/>
        <v>0.99993242500000001</v>
      </c>
      <c r="Q25">
        <f t="shared" ca="1" si="10"/>
        <v>0.19040785348643371</v>
      </c>
      <c r="R25">
        <f t="shared" ca="1" si="11"/>
        <v>1015.5085519276464</v>
      </c>
      <c r="S25">
        <f t="shared" ca="1" si="17"/>
        <v>0.38882768279770535</v>
      </c>
      <c r="T25">
        <f t="shared" ca="1" si="12"/>
        <v>0</v>
      </c>
      <c r="U25">
        <f t="shared" ca="1" si="13"/>
        <v>1016</v>
      </c>
      <c r="V25">
        <f t="shared" ca="1" si="14"/>
        <v>0.1905</v>
      </c>
      <c r="X25">
        <f t="shared" ca="1" si="15"/>
        <v>0.18951686110188895</v>
      </c>
    </row>
    <row r="26" spans="1:24" x14ac:dyDescent="0.25">
      <c r="A26" t="s">
        <v>64</v>
      </c>
      <c r="B26">
        <v>5.0000000000000002E-5</v>
      </c>
      <c r="C26" t="s">
        <v>65</v>
      </c>
      <c r="E26">
        <v>24</v>
      </c>
      <c r="F26">
        <f t="shared" si="0"/>
        <v>22.4</v>
      </c>
      <c r="G26">
        <f t="shared" ca="1" si="1"/>
        <v>22.4</v>
      </c>
      <c r="H26" s="5">
        <f t="shared" ca="1" si="2"/>
        <v>0</v>
      </c>
      <c r="I26" s="5">
        <f t="shared" ca="1" si="3"/>
        <v>0</v>
      </c>
      <c r="J26" s="10">
        <f t="shared" si="4"/>
        <v>0.19999999999999973</v>
      </c>
      <c r="K26" s="12">
        <f t="shared" ca="1" si="5"/>
        <v>0.19999999999999973</v>
      </c>
      <c r="L26" s="5">
        <f t="shared" ca="1" si="6"/>
        <v>0</v>
      </c>
      <c r="N26">
        <f t="shared" ca="1" si="7"/>
        <v>-2.6000000000000014</v>
      </c>
      <c r="O26">
        <f t="shared" ca="1" si="8"/>
        <v>9.9609999999999998E-4</v>
      </c>
      <c r="P26">
        <f t="shared" ca="1" si="9"/>
        <v>0.99993500000000002</v>
      </c>
      <c r="Q26">
        <f t="shared" ca="1" si="10"/>
        <v>0.19899096474649974</v>
      </c>
      <c r="R26">
        <f t="shared" ca="1" si="11"/>
        <v>1061.2851453146652</v>
      </c>
      <c r="S26">
        <f t="shared" ca="1" si="17"/>
        <v>0.40629584816180475</v>
      </c>
      <c r="T26">
        <f t="shared" ca="1" si="12"/>
        <v>2</v>
      </c>
      <c r="U26">
        <f t="shared" ca="1" si="13"/>
        <v>1064</v>
      </c>
      <c r="V26">
        <f t="shared" ca="1" si="14"/>
        <v>0.19950000000000001</v>
      </c>
      <c r="X26">
        <f t="shared" ca="1" si="15"/>
        <v>0.1985168035922335</v>
      </c>
    </row>
    <row r="27" spans="1:24" x14ac:dyDescent="0.25">
      <c r="A27" t="s">
        <v>66</v>
      </c>
      <c r="B27">
        <v>2.5000000000000001E-2</v>
      </c>
      <c r="C27" t="s">
        <v>67</v>
      </c>
      <c r="E27">
        <v>25</v>
      </c>
      <c r="F27">
        <f t="shared" si="0"/>
        <v>22.5</v>
      </c>
      <c r="G27">
        <f t="shared" ca="1" si="1"/>
        <v>22.498000000000001</v>
      </c>
      <c r="H27" s="5">
        <f t="shared" ca="1" si="2"/>
        <v>1.9999999999988916E-3</v>
      </c>
      <c r="I27" s="5">
        <f t="shared" ca="1" si="3"/>
        <v>8.888888888883963E-5</v>
      </c>
      <c r="J27" s="10">
        <f t="shared" si="4"/>
        <v>0.20833333333333326</v>
      </c>
      <c r="K27" s="12">
        <f t="shared" ca="1" si="5"/>
        <v>0.20816666666666661</v>
      </c>
      <c r="L27" s="5">
        <f t="shared" ca="1" si="6"/>
        <v>7.9999999999991222E-4</v>
      </c>
      <c r="N27">
        <f t="shared" ca="1" si="7"/>
        <v>-2.5019999999999989</v>
      </c>
      <c r="O27">
        <f t="shared" ca="1" si="8"/>
        <v>9.9624700000000002E-4</v>
      </c>
      <c r="P27">
        <f t="shared" ca="1" si="9"/>
        <v>0.99993745000000001</v>
      </c>
      <c r="Q27">
        <f t="shared" ca="1" si="10"/>
        <v>0.20715746115691647</v>
      </c>
      <c r="R27">
        <f t="shared" ca="1" si="11"/>
        <v>1104.8397928368879</v>
      </c>
      <c r="S27">
        <f t="shared" ca="1" si="17"/>
        <v>0.4229088676716512</v>
      </c>
      <c r="T27">
        <f t="shared" ca="1" si="12"/>
        <v>-2</v>
      </c>
      <c r="U27">
        <f t="shared" ca="1" si="13"/>
        <v>1103</v>
      </c>
      <c r="V27">
        <f t="shared" ca="1" si="14"/>
        <v>0.20681250000000001</v>
      </c>
      <c r="X27">
        <f t="shared" ca="1" si="15"/>
        <v>0.20582912761193212</v>
      </c>
    </row>
    <row r="28" spans="1:24" x14ac:dyDescent="0.25">
      <c r="E28">
        <v>26</v>
      </c>
      <c r="F28">
        <f t="shared" si="0"/>
        <v>22.6</v>
      </c>
      <c r="G28">
        <f t="shared" ca="1" si="1"/>
        <v>22.592000000000002</v>
      </c>
      <c r="H28" s="5">
        <f t="shared" ca="1" si="2"/>
        <v>7.9999999999991189E-3</v>
      </c>
      <c r="I28" s="5">
        <f t="shared" ca="1" si="3"/>
        <v>3.5398230088491673E-4</v>
      </c>
      <c r="J28" s="10">
        <f t="shared" si="4"/>
        <v>0.21666666666666656</v>
      </c>
      <c r="K28" s="12">
        <f t="shared" ca="1" si="5"/>
        <v>0.21599999999999997</v>
      </c>
      <c r="L28" s="5">
        <f t="shared" ca="1" si="6"/>
        <v>3.0769230769227395E-3</v>
      </c>
      <c r="N28">
        <f t="shared" ca="1" si="7"/>
        <v>-2.4079999999999977</v>
      </c>
      <c r="O28">
        <f t="shared" ca="1" si="8"/>
        <v>9.9638799999999996E-4</v>
      </c>
      <c r="P28">
        <f t="shared" ca="1" si="9"/>
        <v>0.99993980000000005</v>
      </c>
      <c r="Q28">
        <f t="shared" ca="1" si="10"/>
        <v>0.2149906687825576</v>
      </c>
      <c r="R28">
        <f t="shared" ca="1" si="11"/>
        <v>1146.6169001736405</v>
      </c>
      <c r="S28">
        <f t="shared" ca="1" si="17"/>
        <v>0.43883695602943379</v>
      </c>
      <c r="T28">
        <f t="shared" ca="1" si="12"/>
        <v>2</v>
      </c>
      <c r="U28">
        <f t="shared" ca="1" si="13"/>
        <v>1149</v>
      </c>
      <c r="V28">
        <f t="shared" ca="1" si="14"/>
        <v>0.2154375</v>
      </c>
      <c r="X28">
        <f t="shared" ca="1" si="15"/>
        <v>0.21445402213213235</v>
      </c>
    </row>
    <row r="29" spans="1:24" x14ac:dyDescent="0.25">
      <c r="A29" t="s">
        <v>68</v>
      </c>
      <c r="B29">
        <v>25</v>
      </c>
      <c r="E29">
        <v>27</v>
      </c>
      <c r="F29">
        <f t="shared" si="0"/>
        <v>22.7</v>
      </c>
      <c r="G29">
        <f t="shared" ca="1" si="1"/>
        <v>22.701000000000001</v>
      </c>
      <c r="H29" s="5">
        <f t="shared" ca="1" si="2"/>
        <v>1.0000000000012221E-3</v>
      </c>
      <c r="I29" s="5">
        <f t="shared" ca="1" si="3"/>
        <v>4.4052863436177189E-5</v>
      </c>
      <c r="J29" s="10">
        <f t="shared" si="4"/>
        <v>0.22499999999999987</v>
      </c>
      <c r="K29" s="12">
        <f t="shared" ca="1" si="5"/>
        <v>0.2250833333333333</v>
      </c>
      <c r="L29" s="5">
        <f t="shared" ca="1" si="6"/>
        <v>3.7037037037082322E-4</v>
      </c>
      <c r="N29">
        <f t="shared" ca="1" si="7"/>
        <v>-2.2989999999999995</v>
      </c>
      <c r="O29">
        <f t="shared" ca="1" si="8"/>
        <v>9.9655149999999999E-4</v>
      </c>
      <c r="P29">
        <f t="shared" ca="1" si="9"/>
        <v>0.99994252500000003</v>
      </c>
      <c r="Q29">
        <f t="shared" ca="1" si="10"/>
        <v>0.22407390244554745</v>
      </c>
      <c r="R29">
        <f t="shared" ca="1" si="11"/>
        <v>1195.0608130429198</v>
      </c>
      <c r="S29">
        <f t="shared" ca="1" si="17"/>
        <v>0.4572980223937082</v>
      </c>
      <c r="T29">
        <f t="shared" ca="1" si="12"/>
        <v>1</v>
      </c>
      <c r="U29">
        <f t="shared" ca="1" si="13"/>
        <v>1197</v>
      </c>
      <c r="V29">
        <f t="shared" ca="1" si="14"/>
        <v>0.22443750000000001</v>
      </c>
      <c r="X29">
        <f t="shared" ca="1" si="15"/>
        <v>0.22345379150666686</v>
      </c>
    </row>
    <row r="30" spans="1:24" x14ac:dyDescent="0.25">
      <c r="E30">
        <v>28</v>
      </c>
      <c r="F30">
        <f t="shared" si="0"/>
        <v>22.8</v>
      </c>
      <c r="G30">
        <f t="shared" ca="1" si="1"/>
        <v>22.808</v>
      </c>
      <c r="H30" s="5">
        <f t="shared" ca="1" si="2"/>
        <v>7.9999999999991189E-3</v>
      </c>
      <c r="I30" s="5">
        <f t="shared" ca="1" si="3"/>
        <v>3.5087719298241746E-4</v>
      </c>
      <c r="J30" s="10">
        <f t="shared" si="4"/>
        <v>0.23333333333333317</v>
      </c>
      <c r="K30" s="12">
        <f t="shared" ca="1" si="5"/>
        <v>0.23399999999999976</v>
      </c>
      <c r="L30" s="5">
        <f t="shared" ca="1" si="6"/>
        <v>2.8571428571425445E-3</v>
      </c>
      <c r="N30">
        <f t="shared" ca="1" si="7"/>
        <v>-2.1920000000000002</v>
      </c>
      <c r="O30">
        <f t="shared" ca="1" si="8"/>
        <v>9.9671200000000008E-4</v>
      </c>
      <c r="P30">
        <f t="shared" ca="1" si="9"/>
        <v>0.99994519999999998</v>
      </c>
      <c r="Q30">
        <f t="shared" ca="1" si="10"/>
        <v>0.23299051941981735</v>
      </c>
      <c r="R30">
        <f t="shared" ca="1" si="11"/>
        <v>1242.6161035723592</v>
      </c>
      <c r="S30">
        <f t="shared" ca="1" si="17"/>
        <v>0.47541085904554609</v>
      </c>
      <c r="T30">
        <f t="shared" ca="1" si="12"/>
        <v>1</v>
      </c>
      <c r="U30">
        <f t="shared" ca="1" si="13"/>
        <v>1244</v>
      </c>
      <c r="V30">
        <f t="shared" ca="1" si="14"/>
        <v>0.23325000000000001</v>
      </c>
      <c r="X30">
        <f t="shared" ca="1" si="15"/>
        <v>0.23226601617768655</v>
      </c>
    </row>
    <row r="31" spans="1:24" x14ac:dyDescent="0.25">
      <c r="E31">
        <v>29</v>
      </c>
      <c r="F31">
        <f t="shared" si="0"/>
        <v>22.9</v>
      </c>
      <c r="G31">
        <f t="shared" ca="1" si="1"/>
        <v>22.890999999999998</v>
      </c>
      <c r="H31" s="5">
        <f t="shared" ca="1" si="2"/>
        <v>9.0000000000003411E-3</v>
      </c>
      <c r="I31" s="5">
        <f t="shared" ca="1" si="3"/>
        <v>3.9301310043669612E-4</v>
      </c>
      <c r="J31" s="10">
        <f t="shared" si="4"/>
        <v>0.24166666666666647</v>
      </c>
      <c r="K31" s="12">
        <f t="shared" ca="1" si="5"/>
        <v>0.24091666666666645</v>
      </c>
      <c r="L31" s="5">
        <f t="shared" ca="1" si="6"/>
        <v>3.103448275862189E-3</v>
      </c>
      <c r="N31">
        <f t="shared" ca="1" si="7"/>
        <v>-2.1090000000000018</v>
      </c>
      <c r="O31">
        <f t="shared" ca="1" si="8"/>
        <v>9.9683650000000003E-4</v>
      </c>
      <c r="P31">
        <f t="shared" ca="1" si="9"/>
        <v>0.99994727500000002</v>
      </c>
      <c r="Q31">
        <f t="shared" ca="1" si="10"/>
        <v>0.23990718039362094</v>
      </c>
      <c r="R31">
        <f t="shared" ca="1" si="11"/>
        <v>1279.5049620993116</v>
      </c>
      <c r="S31">
        <f t="shared" ca="1" si="17"/>
        <v>0.48945428330840374</v>
      </c>
      <c r="T31">
        <f t="shared" ca="1" si="12"/>
        <v>-3</v>
      </c>
      <c r="U31">
        <f t="shared" ca="1" si="13"/>
        <v>1277</v>
      </c>
      <c r="V31">
        <f t="shared" ca="1" si="14"/>
        <v>0.2394375</v>
      </c>
      <c r="X31">
        <f t="shared" ca="1" si="15"/>
        <v>0.23845323594686529</v>
      </c>
    </row>
    <row r="32" spans="1:24" x14ac:dyDescent="0.25">
      <c r="E32">
        <v>30</v>
      </c>
      <c r="F32">
        <f t="shared" si="0"/>
        <v>23</v>
      </c>
      <c r="G32">
        <f t="shared" ca="1" si="1"/>
        <v>22.995000000000001</v>
      </c>
      <c r="H32" s="5">
        <f t="shared" ca="1" si="2"/>
        <v>4.9999999999990052E-3</v>
      </c>
      <c r="I32" s="5">
        <f t="shared" ca="1" si="3"/>
        <v>2.1739130434778284E-4</v>
      </c>
      <c r="J32" s="10">
        <f t="shared" si="4"/>
        <v>0.24999999999999978</v>
      </c>
      <c r="K32" s="12">
        <f t="shared" ca="1" si="5"/>
        <v>0.24958333333333327</v>
      </c>
      <c r="L32" s="5">
        <f t="shared" ca="1" si="6"/>
        <v>1.6666666666660405E-3</v>
      </c>
      <c r="N32">
        <f t="shared" ca="1" si="7"/>
        <v>-2.004999999999999</v>
      </c>
      <c r="O32">
        <f t="shared" ca="1" si="8"/>
        <v>9.969925000000001E-4</v>
      </c>
      <c r="P32">
        <f t="shared" ca="1" si="9"/>
        <v>0.99994987499999999</v>
      </c>
      <c r="Q32">
        <f t="shared" ca="1" si="10"/>
        <v>0.248573880442999</v>
      </c>
      <c r="R32">
        <f t="shared" ca="1" si="11"/>
        <v>1325.7273623626613</v>
      </c>
      <c r="S32">
        <f t="shared" ca="1" si="17"/>
        <v>0.50704228287102482</v>
      </c>
      <c r="T32">
        <f t="shared" ca="1" si="12"/>
        <v>-3</v>
      </c>
      <c r="U32">
        <f t="shared" ca="1" si="13"/>
        <v>1323</v>
      </c>
      <c r="V32">
        <f t="shared" ca="1" si="14"/>
        <v>0.24806249999999999</v>
      </c>
      <c r="X32">
        <f t="shared" ca="1" si="15"/>
        <v>0.24707789227935051</v>
      </c>
    </row>
    <row r="33" spans="5:24" x14ac:dyDescent="0.25">
      <c r="E33">
        <v>31</v>
      </c>
      <c r="F33">
        <f t="shared" si="0"/>
        <v>23.1</v>
      </c>
      <c r="G33">
        <f t="shared" ca="1" si="1"/>
        <v>23.1</v>
      </c>
      <c r="H33" s="5">
        <f t="shared" ca="1" si="2"/>
        <v>0</v>
      </c>
      <c r="I33" s="5">
        <f t="shared" ca="1" si="3"/>
        <v>0</v>
      </c>
      <c r="J33" s="10">
        <f t="shared" si="4"/>
        <v>0.2583333333333333</v>
      </c>
      <c r="K33" s="12">
        <f t="shared" ca="1" si="5"/>
        <v>0.2583333333333333</v>
      </c>
      <c r="L33" s="5">
        <f t="shared" ca="1" si="6"/>
        <v>0</v>
      </c>
      <c r="N33">
        <f t="shared" ca="1" si="7"/>
        <v>-1.8999999999999986</v>
      </c>
      <c r="O33">
        <f t="shared" ca="1" si="8"/>
        <v>9.9715000000000003E-4</v>
      </c>
      <c r="P33">
        <f t="shared" ca="1" si="9"/>
        <v>0.99995250000000002</v>
      </c>
      <c r="Q33">
        <f t="shared" ca="1" si="10"/>
        <v>0.25732395986462497</v>
      </c>
      <c r="R33">
        <f t="shared" ca="1" si="11"/>
        <v>1372.3944526113332</v>
      </c>
      <c r="S33">
        <f t="shared" ca="1" si="17"/>
        <v>0.52478938785851481</v>
      </c>
      <c r="T33">
        <f t="shared" ca="1" si="12"/>
        <v>-1</v>
      </c>
      <c r="U33">
        <f t="shared" ca="1" si="13"/>
        <v>1372</v>
      </c>
      <c r="V33">
        <f t="shared" ca="1" si="14"/>
        <v>0.25724999999999998</v>
      </c>
      <c r="X33">
        <f t="shared" ca="1" si="15"/>
        <v>0.25626502258857292</v>
      </c>
    </row>
    <row r="34" spans="5:24" x14ac:dyDescent="0.25">
      <c r="E34">
        <v>32</v>
      </c>
      <c r="F34">
        <f t="shared" si="0"/>
        <v>23.2</v>
      </c>
      <c r="G34">
        <f t="shared" ca="1" si="1"/>
        <v>23.207000000000001</v>
      </c>
      <c r="H34" s="5">
        <f t="shared" ca="1" si="2"/>
        <v>7.0000000000014495E-3</v>
      </c>
      <c r="I34" s="5">
        <f t="shared" ca="1" si="3"/>
        <v>3.0172413793109695E-4</v>
      </c>
      <c r="J34" s="10">
        <f t="shared" si="4"/>
        <v>0.26666666666666639</v>
      </c>
      <c r="K34" s="12">
        <f t="shared" ca="1" si="5"/>
        <v>0.26724999999999999</v>
      </c>
      <c r="L34" s="5">
        <f t="shared" ca="1" si="6"/>
        <v>2.1875000000010103E-3</v>
      </c>
      <c r="N34">
        <f t="shared" ca="1" si="7"/>
        <v>-1.7929999999999993</v>
      </c>
      <c r="O34">
        <f t="shared" ca="1" si="8"/>
        <v>9.9731050000000012E-4</v>
      </c>
      <c r="P34">
        <f t="shared" ca="1" si="9"/>
        <v>0.99995517499999997</v>
      </c>
      <c r="Q34">
        <f t="shared" ca="1" si="10"/>
        <v>0.26624075472319314</v>
      </c>
      <c r="R34">
        <f t="shared" ca="1" si="11"/>
        <v>1419.9506918570301</v>
      </c>
      <c r="S34">
        <f t="shared" ca="1" si="17"/>
        <v>0.54286381909633397</v>
      </c>
      <c r="T34">
        <f t="shared" ca="1" si="12"/>
        <v>2</v>
      </c>
      <c r="U34">
        <f t="shared" ca="1" si="13"/>
        <v>1422</v>
      </c>
      <c r="V34">
        <f t="shared" ca="1" si="14"/>
        <v>0.266625</v>
      </c>
      <c r="X34">
        <f t="shared" ca="1" si="15"/>
        <v>0.26563959679492632</v>
      </c>
    </row>
    <row r="35" spans="5:24" x14ac:dyDescent="0.25">
      <c r="E35">
        <v>33</v>
      </c>
      <c r="F35">
        <f t="shared" si="0"/>
        <v>23.3</v>
      </c>
      <c r="G35">
        <f t="shared" ca="1" si="1"/>
        <v>23.307000000000002</v>
      </c>
      <c r="H35" s="5">
        <f t="shared" ca="1" si="2"/>
        <v>7.0000000000014495E-3</v>
      </c>
      <c r="I35" s="5">
        <f t="shared" ca="1" si="3"/>
        <v>3.0042918454941845E-4</v>
      </c>
      <c r="J35" s="10">
        <f t="shared" si="4"/>
        <v>0.27499999999999991</v>
      </c>
      <c r="K35" s="12">
        <f t="shared" ca="1" si="5"/>
        <v>0.27558333333333329</v>
      </c>
      <c r="L35" s="5">
        <f t="shared" ca="1" si="6"/>
        <v>2.1212121212122919E-3</v>
      </c>
      <c r="N35">
        <f t="shared" ca="1" si="7"/>
        <v>-1.6929999999999978</v>
      </c>
      <c r="O35">
        <f t="shared" ca="1" si="8"/>
        <v>9.974605000000001E-4</v>
      </c>
      <c r="P35">
        <f t="shared" ca="1" si="9"/>
        <v>0.99995767499999999</v>
      </c>
      <c r="Q35">
        <f t="shared" ca="1" si="10"/>
        <v>0.27457425098626564</v>
      </c>
      <c r="R35">
        <f t="shared" ca="1" si="11"/>
        <v>1464.3960052600835</v>
      </c>
      <c r="S35">
        <f t="shared" ca="1" si="17"/>
        <v>0.55974570382161182</v>
      </c>
      <c r="T35">
        <f t="shared" ca="1" si="12"/>
        <v>3</v>
      </c>
      <c r="U35">
        <f t="shared" ca="1" si="13"/>
        <v>1468</v>
      </c>
      <c r="V35">
        <f t="shared" ca="1" si="14"/>
        <v>0.27524999999999999</v>
      </c>
      <c r="X35">
        <f t="shared" ca="1" si="15"/>
        <v>0.2742641477300527</v>
      </c>
    </row>
    <row r="36" spans="5:24" x14ac:dyDescent="0.25">
      <c r="E36">
        <v>34</v>
      </c>
      <c r="F36">
        <f t="shared" si="0"/>
        <v>23.4</v>
      </c>
      <c r="G36">
        <f t="shared" ca="1" si="1"/>
        <v>23.391999999999999</v>
      </c>
      <c r="H36" s="5">
        <f t="shared" ca="1" si="2"/>
        <v>7.9999999999991189E-3</v>
      </c>
      <c r="I36" s="5">
        <f t="shared" ca="1" si="3"/>
        <v>3.4188034188030426E-4</v>
      </c>
      <c r="J36" s="10">
        <f t="shared" si="4"/>
        <v>0.28333333333333299</v>
      </c>
      <c r="K36" s="12">
        <f t="shared" ca="1" si="5"/>
        <v>0.2826666666666664</v>
      </c>
      <c r="L36" s="5">
        <f t="shared" ca="1" si="6"/>
        <v>2.3529411764703317E-3</v>
      </c>
      <c r="N36">
        <f t="shared" ca="1" si="7"/>
        <v>-1.6080000000000005</v>
      </c>
      <c r="O36">
        <f t="shared" ca="1" si="8"/>
        <v>9.9758799999999999E-4</v>
      </c>
      <c r="P36">
        <f t="shared" ca="1" si="9"/>
        <v>0.99995979999999995</v>
      </c>
      <c r="Q36">
        <f t="shared" ca="1" si="10"/>
        <v>0.28165775556970402</v>
      </c>
      <c r="R36">
        <f t="shared" ca="1" si="11"/>
        <v>1502.1746963717546</v>
      </c>
      <c r="S36">
        <f t="shared" ca="1" si="17"/>
        <v>0.57408739316676383</v>
      </c>
      <c r="T36">
        <f t="shared" ca="1" si="12"/>
        <v>1</v>
      </c>
      <c r="U36">
        <f t="shared" ca="1" si="13"/>
        <v>1504</v>
      </c>
      <c r="V36">
        <f t="shared" ca="1" si="14"/>
        <v>0.28200000000000003</v>
      </c>
      <c r="X36">
        <f t="shared" ca="1" si="15"/>
        <v>0.28101370875109183</v>
      </c>
    </row>
    <row r="37" spans="5:24" x14ac:dyDescent="0.25">
      <c r="E37">
        <v>35</v>
      </c>
      <c r="F37">
        <f t="shared" si="0"/>
        <v>23.5</v>
      </c>
      <c r="G37">
        <f t="shared" ca="1" si="1"/>
        <v>23.494</v>
      </c>
      <c r="H37" s="5">
        <f t="shared" ca="1" si="2"/>
        <v>6.0000000000002274E-3</v>
      </c>
      <c r="I37" s="5">
        <f t="shared" ca="1" si="3"/>
        <v>2.553191489361799E-4</v>
      </c>
      <c r="J37" s="10">
        <f t="shared" si="4"/>
        <v>0.29166666666666652</v>
      </c>
      <c r="K37" s="12">
        <f t="shared" ca="1" si="5"/>
        <v>0.29116666666666657</v>
      </c>
      <c r="L37" s="5">
        <f t="shared" ca="1" si="6"/>
        <v>1.7142857142855264E-3</v>
      </c>
      <c r="N37">
        <f t="shared" ca="1" si="7"/>
        <v>-1.5060000000000002</v>
      </c>
      <c r="O37">
        <f t="shared" ca="1" si="8"/>
        <v>9.9774100000000012E-4</v>
      </c>
      <c r="P37">
        <f t="shared" ca="1" si="9"/>
        <v>0.99996235</v>
      </c>
      <c r="Q37">
        <f t="shared" ca="1" si="10"/>
        <v>0.29015800080661525</v>
      </c>
      <c r="R37">
        <f t="shared" ca="1" si="11"/>
        <v>1547.5093376352813</v>
      </c>
      <c r="S37">
        <f t="shared" ca="1" si="17"/>
        <v>0.59128754286691687</v>
      </c>
      <c r="T37">
        <f t="shared" ca="1" si="12"/>
        <v>-1</v>
      </c>
      <c r="U37">
        <f t="shared" ca="1" si="13"/>
        <v>1547</v>
      </c>
      <c r="V37">
        <f t="shared" ca="1" si="14"/>
        <v>0.2900625</v>
      </c>
      <c r="X37">
        <f t="shared" ca="1" si="15"/>
        <v>0.28907564269794755</v>
      </c>
    </row>
    <row r="38" spans="5:24" x14ac:dyDescent="0.25">
      <c r="E38">
        <v>36</v>
      </c>
      <c r="F38">
        <f t="shared" si="0"/>
        <v>23.6</v>
      </c>
      <c r="G38">
        <f t="shared" ca="1" si="1"/>
        <v>23.602</v>
      </c>
      <c r="H38" s="5">
        <f t="shared" ca="1" si="2"/>
        <v>1.9999999999988916E-3</v>
      </c>
      <c r="I38" s="5">
        <f t="shared" ca="1" si="3"/>
        <v>8.4745762711817439E-5</v>
      </c>
      <c r="J38" s="10">
        <f t="shared" si="4"/>
        <v>0.30000000000000004</v>
      </c>
      <c r="K38" s="12">
        <f t="shared" ca="1" si="5"/>
        <v>0.30016666666666647</v>
      </c>
      <c r="L38" s="5">
        <f t="shared" ca="1" si="6"/>
        <v>5.5555555555475411E-4</v>
      </c>
      <c r="N38">
        <f t="shared" ca="1" si="7"/>
        <v>-1.3979999999999997</v>
      </c>
      <c r="O38">
        <f t="shared" ca="1" si="8"/>
        <v>9.9790300000000007E-4</v>
      </c>
      <c r="P38">
        <f t="shared" ca="1" si="9"/>
        <v>0.99996505000000002</v>
      </c>
      <c r="Q38">
        <f t="shared" ca="1" si="10"/>
        <v>0.29915830771837632</v>
      </c>
      <c r="R38">
        <f t="shared" ca="1" si="11"/>
        <v>1595.510974498007</v>
      </c>
      <c r="S38">
        <f t="shared" ca="1" si="17"/>
        <v>0.60948737959160793</v>
      </c>
      <c r="T38">
        <f t="shared" ca="1" si="12"/>
        <v>-3</v>
      </c>
      <c r="U38">
        <f t="shared" ca="1" si="13"/>
        <v>1593</v>
      </c>
      <c r="V38">
        <f t="shared" ca="1" si="14"/>
        <v>0.29868749999999999</v>
      </c>
      <c r="X38">
        <f t="shared" ca="1" si="15"/>
        <v>0.29770000161505639</v>
      </c>
    </row>
    <row r="39" spans="5:24" x14ac:dyDescent="0.25">
      <c r="E39">
        <v>37</v>
      </c>
      <c r="F39">
        <f t="shared" si="0"/>
        <v>23.7</v>
      </c>
      <c r="G39">
        <f t="shared" ca="1" si="1"/>
        <v>23.695999999999998</v>
      </c>
      <c r="H39" s="5">
        <f t="shared" ca="1" si="2"/>
        <v>4.0000000000013358E-3</v>
      </c>
      <c r="I39" s="5">
        <f t="shared" ca="1" si="3"/>
        <v>1.6877637130807325E-4</v>
      </c>
      <c r="J39" s="10">
        <f t="shared" si="4"/>
        <v>0.30833333333333313</v>
      </c>
      <c r="K39" s="12">
        <f t="shared" ca="1" si="5"/>
        <v>0.30799999999999961</v>
      </c>
      <c r="L39" s="5">
        <f t="shared" ca="1" si="6"/>
        <v>1.0810810810816828E-3</v>
      </c>
      <c r="N39">
        <f t="shared" ca="1" si="7"/>
        <v>-1.304000000000002</v>
      </c>
      <c r="O39">
        <f t="shared" ca="1" si="8"/>
        <v>9.9804400000000001E-4</v>
      </c>
      <c r="P39">
        <f t="shared" ca="1" si="9"/>
        <v>0.99996739999999995</v>
      </c>
      <c r="Q39">
        <f t="shared" ca="1" si="10"/>
        <v>0.30699194773623401</v>
      </c>
      <c r="R39">
        <f t="shared" ca="1" si="11"/>
        <v>1637.2903879265814</v>
      </c>
      <c r="S39">
        <f t="shared" ca="1" si="17"/>
        <v>0.62531756471174715</v>
      </c>
      <c r="T39">
        <f t="shared" ca="1" si="12"/>
        <v>-2</v>
      </c>
      <c r="U39">
        <f t="shared" ca="1" si="13"/>
        <v>1636</v>
      </c>
      <c r="V39">
        <f t="shared" ca="1" si="14"/>
        <v>0.30675000000000002</v>
      </c>
      <c r="X39">
        <f t="shared" ca="1" si="15"/>
        <v>0.3057619238387172</v>
      </c>
    </row>
    <row r="40" spans="5:24" x14ac:dyDescent="0.25">
      <c r="E40">
        <v>38</v>
      </c>
      <c r="F40">
        <f t="shared" si="0"/>
        <v>23.8</v>
      </c>
      <c r="G40">
        <f t="shared" ca="1" si="1"/>
        <v>23.792000000000002</v>
      </c>
      <c r="H40" s="5">
        <f t="shared" ca="1" si="2"/>
        <v>7.9999999999991189E-3</v>
      </c>
      <c r="I40" s="5">
        <f t="shared" ca="1" si="3"/>
        <v>3.3613445378147559E-4</v>
      </c>
      <c r="J40" s="10">
        <f t="shared" si="4"/>
        <v>0.31666666666666665</v>
      </c>
      <c r="K40" s="12">
        <f t="shared" ca="1" si="5"/>
        <v>0.31600000000000006</v>
      </c>
      <c r="L40" s="5">
        <f t="shared" ca="1" si="6"/>
        <v>2.1052631578945052E-3</v>
      </c>
      <c r="N40">
        <f t="shared" ca="1" si="7"/>
        <v>-1.2079999999999984</v>
      </c>
      <c r="O40">
        <f t="shared" ca="1" si="8"/>
        <v>9.9818800000000011E-4</v>
      </c>
      <c r="P40">
        <f t="shared" ca="1" si="9"/>
        <v>0.99996980000000002</v>
      </c>
      <c r="Q40">
        <f t="shared" ca="1" si="10"/>
        <v>0.31499229894527764</v>
      </c>
      <c r="R40">
        <f t="shared" ca="1" si="11"/>
        <v>1679.9589277081473</v>
      </c>
      <c r="S40">
        <f t="shared" ca="1" si="17"/>
        <v>0.64147428181237587</v>
      </c>
      <c r="T40">
        <f t="shared" ca="1" si="12"/>
        <v>0</v>
      </c>
      <c r="U40">
        <f t="shared" ca="1" si="13"/>
        <v>1681</v>
      </c>
      <c r="V40">
        <f t="shared" ca="1" si="14"/>
        <v>0.31518750000000001</v>
      </c>
      <c r="X40">
        <f t="shared" ca="1" si="15"/>
        <v>0.31419880080378426</v>
      </c>
    </row>
    <row r="41" spans="5:24" x14ac:dyDescent="0.25">
      <c r="E41">
        <v>39</v>
      </c>
      <c r="F41">
        <f t="shared" si="0"/>
        <v>23.9</v>
      </c>
      <c r="G41">
        <f t="shared" ca="1" si="1"/>
        <v>23.892999999999997</v>
      </c>
      <c r="H41" s="5">
        <f t="shared" ca="1" si="2"/>
        <v>7.0000000000014495E-3</v>
      </c>
      <c r="I41" s="5">
        <f t="shared" ca="1" si="3"/>
        <v>2.9288702928876361E-4</v>
      </c>
      <c r="J41" s="10">
        <f t="shared" si="4"/>
        <v>0.32499999999999973</v>
      </c>
      <c r="K41" s="12">
        <f t="shared" ca="1" si="5"/>
        <v>0.32441666666666635</v>
      </c>
      <c r="L41" s="5">
        <f t="shared" ca="1" si="6"/>
        <v>1.7948717948719404E-3</v>
      </c>
      <c r="N41">
        <f t="shared" ca="1" si="7"/>
        <v>-1.1070000000000029</v>
      </c>
      <c r="O41">
        <f t="shared" ca="1" si="8"/>
        <v>9.9833949999999995E-4</v>
      </c>
      <c r="P41">
        <f t="shared" ca="1" si="9"/>
        <v>0.999972325</v>
      </c>
      <c r="Q41">
        <f t="shared" ca="1" si="10"/>
        <v>0.323409376564462</v>
      </c>
      <c r="R41">
        <f t="shared" ca="1" si="11"/>
        <v>1724.8500083437973</v>
      </c>
      <c r="S41">
        <f t="shared" ca="1" si="17"/>
        <v>0.65846098513539519</v>
      </c>
      <c r="T41">
        <f t="shared" ca="1" si="12"/>
        <v>0</v>
      </c>
      <c r="U41">
        <f t="shared" ca="1" si="13"/>
        <v>1726</v>
      </c>
      <c r="V41">
        <f t="shared" ca="1" si="14"/>
        <v>0.323625</v>
      </c>
      <c r="X41">
        <f t="shared" ca="1" si="15"/>
        <v>0.32263558943993775</v>
      </c>
    </row>
    <row r="42" spans="5:24" x14ac:dyDescent="0.25">
      <c r="E42">
        <v>40</v>
      </c>
      <c r="F42">
        <f t="shared" si="0"/>
        <v>24</v>
      </c>
      <c r="G42">
        <f t="shared" ca="1" si="1"/>
        <v>23.998999999999999</v>
      </c>
      <c r="H42" s="5">
        <f t="shared" ca="1" si="2"/>
        <v>1.0000000000012221E-3</v>
      </c>
      <c r="I42" s="5">
        <f t="shared" ca="1" si="3"/>
        <v>4.1666666666717589E-5</v>
      </c>
      <c r="J42" s="10">
        <f t="shared" si="4"/>
        <v>0.33333333333333326</v>
      </c>
      <c r="K42" s="12">
        <f t="shared" ca="1" si="5"/>
        <v>0.33324999999999982</v>
      </c>
      <c r="L42" s="5">
        <f t="shared" ca="1" si="6"/>
        <v>2.5000000000030559E-4</v>
      </c>
      <c r="N42">
        <f t="shared" ca="1" si="7"/>
        <v>-1.0010000000000012</v>
      </c>
      <c r="O42">
        <f t="shared" ca="1" si="8"/>
        <v>9.9849849999999996E-4</v>
      </c>
      <c r="P42">
        <f t="shared" ca="1" si="9"/>
        <v>0.99997497499999999</v>
      </c>
      <c r="Q42">
        <f t="shared" ca="1" si="10"/>
        <v>0.33224318690617477</v>
      </c>
      <c r="R42">
        <f t="shared" ca="1" si="11"/>
        <v>1771.9636634995986</v>
      </c>
      <c r="S42">
        <f t="shared" ca="1" si="17"/>
        <v>0.67627558337950477</v>
      </c>
      <c r="T42">
        <f t="shared" ca="1" si="12"/>
        <v>3</v>
      </c>
      <c r="U42">
        <f t="shared" ca="1" si="13"/>
        <v>1776</v>
      </c>
      <c r="V42">
        <f t="shared" ca="1" si="14"/>
        <v>0.33300000000000002</v>
      </c>
      <c r="X42">
        <f t="shared" ca="1" si="15"/>
        <v>0.3320098100454964</v>
      </c>
    </row>
    <row r="43" spans="5:24" x14ac:dyDescent="0.25">
      <c r="E43">
        <v>41</v>
      </c>
      <c r="F43">
        <f t="shared" si="0"/>
        <v>24.1</v>
      </c>
      <c r="G43">
        <f t="shared" ca="1" si="1"/>
        <v>24.096</v>
      </c>
      <c r="H43" s="5">
        <f t="shared" ca="1" si="2"/>
        <v>4.0000000000013358E-3</v>
      </c>
      <c r="I43" s="5">
        <f t="shared" ca="1" si="3"/>
        <v>1.6597510373449526E-4</v>
      </c>
      <c r="J43" s="10">
        <f t="shared" si="4"/>
        <v>0.34166666666666656</v>
      </c>
      <c r="K43" s="12">
        <f t="shared" ca="1" si="5"/>
        <v>0.34133333333333327</v>
      </c>
      <c r="L43" s="5">
        <f t="shared" ca="1" si="6"/>
        <v>9.7560975609745386E-4</v>
      </c>
      <c r="N43">
        <f t="shared" ca="1" si="7"/>
        <v>-0.90399999999999991</v>
      </c>
      <c r="O43">
        <f t="shared" ca="1" si="8"/>
        <v>9.9864399999999992E-4</v>
      </c>
      <c r="P43">
        <f t="shared" ca="1" si="9"/>
        <v>0.99997740000000002</v>
      </c>
      <c r="Q43">
        <f t="shared" ca="1" si="10"/>
        <v>0.34032699776935432</v>
      </c>
      <c r="R43">
        <f t="shared" ca="1" si="11"/>
        <v>1815.0773214365563</v>
      </c>
      <c r="S43">
        <f t="shared" ca="1" si="17"/>
        <v>0.6925656225892769</v>
      </c>
      <c r="T43">
        <f t="shared" ca="1" si="12"/>
        <v>0</v>
      </c>
      <c r="U43">
        <f t="shared" ca="1" si="13"/>
        <v>1816</v>
      </c>
      <c r="V43">
        <f t="shared" ca="1" si="14"/>
        <v>0.34050000000000002</v>
      </c>
      <c r="X43">
        <f t="shared" ca="1" si="15"/>
        <v>0.33950902890405327</v>
      </c>
    </row>
    <row r="44" spans="5:24" x14ac:dyDescent="0.25">
      <c r="E44">
        <v>42</v>
      </c>
      <c r="F44">
        <f t="shared" si="0"/>
        <v>24.2</v>
      </c>
      <c r="G44">
        <f t="shared" ca="1" si="1"/>
        <v>24.190999999999999</v>
      </c>
      <c r="H44" s="5">
        <f t="shared" ca="1" si="2"/>
        <v>9.0000000000003411E-3</v>
      </c>
      <c r="I44" s="5">
        <f t="shared" ca="1" si="3"/>
        <v>3.7190082644629512E-4</v>
      </c>
      <c r="J44" s="10">
        <f t="shared" si="4"/>
        <v>0.34999999999999987</v>
      </c>
      <c r="K44" s="12">
        <f t="shared" ca="1" si="5"/>
        <v>0.34924999999999984</v>
      </c>
      <c r="L44" s="5">
        <f t="shared" ca="1" si="6"/>
        <v>2.1428571428572249E-3</v>
      </c>
      <c r="N44">
        <f t="shared" ca="1" si="7"/>
        <v>-0.80900000000000105</v>
      </c>
      <c r="O44">
        <f t="shared" ca="1" si="8"/>
        <v>9.9878649999999994E-4</v>
      </c>
      <c r="P44">
        <f t="shared" ca="1" si="9"/>
        <v>0.99997977500000002</v>
      </c>
      <c r="Q44">
        <f t="shared" ca="1" si="10"/>
        <v>0.34824417011920678</v>
      </c>
      <c r="R44">
        <f t="shared" ca="1" si="11"/>
        <v>1857.3022406357695</v>
      </c>
      <c r="S44">
        <f t="shared" ca="1" si="17"/>
        <v>0.70850839363056373</v>
      </c>
      <c r="T44">
        <f t="shared" ca="1" si="12"/>
        <v>-2</v>
      </c>
      <c r="U44">
        <f t="shared" ca="1" si="13"/>
        <v>1856</v>
      </c>
      <c r="V44">
        <f t="shared" ca="1" si="14"/>
        <v>0.34800000000000003</v>
      </c>
      <c r="X44">
        <f t="shared" ca="1" si="15"/>
        <v>0.34700823174148698</v>
      </c>
    </row>
    <row r="45" spans="5:24" x14ac:dyDescent="0.25">
      <c r="E45">
        <v>43</v>
      </c>
      <c r="F45">
        <f t="shared" si="0"/>
        <v>24.3</v>
      </c>
      <c r="G45">
        <f t="shared" ca="1" si="1"/>
        <v>24.308</v>
      </c>
      <c r="H45" s="5">
        <f t="shared" ca="1" si="2"/>
        <v>7.9999999999991189E-3</v>
      </c>
      <c r="I45" s="5">
        <f t="shared" ca="1" si="3"/>
        <v>3.2921810699584853E-4</v>
      </c>
      <c r="J45" s="10">
        <f t="shared" si="4"/>
        <v>0.35833333333333317</v>
      </c>
      <c r="K45" s="12">
        <f t="shared" ca="1" si="5"/>
        <v>0.35899999999999976</v>
      </c>
      <c r="L45" s="5">
        <f t="shared" ca="1" si="6"/>
        <v>1.8604651162788656E-3</v>
      </c>
      <c r="N45">
        <f t="shared" ca="1" si="7"/>
        <v>-0.69200000000000017</v>
      </c>
      <c r="O45">
        <f t="shared" ca="1" si="8"/>
        <v>9.9896199999999994E-4</v>
      </c>
      <c r="P45">
        <f t="shared" ca="1" si="9"/>
        <v>0.9999827</v>
      </c>
      <c r="Q45">
        <f t="shared" ca="1" si="10"/>
        <v>0.35799484458204239</v>
      </c>
      <c r="R45">
        <f t="shared" ca="1" si="11"/>
        <v>1909.3058377708928</v>
      </c>
      <c r="S45">
        <f t="shared" ca="1" si="17"/>
        <v>0.72812729494293804</v>
      </c>
      <c r="T45">
        <f t="shared" ca="1" si="12"/>
        <v>0</v>
      </c>
      <c r="U45">
        <f t="shared" ca="1" si="13"/>
        <v>1910</v>
      </c>
      <c r="V45">
        <f t="shared" ca="1" si="14"/>
        <v>0.35812500000000003</v>
      </c>
      <c r="X45">
        <f t="shared" ca="1" si="15"/>
        <v>0.35713221638734355</v>
      </c>
    </row>
    <row r="46" spans="5:24" x14ac:dyDescent="0.25">
      <c r="E46">
        <v>44</v>
      </c>
      <c r="F46">
        <f t="shared" si="0"/>
        <v>24.4</v>
      </c>
      <c r="G46">
        <f t="shared" ca="1" si="1"/>
        <v>24.398999999999997</v>
      </c>
      <c r="H46" s="5">
        <f t="shared" ca="1" si="2"/>
        <v>1.0000000000012221E-3</v>
      </c>
      <c r="I46" s="5">
        <f t="shared" ca="1" si="3"/>
        <v>4.0983606557427139E-5</v>
      </c>
      <c r="J46" s="10">
        <f t="shared" si="4"/>
        <v>0.36666666666666647</v>
      </c>
      <c r="K46" s="12">
        <f t="shared" ca="1" si="5"/>
        <v>0.36658333333333304</v>
      </c>
      <c r="L46" s="5">
        <f t="shared" ca="1" si="6"/>
        <v>2.2727272727300515E-4</v>
      </c>
      <c r="N46">
        <f t="shared" ca="1" si="7"/>
        <v>-0.60100000000000264</v>
      </c>
      <c r="O46">
        <f t="shared" ca="1" si="8"/>
        <v>9.9909850000000008E-4</v>
      </c>
      <c r="P46">
        <f t="shared" ca="1" si="9"/>
        <v>0.99998497500000005</v>
      </c>
      <c r="Q46">
        <f t="shared" ca="1" si="10"/>
        <v>0.36557874193020468</v>
      </c>
      <c r="R46">
        <f t="shared" ca="1" si="11"/>
        <v>1949.7532902944249</v>
      </c>
      <c r="S46">
        <f t="shared" ca="1" si="17"/>
        <v>0.74337403119302359</v>
      </c>
      <c r="T46">
        <f t="shared" ca="1" si="12"/>
        <v>2</v>
      </c>
      <c r="U46">
        <f t="shared" ca="1" si="13"/>
        <v>1952</v>
      </c>
      <c r="V46">
        <f t="shared" ca="1" si="14"/>
        <v>0.36599999999999999</v>
      </c>
      <c r="X46">
        <f t="shared" ca="1" si="15"/>
        <v>0.3650063857209454</v>
      </c>
    </row>
    <row r="47" spans="5:24" x14ac:dyDescent="0.25">
      <c r="E47">
        <v>45</v>
      </c>
      <c r="F47">
        <f t="shared" si="0"/>
        <v>24.5</v>
      </c>
      <c r="G47">
        <f t="shared" ca="1" si="1"/>
        <v>24.504000000000001</v>
      </c>
      <c r="H47" s="5">
        <f t="shared" ca="1" si="2"/>
        <v>4.0000000000013358E-3</v>
      </c>
      <c r="I47" s="5">
        <f t="shared" ca="1" si="3"/>
        <v>1.6326530612250352E-4</v>
      </c>
      <c r="J47" s="10">
        <f t="shared" si="4"/>
        <v>0.37499999999999978</v>
      </c>
      <c r="K47" s="12">
        <f t="shared" ca="1" si="5"/>
        <v>0.37533333333333307</v>
      </c>
      <c r="L47" s="5">
        <f t="shared" ca="1" si="6"/>
        <v>8.8888888888879157E-4</v>
      </c>
      <c r="N47">
        <f t="shared" ca="1" si="7"/>
        <v>-0.49599999999999866</v>
      </c>
      <c r="O47">
        <f t="shared" ca="1" si="8"/>
        <v>9.9925600000000002E-4</v>
      </c>
      <c r="P47">
        <f t="shared" ca="1" si="9"/>
        <v>0.99998759999999998</v>
      </c>
      <c r="Q47">
        <f t="shared" ca="1" si="10"/>
        <v>0.37432943559077414</v>
      </c>
      <c r="R47">
        <f t="shared" ca="1" si="11"/>
        <v>1996.4236564841287</v>
      </c>
      <c r="S47">
        <f t="shared" ca="1" si="17"/>
        <v>0.76095260004090159</v>
      </c>
      <c r="T47">
        <f t="shared" ca="1" si="12"/>
        <v>3</v>
      </c>
      <c r="U47">
        <f t="shared" ca="1" si="13"/>
        <v>2000</v>
      </c>
      <c r="V47">
        <f t="shared" ca="1" si="14"/>
        <v>0.375</v>
      </c>
      <c r="X47">
        <f t="shared" ca="1" si="15"/>
        <v>0.37400538166673269</v>
      </c>
    </row>
    <row r="48" spans="5:24" x14ac:dyDescent="0.25">
      <c r="E48">
        <v>46</v>
      </c>
      <c r="F48">
        <f t="shared" si="0"/>
        <v>24.6</v>
      </c>
      <c r="G48">
        <f t="shared" ca="1" si="1"/>
        <v>24.594000000000001</v>
      </c>
      <c r="H48" s="5">
        <f t="shared" ca="1" si="2"/>
        <v>6.0000000000002274E-3</v>
      </c>
      <c r="I48" s="5">
        <f t="shared" ca="1" si="3"/>
        <v>2.4390243902439946E-4</v>
      </c>
      <c r="J48" s="10">
        <f t="shared" si="4"/>
        <v>0.38333333333333308</v>
      </c>
      <c r="K48" s="12">
        <f t="shared" ca="1" si="5"/>
        <v>0.38283333333333336</v>
      </c>
      <c r="L48" s="5">
        <f t="shared" ca="1" si="6"/>
        <v>1.3043478260862345E-3</v>
      </c>
      <c r="N48">
        <f t="shared" ca="1" si="7"/>
        <v>-0.40599999999999881</v>
      </c>
      <c r="O48">
        <f t="shared" ca="1" si="8"/>
        <v>9.9939100000000008E-4</v>
      </c>
      <c r="P48">
        <f t="shared" ca="1" si="9"/>
        <v>0.99998984999999996</v>
      </c>
      <c r="Q48">
        <f t="shared" ca="1" si="10"/>
        <v>0.38183006671881864</v>
      </c>
      <c r="R48">
        <f t="shared" ca="1" si="11"/>
        <v>2036.4270225003661</v>
      </c>
      <c r="S48">
        <f t="shared" ca="1" si="17"/>
        <v>0.77600790573304745</v>
      </c>
      <c r="T48">
        <f t="shared" ca="1" si="12"/>
        <v>3</v>
      </c>
      <c r="U48">
        <f t="shared" ca="1" si="13"/>
        <v>2040</v>
      </c>
      <c r="V48">
        <f t="shared" ca="1" si="14"/>
        <v>0.38250000000000001</v>
      </c>
      <c r="X48">
        <f t="shared" ca="1" si="15"/>
        <v>0.38150448127048492</v>
      </c>
    </row>
    <row r="49" spans="5:24" x14ac:dyDescent="0.25">
      <c r="E49">
        <v>47</v>
      </c>
      <c r="F49">
        <f t="shared" si="0"/>
        <v>24.7</v>
      </c>
      <c r="G49">
        <f t="shared" ca="1" si="1"/>
        <v>24.689999999999998</v>
      </c>
      <c r="H49" s="5">
        <f t="shared" ca="1" si="2"/>
        <v>1.0000000000001563E-2</v>
      </c>
      <c r="I49" s="5">
        <f t="shared" ca="1" si="3"/>
        <v>4.04858299595205E-4</v>
      </c>
      <c r="J49" s="10">
        <f t="shared" si="4"/>
        <v>0.39166666666666639</v>
      </c>
      <c r="K49" s="12">
        <f t="shared" ca="1" si="5"/>
        <v>0.39083333333333292</v>
      </c>
      <c r="L49" s="5">
        <f t="shared" ca="1" si="6"/>
        <v>2.1276595744684191E-3</v>
      </c>
      <c r="N49">
        <f t="shared" ca="1" si="7"/>
        <v>-0.31000000000000227</v>
      </c>
      <c r="O49">
        <f t="shared" ca="1" si="8"/>
        <v>9.9953499999999996E-4</v>
      </c>
      <c r="P49">
        <f t="shared" ca="1" si="9"/>
        <v>0.99999225000000003</v>
      </c>
      <c r="Q49">
        <f t="shared" ca="1" si="10"/>
        <v>0.38983077712139586</v>
      </c>
      <c r="R49">
        <f t="shared" ca="1" si="11"/>
        <v>2079.097477980778</v>
      </c>
      <c r="S49">
        <f t="shared" ca="1" si="17"/>
        <v>0.79205438626391711</v>
      </c>
      <c r="T49">
        <f t="shared" ca="1" si="12"/>
        <v>3</v>
      </c>
      <c r="U49">
        <f t="shared" ca="1" si="13"/>
        <v>2083</v>
      </c>
      <c r="V49">
        <f t="shared" ca="1" si="14"/>
        <v>0.39056250000000003</v>
      </c>
      <c r="X49">
        <f t="shared" ca="1" si="15"/>
        <v>0.38956598413637711</v>
      </c>
    </row>
    <row r="50" spans="5:24" x14ac:dyDescent="0.25">
      <c r="E50">
        <v>48</v>
      </c>
      <c r="F50">
        <f t="shared" si="0"/>
        <v>24.8</v>
      </c>
      <c r="G50">
        <f t="shared" ca="1" si="1"/>
        <v>24.795000000000002</v>
      </c>
      <c r="H50" s="5">
        <f t="shared" ca="1" si="2"/>
        <v>4.9999999999990052E-3</v>
      </c>
      <c r="I50" s="5">
        <f t="shared" ca="1" si="3"/>
        <v>2.0161290322576634E-4</v>
      </c>
      <c r="J50" s="10">
        <f t="shared" si="4"/>
        <v>0.39999999999999969</v>
      </c>
      <c r="K50" s="12">
        <f t="shared" ca="1" si="5"/>
        <v>0.3995833333333334</v>
      </c>
      <c r="L50" s="5">
        <f t="shared" ca="1" si="6"/>
        <v>1.0416666666657201E-3</v>
      </c>
      <c r="N50">
        <f t="shared" ca="1" si="7"/>
        <v>-0.20499999999999829</v>
      </c>
      <c r="O50">
        <f t="shared" ca="1" si="8"/>
        <v>9.9969250000000011E-4</v>
      </c>
      <c r="P50">
        <f t="shared" ca="1" si="9"/>
        <v>0.99999487499999995</v>
      </c>
      <c r="Q50">
        <f t="shared" ca="1" si="10"/>
        <v>0.39858159809217414</v>
      </c>
      <c r="R50">
        <f t="shared" ca="1" si="11"/>
        <v>2125.7685231582618</v>
      </c>
      <c r="S50">
        <f t="shared" ca="1" si="17"/>
        <v>0.80959012455725277</v>
      </c>
      <c r="T50">
        <f t="shared" ca="1" si="12"/>
        <v>3</v>
      </c>
      <c r="U50">
        <f t="shared" ca="1" si="13"/>
        <v>2130</v>
      </c>
      <c r="V50">
        <f t="shared" ca="1" si="14"/>
        <v>0.39937500000000004</v>
      </c>
      <c r="X50">
        <f t="shared" ca="1" si="15"/>
        <v>0.39837734918391465</v>
      </c>
    </row>
    <row r="51" spans="5:24" x14ac:dyDescent="0.25">
      <c r="E51">
        <v>49</v>
      </c>
      <c r="F51">
        <f t="shared" si="0"/>
        <v>24.9</v>
      </c>
      <c r="G51">
        <f t="shared" ca="1" si="1"/>
        <v>24.892999999999997</v>
      </c>
      <c r="H51" s="5">
        <f t="shared" ca="1" si="2"/>
        <v>7.0000000000014495E-3</v>
      </c>
      <c r="I51" s="5">
        <f t="shared" ca="1" si="3"/>
        <v>2.8112449799202609E-4</v>
      </c>
      <c r="J51" s="10">
        <f t="shared" si="4"/>
        <v>0.40833333333333299</v>
      </c>
      <c r="K51" s="12">
        <f t="shared" ca="1" si="5"/>
        <v>0.40774999999999939</v>
      </c>
      <c r="L51" s="5">
        <f t="shared" ca="1" si="6"/>
        <v>1.4285714285720882E-3</v>
      </c>
      <c r="N51">
        <f t="shared" ca="1" si="7"/>
        <v>-0.10700000000000287</v>
      </c>
      <c r="O51">
        <f t="shared" ca="1" si="8"/>
        <v>9.9983949999999993E-4</v>
      </c>
      <c r="P51">
        <f t="shared" ca="1" si="9"/>
        <v>0.99999732500000005</v>
      </c>
      <c r="Q51">
        <f t="shared" ca="1" si="10"/>
        <v>0.40674907244332009</v>
      </c>
      <c r="R51">
        <f t="shared" ca="1" si="11"/>
        <v>2169.3283863643737</v>
      </c>
      <c r="S51">
        <f t="shared" ca="1" si="17"/>
        <v>0.82594227937936915</v>
      </c>
      <c r="T51">
        <f t="shared" ca="1" si="12"/>
        <v>0</v>
      </c>
      <c r="U51">
        <f t="shared" ca="1" si="13"/>
        <v>2170</v>
      </c>
      <c r="V51">
        <f t="shared" ca="1" si="14"/>
        <v>0.40687499999999999</v>
      </c>
      <c r="X51">
        <f t="shared" ca="1" si="15"/>
        <v>0.40587624621895863</v>
      </c>
    </row>
    <row r="52" spans="5:24" x14ac:dyDescent="0.25">
      <c r="E52">
        <v>50</v>
      </c>
      <c r="F52">
        <f t="shared" si="0"/>
        <v>25</v>
      </c>
      <c r="G52">
        <f t="shared" ca="1" si="1"/>
        <v>25.009</v>
      </c>
      <c r="H52" s="5">
        <f t="shared" ca="1" si="2"/>
        <v>9.0000000000003411E-3</v>
      </c>
      <c r="I52" s="5">
        <f t="shared" ca="1" si="3"/>
        <v>3.6000000000001363E-4</v>
      </c>
      <c r="J52" s="10">
        <f t="shared" si="4"/>
        <v>0.4166666666666663</v>
      </c>
      <c r="K52" s="12">
        <f t="shared" ca="1" si="5"/>
        <v>0.41741666666666633</v>
      </c>
      <c r="L52" s="5">
        <f t="shared" ca="1" si="6"/>
        <v>1.8000000000000698E-3</v>
      </c>
      <c r="N52">
        <f t="shared" ca="1" si="7"/>
        <v>9.0000000000003411E-3</v>
      </c>
      <c r="O52">
        <f t="shared" ca="1" si="8"/>
        <v>1.0000135000000001E-3</v>
      </c>
      <c r="P52">
        <f t="shared" ca="1" si="9"/>
        <v>1.000000225</v>
      </c>
      <c r="Q52">
        <f t="shared" ca="1" si="10"/>
        <v>0.41641674686041324</v>
      </c>
      <c r="R52">
        <f t="shared" ca="1" si="11"/>
        <v>2220.8893165888708</v>
      </c>
      <c r="S52">
        <f t="shared" ca="1" si="17"/>
        <v>0.84527935496458961</v>
      </c>
      <c r="T52">
        <f t="shared" ca="1" si="12"/>
        <v>-3</v>
      </c>
      <c r="U52">
        <f t="shared" ca="1" si="13"/>
        <v>2219</v>
      </c>
      <c r="V52">
        <f t="shared" ca="1" si="14"/>
        <v>0.4160625</v>
      </c>
      <c r="X52">
        <f t="shared" ca="1" si="15"/>
        <v>0.41506239311096155</v>
      </c>
    </row>
    <row r="53" spans="5:24" x14ac:dyDescent="0.25">
      <c r="E53">
        <v>51</v>
      </c>
      <c r="F53">
        <f t="shared" si="0"/>
        <v>25.1</v>
      </c>
      <c r="G53">
        <f t="shared" ca="1" si="1"/>
        <v>25.096</v>
      </c>
      <c r="H53" s="5">
        <f t="shared" ca="1" si="2"/>
        <v>4.0000000000013358E-3</v>
      </c>
      <c r="I53" s="5">
        <f t="shared" ca="1" si="3"/>
        <v>1.5936254980085003E-4</v>
      </c>
      <c r="J53" s="10">
        <f t="shared" si="4"/>
        <v>0.42500000000000004</v>
      </c>
      <c r="K53" s="12">
        <f t="shared" ca="1" si="5"/>
        <v>0.4246666666666663</v>
      </c>
      <c r="L53" s="5">
        <f t="shared" ca="1" si="6"/>
        <v>7.8431372549115448E-4</v>
      </c>
      <c r="N53">
        <f t="shared" ca="1" si="7"/>
        <v>9.6000000000000085E-2</v>
      </c>
      <c r="O53">
        <f t="shared" ca="1" si="8"/>
        <v>1.0001440000000001E-3</v>
      </c>
      <c r="P53">
        <f t="shared" ca="1" si="9"/>
        <v>1.0000024000000001</v>
      </c>
      <c r="Q53">
        <f t="shared" ca="1" si="10"/>
        <v>0.42366753946632074</v>
      </c>
      <c r="R53">
        <f t="shared" ca="1" si="11"/>
        <v>2259.5602104870441</v>
      </c>
      <c r="S53">
        <f t="shared" ca="1" si="17"/>
        <v>0.85976870564167751</v>
      </c>
      <c r="T53">
        <f t="shared" ca="1" si="12"/>
        <v>2</v>
      </c>
      <c r="U53">
        <f t="shared" ca="1" si="13"/>
        <v>2262</v>
      </c>
      <c r="V53">
        <f t="shared" ca="1" si="14"/>
        <v>0.42412500000000003</v>
      </c>
      <c r="X53">
        <f t="shared" ca="1" si="15"/>
        <v>0.42312384050278279</v>
      </c>
    </row>
    <row r="54" spans="5:24" x14ac:dyDescent="0.25">
      <c r="E54">
        <v>52</v>
      </c>
      <c r="F54">
        <f t="shared" si="0"/>
        <v>25.2</v>
      </c>
      <c r="G54">
        <f t="shared" ca="1" si="1"/>
        <v>25.195999999999998</v>
      </c>
      <c r="H54" s="5">
        <f t="shared" ca="1" si="2"/>
        <v>4.0000000000013358E-3</v>
      </c>
      <c r="I54" s="5">
        <f t="shared" ca="1" si="3"/>
        <v>1.5873015873021175E-4</v>
      </c>
      <c r="J54" s="10">
        <f t="shared" si="4"/>
        <v>0.4333333333333329</v>
      </c>
      <c r="K54" s="12">
        <f t="shared" ca="1" si="5"/>
        <v>0.43299999999999961</v>
      </c>
      <c r="L54" s="5">
        <f t="shared" ca="1" si="6"/>
        <v>7.6923076923068531E-4</v>
      </c>
      <c r="N54">
        <f t="shared" ca="1" si="7"/>
        <v>0.19599999999999795</v>
      </c>
      <c r="O54">
        <f t="shared" ca="1" si="8"/>
        <v>1.0002940000000001E-3</v>
      </c>
      <c r="P54">
        <f t="shared" ca="1" si="9"/>
        <v>1.0000049</v>
      </c>
      <c r="Q54">
        <f t="shared" ca="1" si="10"/>
        <v>0.43200182279855898</v>
      </c>
      <c r="R54">
        <f t="shared" ca="1" si="11"/>
        <v>2304.0097215923147</v>
      </c>
      <c r="S54">
        <f t="shared" ca="1" si="17"/>
        <v>0.87640859822412898</v>
      </c>
      <c r="T54">
        <f t="shared" ca="1" si="12"/>
        <v>0</v>
      </c>
      <c r="U54">
        <f t="shared" ca="1" si="13"/>
        <v>2305</v>
      </c>
      <c r="V54">
        <f t="shared" ca="1" si="14"/>
        <v>0.4321875</v>
      </c>
      <c r="X54">
        <f t="shared" ca="1" si="15"/>
        <v>0.43118509319304338</v>
      </c>
    </row>
    <row r="55" spans="5:24" x14ac:dyDescent="0.25">
      <c r="E55">
        <v>53</v>
      </c>
      <c r="F55">
        <f t="shared" si="0"/>
        <v>25.3</v>
      </c>
      <c r="G55">
        <f t="shared" ca="1" si="1"/>
        <v>25.292999999999999</v>
      </c>
      <c r="H55" s="5">
        <f t="shared" ca="1" si="2"/>
        <v>7.0000000000014495E-3</v>
      </c>
      <c r="I55" s="5">
        <f t="shared" ca="1" si="3"/>
        <v>2.7667984189729049E-4</v>
      </c>
      <c r="J55" s="10">
        <f t="shared" si="4"/>
        <v>0.44166666666666665</v>
      </c>
      <c r="K55" s="12">
        <f t="shared" ca="1" si="5"/>
        <v>0.44108333333333305</v>
      </c>
      <c r="L55" s="5">
        <f t="shared" ca="1" si="6"/>
        <v>1.3207547169817408E-3</v>
      </c>
      <c r="N55">
        <f t="shared" ca="1" si="7"/>
        <v>0.29299999999999926</v>
      </c>
      <c r="O55">
        <f t="shared" ca="1" si="8"/>
        <v>1.0004395000000001E-3</v>
      </c>
      <c r="P55">
        <f t="shared" ca="1" si="9"/>
        <v>1.0000073249999999</v>
      </c>
      <c r="Q55">
        <f t="shared" ca="1" si="10"/>
        <v>0.44008611744053033</v>
      </c>
      <c r="R55">
        <f t="shared" ca="1" si="11"/>
        <v>2347.1259596828286</v>
      </c>
      <c r="S55">
        <f t="shared" ca="1" si="17"/>
        <v>0.89253416913600103</v>
      </c>
      <c r="T55">
        <f t="shared" ca="1" si="12"/>
        <v>2</v>
      </c>
      <c r="U55">
        <f t="shared" ca="1" si="13"/>
        <v>2350</v>
      </c>
      <c r="V55">
        <f t="shared" ca="1" si="14"/>
        <v>0.44062499999999999</v>
      </c>
      <c r="X55">
        <f t="shared" ca="1" si="15"/>
        <v>0.43962134027368255</v>
      </c>
    </row>
    <row r="56" spans="5:24" x14ac:dyDescent="0.25">
      <c r="E56">
        <v>54</v>
      </c>
      <c r="F56">
        <f t="shared" si="0"/>
        <v>25.4</v>
      </c>
      <c r="G56">
        <f t="shared" ca="1" si="1"/>
        <v>25.41</v>
      </c>
      <c r="H56" s="5">
        <f t="shared" ca="1" si="2"/>
        <v>1.0000000000001563E-2</v>
      </c>
      <c r="I56" s="5">
        <f t="shared" ca="1" si="3"/>
        <v>3.9370078740163638E-4</v>
      </c>
      <c r="J56" s="10">
        <f t="shared" si="4"/>
        <v>0.44999999999999951</v>
      </c>
      <c r="K56" s="12">
        <f t="shared" ca="1" si="5"/>
        <v>0.45083333333333298</v>
      </c>
      <c r="L56" s="5">
        <f t="shared" ca="1" si="6"/>
        <v>1.8518518518521434E-3</v>
      </c>
      <c r="N56">
        <f t="shared" ca="1" si="7"/>
        <v>0.41000000000000014</v>
      </c>
      <c r="O56">
        <f t="shared" ca="1" si="8"/>
        <v>1.0006150000000001E-3</v>
      </c>
      <c r="P56">
        <f t="shared" ca="1" si="9"/>
        <v>1.0000102500000001</v>
      </c>
      <c r="Q56">
        <f t="shared" ca="1" si="10"/>
        <v>0.44983732911869595</v>
      </c>
      <c r="R56">
        <f t="shared" ca="1" si="11"/>
        <v>2399.1324219663784</v>
      </c>
      <c r="S56">
        <f t="shared" ca="1" si="17"/>
        <v>0.91196438639379929</v>
      </c>
      <c r="T56">
        <f t="shared" ca="1" si="12"/>
        <v>1</v>
      </c>
      <c r="U56">
        <f t="shared" ca="1" si="13"/>
        <v>2401</v>
      </c>
      <c r="V56">
        <f t="shared" ca="1" si="14"/>
        <v>0.45018750000000002</v>
      </c>
      <c r="X56">
        <f t="shared" ca="1" si="15"/>
        <v>0.44918228088162093</v>
      </c>
    </row>
    <row r="57" spans="5:24" x14ac:dyDescent="0.25">
      <c r="E57">
        <v>55</v>
      </c>
      <c r="F57">
        <f t="shared" si="0"/>
        <v>25.5</v>
      </c>
      <c r="G57">
        <f t="shared" ca="1" si="1"/>
        <v>25.5</v>
      </c>
      <c r="H57" s="5">
        <f t="shared" ca="1" si="2"/>
        <v>0</v>
      </c>
      <c r="I57" s="5">
        <f t="shared" ca="1" si="3"/>
        <v>0</v>
      </c>
      <c r="J57" s="10">
        <f t="shared" si="4"/>
        <v>0.45833333333333326</v>
      </c>
      <c r="K57" s="12">
        <f t="shared" ca="1" si="5"/>
        <v>0.45833333333333326</v>
      </c>
      <c r="L57" s="5">
        <f t="shared" ca="1" si="6"/>
        <v>0</v>
      </c>
      <c r="N57">
        <f t="shared" ca="1" si="7"/>
        <v>0.5</v>
      </c>
      <c r="O57">
        <f t="shared" ca="1" si="8"/>
        <v>1.0007500000000001E-3</v>
      </c>
      <c r="P57">
        <f t="shared" ca="1" si="9"/>
        <v>1.0000125</v>
      </c>
      <c r="Q57">
        <f t="shared" ca="1" si="10"/>
        <v>0.45733829999062492</v>
      </c>
      <c r="R57">
        <f t="shared" ca="1" si="11"/>
        <v>2439.1375999499996</v>
      </c>
      <c r="S57">
        <f t="shared" ca="1" si="17"/>
        <v>0.9268953820964424</v>
      </c>
      <c r="T57">
        <f t="shared" ca="1" si="12"/>
        <v>1</v>
      </c>
      <c r="U57">
        <f t="shared" ca="1" si="13"/>
        <v>2441</v>
      </c>
      <c r="V57">
        <f t="shared" ca="1" si="14"/>
        <v>0.45768750000000002</v>
      </c>
      <c r="X57">
        <f t="shared" ca="1" si="15"/>
        <v>0.45668104148698146</v>
      </c>
    </row>
    <row r="58" spans="5:24" x14ac:dyDescent="0.25">
      <c r="E58">
        <v>56</v>
      </c>
      <c r="F58">
        <f t="shared" si="0"/>
        <v>25.6</v>
      </c>
      <c r="G58">
        <f t="shared" ca="1" si="1"/>
        <v>25.596</v>
      </c>
      <c r="H58" s="5">
        <f t="shared" ca="1" si="2"/>
        <v>4.0000000000013358E-3</v>
      </c>
      <c r="I58" s="5">
        <f t="shared" ca="1" si="3"/>
        <v>1.5625000000005218E-4</v>
      </c>
      <c r="J58" s="10">
        <f t="shared" si="4"/>
        <v>0.46666666666666656</v>
      </c>
      <c r="K58" s="12">
        <f t="shared" ca="1" si="5"/>
        <v>0.46633333333333327</v>
      </c>
      <c r="L58" s="5">
        <f t="shared" ca="1" si="6"/>
        <v>7.1428571428563579E-4</v>
      </c>
      <c r="N58">
        <f t="shared" ca="1" si="7"/>
        <v>0.59600000000000009</v>
      </c>
      <c r="O58">
        <f t="shared" ca="1" si="8"/>
        <v>1.000894E-3</v>
      </c>
      <c r="P58">
        <f t="shared" ca="1" si="9"/>
        <v>1.0000149</v>
      </c>
      <c r="Q58">
        <f t="shared" ca="1" si="10"/>
        <v>0.46533937278667936</v>
      </c>
      <c r="R58">
        <f t="shared" ca="1" si="11"/>
        <v>2481.8099881956232</v>
      </c>
      <c r="S58">
        <f t="shared" ca="1" si="17"/>
        <v>0.9428068170230911</v>
      </c>
      <c r="T58">
        <f t="shared" ca="1" si="12"/>
        <v>3</v>
      </c>
      <c r="U58">
        <f t="shared" ca="1" si="13"/>
        <v>2486</v>
      </c>
      <c r="V58">
        <f t="shared" ca="1" si="14"/>
        <v>0.46612500000000001</v>
      </c>
      <c r="X58">
        <f t="shared" ca="1" si="15"/>
        <v>0.46511717575408129</v>
      </c>
    </row>
    <row r="59" spans="5:24" x14ac:dyDescent="0.25">
      <c r="E59">
        <v>57</v>
      </c>
      <c r="F59">
        <f t="shared" si="0"/>
        <v>25.7</v>
      </c>
      <c r="G59">
        <f t="shared" ca="1" si="1"/>
        <v>25.696999999999999</v>
      </c>
      <c r="H59" s="5">
        <f t="shared" ca="1" si="2"/>
        <v>3.0000000000001137E-3</v>
      </c>
      <c r="I59" s="5">
        <f t="shared" ca="1" si="3"/>
        <v>1.1673151750973205E-4</v>
      </c>
      <c r="J59" s="10">
        <f t="shared" si="4"/>
        <v>0.47499999999999987</v>
      </c>
      <c r="K59" s="12">
        <f t="shared" ca="1" si="5"/>
        <v>0.47474999999999956</v>
      </c>
      <c r="L59" s="5">
        <f t="shared" ca="1" si="6"/>
        <v>5.2631578947432756E-4</v>
      </c>
      <c r="N59">
        <f t="shared" ca="1" si="7"/>
        <v>0.69699999999999918</v>
      </c>
      <c r="O59">
        <f t="shared" ca="1" si="8"/>
        <v>1.0010455000000001E-3</v>
      </c>
      <c r="P59">
        <f t="shared" ca="1" si="9"/>
        <v>1.000017425</v>
      </c>
      <c r="Q59">
        <f t="shared" ca="1" si="10"/>
        <v>0.47375720957553169</v>
      </c>
      <c r="R59">
        <f t="shared" ca="1" si="11"/>
        <v>2526.7051177361691</v>
      </c>
      <c r="S59">
        <f t="shared" ca="1" si="17"/>
        <v>0.95953001527285375</v>
      </c>
      <c r="T59">
        <f t="shared" ca="1" si="12"/>
        <v>-2</v>
      </c>
      <c r="U59">
        <f t="shared" ca="1" si="13"/>
        <v>2526</v>
      </c>
      <c r="V59">
        <f t="shared" ca="1" si="14"/>
        <v>0.47362500000000002</v>
      </c>
      <c r="X59">
        <f t="shared" ca="1" si="15"/>
        <v>0.47261571917109346</v>
      </c>
    </row>
    <row r="60" spans="5:24" x14ac:dyDescent="0.25">
      <c r="E60">
        <v>58</v>
      </c>
      <c r="F60">
        <f t="shared" si="0"/>
        <v>25.8</v>
      </c>
      <c r="G60">
        <f t="shared" ca="1" si="1"/>
        <v>25.807000000000002</v>
      </c>
      <c r="H60" s="5">
        <f t="shared" ca="1" si="2"/>
        <v>7.0000000000014495E-3</v>
      </c>
      <c r="I60" s="5">
        <f t="shared" ca="1" si="3"/>
        <v>2.7131782945742053E-4</v>
      </c>
      <c r="J60" s="10">
        <f t="shared" si="4"/>
        <v>0.48333333333333317</v>
      </c>
      <c r="K60" s="12">
        <f t="shared" ca="1" si="5"/>
        <v>0.48391666666666677</v>
      </c>
      <c r="L60" s="5">
        <f t="shared" ca="1" si="6"/>
        <v>1.2068965517246944E-3</v>
      </c>
      <c r="N60">
        <f t="shared" ca="1" si="7"/>
        <v>0.80700000000000216</v>
      </c>
      <c r="O60">
        <f t="shared" ca="1" si="8"/>
        <v>1.0012104999999999E-3</v>
      </c>
      <c r="P60">
        <f t="shared" ca="1" si="9"/>
        <v>1.000020175</v>
      </c>
      <c r="Q60">
        <f t="shared" ca="1" si="10"/>
        <v>0.4829251989859949</v>
      </c>
      <c r="R60">
        <f t="shared" ca="1" si="11"/>
        <v>2575.6010612586392</v>
      </c>
      <c r="S60">
        <f t="shared" ca="1" si="17"/>
        <v>0.97772326133463439</v>
      </c>
      <c r="T60">
        <f t="shared" ca="1" si="12"/>
        <v>0</v>
      </c>
      <c r="U60">
        <f t="shared" ca="1" si="13"/>
        <v>2577</v>
      </c>
      <c r="V60">
        <f t="shared" ca="1" si="14"/>
        <v>0.48318749999999999</v>
      </c>
      <c r="X60">
        <f t="shared" ca="1" si="15"/>
        <v>0.48217656158786998</v>
      </c>
    </row>
    <row r="61" spans="5:24" x14ac:dyDescent="0.25">
      <c r="E61">
        <v>59</v>
      </c>
      <c r="F61">
        <f t="shared" si="0"/>
        <v>25.9</v>
      </c>
      <c r="G61">
        <f t="shared" ca="1" si="1"/>
        <v>25.91</v>
      </c>
      <c r="H61" s="5">
        <f t="shared" ca="1" si="2"/>
        <v>1.0000000000001563E-2</v>
      </c>
      <c r="I61" s="5">
        <f t="shared" ca="1" si="3"/>
        <v>3.8610038610044649E-4</v>
      </c>
      <c r="J61" s="10">
        <f t="shared" si="4"/>
        <v>0.49166666666666647</v>
      </c>
      <c r="K61" s="12">
        <f t="shared" ca="1" si="5"/>
        <v>0.49249999999999994</v>
      </c>
      <c r="L61" s="5">
        <f t="shared" ca="1" si="6"/>
        <v>1.6949152542375537E-3</v>
      </c>
      <c r="N61">
        <f t="shared" ca="1" si="7"/>
        <v>0.91000000000000014</v>
      </c>
      <c r="O61">
        <f t="shared" ca="1" si="8"/>
        <v>1.0013649999999999E-3</v>
      </c>
      <c r="P61">
        <f t="shared" ca="1" si="9"/>
        <v>1.0000227500000001</v>
      </c>
      <c r="Q61">
        <f t="shared" ca="1" si="10"/>
        <v>0.49150981659394627</v>
      </c>
      <c r="R61">
        <f t="shared" ca="1" si="11"/>
        <v>2621.3856885010468</v>
      </c>
      <c r="S61">
        <f t="shared" ca="1" si="17"/>
        <v>0.99473937480311636</v>
      </c>
      <c r="T61">
        <f t="shared" ca="1" si="12"/>
        <v>-2</v>
      </c>
      <c r="U61">
        <f t="shared" ca="1" si="13"/>
        <v>2620</v>
      </c>
      <c r="V61">
        <f t="shared" ca="1" si="14"/>
        <v>0.49125000000000002</v>
      </c>
      <c r="X61">
        <f t="shared" ca="1" si="15"/>
        <v>0.4902374820972823</v>
      </c>
    </row>
    <row r="62" spans="5:24" x14ac:dyDescent="0.25">
      <c r="E62">
        <v>60</v>
      </c>
      <c r="F62">
        <f t="shared" si="0"/>
        <v>26</v>
      </c>
      <c r="G62">
        <f t="shared" ca="1" si="1"/>
        <v>25.994</v>
      </c>
      <c r="H62" s="5">
        <f t="shared" ca="1" si="2"/>
        <v>6.0000000000002274E-3</v>
      </c>
      <c r="I62" s="5">
        <f t="shared" ca="1" si="3"/>
        <v>2.3076923076923952E-4</v>
      </c>
      <c r="J62" s="10">
        <f t="shared" si="4"/>
        <v>0.49999999999999978</v>
      </c>
      <c r="K62" s="12">
        <f t="shared" ca="1" si="5"/>
        <v>0.49949999999999961</v>
      </c>
      <c r="L62" s="5">
        <f t="shared" ca="1" si="6"/>
        <v>1.0000000000003344E-3</v>
      </c>
      <c r="N62">
        <f t="shared" ca="1" si="7"/>
        <v>0.99399999999999977</v>
      </c>
      <c r="O62">
        <f t="shared" ca="1" si="8"/>
        <v>1.001491E-3</v>
      </c>
      <c r="P62">
        <f t="shared" ca="1" si="9"/>
        <v>1.00002485</v>
      </c>
      <c r="Q62">
        <f t="shared" ca="1" si="10"/>
        <v>0.49851089668794824</v>
      </c>
      <c r="R62">
        <f t="shared" ca="1" si="11"/>
        <v>2658.7247823357238</v>
      </c>
      <c r="S62">
        <f t="shared" ca="1" si="17"/>
        <v>1.0086024838272241</v>
      </c>
      <c r="T62">
        <f t="shared" ca="1" si="12"/>
        <v>2</v>
      </c>
      <c r="U62">
        <f t="shared" ca="1" si="13"/>
        <v>2662</v>
      </c>
      <c r="V62">
        <f t="shared" ca="1" si="14"/>
        <v>0.49912499999999999</v>
      </c>
      <c r="X62">
        <f t="shared" ca="1" si="15"/>
        <v>0.49811113093839615</v>
      </c>
    </row>
    <row r="63" spans="5:24" x14ac:dyDescent="0.25">
      <c r="E63">
        <v>61</v>
      </c>
      <c r="F63">
        <f t="shared" si="0"/>
        <v>26.1</v>
      </c>
      <c r="G63">
        <f t="shared" ca="1" si="1"/>
        <v>26.097000000000001</v>
      </c>
      <c r="H63" s="5">
        <f t="shared" ca="1" si="2"/>
        <v>3.0000000000001137E-3</v>
      </c>
      <c r="I63" s="5">
        <f t="shared" ca="1" si="3"/>
        <v>1.1494252873563653E-4</v>
      </c>
      <c r="J63" s="10">
        <f t="shared" si="4"/>
        <v>0.50833333333333308</v>
      </c>
      <c r="K63" s="12">
        <f t="shared" ca="1" si="5"/>
        <v>0.50808333333333322</v>
      </c>
      <c r="L63" s="5">
        <f t="shared" ca="1" si="6"/>
        <v>4.9180327868825224E-4</v>
      </c>
      <c r="N63">
        <f t="shared" ca="1" si="7"/>
        <v>1.0970000000000013</v>
      </c>
      <c r="O63">
        <f t="shared" ca="1" si="8"/>
        <v>1.0016455E-3</v>
      </c>
      <c r="P63">
        <f t="shared" ca="1" si="9"/>
        <v>1.0000274250000001</v>
      </c>
      <c r="Q63">
        <f t="shared" ca="1" si="10"/>
        <v>0.50709559454862208</v>
      </c>
      <c r="R63">
        <f t="shared" ca="1" si="11"/>
        <v>2704.5098375926509</v>
      </c>
      <c r="S63">
        <f t="shared" ca="1" si="17"/>
        <v>1.0255837155706875</v>
      </c>
      <c r="T63">
        <f t="shared" ca="1" si="12"/>
        <v>-1</v>
      </c>
      <c r="U63">
        <f t="shared" ca="1" si="13"/>
        <v>2705</v>
      </c>
      <c r="V63">
        <f t="shared" ca="1" si="14"/>
        <v>0.50718750000000001</v>
      </c>
      <c r="X63">
        <f t="shared" ca="1" si="15"/>
        <v>0.50617197273364767</v>
      </c>
    </row>
    <row r="64" spans="5:24" x14ac:dyDescent="0.25">
      <c r="E64">
        <v>62</v>
      </c>
      <c r="F64">
        <f t="shared" si="0"/>
        <v>26.2</v>
      </c>
      <c r="G64">
        <f t="shared" ca="1" si="1"/>
        <v>26.206</v>
      </c>
      <c r="H64" s="5">
        <f t="shared" ca="1" si="2"/>
        <v>6.0000000000002274E-3</v>
      </c>
      <c r="I64" s="5">
        <f t="shared" ca="1" si="3"/>
        <v>2.2900763358779495E-4</v>
      </c>
      <c r="J64" s="10">
        <f t="shared" si="4"/>
        <v>0.51666666666666639</v>
      </c>
      <c r="K64" s="12">
        <f t="shared" ca="1" si="5"/>
        <v>0.51716666666666655</v>
      </c>
      <c r="L64" s="5">
        <f t="shared" ca="1" si="6"/>
        <v>9.6774193548419471E-4</v>
      </c>
      <c r="N64">
        <f t="shared" ca="1" si="7"/>
        <v>1.2059999999999995</v>
      </c>
      <c r="O64">
        <f t="shared" ca="1" si="8"/>
        <v>1.001809E-3</v>
      </c>
      <c r="P64">
        <f t="shared" ca="1" si="9"/>
        <v>1.00003015</v>
      </c>
      <c r="Q64">
        <f t="shared" ca="1" si="10"/>
        <v>0.51618042003712516</v>
      </c>
      <c r="R64">
        <f t="shared" ca="1" si="11"/>
        <v>2752.9622401980009</v>
      </c>
      <c r="S64">
        <f t="shared" ca="1" si="17"/>
        <v>1.0435327117631701</v>
      </c>
      <c r="T64">
        <f t="shared" ca="1" si="12"/>
        <v>1</v>
      </c>
      <c r="U64">
        <f t="shared" ca="1" si="13"/>
        <v>2755</v>
      </c>
      <c r="V64">
        <f t="shared" ca="1" si="14"/>
        <v>0.51656250000000004</v>
      </c>
      <c r="X64">
        <f t="shared" ca="1" si="15"/>
        <v>0.51554514731380852</v>
      </c>
    </row>
    <row r="65" spans="5:24" x14ac:dyDescent="0.25">
      <c r="E65">
        <v>63</v>
      </c>
      <c r="F65">
        <f t="shared" si="0"/>
        <v>26.3</v>
      </c>
      <c r="G65">
        <f t="shared" ca="1" si="1"/>
        <v>26.294</v>
      </c>
      <c r="H65" s="5">
        <f t="shared" ca="1" si="2"/>
        <v>6.0000000000002274E-3</v>
      </c>
      <c r="I65" s="5">
        <f t="shared" ca="1" si="3"/>
        <v>2.2813688212928622E-4</v>
      </c>
      <c r="J65" s="10">
        <f t="shared" si="4"/>
        <v>0.52499999999999969</v>
      </c>
      <c r="K65" s="12">
        <f t="shared" ca="1" si="5"/>
        <v>0.52449999999999997</v>
      </c>
      <c r="L65" s="5">
        <f t="shared" ca="1" si="6"/>
        <v>9.5238095238042513E-4</v>
      </c>
      <c r="N65">
        <f t="shared" ca="1" si="7"/>
        <v>1.2940000000000005</v>
      </c>
      <c r="O65">
        <f t="shared" ca="1" si="8"/>
        <v>1.0019410000000001E-3</v>
      </c>
      <c r="P65">
        <f t="shared" ca="1" si="9"/>
        <v>1.0000323499999999</v>
      </c>
      <c r="Q65">
        <f t="shared" ca="1" si="10"/>
        <v>0.52351499416220859</v>
      </c>
      <c r="R65">
        <f t="shared" ca="1" si="11"/>
        <v>2792.0799688651123</v>
      </c>
      <c r="S65">
        <f t="shared" ca="1" si="17"/>
        <v>1.0580073051943655</v>
      </c>
      <c r="T65">
        <f t="shared" ca="1" si="12"/>
        <v>3</v>
      </c>
      <c r="U65">
        <f t="shared" ca="1" si="13"/>
        <v>2796</v>
      </c>
      <c r="V65">
        <f t="shared" ca="1" si="14"/>
        <v>0.52424999999999999</v>
      </c>
      <c r="X65">
        <f t="shared" ca="1" si="15"/>
        <v>0.52323113247286457</v>
      </c>
    </row>
    <row r="66" spans="5:24" x14ac:dyDescent="0.25">
      <c r="E66">
        <v>64</v>
      </c>
      <c r="F66">
        <f t="shared" si="0"/>
        <v>26.4</v>
      </c>
      <c r="G66">
        <f t="shared" ca="1" si="1"/>
        <v>26.398999999999997</v>
      </c>
      <c r="H66" s="5">
        <f t="shared" ca="1" si="2"/>
        <v>1.0000000000012221E-3</v>
      </c>
      <c r="I66" s="5">
        <f t="shared" ca="1" si="3"/>
        <v>3.7878787878834174E-5</v>
      </c>
      <c r="J66" s="10">
        <f t="shared" si="4"/>
        <v>0.53333333333333299</v>
      </c>
      <c r="K66" s="12">
        <f t="shared" ca="1" si="5"/>
        <v>0.53324999999999956</v>
      </c>
      <c r="L66" s="5">
        <f t="shared" ca="1" si="6"/>
        <v>1.5625000000019107E-4</v>
      </c>
      <c r="N66">
        <f t="shared" ca="1" si="7"/>
        <v>1.3989999999999974</v>
      </c>
      <c r="O66">
        <f t="shared" ca="1" si="8"/>
        <v>1.0020985E-3</v>
      </c>
      <c r="P66">
        <f t="shared" ca="1" si="9"/>
        <v>1.0000349749999999</v>
      </c>
      <c r="Q66">
        <f t="shared" ca="1" si="10"/>
        <v>0.53226651687035453</v>
      </c>
      <c r="R66">
        <f t="shared" ca="1" si="11"/>
        <v>2838.7547566418907</v>
      </c>
      <c r="S66">
        <f t="shared" ca="1" si="17"/>
        <v>1.0752587220092085</v>
      </c>
      <c r="T66">
        <f t="shared" ca="1" si="12"/>
        <v>3</v>
      </c>
      <c r="U66">
        <f t="shared" ca="1" si="13"/>
        <v>2843</v>
      </c>
      <c r="V66">
        <f t="shared" ca="1" si="14"/>
        <v>0.53306249999999999</v>
      </c>
      <c r="X66">
        <f t="shared" ca="1" si="15"/>
        <v>0.53204179333827806</v>
      </c>
    </row>
    <row r="67" spans="5:24" x14ac:dyDescent="0.25">
      <c r="E67">
        <v>65</v>
      </c>
      <c r="F67">
        <f t="shared" ref="F67:F130" si="19">0.1*E67+20</f>
        <v>26.5</v>
      </c>
      <c r="G67">
        <f t="shared" ref="G67:G130" ca="1" si="20">F67+(RANDBETWEEN(-10,10)/100)*0.1</f>
        <v>26.492000000000001</v>
      </c>
      <c r="H67" s="5">
        <f t="shared" ref="H67:H130" ca="1" si="21">ABS(F67-G67)</f>
        <v>7.9999999999991189E-3</v>
      </c>
      <c r="I67" s="5">
        <f t="shared" ref="I67:I130" ca="1" si="22">ABS(F67-G67)/F67</f>
        <v>3.0188679245279692E-4</v>
      </c>
      <c r="J67" s="10">
        <f t="shared" ref="J67:J130" si="23">1/12*F67-5/3</f>
        <v>0.5416666666666663</v>
      </c>
      <c r="K67" s="12">
        <f t="shared" ref="K67:K130" ca="1" si="24">(1/12*G67-5/3) + J67*RANDBETWEEN($B$2,$C$2)</f>
        <v>0.5409999999999997</v>
      </c>
      <c r="L67" s="5">
        <f t="shared" ref="L67:L130" ca="1" si="25">IF(J67=0, ABS(J67-K67), ABS(J67-K67)/J67)</f>
        <v>1.2307692307690962E-3</v>
      </c>
      <c r="N67">
        <f t="shared" ref="N67:N130" ca="1" si="26">G67-$B$29</f>
        <v>1.4920000000000009</v>
      </c>
      <c r="O67">
        <f t="shared" ref="O67:O130" ca="1" si="27">0.001 + 0.0000015*N67</f>
        <v>1.0022379999999999E-3</v>
      </c>
      <c r="P67">
        <f t="shared" ref="P67:P130" ca="1" si="28">1 + 0.000025*N67</f>
        <v>1.0000373</v>
      </c>
      <c r="Q67">
        <f t="shared" ref="Q67:Q130" ca="1" si="29">(K67-O67)*P67</f>
        <v>0.54001790391652238</v>
      </c>
      <c r="R67">
        <f t="shared" ref="R67:R130" ca="1" si="30">Q67*32768/6.144</f>
        <v>2880.0954875547859</v>
      </c>
      <c r="S67">
        <f t="shared" ref="S67:S130" ca="1" si="31">4*SIN(PI()*R67/32768)</f>
        <v>1.090520653695727</v>
      </c>
      <c r="T67">
        <f t="shared" ref="T67:T130" ca="1" si="32">RANDBETWEEN(-1*$B$15,1*$B$15)</f>
        <v>1</v>
      </c>
      <c r="U67">
        <f t="shared" ref="U67:U130" ca="1" si="33">ROUND(R67+S67+T67,0)</f>
        <v>2882</v>
      </c>
      <c r="V67">
        <f t="shared" ref="V67:V130" ca="1" si="34">U67*6.144/32768</f>
        <v>0.54037500000000005</v>
      </c>
      <c r="X67">
        <f t="shared" ref="X67:X130" ca="1" si="35">(U67*6.144/32768 -O67)/P67</f>
        <v>0.53935264414637341</v>
      </c>
    </row>
    <row r="68" spans="5:24" x14ac:dyDescent="0.25">
      <c r="E68">
        <v>66</v>
      </c>
      <c r="F68">
        <f t="shared" si="19"/>
        <v>26.6</v>
      </c>
      <c r="G68">
        <f t="shared" ca="1" si="20"/>
        <v>26.605</v>
      </c>
      <c r="H68" s="5">
        <f t="shared" ca="1" si="21"/>
        <v>4.9999999999990052E-3</v>
      </c>
      <c r="I68" s="5">
        <f t="shared" ca="1" si="22"/>
        <v>1.8796992481199268E-4</v>
      </c>
      <c r="J68" s="10">
        <f t="shared" si="23"/>
        <v>0.55000000000000004</v>
      </c>
      <c r="K68" s="12">
        <f t="shared" ca="1" si="24"/>
        <v>0.55041666666666633</v>
      </c>
      <c r="L68" s="5">
        <f t="shared" ca="1" si="25"/>
        <v>7.5757575757506846E-4</v>
      </c>
      <c r="N68">
        <f t="shared" ca="1" si="26"/>
        <v>1.6050000000000004</v>
      </c>
      <c r="O68">
        <f t="shared" ca="1" si="27"/>
        <v>1.0024075E-3</v>
      </c>
      <c r="P68">
        <f t="shared" ca="1" si="28"/>
        <v>1.0000401249999999</v>
      </c>
      <c r="Q68">
        <f t="shared" ca="1" si="29"/>
        <v>0.5494363044138153</v>
      </c>
      <c r="R68">
        <f t="shared" ca="1" si="30"/>
        <v>2930.3269568736814</v>
      </c>
      <c r="S68">
        <f t="shared" ca="1" si="31"/>
        <v>1.1090417397922849</v>
      </c>
      <c r="T68">
        <f t="shared" ca="1" si="32"/>
        <v>0</v>
      </c>
      <c r="U68">
        <f t="shared" ca="1" si="33"/>
        <v>2931</v>
      </c>
      <c r="V68">
        <f t="shared" ca="1" si="34"/>
        <v>0.54956250000000006</v>
      </c>
      <c r="X68">
        <f t="shared" ca="1" si="35"/>
        <v>0.54853808240944335</v>
      </c>
    </row>
    <row r="69" spans="5:24" x14ac:dyDescent="0.25">
      <c r="E69">
        <v>67</v>
      </c>
      <c r="F69">
        <f t="shared" si="19"/>
        <v>26.7</v>
      </c>
      <c r="G69">
        <f t="shared" ca="1" si="20"/>
        <v>26.693999999999999</v>
      </c>
      <c r="H69" s="5">
        <f t="shared" ca="1" si="21"/>
        <v>6.0000000000002274E-3</v>
      </c>
      <c r="I69" s="5">
        <f t="shared" ca="1" si="22"/>
        <v>2.2471910112360403E-4</v>
      </c>
      <c r="J69" s="10">
        <f t="shared" si="23"/>
        <v>0.5583333333333329</v>
      </c>
      <c r="K69" s="12">
        <f t="shared" ca="1" si="24"/>
        <v>0.55783333333333318</v>
      </c>
      <c r="L69" s="5">
        <f t="shared" ca="1" si="25"/>
        <v>8.9552238805920591E-4</v>
      </c>
      <c r="N69">
        <f t="shared" ca="1" si="26"/>
        <v>1.6939999999999991</v>
      </c>
      <c r="O69">
        <f t="shared" ca="1" si="27"/>
        <v>1.002541E-3</v>
      </c>
      <c r="P69">
        <f t="shared" ca="1" si="28"/>
        <v>1.00004235</v>
      </c>
      <c r="Q69">
        <f t="shared" ca="1" si="29"/>
        <v>0.55685437411738847</v>
      </c>
      <c r="R69">
        <f t="shared" ca="1" si="30"/>
        <v>2969.8899952927386</v>
      </c>
      <c r="S69">
        <f t="shared" ca="1" si="31"/>
        <v>1.123611131514662</v>
      </c>
      <c r="T69">
        <f t="shared" ca="1" si="32"/>
        <v>-2</v>
      </c>
      <c r="U69">
        <f t="shared" ca="1" si="33"/>
        <v>2969</v>
      </c>
      <c r="V69">
        <f t="shared" ca="1" si="34"/>
        <v>0.5566875</v>
      </c>
      <c r="X69">
        <f t="shared" ca="1" si="35"/>
        <v>0.55566142673857766</v>
      </c>
    </row>
    <row r="70" spans="5:24" x14ac:dyDescent="0.25">
      <c r="E70">
        <v>68</v>
      </c>
      <c r="F70">
        <f t="shared" si="19"/>
        <v>26.8</v>
      </c>
      <c r="G70">
        <f t="shared" ca="1" si="20"/>
        <v>26.795000000000002</v>
      </c>
      <c r="H70" s="5">
        <f t="shared" ca="1" si="21"/>
        <v>4.9999999999990052E-3</v>
      </c>
      <c r="I70" s="5">
        <f t="shared" ca="1" si="22"/>
        <v>1.8656716417906735E-4</v>
      </c>
      <c r="J70" s="10">
        <f t="shared" si="23"/>
        <v>0.56666666666666665</v>
      </c>
      <c r="K70" s="12">
        <f t="shared" ca="1" si="24"/>
        <v>0.56624999999999992</v>
      </c>
      <c r="L70" s="5">
        <f t="shared" ca="1" si="25"/>
        <v>7.3529411764717374E-4</v>
      </c>
      <c r="N70">
        <f t="shared" ca="1" si="26"/>
        <v>1.7950000000000017</v>
      </c>
      <c r="O70">
        <f t="shared" ca="1" si="27"/>
        <v>1.0026925000000001E-3</v>
      </c>
      <c r="P70">
        <f t="shared" ca="1" si="28"/>
        <v>1.0000448749999999</v>
      </c>
      <c r="Q70">
        <f t="shared" ca="1" si="29"/>
        <v>0.56527267297292394</v>
      </c>
      <c r="R70">
        <f t="shared" ca="1" si="30"/>
        <v>3014.7875891889275</v>
      </c>
      <c r="S70">
        <f t="shared" ca="1" si="31"/>
        <v>1.1401254204620486</v>
      </c>
      <c r="T70">
        <f t="shared" ca="1" si="32"/>
        <v>-3</v>
      </c>
      <c r="U70">
        <f t="shared" ca="1" si="33"/>
        <v>3013</v>
      </c>
      <c r="V70">
        <f t="shared" ca="1" si="34"/>
        <v>0.56493749999999998</v>
      </c>
      <c r="X70">
        <f t="shared" ca="1" si="35"/>
        <v>0.56390950206109502</v>
      </c>
    </row>
    <row r="71" spans="5:24" x14ac:dyDescent="0.25">
      <c r="E71">
        <v>69</v>
      </c>
      <c r="F71">
        <f t="shared" si="19"/>
        <v>26.9</v>
      </c>
      <c r="G71">
        <f t="shared" ca="1" si="20"/>
        <v>26.895999999999997</v>
      </c>
      <c r="H71" s="5">
        <f t="shared" ca="1" si="21"/>
        <v>4.0000000000013358E-3</v>
      </c>
      <c r="I71" s="5">
        <f t="shared" ca="1" si="22"/>
        <v>1.4869888475841397E-4</v>
      </c>
      <c r="J71" s="10">
        <f t="shared" si="23"/>
        <v>0.57499999999999951</v>
      </c>
      <c r="K71" s="12">
        <f t="shared" ca="1" si="24"/>
        <v>0.57466666666666621</v>
      </c>
      <c r="L71" s="5">
        <f t="shared" ca="1" si="25"/>
        <v>5.797101449274729E-4</v>
      </c>
      <c r="N71">
        <f t="shared" ca="1" si="26"/>
        <v>1.8959999999999972</v>
      </c>
      <c r="O71">
        <f t="shared" ca="1" si="27"/>
        <v>1.0028439999999999E-3</v>
      </c>
      <c r="P71">
        <f t="shared" ca="1" si="28"/>
        <v>1.0000473999999999</v>
      </c>
      <c r="Q71">
        <f t="shared" ca="1" si="29"/>
        <v>0.57369101433186065</v>
      </c>
      <c r="R71">
        <f t="shared" ca="1" si="30"/>
        <v>3059.6854097699234</v>
      </c>
      <c r="S71">
        <f t="shared" ca="1" si="31"/>
        <v>1.1566186675675725</v>
      </c>
      <c r="T71">
        <f t="shared" ca="1" si="32"/>
        <v>1</v>
      </c>
      <c r="U71">
        <f t="shared" ca="1" si="33"/>
        <v>3062</v>
      </c>
      <c r="V71">
        <f t="shared" ca="1" si="34"/>
        <v>0.574125</v>
      </c>
      <c r="X71">
        <f t="shared" ca="1" si="35"/>
        <v>0.57309499129741259</v>
      </c>
    </row>
    <row r="72" spans="5:24" x14ac:dyDescent="0.25">
      <c r="E72">
        <v>70</v>
      </c>
      <c r="F72">
        <f t="shared" si="19"/>
        <v>27</v>
      </c>
      <c r="G72">
        <f t="shared" ca="1" si="20"/>
        <v>26.992999999999999</v>
      </c>
      <c r="H72" s="5">
        <f t="shared" ca="1" si="21"/>
        <v>7.0000000000014495E-3</v>
      </c>
      <c r="I72" s="5">
        <f t="shared" ca="1" si="22"/>
        <v>2.5925925925931293E-4</v>
      </c>
      <c r="J72" s="10">
        <f t="shared" si="23"/>
        <v>0.58333333333333326</v>
      </c>
      <c r="K72" s="12">
        <f t="shared" ca="1" si="24"/>
        <v>0.58274999999999966</v>
      </c>
      <c r="L72" s="5">
        <f t="shared" ca="1" si="25"/>
        <v>1.000000000000461E-3</v>
      </c>
      <c r="N72">
        <f t="shared" ca="1" si="26"/>
        <v>1.9929999999999986</v>
      </c>
      <c r="O72">
        <f t="shared" ca="1" si="27"/>
        <v>1.0029895000000001E-3</v>
      </c>
      <c r="P72">
        <f t="shared" ca="1" si="28"/>
        <v>1.0000498250000001</v>
      </c>
      <c r="Q72">
        <f t="shared" ca="1" si="29"/>
        <v>0.58177599604479791</v>
      </c>
      <c r="R72">
        <f t="shared" ca="1" si="30"/>
        <v>3102.8053122389219</v>
      </c>
      <c r="S72">
        <f t="shared" ca="1" si="31"/>
        <v>1.1724386242426923</v>
      </c>
      <c r="T72">
        <f t="shared" ca="1" si="32"/>
        <v>-1</v>
      </c>
      <c r="U72">
        <f t="shared" ca="1" si="33"/>
        <v>3103</v>
      </c>
      <c r="V72">
        <f t="shared" ca="1" si="34"/>
        <v>0.58181250000000007</v>
      </c>
      <c r="X72">
        <f t="shared" ca="1" si="35"/>
        <v>0.58078057310794495</v>
      </c>
    </row>
    <row r="73" spans="5:24" x14ac:dyDescent="0.25">
      <c r="E73">
        <v>71</v>
      </c>
      <c r="F73">
        <f t="shared" si="19"/>
        <v>27.1</v>
      </c>
      <c r="G73">
        <f t="shared" ca="1" si="20"/>
        <v>27.104000000000003</v>
      </c>
      <c r="H73" s="5">
        <f t="shared" ca="1" si="21"/>
        <v>4.0000000000013358E-3</v>
      </c>
      <c r="I73" s="5">
        <f t="shared" ca="1" si="22"/>
        <v>1.4760147601480944E-4</v>
      </c>
      <c r="J73" s="10">
        <f t="shared" si="23"/>
        <v>0.59166666666666656</v>
      </c>
      <c r="K73" s="12">
        <f t="shared" ca="1" si="24"/>
        <v>0.59199999999999986</v>
      </c>
      <c r="L73" s="5">
        <f t="shared" ca="1" si="25"/>
        <v>5.6338028169007886E-4</v>
      </c>
      <c r="N73">
        <f t="shared" ca="1" si="26"/>
        <v>2.1040000000000028</v>
      </c>
      <c r="O73">
        <f t="shared" ca="1" si="27"/>
        <v>1.0031560000000001E-3</v>
      </c>
      <c r="P73">
        <f t="shared" ca="1" si="28"/>
        <v>1.0000526000000001</v>
      </c>
      <c r="Q73">
        <f t="shared" ca="1" si="29"/>
        <v>0.59102793043399426</v>
      </c>
      <c r="R73">
        <f t="shared" ca="1" si="30"/>
        <v>3152.1489623146358</v>
      </c>
      <c r="S73">
        <f t="shared" ca="1" si="31"/>
        <v>1.1905173673145137</v>
      </c>
      <c r="T73">
        <f t="shared" ca="1" si="32"/>
        <v>3</v>
      </c>
      <c r="U73">
        <f t="shared" ca="1" si="33"/>
        <v>3156</v>
      </c>
      <c r="V73">
        <f t="shared" ca="1" si="34"/>
        <v>0.59175</v>
      </c>
      <c r="X73">
        <f t="shared" ca="1" si="35"/>
        <v>0.59071577235037431</v>
      </c>
    </row>
    <row r="74" spans="5:24" x14ac:dyDescent="0.25">
      <c r="E74">
        <v>72</v>
      </c>
      <c r="F74">
        <f t="shared" si="19"/>
        <v>27.2</v>
      </c>
      <c r="G74">
        <f t="shared" ca="1" si="20"/>
        <v>27.209</v>
      </c>
      <c r="H74" s="5">
        <f t="shared" ca="1" si="21"/>
        <v>9.0000000000003411E-3</v>
      </c>
      <c r="I74" s="5">
        <f t="shared" ca="1" si="22"/>
        <v>3.3088235294118903E-4</v>
      </c>
      <c r="J74" s="10">
        <f t="shared" si="23"/>
        <v>0.59999999999999987</v>
      </c>
      <c r="K74" s="12">
        <f t="shared" ca="1" si="24"/>
        <v>0.6007499999999999</v>
      </c>
      <c r="L74" s="5">
        <f t="shared" ca="1" si="25"/>
        <v>1.2500000000000477E-3</v>
      </c>
      <c r="N74">
        <f t="shared" ca="1" si="26"/>
        <v>2.2089999999999996</v>
      </c>
      <c r="O74">
        <f t="shared" ca="1" si="27"/>
        <v>1.0033135E-3</v>
      </c>
      <c r="P74">
        <f t="shared" ca="1" si="28"/>
        <v>1.0000552250000001</v>
      </c>
      <c r="Q74">
        <f t="shared" ca="1" si="29"/>
        <v>0.59977980751076188</v>
      </c>
      <c r="R74">
        <f t="shared" ca="1" si="30"/>
        <v>3198.8256400573964</v>
      </c>
      <c r="S74">
        <f t="shared" ca="1" si="31"/>
        <v>1.2075944573804269</v>
      </c>
      <c r="T74">
        <f t="shared" ca="1" si="32"/>
        <v>-3</v>
      </c>
      <c r="U74">
        <f t="shared" ca="1" si="33"/>
        <v>3197</v>
      </c>
      <c r="V74">
        <f t="shared" ca="1" si="34"/>
        <v>0.59943750000000007</v>
      </c>
      <c r="X74">
        <f t="shared" ca="1" si="35"/>
        <v>0.59840113979705467</v>
      </c>
    </row>
    <row r="75" spans="5:24" x14ac:dyDescent="0.25">
      <c r="E75">
        <v>73</v>
      </c>
      <c r="F75">
        <f t="shared" si="19"/>
        <v>27.3</v>
      </c>
      <c r="G75">
        <f t="shared" ca="1" si="20"/>
        <v>27.295000000000002</v>
      </c>
      <c r="H75" s="5">
        <f t="shared" ca="1" si="21"/>
        <v>4.9999999999990052E-3</v>
      </c>
      <c r="I75" s="5">
        <f t="shared" ca="1" si="22"/>
        <v>1.8315018315014672E-4</v>
      </c>
      <c r="J75" s="10">
        <f t="shared" si="23"/>
        <v>0.60833333333333317</v>
      </c>
      <c r="K75" s="12">
        <f t="shared" ca="1" si="24"/>
        <v>0.60791666666666644</v>
      </c>
      <c r="L75" s="5">
        <f t="shared" ca="1" si="25"/>
        <v>6.849315068494223E-4</v>
      </c>
      <c r="N75">
        <f t="shared" ca="1" si="26"/>
        <v>2.2950000000000017</v>
      </c>
      <c r="O75">
        <f t="shared" ca="1" si="27"/>
        <v>1.0034425E-3</v>
      </c>
      <c r="P75">
        <f t="shared" ca="1" si="28"/>
        <v>1.0000573749999999</v>
      </c>
      <c r="Q75">
        <f t="shared" ca="1" si="29"/>
        <v>0.60694804581290296</v>
      </c>
      <c r="R75">
        <f t="shared" ca="1" si="30"/>
        <v>3237.0562443354825</v>
      </c>
      <c r="S75">
        <f t="shared" ca="1" si="31"/>
        <v>1.2215634739605017</v>
      </c>
      <c r="T75">
        <f t="shared" ca="1" si="32"/>
        <v>2</v>
      </c>
      <c r="U75">
        <f t="shared" ca="1" si="33"/>
        <v>3240</v>
      </c>
      <c r="V75">
        <f t="shared" ca="1" si="34"/>
        <v>0.60750000000000004</v>
      </c>
      <c r="X75">
        <f t="shared" ca="1" si="35"/>
        <v>0.60646176175641942</v>
      </c>
    </row>
    <row r="76" spans="5:24" x14ac:dyDescent="0.25">
      <c r="E76">
        <v>74</v>
      </c>
      <c r="F76">
        <f t="shared" si="19"/>
        <v>27.4</v>
      </c>
      <c r="G76">
        <f t="shared" ca="1" si="20"/>
        <v>27.395999999999997</v>
      </c>
      <c r="H76" s="5">
        <f t="shared" ca="1" si="21"/>
        <v>4.0000000000013358E-3</v>
      </c>
      <c r="I76" s="5">
        <f t="shared" ca="1" si="22"/>
        <v>1.4598540145990276E-4</v>
      </c>
      <c r="J76" s="10">
        <f t="shared" si="23"/>
        <v>0.61666666666666647</v>
      </c>
      <c r="K76" s="12">
        <f t="shared" ca="1" si="24"/>
        <v>0.61633333333333273</v>
      </c>
      <c r="L76" s="5">
        <f t="shared" ca="1" si="25"/>
        <v>5.4054054054120137E-4</v>
      </c>
      <c r="N76">
        <f t="shared" ca="1" si="26"/>
        <v>2.3959999999999972</v>
      </c>
      <c r="O76">
        <f t="shared" ca="1" si="27"/>
        <v>1.003594E-3</v>
      </c>
      <c r="P76">
        <f t="shared" ca="1" si="28"/>
        <v>1.0000598999999999</v>
      </c>
      <c r="Q76">
        <f t="shared" ca="1" si="29"/>
        <v>0.61536659758471868</v>
      </c>
      <c r="R76">
        <f t="shared" ca="1" si="30"/>
        <v>3281.9551871184995</v>
      </c>
      <c r="S76">
        <f t="shared" ca="1" si="31"/>
        <v>1.2379480551956938</v>
      </c>
      <c r="T76">
        <f t="shared" ca="1" si="32"/>
        <v>0</v>
      </c>
      <c r="U76">
        <f t="shared" ca="1" si="33"/>
        <v>3283</v>
      </c>
      <c r="V76">
        <f t="shared" ca="1" si="34"/>
        <v>0.61556250000000001</v>
      </c>
      <c r="X76">
        <f t="shared" ca="1" si="35"/>
        <v>0.61452209612644204</v>
      </c>
    </row>
    <row r="77" spans="5:24" x14ac:dyDescent="0.25">
      <c r="E77">
        <v>75</v>
      </c>
      <c r="F77">
        <f t="shared" si="19"/>
        <v>27.5</v>
      </c>
      <c r="G77">
        <f t="shared" ca="1" si="20"/>
        <v>27.509</v>
      </c>
      <c r="H77" s="5">
        <f t="shared" ca="1" si="21"/>
        <v>9.0000000000003411E-3</v>
      </c>
      <c r="I77" s="5">
        <f t="shared" ca="1" si="22"/>
        <v>3.2727272727273968E-4</v>
      </c>
      <c r="J77" s="10">
        <f t="shared" si="23"/>
        <v>0.62499999999999978</v>
      </c>
      <c r="K77" s="12">
        <f t="shared" ca="1" si="24"/>
        <v>0.62574999999999981</v>
      </c>
      <c r="L77" s="5">
        <f t="shared" ca="1" si="25"/>
        <v>1.2000000000000459E-3</v>
      </c>
      <c r="N77">
        <f t="shared" ca="1" si="26"/>
        <v>2.5090000000000003</v>
      </c>
      <c r="O77">
        <f t="shared" ca="1" si="27"/>
        <v>1.0037634999999999E-3</v>
      </c>
      <c r="P77">
        <f t="shared" ca="1" si="28"/>
        <v>1.000062725</v>
      </c>
      <c r="Q77">
        <f t="shared" ca="1" si="29"/>
        <v>0.62478542370768431</v>
      </c>
      <c r="R77">
        <f t="shared" ca="1" si="30"/>
        <v>3332.1889264409829</v>
      </c>
      <c r="S77">
        <f t="shared" ca="1" si="31"/>
        <v>1.256252213933305</v>
      </c>
      <c r="T77">
        <f t="shared" ca="1" si="32"/>
        <v>-3</v>
      </c>
      <c r="U77">
        <f t="shared" ca="1" si="33"/>
        <v>3330</v>
      </c>
      <c r="V77">
        <f t="shared" ca="1" si="34"/>
        <v>0.62437500000000001</v>
      </c>
      <c r="X77">
        <f t="shared" ca="1" si="35"/>
        <v>0.62333213799164444</v>
      </c>
    </row>
    <row r="78" spans="5:24" x14ac:dyDescent="0.25">
      <c r="E78">
        <v>76</v>
      </c>
      <c r="F78">
        <f t="shared" si="19"/>
        <v>27.6</v>
      </c>
      <c r="G78">
        <f t="shared" ca="1" si="20"/>
        <v>27.592000000000002</v>
      </c>
      <c r="H78" s="5">
        <f t="shared" ca="1" si="21"/>
        <v>7.9999999999991189E-3</v>
      </c>
      <c r="I78" s="5">
        <f t="shared" ca="1" si="22"/>
        <v>2.8985507246373618E-4</v>
      </c>
      <c r="J78" s="10">
        <f t="shared" si="23"/>
        <v>0.63333333333333308</v>
      </c>
      <c r="K78" s="12">
        <f t="shared" ca="1" si="24"/>
        <v>0.63266666666666649</v>
      </c>
      <c r="L78" s="5">
        <f t="shared" ca="1" si="25"/>
        <v>1.0526315789472528E-3</v>
      </c>
      <c r="N78">
        <f t="shared" ca="1" si="26"/>
        <v>2.5920000000000023</v>
      </c>
      <c r="O78">
        <f t="shared" ca="1" si="27"/>
        <v>1.0038880000000001E-3</v>
      </c>
      <c r="P78">
        <f t="shared" ca="1" si="28"/>
        <v>1.0000648000000001</v>
      </c>
      <c r="Q78">
        <f t="shared" ca="1" si="29"/>
        <v>0.63170371041472417</v>
      </c>
      <c r="R78">
        <f t="shared" ca="1" si="30"/>
        <v>3369.0864555451953</v>
      </c>
      <c r="S78">
        <f t="shared" ca="1" si="31"/>
        <v>1.2696783895950841</v>
      </c>
      <c r="T78">
        <f t="shared" ca="1" si="32"/>
        <v>2</v>
      </c>
      <c r="U78">
        <f t="shared" ca="1" si="33"/>
        <v>3372</v>
      </c>
      <c r="V78">
        <f t="shared" ca="1" si="34"/>
        <v>0.63224999999999998</v>
      </c>
      <c r="X78">
        <f t="shared" ca="1" si="35"/>
        <v>0.63120520990239826</v>
      </c>
    </row>
    <row r="79" spans="5:24" x14ac:dyDescent="0.25">
      <c r="E79">
        <v>77</v>
      </c>
      <c r="F79">
        <f t="shared" si="19"/>
        <v>27.7</v>
      </c>
      <c r="G79">
        <f t="shared" ca="1" si="20"/>
        <v>27.692999999999998</v>
      </c>
      <c r="H79" s="5">
        <f t="shared" ca="1" si="21"/>
        <v>7.0000000000014495E-3</v>
      </c>
      <c r="I79" s="5">
        <f t="shared" ca="1" si="22"/>
        <v>2.5270758122748917E-4</v>
      </c>
      <c r="J79" s="10">
        <f t="shared" si="23"/>
        <v>0.64166666666666639</v>
      </c>
      <c r="K79" s="12">
        <f t="shared" ca="1" si="24"/>
        <v>0.64108333333333278</v>
      </c>
      <c r="L79" s="5">
        <f t="shared" ca="1" si="25"/>
        <v>9.0909090909132846E-4</v>
      </c>
      <c r="N79">
        <f t="shared" ca="1" si="26"/>
        <v>2.6929999999999978</v>
      </c>
      <c r="O79">
        <f t="shared" ca="1" si="27"/>
        <v>1.0040394999999999E-3</v>
      </c>
      <c r="P79">
        <f t="shared" ca="1" si="28"/>
        <v>1.0000673250000001</v>
      </c>
      <c r="Q79">
        <f t="shared" ca="1" si="29"/>
        <v>0.64012238717179015</v>
      </c>
      <c r="R79">
        <f t="shared" ca="1" si="30"/>
        <v>3413.9860649162142</v>
      </c>
      <c r="S79">
        <f t="shared" ca="1" si="31"/>
        <v>1.2859948937021979</v>
      </c>
      <c r="T79">
        <f t="shared" ca="1" si="32"/>
        <v>3</v>
      </c>
      <c r="U79">
        <f t="shared" ca="1" si="33"/>
        <v>3418</v>
      </c>
      <c r="V79">
        <f t="shared" ca="1" si="34"/>
        <v>0.64087499999999997</v>
      </c>
      <c r="X79">
        <f t="shared" ca="1" si="35"/>
        <v>0.63982788408770364</v>
      </c>
    </row>
    <row r="80" spans="5:24" x14ac:dyDescent="0.25">
      <c r="E80">
        <v>78</v>
      </c>
      <c r="F80">
        <f t="shared" si="19"/>
        <v>27.8</v>
      </c>
      <c r="G80">
        <f t="shared" ca="1" si="20"/>
        <v>27.809000000000001</v>
      </c>
      <c r="H80" s="5">
        <f t="shared" ca="1" si="21"/>
        <v>9.0000000000003411E-3</v>
      </c>
      <c r="I80" s="5">
        <f t="shared" ca="1" si="22"/>
        <v>3.2374100719425686E-4</v>
      </c>
      <c r="J80" s="10">
        <f t="shared" si="23"/>
        <v>0.64999999999999969</v>
      </c>
      <c r="K80" s="12">
        <f t="shared" ca="1" si="24"/>
        <v>0.65074999999999972</v>
      </c>
      <c r="L80" s="5">
        <f t="shared" ca="1" si="25"/>
        <v>1.1538461538461982E-3</v>
      </c>
      <c r="N80">
        <f t="shared" ca="1" si="26"/>
        <v>2.8090000000000011</v>
      </c>
      <c r="O80">
        <f t="shared" ca="1" si="27"/>
        <v>1.0042135000000001E-3</v>
      </c>
      <c r="P80">
        <f t="shared" ca="1" si="28"/>
        <v>1.000070225</v>
      </c>
      <c r="Q80">
        <f t="shared" ca="1" si="29"/>
        <v>0.64979141489785663</v>
      </c>
      <c r="R80">
        <f t="shared" ca="1" si="30"/>
        <v>3465.5542127885687</v>
      </c>
      <c r="S80">
        <f t="shared" ca="1" si="31"/>
        <v>1.3047053225019525</v>
      </c>
      <c r="T80">
        <f t="shared" ca="1" si="32"/>
        <v>1</v>
      </c>
      <c r="U80">
        <f t="shared" ca="1" si="33"/>
        <v>3468</v>
      </c>
      <c r="V80">
        <f t="shared" ca="1" si="34"/>
        <v>0.65024999999999999</v>
      </c>
      <c r="X80">
        <f t="shared" ca="1" si="35"/>
        <v>0.64920019641620663</v>
      </c>
    </row>
    <row r="81" spans="5:24" x14ac:dyDescent="0.25">
      <c r="E81">
        <v>79</v>
      </c>
      <c r="F81">
        <f t="shared" si="19"/>
        <v>27.9</v>
      </c>
      <c r="G81">
        <f t="shared" ca="1" si="20"/>
        <v>27.907</v>
      </c>
      <c r="H81" s="5">
        <f t="shared" ca="1" si="21"/>
        <v>7.0000000000014495E-3</v>
      </c>
      <c r="I81" s="5">
        <f t="shared" ca="1" si="22"/>
        <v>2.5089605734772224E-4</v>
      </c>
      <c r="J81" s="10">
        <f t="shared" si="23"/>
        <v>0.65833333333333299</v>
      </c>
      <c r="K81" s="12">
        <f t="shared" ca="1" si="24"/>
        <v>0.6589166666666666</v>
      </c>
      <c r="L81" s="5">
        <f t="shared" ca="1" si="25"/>
        <v>8.8607594936749743E-4</v>
      </c>
      <c r="N81">
        <f t="shared" ca="1" si="26"/>
        <v>2.907</v>
      </c>
      <c r="O81">
        <f t="shared" ca="1" si="27"/>
        <v>1.0043605000000001E-3</v>
      </c>
      <c r="P81">
        <f t="shared" ca="1" si="28"/>
        <v>1.000072675</v>
      </c>
      <c r="Q81">
        <f t="shared" ca="1" si="29"/>
        <v>0.65796011994351722</v>
      </c>
      <c r="R81">
        <f t="shared" ca="1" si="30"/>
        <v>3509.1206396987586</v>
      </c>
      <c r="S81">
        <f t="shared" ca="1" si="31"/>
        <v>1.3204876592637635</v>
      </c>
      <c r="T81">
        <f t="shared" ca="1" si="32"/>
        <v>1</v>
      </c>
      <c r="U81">
        <f t="shared" ca="1" si="33"/>
        <v>3511</v>
      </c>
      <c r="V81">
        <f t="shared" ca="1" si="34"/>
        <v>0.65831249999999997</v>
      </c>
      <c r="X81">
        <f t="shared" ca="1" si="35"/>
        <v>0.65726037310238483</v>
      </c>
    </row>
    <row r="82" spans="5:24" x14ac:dyDescent="0.25">
      <c r="E82">
        <v>80</v>
      </c>
      <c r="F82">
        <f t="shared" si="19"/>
        <v>28</v>
      </c>
      <c r="G82">
        <f t="shared" ca="1" si="20"/>
        <v>28.007000000000001</v>
      </c>
      <c r="H82" s="5">
        <f t="shared" ca="1" si="21"/>
        <v>7.0000000000014495E-3</v>
      </c>
      <c r="I82" s="5">
        <f t="shared" ca="1" si="22"/>
        <v>2.5000000000005178E-4</v>
      </c>
      <c r="J82" s="10">
        <f t="shared" si="23"/>
        <v>0.6666666666666663</v>
      </c>
      <c r="K82" s="12">
        <f t="shared" ca="1" si="24"/>
        <v>0.6672499999999999</v>
      </c>
      <c r="L82" s="5">
        <f t="shared" ca="1" si="25"/>
        <v>8.7500000000040367E-4</v>
      </c>
      <c r="N82">
        <f t="shared" ca="1" si="26"/>
        <v>3.0070000000000014</v>
      </c>
      <c r="O82">
        <f t="shared" ca="1" si="27"/>
        <v>1.0045105000000001E-3</v>
      </c>
      <c r="P82">
        <f t="shared" ca="1" si="28"/>
        <v>1.0000751750000001</v>
      </c>
      <c r="Q82">
        <f t="shared" ca="1" si="29"/>
        <v>0.66629557450467303</v>
      </c>
      <c r="R82">
        <f t="shared" ca="1" si="30"/>
        <v>3553.5763973582561</v>
      </c>
      <c r="S82">
        <f t="shared" ca="1" si="31"/>
        <v>1.3365684144769898</v>
      </c>
      <c r="T82">
        <f t="shared" ca="1" si="32"/>
        <v>2</v>
      </c>
      <c r="U82">
        <f t="shared" ca="1" si="33"/>
        <v>3557</v>
      </c>
      <c r="V82">
        <f t="shared" ca="1" si="34"/>
        <v>0.66693749999999996</v>
      </c>
      <c r="X82">
        <f t="shared" ca="1" si="35"/>
        <v>0.66588293175060553</v>
      </c>
    </row>
    <row r="83" spans="5:24" x14ac:dyDescent="0.25">
      <c r="E83">
        <v>81</v>
      </c>
      <c r="F83">
        <f t="shared" si="19"/>
        <v>28.1</v>
      </c>
      <c r="G83">
        <f t="shared" ca="1" si="20"/>
        <v>28.098000000000003</v>
      </c>
      <c r="H83" s="5">
        <f t="shared" ca="1" si="21"/>
        <v>1.9999999999988916E-3</v>
      </c>
      <c r="I83" s="5">
        <f t="shared" ca="1" si="22"/>
        <v>7.1174377224159834E-5</v>
      </c>
      <c r="J83" s="10">
        <f t="shared" si="23"/>
        <v>0.67500000000000004</v>
      </c>
      <c r="K83" s="12">
        <f t="shared" ca="1" si="24"/>
        <v>0.67483333333333317</v>
      </c>
      <c r="L83" s="5">
        <f t="shared" ca="1" si="25"/>
        <v>2.4691358024721532E-4</v>
      </c>
      <c r="N83">
        <f t="shared" ca="1" si="26"/>
        <v>3.0980000000000025</v>
      </c>
      <c r="O83">
        <f t="shared" ca="1" si="27"/>
        <v>1.004647E-3</v>
      </c>
      <c r="P83">
        <f t="shared" ca="1" si="28"/>
        <v>1.00007745</v>
      </c>
      <c r="Q83">
        <f t="shared" ca="1" si="29"/>
        <v>0.6738808743650897</v>
      </c>
      <c r="R83">
        <f t="shared" ca="1" si="30"/>
        <v>3594.031329947145</v>
      </c>
      <c r="S83">
        <f t="shared" ca="1" si="31"/>
        <v>1.3511808786102601</v>
      </c>
      <c r="T83">
        <f t="shared" ca="1" si="32"/>
        <v>1</v>
      </c>
      <c r="U83">
        <f t="shared" ca="1" si="33"/>
        <v>3596</v>
      </c>
      <c r="V83">
        <f t="shared" ca="1" si="34"/>
        <v>0.67425000000000002</v>
      </c>
      <c r="X83">
        <f t="shared" ca="1" si="35"/>
        <v>0.67319321418556133</v>
      </c>
    </row>
    <row r="84" spans="5:24" x14ac:dyDescent="0.25">
      <c r="E84">
        <v>82</v>
      </c>
      <c r="F84">
        <f t="shared" si="19"/>
        <v>28.200000000000003</v>
      </c>
      <c r="G84">
        <f t="shared" ca="1" si="20"/>
        <v>28.210000000000004</v>
      </c>
      <c r="H84" s="5">
        <f t="shared" ca="1" si="21"/>
        <v>1.0000000000001563E-2</v>
      </c>
      <c r="I84" s="5">
        <f t="shared" ca="1" si="22"/>
        <v>3.5460992907806956E-4</v>
      </c>
      <c r="J84" s="10">
        <f t="shared" si="23"/>
        <v>0.68333333333333335</v>
      </c>
      <c r="K84" s="12">
        <f t="shared" ca="1" si="24"/>
        <v>0.68416666666666681</v>
      </c>
      <c r="L84" s="5">
        <f t="shared" ca="1" si="25"/>
        <v>1.2195121951221418E-3</v>
      </c>
      <c r="N84">
        <f t="shared" ca="1" si="26"/>
        <v>3.2100000000000044</v>
      </c>
      <c r="O84">
        <f t="shared" ca="1" si="27"/>
        <v>1.004815E-3</v>
      </c>
      <c r="P84">
        <f t="shared" ca="1" si="28"/>
        <v>1.0000802499999999</v>
      </c>
      <c r="Q84">
        <f t="shared" ca="1" si="29"/>
        <v>0.68321667540526299</v>
      </c>
      <c r="R84">
        <f t="shared" ca="1" si="30"/>
        <v>3643.8222688280694</v>
      </c>
      <c r="S84">
        <f t="shared" ca="1" si="31"/>
        <v>1.3691376142943605</v>
      </c>
      <c r="T84">
        <f t="shared" ca="1" si="32"/>
        <v>0</v>
      </c>
      <c r="U84">
        <f t="shared" ca="1" si="33"/>
        <v>3645</v>
      </c>
      <c r="V84">
        <f t="shared" ca="1" si="34"/>
        <v>0.68343750000000003</v>
      </c>
      <c r="X84">
        <f t="shared" ca="1" si="35"/>
        <v>0.68237792417158527</v>
      </c>
    </row>
    <row r="85" spans="5:24" x14ac:dyDescent="0.25">
      <c r="E85">
        <v>83</v>
      </c>
      <c r="F85">
        <f t="shared" si="19"/>
        <v>28.3</v>
      </c>
      <c r="G85">
        <f t="shared" ca="1" si="20"/>
        <v>28.306000000000001</v>
      </c>
      <c r="H85" s="5">
        <f t="shared" ca="1" si="21"/>
        <v>6.0000000000002274E-3</v>
      </c>
      <c r="I85" s="5">
        <f t="shared" ca="1" si="22"/>
        <v>2.120141342756264E-4</v>
      </c>
      <c r="J85" s="10">
        <f t="shared" si="23"/>
        <v>0.69166666666666665</v>
      </c>
      <c r="K85" s="12">
        <f t="shared" ca="1" si="24"/>
        <v>0.69216666666666637</v>
      </c>
      <c r="L85" s="5">
        <f t="shared" ca="1" si="25"/>
        <v>7.2289156626465965E-4</v>
      </c>
      <c r="N85">
        <f t="shared" ca="1" si="26"/>
        <v>3.3060000000000009</v>
      </c>
      <c r="O85">
        <f t="shared" ca="1" si="27"/>
        <v>1.0049589999999999E-3</v>
      </c>
      <c r="P85">
        <f t="shared" ca="1" si="28"/>
        <v>1.00008265</v>
      </c>
      <c r="Q85">
        <f t="shared" ca="1" si="29"/>
        <v>0.69121883218180502</v>
      </c>
      <c r="R85">
        <f t="shared" ca="1" si="30"/>
        <v>3686.50043830296</v>
      </c>
      <c r="S85">
        <f t="shared" ca="1" si="31"/>
        <v>1.3845043651307425</v>
      </c>
      <c r="T85">
        <f t="shared" ca="1" si="32"/>
        <v>-2</v>
      </c>
      <c r="U85">
        <f t="shared" ca="1" si="33"/>
        <v>3686</v>
      </c>
      <c r="V85">
        <f t="shared" ca="1" si="34"/>
        <v>0.69112499999999999</v>
      </c>
      <c r="X85">
        <f t="shared" ca="1" si="35"/>
        <v>0.69006300729244729</v>
      </c>
    </row>
    <row r="86" spans="5:24" x14ac:dyDescent="0.25">
      <c r="E86">
        <v>84</v>
      </c>
      <c r="F86">
        <f t="shared" si="19"/>
        <v>28.4</v>
      </c>
      <c r="G86">
        <f t="shared" ca="1" si="20"/>
        <v>28.393999999999998</v>
      </c>
      <c r="H86" s="5">
        <f t="shared" ca="1" si="21"/>
        <v>6.0000000000002274E-3</v>
      </c>
      <c r="I86" s="5">
        <f t="shared" ca="1" si="22"/>
        <v>2.1126760563381082E-4</v>
      </c>
      <c r="J86" s="10">
        <f t="shared" si="23"/>
        <v>0.69999999999999951</v>
      </c>
      <c r="K86" s="12">
        <f t="shared" ca="1" si="24"/>
        <v>0.69949999999999979</v>
      </c>
      <c r="L86" s="5">
        <f t="shared" ca="1" si="25"/>
        <v>7.1428571428531888E-4</v>
      </c>
      <c r="N86">
        <f t="shared" ca="1" si="26"/>
        <v>3.3939999999999984</v>
      </c>
      <c r="O86">
        <f t="shared" ca="1" si="27"/>
        <v>1.0050910000000001E-3</v>
      </c>
      <c r="P86">
        <f t="shared" ca="1" si="28"/>
        <v>1.0000848499999999</v>
      </c>
      <c r="Q86">
        <f t="shared" ca="1" si="29"/>
        <v>0.69855417629302841</v>
      </c>
      <c r="R86">
        <f t="shared" ca="1" si="30"/>
        <v>3725.622273562818</v>
      </c>
      <c r="S86">
        <f t="shared" ca="1" si="31"/>
        <v>1.3985702617090603</v>
      </c>
      <c r="T86">
        <f t="shared" ca="1" si="32"/>
        <v>3</v>
      </c>
      <c r="U86">
        <f t="shared" ca="1" si="33"/>
        <v>3730</v>
      </c>
      <c r="V86">
        <f t="shared" ca="1" si="34"/>
        <v>0.69937499999999997</v>
      </c>
      <c r="X86">
        <f t="shared" ca="1" si="35"/>
        <v>0.69831065734072462</v>
      </c>
    </row>
    <row r="87" spans="5:24" x14ac:dyDescent="0.25">
      <c r="E87">
        <v>85</v>
      </c>
      <c r="F87">
        <f t="shared" si="19"/>
        <v>28.5</v>
      </c>
      <c r="G87">
        <f t="shared" ca="1" si="20"/>
        <v>28.491</v>
      </c>
      <c r="H87" s="5">
        <f t="shared" ca="1" si="21"/>
        <v>9.0000000000003411E-3</v>
      </c>
      <c r="I87" s="5">
        <f t="shared" ca="1" si="22"/>
        <v>3.1578947368422251E-4</v>
      </c>
      <c r="J87" s="10">
        <f t="shared" si="23"/>
        <v>0.70833333333333326</v>
      </c>
      <c r="K87" s="12">
        <f t="shared" ca="1" si="24"/>
        <v>0.70758333333333323</v>
      </c>
      <c r="L87" s="5">
        <f t="shared" ca="1" si="25"/>
        <v>1.0588235294118049E-3</v>
      </c>
      <c r="N87">
        <f t="shared" ca="1" si="26"/>
        <v>3.4909999999999997</v>
      </c>
      <c r="O87">
        <f t="shared" ca="1" si="27"/>
        <v>1.0052365E-3</v>
      </c>
      <c r="P87">
        <f t="shared" ca="1" si="28"/>
        <v>1.0000872750000001</v>
      </c>
      <c r="Q87">
        <f t="shared" ca="1" si="29"/>
        <v>0.7066397634367344</v>
      </c>
      <c r="R87">
        <f t="shared" ca="1" si="30"/>
        <v>3768.7454049959169</v>
      </c>
      <c r="S87">
        <f t="shared" ca="1" si="31"/>
        <v>1.4140519830030325</v>
      </c>
      <c r="T87">
        <f t="shared" ca="1" si="32"/>
        <v>1</v>
      </c>
      <c r="U87">
        <f t="shared" ca="1" si="33"/>
        <v>3771</v>
      </c>
      <c r="V87">
        <f t="shared" ca="1" si="34"/>
        <v>0.70706250000000004</v>
      </c>
      <c r="X87">
        <f t="shared" ca="1" si="35"/>
        <v>0.70599564772984447</v>
      </c>
    </row>
    <row r="88" spans="5:24" x14ac:dyDescent="0.25">
      <c r="E88">
        <v>86</v>
      </c>
      <c r="F88">
        <f t="shared" si="19"/>
        <v>28.6</v>
      </c>
      <c r="G88">
        <f t="shared" ca="1" si="20"/>
        <v>28.595000000000002</v>
      </c>
      <c r="H88" s="5">
        <f t="shared" ca="1" si="21"/>
        <v>4.9999999999990052E-3</v>
      </c>
      <c r="I88" s="5">
        <f t="shared" ca="1" si="22"/>
        <v>1.7482517482514002E-4</v>
      </c>
      <c r="J88" s="10">
        <f t="shared" si="23"/>
        <v>0.71666666666666656</v>
      </c>
      <c r="K88" s="12">
        <f t="shared" ca="1" si="24"/>
        <v>0.71624999999999983</v>
      </c>
      <c r="L88" s="5">
        <f t="shared" ca="1" si="25"/>
        <v>5.8139534883730026E-4</v>
      </c>
      <c r="N88">
        <f t="shared" ca="1" si="26"/>
        <v>3.5950000000000024</v>
      </c>
      <c r="O88">
        <f t="shared" ca="1" si="27"/>
        <v>1.0053925000000001E-3</v>
      </c>
      <c r="P88">
        <f t="shared" ca="1" si="28"/>
        <v>1.000089875</v>
      </c>
      <c r="Q88">
        <f t="shared" ca="1" si="29"/>
        <v>0.71530889010909893</v>
      </c>
      <c r="R88">
        <f t="shared" ca="1" si="30"/>
        <v>3814.9807472485277</v>
      </c>
      <c r="S88">
        <f t="shared" ca="1" si="31"/>
        <v>1.4306241682275285</v>
      </c>
      <c r="T88">
        <f t="shared" ca="1" si="32"/>
        <v>-2</v>
      </c>
      <c r="U88">
        <f t="shared" ca="1" si="33"/>
        <v>3814</v>
      </c>
      <c r="V88">
        <f t="shared" ca="1" si="34"/>
        <v>0.71512500000000001</v>
      </c>
      <c r="X88">
        <f t="shared" ca="1" si="35"/>
        <v>0.71405543176806985</v>
      </c>
    </row>
    <row r="89" spans="5:24" x14ac:dyDescent="0.25">
      <c r="E89">
        <v>87</v>
      </c>
      <c r="F89">
        <f t="shared" si="19"/>
        <v>28.700000000000003</v>
      </c>
      <c r="G89">
        <f t="shared" ca="1" si="20"/>
        <v>28.700000000000003</v>
      </c>
      <c r="H89" s="5">
        <f t="shared" ca="1" si="21"/>
        <v>0</v>
      </c>
      <c r="I89" s="5">
        <f t="shared" ca="1" si="22"/>
        <v>0</v>
      </c>
      <c r="J89" s="10">
        <f t="shared" si="23"/>
        <v>0.72499999999999987</v>
      </c>
      <c r="K89" s="12">
        <f t="shared" ca="1" si="24"/>
        <v>0.72499999999999987</v>
      </c>
      <c r="L89" s="5">
        <f t="shared" ca="1" si="25"/>
        <v>0</v>
      </c>
      <c r="N89">
        <f t="shared" ca="1" si="26"/>
        <v>3.7000000000000028</v>
      </c>
      <c r="O89">
        <f t="shared" ca="1" si="27"/>
        <v>1.00555E-3</v>
      </c>
      <c r="P89">
        <f t="shared" ca="1" si="28"/>
        <v>1.0000925000000001</v>
      </c>
      <c r="Q89">
        <f t="shared" ca="1" si="29"/>
        <v>0.72406141948662484</v>
      </c>
      <c r="R89">
        <f t="shared" ca="1" si="30"/>
        <v>3861.6609039286659</v>
      </c>
      <c r="S89">
        <f t="shared" ca="1" si="31"/>
        <v>1.4473272699788535</v>
      </c>
      <c r="T89">
        <f t="shared" ca="1" si="32"/>
        <v>-3</v>
      </c>
      <c r="U89">
        <f t="shared" ca="1" si="33"/>
        <v>3860</v>
      </c>
      <c r="V89">
        <f t="shared" ca="1" si="34"/>
        <v>0.72375</v>
      </c>
      <c r="X89">
        <f t="shared" ca="1" si="35"/>
        <v>0.72267760232178513</v>
      </c>
    </row>
    <row r="90" spans="5:24" x14ac:dyDescent="0.25">
      <c r="E90">
        <v>88</v>
      </c>
      <c r="F90">
        <f t="shared" si="19"/>
        <v>28.8</v>
      </c>
      <c r="G90">
        <f t="shared" ca="1" si="20"/>
        <v>28.807000000000002</v>
      </c>
      <c r="H90" s="5">
        <f t="shared" ca="1" si="21"/>
        <v>7.0000000000014495E-3</v>
      </c>
      <c r="I90" s="5">
        <f t="shared" ca="1" si="22"/>
        <v>2.4305555555560588E-4</v>
      </c>
      <c r="J90" s="10">
        <f t="shared" si="23"/>
        <v>0.73333333333333317</v>
      </c>
      <c r="K90" s="12">
        <f t="shared" ca="1" si="24"/>
        <v>0.73391666666666677</v>
      </c>
      <c r="L90" s="5">
        <f t="shared" ca="1" si="25"/>
        <v>7.9545454545491216E-4</v>
      </c>
      <c r="N90">
        <f t="shared" ca="1" si="26"/>
        <v>3.8070000000000022</v>
      </c>
      <c r="O90">
        <f t="shared" ca="1" si="27"/>
        <v>1.0057105000000001E-3</v>
      </c>
      <c r="P90">
        <f t="shared" ca="1" si="28"/>
        <v>1.000095175</v>
      </c>
      <c r="Q90">
        <f t="shared" ca="1" si="29"/>
        <v>0.73298071096691997</v>
      </c>
      <c r="R90">
        <f t="shared" ca="1" si="30"/>
        <v>3909.2304584902399</v>
      </c>
      <c r="S90">
        <f t="shared" ca="1" si="31"/>
        <v>1.4643187914849209</v>
      </c>
      <c r="T90">
        <f t="shared" ca="1" si="32"/>
        <v>-2</v>
      </c>
      <c r="U90">
        <f t="shared" ca="1" si="33"/>
        <v>3909</v>
      </c>
      <c r="V90">
        <f t="shared" ca="1" si="34"/>
        <v>0.73293750000000002</v>
      </c>
      <c r="X90">
        <f t="shared" ca="1" si="35"/>
        <v>0.73186213452134696</v>
      </c>
    </row>
    <row r="91" spans="5:24" x14ac:dyDescent="0.25">
      <c r="E91">
        <v>89</v>
      </c>
      <c r="F91">
        <f t="shared" si="19"/>
        <v>28.9</v>
      </c>
      <c r="G91">
        <f t="shared" ca="1" si="20"/>
        <v>28.896999999999998</v>
      </c>
      <c r="H91" s="5">
        <f t="shared" ca="1" si="21"/>
        <v>3.0000000000001137E-3</v>
      </c>
      <c r="I91" s="5">
        <f t="shared" ca="1" si="22"/>
        <v>1.0380622837370635E-4</v>
      </c>
      <c r="J91" s="10">
        <f t="shared" si="23"/>
        <v>0.74166666666666647</v>
      </c>
      <c r="K91" s="12">
        <f t="shared" ca="1" si="24"/>
        <v>0.74141666666666617</v>
      </c>
      <c r="L91" s="5">
        <f t="shared" ca="1" si="25"/>
        <v>3.370786516858053E-4</v>
      </c>
      <c r="N91">
        <f t="shared" ca="1" si="26"/>
        <v>3.8969999999999985</v>
      </c>
      <c r="O91">
        <f t="shared" ca="1" si="27"/>
        <v>1.0058455E-3</v>
      </c>
      <c r="P91">
        <f t="shared" ca="1" si="28"/>
        <v>1.0000974250000001</v>
      </c>
      <c r="Q91">
        <f t="shared" ca="1" si="29"/>
        <v>0.74048295569091838</v>
      </c>
      <c r="R91">
        <f t="shared" ca="1" si="30"/>
        <v>3949.2424303515645</v>
      </c>
      <c r="S91">
        <f t="shared" ca="1" si="31"/>
        <v>1.478587226857645</v>
      </c>
      <c r="T91">
        <f t="shared" ca="1" si="32"/>
        <v>-2</v>
      </c>
      <c r="U91">
        <f t="shared" ca="1" si="33"/>
        <v>3949</v>
      </c>
      <c r="V91">
        <f t="shared" ca="1" si="34"/>
        <v>0.74043749999999997</v>
      </c>
      <c r="X91">
        <f t="shared" ca="1" si="35"/>
        <v>0.73935962238878861</v>
      </c>
    </row>
    <row r="92" spans="5:24" x14ac:dyDescent="0.25">
      <c r="E92">
        <v>90</v>
      </c>
      <c r="F92">
        <f t="shared" si="19"/>
        <v>29</v>
      </c>
      <c r="G92">
        <f t="shared" ca="1" si="20"/>
        <v>28.995000000000001</v>
      </c>
      <c r="H92" s="5">
        <f t="shared" ca="1" si="21"/>
        <v>4.9999999999990052E-3</v>
      </c>
      <c r="I92" s="5">
        <f t="shared" ca="1" si="22"/>
        <v>1.7241379310341397E-4</v>
      </c>
      <c r="J92" s="10">
        <f t="shared" si="23"/>
        <v>0.74999999999999978</v>
      </c>
      <c r="K92" s="12">
        <f t="shared" ca="1" si="24"/>
        <v>0.74958333333333305</v>
      </c>
      <c r="L92" s="5">
        <f t="shared" ca="1" si="25"/>
        <v>5.5555555555564262E-4</v>
      </c>
      <c r="N92">
        <f t="shared" ca="1" si="26"/>
        <v>3.995000000000001</v>
      </c>
      <c r="O92">
        <f t="shared" ca="1" si="27"/>
        <v>1.0059925E-3</v>
      </c>
      <c r="P92">
        <f t="shared" ca="1" si="28"/>
        <v>1.0000998750000001</v>
      </c>
      <c r="Q92">
        <f t="shared" ca="1" si="29"/>
        <v>0.74865210499524881</v>
      </c>
      <c r="R92">
        <f t="shared" ca="1" si="30"/>
        <v>3992.8112266413268</v>
      </c>
      <c r="S92">
        <f t="shared" ca="1" si="31"/>
        <v>1.4940992879157948</v>
      </c>
      <c r="T92">
        <f t="shared" ca="1" si="32"/>
        <v>0</v>
      </c>
      <c r="U92">
        <f t="shared" ca="1" si="33"/>
        <v>3994</v>
      </c>
      <c r="V92">
        <f t="shared" ca="1" si="34"/>
        <v>0.74887500000000007</v>
      </c>
      <c r="X92">
        <f t="shared" ca="1" si="35"/>
        <v>0.74779432154213599</v>
      </c>
    </row>
    <row r="93" spans="5:24" x14ac:dyDescent="0.25">
      <c r="E93">
        <v>91</v>
      </c>
      <c r="F93">
        <f t="shared" si="19"/>
        <v>29.1</v>
      </c>
      <c r="G93">
        <f t="shared" ca="1" si="20"/>
        <v>29.098000000000003</v>
      </c>
      <c r="H93" s="5">
        <f t="shared" ca="1" si="21"/>
        <v>1.9999999999988916E-3</v>
      </c>
      <c r="I93" s="5">
        <f t="shared" ca="1" si="22"/>
        <v>6.8728522336731671E-5</v>
      </c>
      <c r="J93" s="10">
        <f t="shared" si="23"/>
        <v>0.75833333333333308</v>
      </c>
      <c r="K93" s="12">
        <f t="shared" ca="1" si="24"/>
        <v>0.75816666666666666</v>
      </c>
      <c r="L93" s="5">
        <f t="shared" ca="1" si="25"/>
        <v>2.1978021977990284E-4</v>
      </c>
      <c r="N93">
        <f t="shared" ca="1" si="26"/>
        <v>4.0980000000000025</v>
      </c>
      <c r="O93">
        <f t="shared" ca="1" si="27"/>
        <v>1.006147E-3</v>
      </c>
      <c r="P93">
        <f t="shared" ca="1" si="28"/>
        <v>1.00010245</v>
      </c>
      <c r="Q93">
        <f t="shared" ca="1" si="29"/>
        <v>0.75723809076190651</v>
      </c>
      <c r="R93">
        <f t="shared" ca="1" si="30"/>
        <v>4038.6031507301682</v>
      </c>
      <c r="S93">
        <f t="shared" ca="1" si="31"/>
        <v>1.5103747590310534</v>
      </c>
      <c r="T93">
        <f t="shared" ca="1" si="32"/>
        <v>2</v>
      </c>
      <c r="U93">
        <f t="shared" ca="1" si="33"/>
        <v>4042</v>
      </c>
      <c r="V93">
        <f t="shared" ca="1" si="34"/>
        <v>0.75787499999999997</v>
      </c>
      <c r="X93">
        <f t="shared" ca="1" si="35"/>
        <v>0.7567913197292937</v>
      </c>
    </row>
    <row r="94" spans="5:24" x14ac:dyDescent="0.25">
      <c r="E94">
        <v>92</v>
      </c>
      <c r="F94">
        <f t="shared" si="19"/>
        <v>29.200000000000003</v>
      </c>
      <c r="G94">
        <f t="shared" ca="1" si="20"/>
        <v>29.210000000000004</v>
      </c>
      <c r="H94" s="5">
        <f t="shared" ca="1" si="21"/>
        <v>1.0000000000001563E-2</v>
      </c>
      <c r="I94" s="5">
        <f t="shared" ca="1" si="22"/>
        <v>3.4246575342471104E-4</v>
      </c>
      <c r="J94" s="10">
        <f t="shared" si="23"/>
        <v>0.76666666666666683</v>
      </c>
      <c r="K94" s="12">
        <f t="shared" ca="1" si="24"/>
        <v>0.76750000000000029</v>
      </c>
      <c r="L94" s="5">
        <f t="shared" ca="1" si="25"/>
        <v>1.0869565217393E-3</v>
      </c>
      <c r="N94">
        <f t="shared" ca="1" si="26"/>
        <v>4.2100000000000044</v>
      </c>
      <c r="O94">
        <f t="shared" ca="1" si="27"/>
        <v>1.006315E-3</v>
      </c>
      <c r="P94">
        <f t="shared" ca="1" si="28"/>
        <v>1.0001052500000001</v>
      </c>
      <c r="Q94">
        <f t="shared" ca="1" si="29"/>
        <v>0.76657435846034661</v>
      </c>
      <c r="R94">
        <f t="shared" ca="1" si="30"/>
        <v>4088.396578455182</v>
      </c>
      <c r="S94">
        <f t="shared" ca="1" si="31"/>
        <v>1.5280394051604229</v>
      </c>
      <c r="T94">
        <f t="shared" ca="1" si="32"/>
        <v>2</v>
      </c>
      <c r="U94">
        <f t="shared" ca="1" si="33"/>
        <v>4092</v>
      </c>
      <c r="V94">
        <f t="shared" ca="1" si="34"/>
        <v>0.76724999999999999</v>
      </c>
      <c r="X94">
        <f t="shared" ca="1" si="35"/>
        <v>0.76616304633937271</v>
      </c>
    </row>
    <row r="95" spans="5:24" x14ac:dyDescent="0.25">
      <c r="E95">
        <v>93</v>
      </c>
      <c r="F95">
        <f t="shared" si="19"/>
        <v>29.3</v>
      </c>
      <c r="G95">
        <f t="shared" ca="1" si="20"/>
        <v>29.303000000000001</v>
      </c>
      <c r="H95" s="5">
        <f t="shared" ca="1" si="21"/>
        <v>3.0000000000001137E-3</v>
      </c>
      <c r="I95" s="5">
        <f t="shared" ca="1" si="22"/>
        <v>1.0238907849829739E-4</v>
      </c>
      <c r="J95" s="10">
        <f t="shared" si="23"/>
        <v>0.77499999999999969</v>
      </c>
      <c r="K95" s="12">
        <f t="shared" ca="1" si="24"/>
        <v>0.77524999999999999</v>
      </c>
      <c r="L95" s="5">
        <f t="shared" ca="1" si="25"/>
        <v>3.225806451616847E-4</v>
      </c>
      <c r="N95">
        <f t="shared" ca="1" si="26"/>
        <v>4.3030000000000008</v>
      </c>
      <c r="O95">
        <f t="shared" ca="1" si="27"/>
        <v>1.0064545000000001E-3</v>
      </c>
      <c r="P95">
        <f t="shared" ca="1" si="28"/>
        <v>1.0001075749999999</v>
      </c>
      <c r="Q95">
        <f t="shared" ca="1" si="29"/>
        <v>0.77432683474940711</v>
      </c>
      <c r="R95">
        <f t="shared" ca="1" si="30"/>
        <v>4129.7431186635049</v>
      </c>
      <c r="S95">
        <f t="shared" ca="1" si="31"/>
        <v>1.5426809989069983</v>
      </c>
      <c r="T95">
        <f t="shared" ca="1" si="32"/>
        <v>0</v>
      </c>
      <c r="U95">
        <f t="shared" ca="1" si="33"/>
        <v>4131</v>
      </c>
      <c r="V95">
        <f t="shared" ca="1" si="34"/>
        <v>0.77456250000000004</v>
      </c>
      <c r="X95">
        <f t="shared" ca="1" si="35"/>
        <v>0.77347283915932752</v>
      </c>
    </row>
    <row r="96" spans="5:24" x14ac:dyDescent="0.25">
      <c r="E96">
        <v>94</v>
      </c>
      <c r="F96">
        <f t="shared" si="19"/>
        <v>29.4</v>
      </c>
      <c r="G96">
        <f t="shared" ca="1" si="20"/>
        <v>29.4</v>
      </c>
      <c r="H96" s="5">
        <f t="shared" ca="1" si="21"/>
        <v>0</v>
      </c>
      <c r="I96" s="5">
        <f t="shared" ca="1" si="22"/>
        <v>0</v>
      </c>
      <c r="J96" s="10">
        <f t="shared" si="23"/>
        <v>0.78333333333333299</v>
      </c>
      <c r="K96" s="12">
        <f t="shared" ca="1" si="24"/>
        <v>0.78333333333333299</v>
      </c>
      <c r="L96" s="5">
        <f t="shared" ca="1" si="25"/>
        <v>0</v>
      </c>
      <c r="N96">
        <f t="shared" ca="1" si="26"/>
        <v>4.3999999999999986</v>
      </c>
      <c r="O96">
        <f t="shared" ca="1" si="27"/>
        <v>1.0066000000000001E-3</v>
      </c>
      <c r="P96">
        <f t="shared" ca="1" si="28"/>
        <v>1.0001100000000001</v>
      </c>
      <c r="Q96">
        <f t="shared" ca="1" si="29"/>
        <v>0.78241278927399971</v>
      </c>
      <c r="R96">
        <f t="shared" ca="1" si="30"/>
        <v>4172.8682094613314</v>
      </c>
      <c r="S96">
        <f t="shared" ca="1" si="31"/>
        <v>1.5579265798888395</v>
      </c>
      <c r="T96">
        <f t="shared" ca="1" si="32"/>
        <v>2</v>
      </c>
      <c r="U96">
        <f t="shared" ca="1" si="33"/>
        <v>4176</v>
      </c>
      <c r="V96">
        <f t="shared" ca="1" si="34"/>
        <v>0.78300000000000003</v>
      </c>
      <c r="X96">
        <f t="shared" ca="1" si="35"/>
        <v>0.78190739018707944</v>
      </c>
    </row>
    <row r="97" spans="5:24" x14ac:dyDescent="0.25">
      <c r="E97">
        <v>95</v>
      </c>
      <c r="F97">
        <f t="shared" si="19"/>
        <v>29.5</v>
      </c>
      <c r="G97">
        <f t="shared" ca="1" si="20"/>
        <v>29.492999999999999</v>
      </c>
      <c r="H97" s="5">
        <f t="shared" ca="1" si="21"/>
        <v>7.0000000000014495E-3</v>
      </c>
      <c r="I97" s="5">
        <f t="shared" ca="1" si="22"/>
        <v>2.3728813559326946E-4</v>
      </c>
      <c r="J97" s="10">
        <f t="shared" si="23"/>
        <v>0.7916666666666663</v>
      </c>
      <c r="K97" s="12">
        <f t="shared" ca="1" si="24"/>
        <v>0.79108333333333314</v>
      </c>
      <c r="L97" s="5">
        <f t="shared" ca="1" si="25"/>
        <v>7.3684210526293685E-4</v>
      </c>
      <c r="N97">
        <f t="shared" ca="1" si="26"/>
        <v>4.4929999999999986</v>
      </c>
      <c r="O97">
        <f t="shared" ca="1" si="27"/>
        <v>1.0067394999999999E-3</v>
      </c>
      <c r="P97">
        <f t="shared" ca="1" si="28"/>
        <v>1.0001123249999999</v>
      </c>
      <c r="Q97">
        <f t="shared" ca="1" si="29"/>
        <v>0.79016533918673548</v>
      </c>
      <c r="R97">
        <f t="shared" ca="1" si="30"/>
        <v>4214.2151423292562</v>
      </c>
      <c r="S97">
        <f t="shared" ca="1" si="31"/>
        <v>1.5725185422596584</v>
      </c>
      <c r="T97">
        <f t="shared" ca="1" si="32"/>
        <v>1</v>
      </c>
      <c r="U97">
        <f t="shared" ca="1" si="33"/>
        <v>4217</v>
      </c>
      <c r="V97">
        <f t="shared" ca="1" si="34"/>
        <v>0.79068749999999999</v>
      </c>
      <c r="X97">
        <f t="shared" ca="1" si="35"/>
        <v>0.78959206957078554</v>
      </c>
    </row>
    <row r="98" spans="5:24" x14ac:dyDescent="0.25">
      <c r="E98">
        <v>96</v>
      </c>
      <c r="F98">
        <f t="shared" si="19"/>
        <v>29.6</v>
      </c>
      <c r="G98">
        <f t="shared" ca="1" si="20"/>
        <v>29.604000000000003</v>
      </c>
      <c r="H98" s="5">
        <f t="shared" ca="1" si="21"/>
        <v>4.0000000000013358E-3</v>
      </c>
      <c r="I98" s="5">
        <f t="shared" ca="1" si="22"/>
        <v>1.3513513513518027E-4</v>
      </c>
      <c r="J98" s="10">
        <f t="shared" si="23"/>
        <v>0.8</v>
      </c>
      <c r="K98" s="12">
        <f t="shared" ca="1" si="24"/>
        <v>0.80033333333333334</v>
      </c>
      <c r="L98" s="5">
        <f t="shared" ca="1" si="25"/>
        <v>4.1666666666662078E-4</v>
      </c>
      <c r="N98">
        <f t="shared" ca="1" si="26"/>
        <v>4.6040000000000028</v>
      </c>
      <c r="O98">
        <f t="shared" ca="1" si="27"/>
        <v>1.0069060000000001E-3</v>
      </c>
      <c r="P98">
        <f t="shared" ca="1" si="28"/>
        <v>1.0001150999999999</v>
      </c>
      <c r="Q98">
        <f t="shared" ca="1" si="29"/>
        <v>0.79941842980511935</v>
      </c>
      <c r="R98">
        <f t="shared" ca="1" si="30"/>
        <v>4263.5649589606364</v>
      </c>
      <c r="S98">
        <f t="shared" ca="1" si="31"/>
        <v>1.589902477242394</v>
      </c>
      <c r="T98">
        <f t="shared" ca="1" si="32"/>
        <v>3</v>
      </c>
      <c r="U98">
        <f t="shared" ca="1" si="33"/>
        <v>4268</v>
      </c>
      <c r="V98">
        <f t="shared" ca="1" si="34"/>
        <v>0.80025000000000002</v>
      </c>
      <c r="X98">
        <f t="shared" ca="1" si="35"/>
        <v>0.79915111170704267</v>
      </c>
    </row>
    <row r="99" spans="5:24" x14ac:dyDescent="0.25">
      <c r="E99">
        <v>97</v>
      </c>
      <c r="F99">
        <f t="shared" si="19"/>
        <v>29.700000000000003</v>
      </c>
      <c r="G99">
        <f t="shared" ca="1" si="20"/>
        <v>29.701000000000004</v>
      </c>
      <c r="H99" s="5">
        <f t="shared" ca="1" si="21"/>
        <v>1.0000000000012221E-3</v>
      </c>
      <c r="I99" s="5">
        <f t="shared" ca="1" si="22"/>
        <v>3.3670033670074813E-5</v>
      </c>
      <c r="J99" s="10">
        <f t="shared" si="23"/>
        <v>0.80833333333333335</v>
      </c>
      <c r="K99" s="12">
        <f t="shared" ca="1" si="24"/>
        <v>0.80841666666666678</v>
      </c>
      <c r="L99" s="5">
        <f t="shared" ca="1" si="25"/>
        <v>1.0309278350528063E-4</v>
      </c>
      <c r="N99">
        <f t="shared" ca="1" si="26"/>
        <v>4.7010000000000041</v>
      </c>
      <c r="O99">
        <f t="shared" ca="1" si="27"/>
        <v>1.0070515000000001E-3</v>
      </c>
      <c r="P99">
        <f t="shared" ca="1" si="28"/>
        <v>1.0001175250000001</v>
      </c>
      <c r="Q99">
        <f t="shared" ca="1" si="29"/>
        <v>0.80750450598168932</v>
      </c>
      <c r="R99">
        <f t="shared" ca="1" si="30"/>
        <v>4306.6906985690093</v>
      </c>
      <c r="S99">
        <f t="shared" ca="1" si="31"/>
        <v>1.6050647952848056</v>
      </c>
      <c r="T99">
        <f t="shared" ca="1" si="32"/>
        <v>-1</v>
      </c>
      <c r="U99">
        <f t="shared" ca="1" si="33"/>
        <v>4307</v>
      </c>
      <c r="V99">
        <f t="shared" ca="1" si="34"/>
        <v>0.80756250000000007</v>
      </c>
      <c r="X99">
        <f t="shared" ca="1" si="35"/>
        <v>0.80646066920985116</v>
      </c>
    </row>
    <row r="100" spans="5:24" x14ac:dyDescent="0.25">
      <c r="E100">
        <v>98</v>
      </c>
      <c r="F100">
        <f t="shared" si="19"/>
        <v>29.8</v>
      </c>
      <c r="G100">
        <f t="shared" ca="1" si="20"/>
        <v>29.809000000000001</v>
      </c>
      <c r="H100" s="5">
        <f t="shared" ca="1" si="21"/>
        <v>9.0000000000003411E-3</v>
      </c>
      <c r="I100" s="5">
        <f t="shared" ca="1" si="22"/>
        <v>3.0201342281880336E-4</v>
      </c>
      <c r="J100" s="10">
        <f t="shared" si="23"/>
        <v>0.81666666666666665</v>
      </c>
      <c r="K100" s="12">
        <f t="shared" ca="1" si="24"/>
        <v>0.81741666666666668</v>
      </c>
      <c r="L100" s="5">
        <f t="shared" ca="1" si="25"/>
        <v>9.1836734693881037E-4</v>
      </c>
      <c r="N100">
        <f t="shared" ca="1" si="26"/>
        <v>4.8090000000000011</v>
      </c>
      <c r="O100">
        <f t="shared" ca="1" si="27"/>
        <v>1.0072135E-3</v>
      </c>
      <c r="P100">
        <f t="shared" ca="1" si="28"/>
        <v>1.0001202250000001</v>
      </c>
      <c r="Q100">
        <f t="shared" ca="1" si="29"/>
        <v>0.81650760599317374</v>
      </c>
      <c r="R100">
        <f t="shared" ca="1" si="30"/>
        <v>4354.7072319635936</v>
      </c>
      <c r="S100">
        <f t="shared" ca="1" si="31"/>
        <v>1.6219143435356154</v>
      </c>
      <c r="T100">
        <f t="shared" ca="1" si="32"/>
        <v>2</v>
      </c>
      <c r="U100">
        <f t="shared" ca="1" si="33"/>
        <v>4358</v>
      </c>
      <c r="V100">
        <f t="shared" ca="1" si="34"/>
        <v>0.81712499999999999</v>
      </c>
      <c r="X100">
        <f t="shared" ca="1" si="35"/>
        <v>0.81601968053390772</v>
      </c>
    </row>
    <row r="101" spans="5:24" x14ac:dyDescent="0.25">
      <c r="E101">
        <v>99</v>
      </c>
      <c r="F101">
        <f t="shared" si="19"/>
        <v>29.9</v>
      </c>
      <c r="G101">
        <f t="shared" ca="1" si="20"/>
        <v>29.898</v>
      </c>
      <c r="H101" s="5">
        <f t="shared" ca="1" si="21"/>
        <v>1.9999999999988916E-3</v>
      </c>
      <c r="I101" s="5">
        <f t="shared" ca="1" si="22"/>
        <v>6.6889632106986345E-5</v>
      </c>
      <c r="J101" s="10">
        <f t="shared" si="23"/>
        <v>0.82499999999999951</v>
      </c>
      <c r="K101" s="12">
        <f t="shared" ca="1" si="24"/>
        <v>0.82483333333333309</v>
      </c>
      <c r="L101" s="5">
        <f t="shared" ca="1" si="25"/>
        <v>2.0202020201991075E-4</v>
      </c>
      <c r="N101">
        <f t="shared" ca="1" si="26"/>
        <v>4.8979999999999997</v>
      </c>
      <c r="O101">
        <f t="shared" ca="1" si="27"/>
        <v>1.007347E-3</v>
      </c>
      <c r="P101">
        <f t="shared" ca="1" si="28"/>
        <v>1.0001224500000001</v>
      </c>
      <c r="Q101">
        <f t="shared" ca="1" si="29"/>
        <v>0.82392686382535962</v>
      </c>
      <c r="R101">
        <f t="shared" ca="1" si="30"/>
        <v>4394.2766070685848</v>
      </c>
      <c r="S101">
        <f t="shared" ca="1" si="31"/>
        <v>1.6357738695557591</v>
      </c>
      <c r="T101">
        <f t="shared" ca="1" si="32"/>
        <v>-1</v>
      </c>
      <c r="U101">
        <f t="shared" ca="1" si="33"/>
        <v>4395</v>
      </c>
      <c r="V101">
        <f t="shared" ca="1" si="34"/>
        <v>0.82406250000000003</v>
      </c>
      <c r="X101">
        <f t="shared" ca="1" si="35"/>
        <v>0.82295438223589512</v>
      </c>
    </row>
    <row r="102" spans="5:24" x14ac:dyDescent="0.25">
      <c r="E102">
        <v>100</v>
      </c>
      <c r="F102">
        <f t="shared" si="19"/>
        <v>30</v>
      </c>
      <c r="G102">
        <f t="shared" ca="1" si="20"/>
        <v>30.006</v>
      </c>
      <c r="H102" s="5">
        <f t="shared" ca="1" si="21"/>
        <v>6.0000000000002274E-3</v>
      </c>
      <c r="I102" s="5">
        <f t="shared" ca="1" si="22"/>
        <v>2.0000000000000757E-4</v>
      </c>
      <c r="J102" s="10">
        <f t="shared" si="23"/>
        <v>0.83333333333333326</v>
      </c>
      <c r="K102" s="12">
        <f t="shared" ca="1" si="24"/>
        <v>0.83383333333333298</v>
      </c>
      <c r="L102" s="5">
        <f t="shared" ca="1" si="25"/>
        <v>5.9999999999966753E-4</v>
      </c>
      <c r="N102">
        <f t="shared" ca="1" si="26"/>
        <v>5.0060000000000002</v>
      </c>
      <c r="O102">
        <f t="shared" ca="1" si="27"/>
        <v>1.007509E-3</v>
      </c>
      <c r="P102">
        <f t="shared" ca="1" si="28"/>
        <v>1.0001251499999999</v>
      </c>
      <c r="Q102">
        <f t="shared" ca="1" si="29"/>
        <v>0.83293005248524821</v>
      </c>
      <c r="R102">
        <f t="shared" ca="1" si="30"/>
        <v>4442.2936132546574</v>
      </c>
      <c r="S102">
        <f t="shared" ca="1" si="31"/>
        <v>1.6525606172916874</v>
      </c>
      <c r="T102">
        <f t="shared" ca="1" si="32"/>
        <v>-1</v>
      </c>
      <c r="U102">
        <f t="shared" ca="1" si="33"/>
        <v>4443</v>
      </c>
      <c r="V102">
        <f t="shared" ca="1" si="34"/>
        <v>0.83306250000000004</v>
      </c>
      <c r="X102">
        <f t="shared" ca="1" si="35"/>
        <v>0.83195087234832565</v>
      </c>
    </row>
    <row r="103" spans="5:24" x14ac:dyDescent="0.25">
      <c r="E103">
        <v>101</v>
      </c>
      <c r="F103">
        <f t="shared" si="19"/>
        <v>30.1</v>
      </c>
      <c r="G103">
        <f t="shared" ca="1" si="20"/>
        <v>30.097000000000001</v>
      </c>
      <c r="H103" s="5">
        <f t="shared" ca="1" si="21"/>
        <v>3.0000000000001137E-3</v>
      </c>
      <c r="I103" s="5">
        <f t="shared" ca="1" si="22"/>
        <v>9.9667774086382511E-5</v>
      </c>
      <c r="J103" s="10">
        <f t="shared" si="23"/>
        <v>0.84166666666666656</v>
      </c>
      <c r="K103" s="12">
        <f t="shared" ca="1" si="24"/>
        <v>0.8414166666666667</v>
      </c>
      <c r="L103" s="5">
        <f t="shared" ca="1" si="25"/>
        <v>2.9702970297013244E-4</v>
      </c>
      <c r="N103">
        <f t="shared" ca="1" si="26"/>
        <v>5.0970000000000013</v>
      </c>
      <c r="O103">
        <f t="shared" ca="1" si="27"/>
        <v>1.0076455000000001E-3</v>
      </c>
      <c r="P103">
        <f t="shared" ca="1" si="28"/>
        <v>1.0001274250000001</v>
      </c>
      <c r="Q103">
        <f t="shared" ca="1" si="29"/>
        <v>0.84051611028618889</v>
      </c>
      <c r="R103">
        <f t="shared" ca="1" si="30"/>
        <v>4482.7525881930069</v>
      </c>
      <c r="S103">
        <f t="shared" ca="1" si="31"/>
        <v>1.6666779040549236</v>
      </c>
      <c r="T103">
        <f t="shared" ca="1" si="32"/>
        <v>-2</v>
      </c>
      <c r="U103">
        <f t="shared" ca="1" si="33"/>
        <v>4482</v>
      </c>
      <c r="V103">
        <f t="shared" ca="1" si="34"/>
        <v>0.84037499999999998</v>
      </c>
      <c r="X103">
        <f t="shared" ca="1" si="35"/>
        <v>0.8392604117420337</v>
      </c>
    </row>
    <row r="104" spans="5:24" x14ac:dyDescent="0.25">
      <c r="E104">
        <v>102</v>
      </c>
      <c r="F104">
        <f t="shared" si="19"/>
        <v>30.200000000000003</v>
      </c>
      <c r="G104">
        <f t="shared" ca="1" si="20"/>
        <v>30.201000000000004</v>
      </c>
      <c r="H104" s="5">
        <f t="shared" ca="1" si="21"/>
        <v>1.0000000000012221E-3</v>
      </c>
      <c r="I104" s="5">
        <f t="shared" ca="1" si="22"/>
        <v>3.3112582781497421E-5</v>
      </c>
      <c r="J104" s="10">
        <f t="shared" si="23"/>
        <v>0.84999999999999987</v>
      </c>
      <c r="K104" s="12">
        <f t="shared" ca="1" si="24"/>
        <v>0.8500833333333333</v>
      </c>
      <c r="L104" s="5">
        <f t="shared" ca="1" si="25"/>
        <v>9.8039215686394337E-5</v>
      </c>
      <c r="N104">
        <f t="shared" ca="1" si="26"/>
        <v>5.2010000000000041</v>
      </c>
      <c r="O104">
        <f t="shared" ca="1" si="27"/>
        <v>1.0078015E-3</v>
      </c>
      <c r="P104">
        <f t="shared" ca="1" si="28"/>
        <v>1.000130025</v>
      </c>
      <c r="Q104">
        <f t="shared" ca="1" si="29"/>
        <v>0.84918593287935995</v>
      </c>
      <c r="R104">
        <f t="shared" ca="1" si="30"/>
        <v>4528.991642023253</v>
      </c>
      <c r="S104">
        <f t="shared" ca="1" si="31"/>
        <v>1.6827813051986769</v>
      </c>
      <c r="T104">
        <f t="shared" ca="1" si="32"/>
        <v>-2</v>
      </c>
      <c r="U104">
        <f t="shared" ca="1" si="33"/>
        <v>4529</v>
      </c>
      <c r="V104">
        <f t="shared" ca="1" si="34"/>
        <v>0.84918749999999998</v>
      </c>
      <c r="X104">
        <f t="shared" ca="1" si="35"/>
        <v>0.8480694282725888</v>
      </c>
    </row>
    <row r="105" spans="5:24" x14ac:dyDescent="0.25">
      <c r="E105">
        <v>103</v>
      </c>
      <c r="F105">
        <f t="shared" si="19"/>
        <v>30.3</v>
      </c>
      <c r="G105">
        <f t="shared" ca="1" si="20"/>
        <v>30.302</v>
      </c>
      <c r="H105" s="5">
        <f t="shared" ca="1" si="21"/>
        <v>1.9999999999988916E-3</v>
      </c>
      <c r="I105" s="5">
        <f t="shared" ca="1" si="22"/>
        <v>6.6006600660029424E-5</v>
      </c>
      <c r="J105" s="10">
        <f t="shared" si="23"/>
        <v>0.85833333333333317</v>
      </c>
      <c r="K105" s="12">
        <f t="shared" ca="1" si="24"/>
        <v>0.8584999999999996</v>
      </c>
      <c r="L105" s="5">
        <f t="shared" ca="1" si="25"/>
        <v>1.9417475728127336E-4</v>
      </c>
      <c r="N105">
        <f t="shared" ca="1" si="26"/>
        <v>5.3019999999999996</v>
      </c>
      <c r="O105">
        <f t="shared" ca="1" si="27"/>
        <v>1.007953E-3</v>
      </c>
      <c r="P105">
        <f t="shared" ca="1" si="28"/>
        <v>1.00013255</v>
      </c>
      <c r="Q105">
        <f t="shared" ca="1" si="29"/>
        <v>0.85760570757082943</v>
      </c>
      <c r="R105">
        <f t="shared" ca="1" si="30"/>
        <v>4573.8971070444231</v>
      </c>
      <c r="S105">
        <f t="shared" ca="1" si="31"/>
        <v>1.6983886143274003</v>
      </c>
      <c r="T105">
        <f t="shared" ca="1" si="32"/>
        <v>0</v>
      </c>
      <c r="U105">
        <f t="shared" ca="1" si="33"/>
        <v>4576</v>
      </c>
      <c r="V105">
        <f t="shared" ca="1" si="34"/>
        <v>0.85799999999999998</v>
      </c>
      <c r="X105">
        <f t="shared" ca="1" si="35"/>
        <v>0.85687846775909848</v>
      </c>
    </row>
    <row r="106" spans="5:24" x14ac:dyDescent="0.25">
      <c r="E106">
        <v>104</v>
      </c>
      <c r="F106">
        <f t="shared" si="19"/>
        <v>30.4</v>
      </c>
      <c r="G106">
        <f t="shared" ca="1" si="20"/>
        <v>30.404999999999998</v>
      </c>
      <c r="H106" s="5">
        <f t="shared" ca="1" si="21"/>
        <v>4.9999999999990052E-3</v>
      </c>
      <c r="I106" s="5">
        <f t="shared" ca="1" si="22"/>
        <v>1.644736842104936E-4</v>
      </c>
      <c r="J106" s="10">
        <f t="shared" si="23"/>
        <v>0.86666666666666647</v>
      </c>
      <c r="K106" s="12">
        <f t="shared" ca="1" si="24"/>
        <v>0.86708333333333276</v>
      </c>
      <c r="L106" s="5">
        <f t="shared" ca="1" si="25"/>
        <v>4.8076923076879365E-4</v>
      </c>
      <c r="N106">
        <f t="shared" ca="1" si="26"/>
        <v>5.4049999999999976</v>
      </c>
      <c r="O106">
        <f t="shared" ca="1" si="27"/>
        <v>1.0081075E-3</v>
      </c>
      <c r="P106">
        <f t="shared" ca="1" si="28"/>
        <v>1.0001351249999999</v>
      </c>
      <c r="Q106">
        <f t="shared" ca="1" si="29"/>
        <v>0.86619225424822344</v>
      </c>
      <c r="R106">
        <f t="shared" ca="1" si="30"/>
        <v>4619.692022657192</v>
      </c>
      <c r="S106">
        <f t="shared" ca="1" si="31"/>
        <v>1.7142726367941443</v>
      </c>
      <c r="T106">
        <f t="shared" ca="1" si="32"/>
        <v>0</v>
      </c>
      <c r="U106">
        <f t="shared" ca="1" si="33"/>
        <v>4621</v>
      </c>
      <c r="V106">
        <f t="shared" ca="1" si="34"/>
        <v>0.86643749999999997</v>
      </c>
      <c r="X106">
        <f t="shared" ca="1" si="35"/>
        <v>0.86531246715287602</v>
      </c>
    </row>
    <row r="107" spans="5:24" x14ac:dyDescent="0.25">
      <c r="E107">
        <v>105</v>
      </c>
      <c r="F107">
        <f t="shared" si="19"/>
        <v>30.5</v>
      </c>
      <c r="G107">
        <f t="shared" ca="1" si="20"/>
        <v>30.498000000000001</v>
      </c>
      <c r="H107" s="5">
        <f t="shared" ca="1" si="21"/>
        <v>1.9999999999988916E-3</v>
      </c>
      <c r="I107" s="5">
        <f t="shared" ca="1" si="22"/>
        <v>6.5573770491766936E-5</v>
      </c>
      <c r="J107" s="10">
        <f t="shared" si="23"/>
        <v>0.87499999999999978</v>
      </c>
      <c r="K107" s="12">
        <f t="shared" ca="1" si="24"/>
        <v>0.87483333333333335</v>
      </c>
      <c r="L107" s="5">
        <f t="shared" ca="1" si="25"/>
        <v>1.9047619047591577E-4</v>
      </c>
      <c r="N107">
        <f t="shared" ca="1" si="26"/>
        <v>5.4980000000000011</v>
      </c>
      <c r="O107">
        <f t="shared" ca="1" si="27"/>
        <v>1.0082470000000001E-3</v>
      </c>
      <c r="P107">
        <f t="shared" ca="1" si="28"/>
        <v>1.00013745</v>
      </c>
      <c r="Q107">
        <f t="shared" ca="1" si="29"/>
        <v>0.87394519359144984</v>
      </c>
      <c r="R107">
        <f t="shared" ca="1" si="30"/>
        <v>4661.0410324877321</v>
      </c>
      <c r="S107">
        <f t="shared" ca="1" si="31"/>
        <v>1.7285862108252721</v>
      </c>
      <c r="T107">
        <f t="shared" ca="1" si="32"/>
        <v>0</v>
      </c>
      <c r="U107">
        <f t="shared" ca="1" si="33"/>
        <v>4663</v>
      </c>
      <c r="V107">
        <f t="shared" ca="1" si="34"/>
        <v>0.87431250000000005</v>
      </c>
      <c r="X107">
        <f t="shared" ca="1" si="35"/>
        <v>0.87318423382706056</v>
      </c>
    </row>
    <row r="108" spans="5:24" x14ac:dyDescent="0.25">
      <c r="E108">
        <v>106</v>
      </c>
      <c r="F108">
        <f t="shared" si="19"/>
        <v>30.6</v>
      </c>
      <c r="G108">
        <f t="shared" ca="1" si="20"/>
        <v>30.602</v>
      </c>
      <c r="H108" s="5">
        <f t="shared" ca="1" si="21"/>
        <v>1.9999999999988916E-3</v>
      </c>
      <c r="I108" s="5">
        <f t="shared" ca="1" si="22"/>
        <v>6.5359477124146773E-5</v>
      </c>
      <c r="J108" s="10">
        <f t="shared" si="23"/>
        <v>0.88333333333333308</v>
      </c>
      <c r="K108" s="12">
        <f t="shared" ca="1" si="24"/>
        <v>0.88349999999999995</v>
      </c>
      <c r="L108" s="5">
        <f t="shared" ca="1" si="25"/>
        <v>1.8867924528324952E-4</v>
      </c>
      <c r="N108">
        <f t="shared" ca="1" si="26"/>
        <v>5.6020000000000003</v>
      </c>
      <c r="O108">
        <f t="shared" ca="1" si="27"/>
        <v>1.0084029999999999E-3</v>
      </c>
      <c r="P108">
        <f t="shared" ca="1" si="28"/>
        <v>1.0001400499999999</v>
      </c>
      <c r="Q108">
        <f t="shared" ca="1" si="29"/>
        <v>0.88261518994815968</v>
      </c>
      <c r="R108">
        <f t="shared" ca="1" si="30"/>
        <v>4707.2810130568514</v>
      </c>
      <c r="S108">
        <f t="shared" ca="1" si="31"/>
        <v>1.7445606808840575</v>
      </c>
      <c r="T108">
        <f t="shared" ca="1" si="32"/>
        <v>0</v>
      </c>
      <c r="U108">
        <f t="shared" ca="1" si="33"/>
        <v>4709</v>
      </c>
      <c r="V108">
        <f t="shared" ca="1" si="34"/>
        <v>0.88293750000000004</v>
      </c>
      <c r="X108">
        <f t="shared" ca="1" si="35"/>
        <v>0.88180560012570242</v>
      </c>
    </row>
    <row r="109" spans="5:24" x14ac:dyDescent="0.25">
      <c r="E109">
        <v>107</v>
      </c>
      <c r="F109">
        <f t="shared" si="19"/>
        <v>30.700000000000003</v>
      </c>
      <c r="G109">
        <f t="shared" ca="1" si="20"/>
        <v>30.696000000000002</v>
      </c>
      <c r="H109" s="5">
        <f t="shared" ca="1" si="21"/>
        <v>4.0000000000013358E-3</v>
      </c>
      <c r="I109" s="5">
        <f t="shared" ca="1" si="22"/>
        <v>1.3029315960916401E-4</v>
      </c>
      <c r="J109" s="10">
        <f t="shared" si="23"/>
        <v>0.89166666666666683</v>
      </c>
      <c r="K109" s="12">
        <f t="shared" ca="1" si="24"/>
        <v>0.89133333333333309</v>
      </c>
      <c r="L109" s="5">
        <f t="shared" ca="1" si="25"/>
        <v>3.7383177570139139E-4</v>
      </c>
      <c r="N109">
        <f t="shared" ca="1" si="26"/>
        <v>5.6960000000000015</v>
      </c>
      <c r="O109">
        <f t="shared" ca="1" si="27"/>
        <v>1.0085440000000001E-3</v>
      </c>
      <c r="P109">
        <f t="shared" ca="1" si="28"/>
        <v>1.0001424000000001</v>
      </c>
      <c r="Q109">
        <f t="shared" ca="1" si="29"/>
        <v>0.89045157158333421</v>
      </c>
      <c r="R109">
        <f t="shared" ca="1" si="30"/>
        <v>4749.0750484444488</v>
      </c>
      <c r="S109">
        <f t="shared" ca="1" si="31"/>
        <v>1.7589697244242488</v>
      </c>
      <c r="T109">
        <f t="shared" ca="1" si="32"/>
        <v>0</v>
      </c>
      <c r="U109">
        <f t="shared" ca="1" si="33"/>
        <v>4751</v>
      </c>
      <c r="V109">
        <f t="shared" ca="1" si="34"/>
        <v>0.89081250000000001</v>
      </c>
      <c r="X109">
        <f t="shared" ca="1" si="35"/>
        <v>0.88967726595732755</v>
      </c>
    </row>
    <row r="110" spans="5:24" x14ac:dyDescent="0.25">
      <c r="E110">
        <v>108</v>
      </c>
      <c r="F110">
        <f t="shared" si="19"/>
        <v>30.8</v>
      </c>
      <c r="G110">
        <f t="shared" ca="1" si="20"/>
        <v>30.807000000000002</v>
      </c>
      <c r="H110" s="5">
        <f t="shared" ca="1" si="21"/>
        <v>7.0000000000014495E-3</v>
      </c>
      <c r="I110" s="5">
        <f t="shared" ca="1" si="22"/>
        <v>2.2727272727277433E-4</v>
      </c>
      <c r="J110" s="10">
        <f t="shared" si="23"/>
        <v>0.89999999999999969</v>
      </c>
      <c r="K110" s="12">
        <f t="shared" ca="1" si="24"/>
        <v>0.90058333333333329</v>
      </c>
      <c r="L110" s="5">
        <f t="shared" ca="1" si="25"/>
        <v>6.4814814814844704E-4</v>
      </c>
      <c r="N110">
        <f t="shared" ca="1" si="26"/>
        <v>5.8070000000000022</v>
      </c>
      <c r="O110">
        <f t="shared" ca="1" si="27"/>
        <v>1.0087105000000001E-3</v>
      </c>
      <c r="P110">
        <f t="shared" ca="1" si="28"/>
        <v>1.0001451750000001</v>
      </c>
      <c r="Q110">
        <f t="shared" ca="1" si="29"/>
        <v>0.89970521857920327</v>
      </c>
      <c r="R110">
        <f t="shared" ca="1" si="30"/>
        <v>4798.4278324224169</v>
      </c>
      <c r="S110">
        <f t="shared" ca="1" si="31"/>
        <v>1.7759483632835125</v>
      </c>
      <c r="T110">
        <f t="shared" ca="1" si="32"/>
        <v>-2</v>
      </c>
      <c r="U110">
        <f t="shared" ca="1" si="33"/>
        <v>4798</v>
      </c>
      <c r="V110">
        <f t="shared" ca="1" si="34"/>
        <v>0.89962500000000001</v>
      </c>
      <c r="X110">
        <f t="shared" ca="1" si="35"/>
        <v>0.89848585181646246</v>
      </c>
    </row>
    <row r="111" spans="5:24" x14ac:dyDescent="0.25">
      <c r="E111">
        <v>109</v>
      </c>
      <c r="F111">
        <f t="shared" si="19"/>
        <v>30.9</v>
      </c>
      <c r="G111">
        <f t="shared" ca="1" si="20"/>
        <v>30.891999999999999</v>
      </c>
      <c r="H111" s="5">
        <f t="shared" ca="1" si="21"/>
        <v>7.9999999999991189E-3</v>
      </c>
      <c r="I111" s="5">
        <f t="shared" ca="1" si="22"/>
        <v>2.5889967637537605E-4</v>
      </c>
      <c r="J111" s="10">
        <f t="shared" si="23"/>
        <v>0.90833333333333299</v>
      </c>
      <c r="K111" s="12">
        <f t="shared" ca="1" si="24"/>
        <v>0.9076666666666664</v>
      </c>
      <c r="L111" s="5">
        <f t="shared" ca="1" si="25"/>
        <v>7.3394495412835981E-4</v>
      </c>
      <c r="N111">
        <f t="shared" ca="1" si="26"/>
        <v>5.8919999999999995</v>
      </c>
      <c r="O111">
        <f t="shared" ca="1" si="27"/>
        <v>1.008838E-3</v>
      </c>
      <c r="P111">
        <f t="shared" ca="1" si="28"/>
        <v>1.0001473000000001</v>
      </c>
      <c r="Q111">
        <f t="shared" ca="1" si="29"/>
        <v>0.90679137936482912</v>
      </c>
      <c r="R111">
        <f t="shared" ca="1" si="30"/>
        <v>4836.2206899457551</v>
      </c>
      <c r="S111">
        <f t="shared" ca="1" si="31"/>
        <v>1.7889232258053223</v>
      </c>
      <c r="T111">
        <f t="shared" ca="1" si="32"/>
        <v>1</v>
      </c>
      <c r="U111">
        <f t="shared" ca="1" si="33"/>
        <v>4839</v>
      </c>
      <c r="V111">
        <f t="shared" ca="1" si="34"/>
        <v>0.90731249999999997</v>
      </c>
      <c r="X111">
        <f t="shared" ca="1" si="35"/>
        <v>0.90617018313202458</v>
      </c>
    </row>
    <row r="112" spans="5:24" x14ac:dyDescent="0.25">
      <c r="E112">
        <v>110</v>
      </c>
      <c r="F112">
        <f t="shared" si="19"/>
        <v>31</v>
      </c>
      <c r="G112">
        <f t="shared" ca="1" si="20"/>
        <v>30.995000000000001</v>
      </c>
      <c r="H112" s="5">
        <f t="shared" ca="1" si="21"/>
        <v>4.9999999999990052E-3</v>
      </c>
      <c r="I112" s="5">
        <f t="shared" ca="1" si="22"/>
        <v>1.6129032258061307E-4</v>
      </c>
      <c r="J112" s="10">
        <f t="shared" si="23"/>
        <v>0.9166666666666663</v>
      </c>
      <c r="K112" s="12">
        <f t="shared" ca="1" si="24"/>
        <v>0.91625000000000001</v>
      </c>
      <c r="L112" s="5">
        <f t="shared" ca="1" si="25"/>
        <v>4.545454545450413E-4</v>
      </c>
      <c r="N112">
        <f t="shared" ca="1" si="26"/>
        <v>5.995000000000001</v>
      </c>
      <c r="O112">
        <f t="shared" ca="1" si="27"/>
        <v>1.0089925E-3</v>
      </c>
      <c r="P112">
        <f t="shared" ca="1" si="28"/>
        <v>1.000149875</v>
      </c>
      <c r="Q112">
        <f t="shared" ca="1" si="29"/>
        <v>0.91537817924599907</v>
      </c>
      <c r="R112">
        <f t="shared" ca="1" si="30"/>
        <v>4882.0169559786618</v>
      </c>
      <c r="S112">
        <f t="shared" ca="1" si="31"/>
        <v>1.804614290844039</v>
      </c>
      <c r="T112">
        <f t="shared" ca="1" si="32"/>
        <v>1</v>
      </c>
      <c r="U112">
        <f t="shared" ca="1" si="33"/>
        <v>4885</v>
      </c>
      <c r="V112">
        <f t="shared" ca="1" si="34"/>
        <v>0.91593750000000007</v>
      </c>
      <c r="X112">
        <f t="shared" ca="1" si="35"/>
        <v>0.91479140313845475</v>
      </c>
    </row>
    <row r="113" spans="5:24" x14ac:dyDescent="0.25">
      <c r="E113">
        <v>111</v>
      </c>
      <c r="F113">
        <f t="shared" si="19"/>
        <v>31.1</v>
      </c>
      <c r="G113">
        <f t="shared" ca="1" si="20"/>
        <v>31.096</v>
      </c>
      <c r="H113" s="5">
        <f t="shared" ca="1" si="21"/>
        <v>4.0000000000013358E-3</v>
      </c>
      <c r="I113" s="5">
        <f t="shared" ca="1" si="22"/>
        <v>1.286173633440944E-4</v>
      </c>
      <c r="J113" s="10">
        <f t="shared" si="23"/>
        <v>0.92500000000000004</v>
      </c>
      <c r="K113" s="12">
        <f t="shared" ca="1" si="24"/>
        <v>0.9246666666666663</v>
      </c>
      <c r="L113" s="5">
        <f t="shared" ca="1" si="25"/>
        <v>3.6036036036080077E-4</v>
      </c>
      <c r="N113">
        <f t="shared" ca="1" si="26"/>
        <v>6.0960000000000001</v>
      </c>
      <c r="O113">
        <f t="shared" ca="1" si="27"/>
        <v>1.009144E-3</v>
      </c>
      <c r="P113">
        <f t="shared" ca="1" si="28"/>
        <v>1.0001523999999999</v>
      </c>
      <c r="Q113">
        <f t="shared" ca="1" si="29"/>
        <v>0.9237982880731207</v>
      </c>
      <c r="R113">
        <f t="shared" ca="1" si="30"/>
        <v>4926.9242030566438</v>
      </c>
      <c r="S113">
        <f t="shared" ca="1" si="31"/>
        <v>1.8199669726620493</v>
      </c>
      <c r="T113">
        <f t="shared" ca="1" si="32"/>
        <v>1</v>
      </c>
      <c r="U113">
        <f t="shared" ca="1" si="33"/>
        <v>4930</v>
      </c>
      <c r="V113">
        <f t="shared" ca="1" si="34"/>
        <v>0.92437500000000006</v>
      </c>
      <c r="X113">
        <f t="shared" ca="1" si="35"/>
        <v>0.92322515648615167</v>
      </c>
    </row>
    <row r="114" spans="5:24" x14ac:dyDescent="0.25">
      <c r="E114">
        <v>112</v>
      </c>
      <c r="F114">
        <f t="shared" si="19"/>
        <v>31.200000000000003</v>
      </c>
      <c r="G114">
        <f t="shared" ca="1" si="20"/>
        <v>31.202000000000002</v>
      </c>
      <c r="H114" s="5">
        <f t="shared" ca="1" si="21"/>
        <v>1.9999999999988916E-3</v>
      </c>
      <c r="I114" s="5">
        <f t="shared" ca="1" si="22"/>
        <v>6.4102564102528568E-5</v>
      </c>
      <c r="J114" s="10">
        <f t="shared" si="23"/>
        <v>0.93333333333333335</v>
      </c>
      <c r="K114" s="12">
        <f t="shared" ca="1" si="24"/>
        <v>0.93349999999999977</v>
      </c>
      <c r="L114" s="5">
        <f t="shared" ca="1" si="25"/>
        <v>1.7857142857117099E-4</v>
      </c>
      <c r="N114">
        <f t="shared" ca="1" si="26"/>
        <v>6.2020000000000017</v>
      </c>
      <c r="O114">
        <f t="shared" ca="1" si="27"/>
        <v>1.009303E-3</v>
      </c>
      <c r="P114">
        <f t="shared" ca="1" si="28"/>
        <v>1.00015505</v>
      </c>
      <c r="Q114">
        <f t="shared" ca="1" si="29"/>
        <v>0.93263527968256965</v>
      </c>
      <c r="R114">
        <f t="shared" ca="1" si="30"/>
        <v>4974.0548249737049</v>
      </c>
      <c r="S114">
        <f t="shared" ca="1" si="31"/>
        <v>1.8360434836008253</v>
      </c>
      <c r="T114">
        <f t="shared" ca="1" si="32"/>
        <v>1</v>
      </c>
      <c r="U114">
        <f t="shared" ca="1" si="33"/>
        <v>4977</v>
      </c>
      <c r="V114">
        <f t="shared" ca="1" si="34"/>
        <v>0.93318750000000006</v>
      </c>
      <c r="X114">
        <f t="shared" ca="1" si="35"/>
        <v>0.93203368517711327</v>
      </c>
    </row>
    <row r="115" spans="5:24" x14ac:dyDescent="0.25">
      <c r="E115">
        <v>113</v>
      </c>
      <c r="F115">
        <f t="shared" si="19"/>
        <v>31.3</v>
      </c>
      <c r="G115">
        <f t="shared" ca="1" si="20"/>
        <v>31.3</v>
      </c>
      <c r="H115" s="5">
        <f t="shared" ca="1" si="21"/>
        <v>0</v>
      </c>
      <c r="I115" s="5">
        <f t="shared" ca="1" si="22"/>
        <v>0</v>
      </c>
      <c r="J115" s="10">
        <f t="shared" si="23"/>
        <v>0.94166666666666665</v>
      </c>
      <c r="K115" s="12">
        <f t="shared" ca="1" si="24"/>
        <v>0.94166666666666665</v>
      </c>
      <c r="L115" s="5">
        <f t="shared" ca="1" si="25"/>
        <v>0</v>
      </c>
      <c r="N115">
        <f t="shared" ca="1" si="26"/>
        <v>6.3000000000000007</v>
      </c>
      <c r="O115">
        <f t="shared" ca="1" si="27"/>
        <v>1.0094500000000001E-3</v>
      </c>
      <c r="P115">
        <f t="shared" ca="1" si="28"/>
        <v>1.0001575</v>
      </c>
      <c r="Q115">
        <f t="shared" ca="1" si="29"/>
        <v>0.94080537017829169</v>
      </c>
      <c r="R115">
        <f t="shared" ca="1" si="30"/>
        <v>5017.6286409508893</v>
      </c>
      <c r="S115">
        <f t="shared" ca="1" si="31"/>
        <v>1.8508734052639764</v>
      </c>
      <c r="T115">
        <f t="shared" ca="1" si="32"/>
        <v>2</v>
      </c>
      <c r="U115">
        <f t="shared" ca="1" si="33"/>
        <v>5021</v>
      </c>
      <c r="V115">
        <f t="shared" ca="1" si="34"/>
        <v>0.94143750000000004</v>
      </c>
      <c r="X115">
        <f t="shared" ca="1" si="35"/>
        <v>0.94027995590694469</v>
      </c>
    </row>
    <row r="116" spans="5:24" x14ac:dyDescent="0.25">
      <c r="E116">
        <v>114</v>
      </c>
      <c r="F116">
        <f t="shared" si="19"/>
        <v>31.4</v>
      </c>
      <c r="G116">
        <f t="shared" ca="1" si="20"/>
        <v>31.396999999999998</v>
      </c>
      <c r="H116" s="5">
        <f t="shared" ca="1" si="21"/>
        <v>3.0000000000001137E-3</v>
      </c>
      <c r="I116" s="5">
        <f t="shared" ca="1" si="22"/>
        <v>9.554140127388898E-5</v>
      </c>
      <c r="J116" s="10">
        <f t="shared" si="23"/>
        <v>0.94999999999999951</v>
      </c>
      <c r="K116" s="12">
        <f t="shared" ca="1" si="24"/>
        <v>0.94974999999999965</v>
      </c>
      <c r="L116" s="5">
        <f t="shared" ca="1" si="25"/>
        <v>2.6315789473669638E-4</v>
      </c>
      <c r="N116">
        <f t="shared" ca="1" si="26"/>
        <v>6.3969999999999985</v>
      </c>
      <c r="O116">
        <f t="shared" ca="1" si="27"/>
        <v>1.0095955E-3</v>
      </c>
      <c r="P116">
        <f t="shared" ca="1" si="28"/>
        <v>1.0001599249999999</v>
      </c>
      <c r="Q116">
        <f t="shared" ca="1" si="29"/>
        <v>0.9488921318091893</v>
      </c>
      <c r="R116">
        <f t="shared" ca="1" si="30"/>
        <v>5060.7580363156758</v>
      </c>
      <c r="S116">
        <f t="shared" ca="1" si="31"/>
        <v>1.8655202642582114</v>
      </c>
      <c r="T116">
        <f t="shared" ca="1" si="32"/>
        <v>1</v>
      </c>
      <c r="U116">
        <f t="shared" ca="1" si="33"/>
        <v>5064</v>
      </c>
      <c r="V116">
        <f t="shared" ca="1" si="34"/>
        <v>0.94950000000000001</v>
      </c>
      <c r="X116">
        <f t="shared" ca="1" si="35"/>
        <v>0.94833874142677732</v>
      </c>
    </row>
    <row r="117" spans="5:24" x14ac:dyDescent="0.25">
      <c r="E117">
        <v>115</v>
      </c>
      <c r="F117">
        <f t="shared" si="19"/>
        <v>31.5</v>
      </c>
      <c r="G117">
        <f t="shared" ca="1" si="20"/>
        <v>31.498999999999999</v>
      </c>
      <c r="H117" s="5">
        <f t="shared" ca="1" si="21"/>
        <v>1.0000000000012221E-3</v>
      </c>
      <c r="I117" s="5">
        <f t="shared" ca="1" si="22"/>
        <v>3.1746031746070546E-5</v>
      </c>
      <c r="J117" s="10">
        <f t="shared" si="23"/>
        <v>0.95833333333333326</v>
      </c>
      <c r="K117" s="12">
        <f t="shared" ca="1" si="24"/>
        <v>0.95824999999999982</v>
      </c>
      <c r="L117" s="5">
        <f t="shared" ca="1" si="25"/>
        <v>8.695652173923672E-5</v>
      </c>
      <c r="N117">
        <f t="shared" ca="1" si="26"/>
        <v>6.4989999999999988</v>
      </c>
      <c r="O117">
        <f t="shared" ca="1" si="27"/>
        <v>1.0097484999999999E-3</v>
      </c>
      <c r="P117">
        <f t="shared" ca="1" si="28"/>
        <v>1.000162475</v>
      </c>
      <c r="Q117">
        <f t="shared" ca="1" si="29"/>
        <v>0.95739577910986229</v>
      </c>
      <c r="R117">
        <f t="shared" ca="1" si="30"/>
        <v>5106.1108219192656</v>
      </c>
      <c r="S117">
        <f t="shared" ca="1" si="31"/>
        <v>1.8808877823496342</v>
      </c>
      <c r="T117">
        <f t="shared" ca="1" si="32"/>
        <v>3</v>
      </c>
      <c r="U117">
        <f t="shared" ca="1" si="33"/>
        <v>5111</v>
      </c>
      <c r="V117">
        <f t="shared" ca="1" si="34"/>
        <v>0.95831250000000001</v>
      </c>
      <c r="X117">
        <f t="shared" ca="1" si="35"/>
        <v>0.95714723900234311</v>
      </c>
    </row>
    <row r="118" spans="5:24" x14ac:dyDescent="0.25">
      <c r="E118">
        <v>116</v>
      </c>
      <c r="F118">
        <f t="shared" si="19"/>
        <v>31.6</v>
      </c>
      <c r="G118">
        <f t="shared" ca="1" si="20"/>
        <v>31.610000000000003</v>
      </c>
      <c r="H118" s="5">
        <f t="shared" ca="1" si="21"/>
        <v>1.0000000000001563E-2</v>
      </c>
      <c r="I118" s="5">
        <f t="shared" ca="1" si="22"/>
        <v>3.1645569620258109E-4</v>
      </c>
      <c r="J118" s="10">
        <f t="shared" si="23"/>
        <v>0.96666666666666656</v>
      </c>
      <c r="K118" s="12">
        <f t="shared" ca="1" si="24"/>
        <v>0.96750000000000003</v>
      </c>
      <c r="L118" s="5">
        <f t="shared" ca="1" si="25"/>
        <v>8.6206896551737624E-4</v>
      </c>
      <c r="N118">
        <f t="shared" ca="1" si="26"/>
        <v>6.610000000000003</v>
      </c>
      <c r="O118">
        <f t="shared" ca="1" si="27"/>
        <v>1.0099150000000001E-3</v>
      </c>
      <c r="P118">
        <f t="shared" ca="1" si="28"/>
        <v>1.00016525</v>
      </c>
      <c r="Q118">
        <f t="shared" ca="1" si="29"/>
        <v>0.96664979748654623</v>
      </c>
      <c r="R118">
        <f t="shared" ca="1" si="30"/>
        <v>5155.4655865949135</v>
      </c>
      <c r="S118">
        <f t="shared" ca="1" si="31"/>
        <v>1.8975709312477163</v>
      </c>
      <c r="T118">
        <f t="shared" ca="1" si="32"/>
        <v>2</v>
      </c>
      <c r="U118">
        <f t="shared" ca="1" si="33"/>
        <v>5159</v>
      </c>
      <c r="V118">
        <f t="shared" ca="1" si="34"/>
        <v>0.96731250000000002</v>
      </c>
      <c r="X118">
        <f t="shared" ca="1" si="35"/>
        <v>0.96614292988083716</v>
      </c>
    </row>
    <row r="119" spans="5:24" x14ac:dyDescent="0.25">
      <c r="E119">
        <v>117</v>
      </c>
      <c r="F119">
        <f t="shared" si="19"/>
        <v>31.700000000000003</v>
      </c>
      <c r="G119">
        <f t="shared" ca="1" si="20"/>
        <v>31.700000000000003</v>
      </c>
      <c r="H119" s="5">
        <f t="shared" ca="1" si="21"/>
        <v>0</v>
      </c>
      <c r="I119" s="5">
        <f t="shared" ca="1" si="22"/>
        <v>0</v>
      </c>
      <c r="J119" s="10">
        <f t="shared" si="23"/>
        <v>0.97499999999999987</v>
      </c>
      <c r="K119" s="12">
        <f t="shared" ca="1" si="24"/>
        <v>0.97499999999999987</v>
      </c>
      <c r="L119" s="5">
        <f t="shared" ca="1" si="25"/>
        <v>0</v>
      </c>
      <c r="N119">
        <f t="shared" ca="1" si="26"/>
        <v>6.7000000000000028</v>
      </c>
      <c r="O119">
        <f t="shared" ca="1" si="27"/>
        <v>1.01005E-3</v>
      </c>
      <c r="P119">
        <f t="shared" ca="1" si="28"/>
        <v>1.0001675000000001</v>
      </c>
      <c r="Q119">
        <f t="shared" ca="1" si="29"/>
        <v>0.97415309331662503</v>
      </c>
      <c r="R119">
        <f t="shared" ca="1" si="30"/>
        <v>5195.4831643553334</v>
      </c>
      <c r="S119">
        <f t="shared" ca="1" si="31"/>
        <v>1.9110667035305324</v>
      </c>
      <c r="T119">
        <f t="shared" ca="1" si="32"/>
        <v>0</v>
      </c>
      <c r="U119">
        <f t="shared" ca="1" si="33"/>
        <v>5197</v>
      </c>
      <c r="V119">
        <f t="shared" ca="1" si="34"/>
        <v>0.97443750000000007</v>
      </c>
      <c r="X119">
        <f t="shared" ca="1" si="35"/>
        <v>0.97326442820827508</v>
      </c>
    </row>
    <row r="120" spans="5:24" x14ac:dyDescent="0.25">
      <c r="E120">
        <v>118</v>
      </c>
      <c r="F120">
        <f t="shared" si="19"/>
        <v>31.8</v>
      </c>
      <c r="G120">
        <f t="shared" ca="1" si="20"/>
        <v>31.807000000000002</v>
      </c>
      <c r="H120" s="5">
        <f t="shared" ca="1" si="21"/>
        <v>7.0000000000014495E-3</v>
      </c>
      <c r="I120" s="5">
        <f t="shared" ca="1" si="22"/>
        <v>2.2012578616356759E-4</v>
      </c>
      <c r="J120" s="10">
        <f t="shared" si="23"/>
        <v>0.98333333333333317</v>
      </c>
      <c r="K120" s="12">
        <f t="shared" ca="1" si="24"/>
        <v>0.98391666666666677</v>
      </c>
      <c r="L120" s="5">
        <f t="shared" ca="1" si="25"/>
        <v>5.9322033898332436E-4</v>
      </c>
      <c r="N120">
        <f t="shared" ca="1" si="26"/>
        <v>6.8070000000000022</v>
      </c>
      <c r="O120">
        <f t="shared" ca="1" si="27"/>
        <v>1.0102105000000001E-3</v>
      </c>
      <c r="P120">
        <f t="shared" ca="1" si="28"/>
        <v>1.0001701750000001</v>
      </c>
      <c r="Q120">
        <f t="shared" ca="1" si="29"/>
        <v>0.98307372227284495</v>
      </c>
      <c r="R120">
        <f t="shared" ca="1" si="30"/>
        <v>5243.0598521218399</v>
      </c>
      <c r="S120">
        <f t="shared" ca="1" si="31"/>
        <v>1.927075137117054</v>
      </c>
      <c r="T120">
        <f t="shared" ca="1" si="32"/>
        <v>-1</v>
      </c>
      <c r="U120">
        <f t="shared" ca="1" si="33"/>
        <v>5244</v>
      </c>
      <c r="V120">
        <f t="shared" ca="1" si="34"/>
        <v>0.98325000000000007</v>
      </c>
      <c r="X120">
        <f t="shared" ca="1" si="35"/>
        <v>0.98207266528418524</v>
      </c>
    </row>
    <row r="121" spans="5:24" x14ac:dyDescent="0.25">
      <c r="E121">
        <v>119</v>
      </c>
      <c r="F121">
        <f t="shared" si="19"/>
        <v>31.9</v>
      </c>
      <c r="G121">
        <f t="shared" ca="1" si="20"/>
        <v>31.904999999999998</v>
      </c>
      <c r="H121" s="5">
        <f t="shared" ca="1" si="21"/>
        <v>4.9999999999990052E-3</v>
      </c>
      <c r="I121" s="5">
        <f t="shared" ca="1" si="22"/>
        <v>1.5673981191219452E-4</v>
      </c>
      <c r="J121" s="10">
        <f t="shared" si="23"/>
        <v>0.99166666666666647</v>
      </c>
      <c r="K121" s="12">
        <f t="shared" ca="1" si="24"/>
        <v>0.99208333333333276</v>
      </c>
      <c r="L121" s="5">
        <f t="shared" ca="1" si="25"/>
        <v>4.2016806722650871E-4</v>
      </c>
      <c r="N121">
        <f t="shared" ca="1" si="26"/>
        <v>6.9049999999999976</v>
      </c>
      <c r="O121">
        <f t="shared" ca="1" si="27"/>
        <v>1.0103575000000001E-3</v>
      </c>
      <c r="P121">
        <f t="shared" ca="1" si="28"/>
        <v>1.000172625</v>
      </c>
      <c r="Q121">
        <f t="shared" ca="1" si="29"/>
        <v>0.991244059805786</v>
      </c>
      <c r="R121">
        <f t="shared" ca="1" si="30"/>
        <v>5286.6349856308589</v>
      </c>
      <c r="S121">
        <f t="shared" ca="1" si="31"/>
        <v>1.9417019721722417</v>
      </c>
      <c r="T121">
        <f t="shared" ca="1" si="32"/>
        <v>3</v>
      </c>
      <c r="U121">
        <f t="shared" ca="1" si="33"/>
        <v>5292</v>
      </c>
      <c r="V121">
        <f t="shared" ca="1" si="34"/>
        <v>0.99224999999999997</v>
      </c>
      <c r="X121">
        <f t="shared" ca="1" si="35"/>
        <v>0.99106855928995252</v>
      </c>
    </row>
    <row r="122" spans="5:24" x14ac:dyDescent="0.25">
      <c r="E122">
        <v>120</v>
      </c>
      <c r="F122">
        <f t="shared" si="19"/>
        <v>32</v>
      </c>
      <c r="G122">
        <f t="shared" ca="1" si="20"/>
        <v>32.003999999999998</v>
      </c>
      <c r="H122" s="5">
        <f t="shared" ca="1" si="21"/>
        <v>3.9999999999977831E-3</v>
      </c>
      <c r="I122" s="5">
        <f t="shared" ca="1" si="22"/>
        <v>1.2499999999993072E-4</v>
      </c>
      <c r="J122" s="10">
        <f t="shared" si="23"/>
        <v>0.99999999999999978</v>
      </c>
      <c r="K122" s="12">
        <f t="shared" ca="1" si="24"/>
        <v>1.0003333333333331</v>
      </c>
      <c r="L122" s="5">
        <f t="shared" ca="1" si="25"/>
        <v>3.3333333333329668E-4</v>
      </c>
      <c r="N122">
        <f t="shared" ca="1" si="26"/>
        <v>7.0039999999999978</v>
      </c>
      <c r="O122">
        <f t="shared" ca="1" si="27"/>
        <v>1.010506E-3</v>
      </c>
      <c r="P122">
        <f t="shared" ca="1" si="28"/>
        <v>1.0001751000000001</v>
      </c>
      <c r="Q122">
        <f t="shared" ca="1" si="29"/>
        <v>0.99949780876039929</v>
      </c>
      <c r="R122">
        <f t="shared" ca="1" si="30"/>
        <v>5330.6549800554631</v>
      </c>
      <c r="S122">
        <f t="shared" ca="1" si="31"/>
        <v>1.9564437227352571</v>
      </c>
      <c r="T122">
        <f t="shared" ca="1" si="32"/>
        <v>0</v>
      </c>
      <c r="U122">
        <f t="shared" ca="1" si="33"/>
        <v>5333</v>
      </c>
      <c r="V122">
        <f t="shared" ca="1" si="34"/>
        <v>0.99993750000000003</v>
      </c>
      <c r="X122">
        <f t="shared" ca="1" si="35"/>
        <v>0.99875211250510032</v>
      </c>
    </row>
    <row r="123" spans="5:24" x14ac:dyDescent="0.25">
      <c r="E123">
        <v>121</v>
      </c>
      <c r="F123">
        <f t="shared" si="19"/>
        <v>32.1</v>
      </c>
      <c r="G123">
        <f t="shared" ca="1" si="20"/>
        <v>32.103000000000002</v>
      </c>
      <c r="H123" s="5">
        <f t="shared" ca="1" si="21"/>
        <v>3.0000000000001137E-3</v>
      </c>
      <c r="I123" s="5">
        <f t="shared" ca="1" si="22"/>
        <v>9.3457943925237178E-5</v>
      </c>
      <c r="J123" s="10">
        <f t="shared" si="23"/>
        <v>1.0083333333333331</v>
      </c>
      <c r="K123" s="12">
        <f t="shared" ca="1" si="24"/>
        <v>1.0085833333333334</v>
      </c>
      <c r="L123" s="5">
        <f t="shared" ca="1" si="25"/>
        <v>2.4793388429782375E-4</v>
      </c>
      <c r="N123">
        <f t="shared" ca="1" si="26"/>
        <v>7.1030000000000015</v>
      </c>
      <c r="O123">
        <f t="shared" ca="1" si="27"/>
        <v>1.0106545000000001E-3</v>
      </c>
      <c r="P123">
        <f t="shared" ca="1" si="28"/>
        <v>1.0001775749999999</v>
      </c>
      <c r="Q123">
        <f t="shared" ca="1" si="29"/>
        <v>1.0077515985517773</v>
      </c>
      <c r="R123">
        <f t="shared" ca="1" si="30"/>
        <v>5374.6751922761459</v>
      </c>
      <c r="S123">
        <f t="shared" ca="1" si="31"/>
        <v>1.9711506988832077</v>
      </c>
      <c r="T123">
        <f t="shared" ca="1" si="32"/>
        <v>-2</v>
      </c>
      <c r="U123">
        <f t="shared" ca="1" si="33"/>
        <v>5375</v>
      </c>
      <c r="V123">
        <f t="shared" ca="1" si="34"/>
        <v>1.0078125</v>
      </c>
      <c r="X123">
        <f t="shared" ca="1" si="35"/>
        <v>1.0066230944040113</v>
      </c>
    </row>
    <row r="124" spans="5:24" x14ac:dyDescent="0.25">
      <c r="E124">
        <v>122</v>
      </c>
      <c r="F124">
        <f t="shared" si="19"/>
        <v>32.200000000000003</v>
      </c>
      <c r="G124">
        <f t="shared" ca="1" si="20"/>
        <v>32.192</v>
      </c>
      <c r="H124" s="5">
        <f t="shared" ca="1" si="21"/>
        <v>8.0000000000026716E-3</v>
      </c>
      <c r="I124" s="5">
        <f t="shared" ca="1" si="22"/>
        <v>2.4844720496902705E-4</v>
      </c>
      <c r="J124" s="10">
        <f t="shared" si="23"/>
        <v>1.0166666666666668</v>
      </c>
      <c r="K124" s="12">
        <f t="shared" ca="1" si="24"/>
        <v>1.0159999999999998</v>
      </c>
      <c r="L124" s="5">
        <f t="shared" ca="1" si="25"/>
        <v>6.557377049183973E-4</v>
      </c>
      <c r="N124">
        <f t="shared" ca="1" si="26"/>
        <v>7.1920000000000002</v>
      </c>
      <c r="O124">
        <f t="shared" ca="1" si="27"/>
        <v>1.0107880000000001E-3</v>
      </c>
      <c r="P124">
        <f t="shared" ca="1" si="28"/>
        <v>1.0001798</v>
      </c>
      <c r="Q124">
        <f t="shared" ca="1" si="29"/>
        <v>1.0151717070603172</v>
      </c>
      <c r="R124">
        <f t="shared" ca="1" si="30"/>
        <v>5414.2491043216914</v>
      </c>
      <c r="S124">
        <f t="shared" ca="1" si="31"/>
        <v>1.9843422224044815</v>
      </c>
      <c r="T124">
        <f t="shared" ca="1" si="32"/>
        <v>0</v>
      </c>
      <c r="U124">
        <f t="shared" ca="1" si="33"/>
        <v>5416</v>
      </c>
      <c r="V124">
        <f t="shared" ca="1" si="34"/>
        <v>1.0155000000000001</v>
      </c>
      <c r="X124">
        <f t="shared" ca="1" si="35"/>
        <v>1.0143068396302346</v>
      </c>
    </row>
    <row r="125" spans="5:24" x14ac:dyDescent="0.25">
      <c r="E125">
        <v>123</v>
      </c>
      <c r="F125">
        <f t="shared" si="19"/>
        <v>32.299999999999997</v>
      </c>
      <c r="G125">
        <f t="shared" ca="1" si="20"/>
        <v>32.302</v>
      </c>
      <c r="H125" s="5">
        <f t="shared" ca="1" si="21"/>
        <v>2.0000000000024443E-3</v>
      </c>
      <c r="I125" s="5">
        <f t="shared" ca="1" si="22"/>
        <v>6.1919504644038527E-5</v>
      </c>
      <c r="J125" s="10">
        <f t="shared" si="23"/>
        <v>1.0249999999999997</v>
      </c>
      <c r="K125" s="12">
        <f t="shared" ca="1" si="24"/>
        <v>1.0251666666666666</v>
      </c>
      <c r="L125" s="5">
        <f t="shared" ca="1" si="25"/>
        <v>1.6260162601645892E-4</v>
      </c>
      <c r="N125">
        <f t="shared" ca="1" si="26"/>
        <v>7.3019999999999996</v>
      </c>
      <c r="O125">
        <f t="shared" ca="1" si="27"/>
        <v>1.010953E-3</v>
      </c>
      <c r="P125">
        <f t="shared" ca="1" si="28"/>
        <v>1.0001825499999999</v>
      </c>
      <c r="Q125">
        <f t="shared" ca="1" si="29"/>
        <v>1.0243426732921963</v>
      </c>
      <c r="R125">
        <f t="shared" ca="1" si="30"/>
        <v>5463.160924225047</v>
      </c>
      <c r="S125">
        <f t="shared" ca="1" si="31"/>
        <v>2.0006069425372424</v>
      </c>
      <c r="T125">
        <f t="shared" ca="1" si="32"/>
        <v>3</v>
      </c>
      <c r="U125">
        <f t="shared" ca="1" si="33"/>
        <v>5468</v>
      </c>
      <c r="V125">
        <f t="shared" ca="1" si="34"/>
        <v>1.02525</v>
      </c>
      <c r="X125">
        <f t="shared" ca="1" si="35"/>
        <v>1.0240521062879973</v>
      </c>
    </row>
    <row r="126" spans="5:24" x14ac:dyDescent="0.25">
      <c r="E126">
        <v>124</v>
      </c>
      <c r="F126">
        <f t="shared" si="19"/>
        <v>32.4</v>
      </c>
      <c r="G126">
        <f t="shared" ca="1" si="20"/>
        <v>32.390999999999998</v>
      </c>
      <c r="H126" s="5">
        <f t="shared" ca="1" si="21"/>
        <v>9.0000000000003411E-3</v>
      </c>
      <c r="I126" s="5">
        <f t="shared" ca="1" si="22"/>
        <v>2.7777777777778829E-4</v>
      </c>
      <c r="J126" s="10">
        <f t="shared" si="23"/>
        <v>1.033333333333333</v>
      </c>
      <c r="K126" s="12">
        <f t="shared" ca="1" si="24"/>
        <v>1.032583333333333</v>
      </c>
      <c r="L126" s="5">
        <f t="shared" ca="1" si="25"/>
        <v>7.2580645161293093E-4</v>
      </c>
      <c r="N126">
        <f t="shared" ca="1" si="26"/>
        <v>7.3909999999999982</v>
      </c>
      <c r="O126">
        <f t="shared" ca="1" si="27"/>
        <v>1.0110865E-3</v>
      </c>
      <c r="P126">
        <f t="shared" ca="1" si="28"/>
        <v>1.0001847749999999</v>
      </c>
      <c r="Q126">
        <f t="shared" ca="1" si="29"/>
        <v>1.0317628555952416</v>
      </c>
      <c r="R126">
        <f t="shared" ca="1" si="30"/>
        <v>5502.7352298412889</v>
      </c>
      <c r="S126">
        <f t="shared" ca="1" si="31"/>
        <v>2.0137344645070439</v>
      </c>
      <c r="T126">
        <f t="shared" ca="1" si="32"/>
        <v>3</v>
      </c>
      <c r="U126">
        <f t="shared" ca="1" si="33"/>
        <v>5508</v>
      </c>
      <c r="V126">
        <f t="shared" ca="1" si="34"/>
        <v>1.0327500000000001</v>
      </c>
      <c r="X126">
        <f t="shared" ca="1" si="35"/>
        <v>1.031548309161175</v>
      </c>
    </row>
    <row r="127" spans="5:24" x14ac:dyDescent="0.25">
      <c r="E127">
        <v>125</v>
      </c>
      <c r="F127">
        <f t="shared" si="19"/>
        <v>32.5</v>
      </c>
      <c r="G127">
        <f t="shared" ca="1" si="20"/>
        <v>32.49</v>
      </c>
      <c r="H127" s="5">
        <f t="shared" ca="1" si="21"/>
        <v>9.9999999999980105E-3</v>
      </c>
      <c r="I127" s="5">
        <f t="shared" ca="1" si="22"/>
        <v>3.076923076922465E-4</v>
      </c>
      <c r="J127" s="10">
        <f t="shared" si="23"/>
        <v>1.0416666666666663</v>
      </c>
      <c r="K127" s="12">
        <f t="shared" ca="1" si="24"/>
        <v>1.0408333333333333</v>
      </c>
      <c r="L127" s="5">
        <f t="shared" ca="1" si="25"/>
        <v>7.9999999999969906E-4</v>
      </c>
      <c r="N127">
        <f t="shared" ca="1" si="26"/>
        <v>7.490000000000002</v>
      </c>
      <c r="O127">
        <f t="shared" ca="1" si="27"/>
        <v>1.0112350000000001E-3</v>
      </c>
      <c r="P127">
        <f t="shared" ca="1" si="28"/>
        <v>1.00018725</v>
      </c>
      <c r="Q127">
        <f t="shared" ca="1" si="29"/>
        <v>1.0400168050212462</v>
      </c>
      <c r="R127">
        <f t="shared" ca="1" si="30"/>
        <v>5546.7562934466459</v>
      </c>
      <c r="S127">
        <f t="shared" ca="1" si="31"/>
        <v>2.0283029916205391</v>
      </c>
      <c r="T127">
        <f t="shared" ca="1" si="32"/>
        <v>2</v>
      </c>
      <c r="U127">
        <f t="shared" ca="1" si="33"/>
        <v>5551</v>
      </c>
      <c r="V127">
        <f t="shared" ca="1" si="34"/>
        <v>1.0408124999999999</v>
      </c>
      <c r="X127">
        <f t="shared" ca="1" si="35"/>
        <v>1.0396065986644001</v>
      </c>
    </row>
    <row r="128" spans="5:24" x14ac:dyDescent="0.25">
      <c r="E128">
        <v>126</v>
      </c>
      <c r="F128">
        <f t="shared" si="19"/>
        <v>32.6</v>
      </c>
      <c r="G128">
        <f t="shared" ca="1" si="20"/>
        <v>32.602000000000004</v>
      </c>
      <c r="H128" s="5">
        <f t="shared" ca="1" si="21"/>
        <v>2.0000000000024443E-3</v>
      </c>
      <c r="I128" s="5">
        <f t="shared" ca="1" si="22"/>
        <v>6.1349693251608719E-5</v>
      </c>
      <c r="J128" s="10">
        <f t="shared" si="23"/>
        <v>1.05</v>
      </c>
      <c r="K128" s="12">
        <f t="shared" ca="1" si="24"/>
        <v>1.0501666666666669</v>
      </c>
      <c r="L128" s="5">
        <f t="shared" ca="1" si="25"/>
        <v>1.5873015873035272E-4</v>
      </c>
      <c r="N128">
        <f t="shared" ca="1" si="26"/>
        <v>7.6020000000000039</v>
      </c>
      <c r="O128">
        <f t="shared" ca="1" si="27"/>
        <v>1.0114030000000001E-3</v>
      </c>
      <c r="P128">
        <f t="shared" ca="1" si="28"/>
        <v>1.0001900500000001</v>
      </c>
      <c r="Q128">
        <f t="shared" ca="1" si="29"/>
        <v>1.049354655624527</v>
      </c>
      <c r="R128">
        <f t="shared" ca="1" si="30"/>
        <v>5596.5581633308102</v>
      </c>
      <c r="S128">
        <f t="shared" ca="1" si="31"/>
        <v>2.0447410740011143</v>
      </c>
      <c r="T128">
        <f t="shared" ca="1" si="32"/>
        <v>1</v>
      </c>
      <c r="U128">
        <f t="shared" ca="1" si="33"/>
        <v>5600</v>
      </c>
      <c r="V128">
        <f t="shared" ca="1" si="34"/>
        <v>1.05</v>
      </c>
      <c r="X128">
        <f t="shared" ca="1" si="35"/>
        <v>1.0487892745983627</v>
      </c>
    </row>
    <row r="129" spans="5:24" x14ac:dyDescent="0.25">
      <c r="E129">
        <v>127</v>
      </c>
      <c r="F129">
        <f t="shared" si="19"/>
        <v>32.700000000000003</v>
      </c>
      <c r="G129">
        <f t="shared" ca="1" si="20"/>
        <v>32.709000000000003</v>
      </c>
      <c r="H129" s="5">
        <f t="shared" ca="1" si="21"/>
        <v>9.0000000000003411E-3</v>
      </c>
      <c r="I129" s="5">
        <f t="shared" ca="1" si="22"/>
        <v>2.7522935779817552E-4</v>
      </c>
      <c r="J129" s="10">
        <f t="shared" si="23"/>
        <v>1.0583333333333333</v>
      </c>
      <c r="K129" s="12">
        <f t="shared" ca="1" si="24"/>
        <v>1.0590833333333334</v>
      </c>
      <c r="L129" s="5">
        <f t="shared" ca="1" si="25"/>
        <v>7.0866141732286146E-4</v>
      </c>
      <c r="N129">
        <f t="shared" ca="1" si="26"/>
        <v>7.7090000000000032</v>
      </c>
      <c r="O129">
        <f t="shared" ca="1" si="27"/>
        <v>1.0115635E-3</v>
      </c>
      <c r="P129">
        <f t="shared" ca="1" si="28"/>
        <v>1.000192725</v>
      </c>
      <c r="Q129">
        <f t="shared" ca="1" si="29"/>
        <v>1.0582756867151744</v>
      </c>
      <c r="R129">
        <f t="shared" ca="1" si="30"/>
        <v>5644.1369958142632</v>
      </c>
      <c r="S129">
        <f t="shared" ca="1" si="31"/>
        <v>2.0604018639882438</v>
      </c>
      <c r="T129">
        <f t="shared" ca="1" si="32"/>
        <v>2</v>
      </c>
      <c r="U129">
        <f t="shared" ca="1" si="33"/>
        <v>5648</v>
      </c>
      <c r="V129">
        <f t="shared" ca="1" si="34"/>
        <v>1.0589999999999999</v>
      </c>
      <c r="X129">
        <f t="shared" ca="1" si="35"/>
        <v>1.0577845749677892</v>
      </c>
    </row>
    <row r="130" spans="5:24" x14ac:dyDescent="0.25">
      <c r="E130">
        <v>128</v>
      </c>
      <c r="F130">
        <f t="shared" si="19"/>
        <v>32.799999999999997</v>
      </c>
      <c r="G130">
        <f t="shared" ca="1" si="20"/>
        <v>32.800999999999995</v>
      </c>
      <c r="H130" s="5">
        <f t="shared" ca="1" si="21"/>
        <v>9.9999999999766942E-4</v>
      </c>
      <c r="I130" s="5">
        <f t="shared" ca="1" si="22"/>
        <v>3.0487804877977728E-5</v>
      </c>
      <c r="J130" s="10">
        <f t="shared" si="23"/>
        <v>1.0666666666666662</v>
      </c>
      <c r="K130" s="12">
        <f t="shared" ca="1" si="24"/>
        <v>1.0667499999999992</v>
      </c>
      <c r="L130" s="5">
        <f t="shared" ca="1" si="25"/>
        <v>7.8124999999679173E-5</v>
      </c>
      <c r="N130">
        <f t="shared" ca="1" si="26"/>
        <v>7.8009999999999948</v>
      </c>
      <c r="O130">
        <f t="shared" ca="1" si="27"/>
        <v>1.0117015E-3</v>
      </c>
      <c r="P130">
        <f t="shared" ca="1" si="28"/>
        <v>1.000195025</v>
      </c>
      <c r="Q130">
        <f t="shared" ca="1" si="29"/>
        <v>1.0659461441116642</v>
      </c>
      <c r="R130">
        <f t="shared" ca="1" si="30"/>
        <v>5685.0461019288759</v>
      </c>
      <c r="S130">
        <f t="shared" ca="1" si="31"/>
        <v>2.073833016471804</v>
      </c>
      <c r="T130">
        <f t="shared" ca="1" si="32"/>
        <v>0</v>
      </c>
      <c r="U130">
        <f t="shared" ca="1" si="33"/>
        <v>5687</v>
      </c>
      <c r="V130">
        <f t="shared" ca="1" si="34"/>
        <v>1.0663125</v>
      </c>
      <c r="X130">
        <f t="shared" ca="1" si="35"/>
        <v>1.0650930787223223</v>
      </c>
    </row>
    <row r="131" spans="5:24" x14ac:dyDescent="0.25">
      <c r="E131">
        <v>129</v>
      </c>
      <c r="F131">
        <f t="shared" ref="F131:F194" si="36">0.1*E131+20</f>
        <v>32.9</v>
      </c>
      <c r="G131">
        <f t="shared" ref="G131:G194" ca="1" si="37">F131+(RANDBETWEEN(-10,10)/100)*0.1</f>
        <v>32.903999999999996</v>
      </c>
      <c r="H131" s="5">
        <f t="shared" ref="H131:H194" ca="1" si="38">ABS(F131-G131)</f>
        <v>3.9999999999977831E-3</v>
      </c>
      <c r="I131" s="5">
        <f t="shared" ref="I131:I194" ca="1" si="39">ABS(F131-G131)/F131</f>
        <v>1.2158054711239463E-4</v>
      </c>
      <c r="J131" s="10">
        <f t="shared" ref="J131:J194" si="40">1/12*F131-5/3</f>
        <v>1.0749999999999995</v>
      </c>
      <c r="K131" s="12">
        <f t="shared" ref="K131:K194" ca="1" si="41">(1/12*G131-5/3) + J131*RANDBETWEEN($B$2,$C$2)</f>
        <v>1.0753333333333328</v>
      </c>
      <c r="L131" s="5">
        <f t="shared" ref="L131:L194" ca="1" si="42">IF(J131=0, ABS(J131-K131), ABS(J131-K131)/J131)</f>
        <v>3.1007751937981093E-4</v>
      </c>
      <c r="N131">
        <f t="shared" ref="N131:N194" ca="1" si="43">G131-$B$29</f>
        <v>7.9039999999999964</v>
      </c>
      <c r="O131">
        <f t="shared" ref="O131:O194" ca="1" si="44">0.001 + 0.0000015*N131</f>
        <v>1.011856E-3</v>
      </c>
      <c r="P131">
        <f t="shared" ref="P131:P194" ca="1" si="45">1 + 0.000025*N131</f>
        <v>1.0001975999999999</v>
      </c>
      <c r="Q131">
        <f t="shared" ref="Q131:Q194" ca="1" si="46">(K131-O131)*P131</f>
        <v>1.0745337632572536</v>
      </c>
      <c r="R131">
        <f t="shared" ref="R131:R194" ca="1" si="47">Q131*32768/6.144</f>
        <v>5730.8467373720187</v>
      </c>
      <c r="S131">
        <f t="shared" ref="S131:S194" ca="1" si="48">4*SIN(PI()*R131/32768)</f>
        <v>2.0888322796889267</v>
      </c>
      <c r="T131">
        <f t="shared" ref="T131:T194" ca="1" si="49">RANDBETWEEN(-1*$B$15,1*$B$15)</f>
        <v>1</v>
      </c>
      <c r="U131">
        <f t="shared" ref="U131:U194" ca="1" si="50">ROUND(R131+S131+T131,0)</f>
        <v>5734</v>
      </c>
      <c r="V131">
        <f t="shared" ref="V131:V194" ca="1" si="51">U131*6.144/32768</f>
        <v>1.0751250000000001</v>
      </c>
      <c r="X131">
        <f t="shared" ref="X131:X194" ca="1" si="52">(U131*6.144/32768 -O131)/P131</f>
        <v>1.0739009411740241</v>
      </c>
    </row>
    <row r="132" spans="5:24" x14ac:dyDescent="0.25">
      <c r="E132">
        <v>130</v>
      </c>
      <c r="F132">
        <f t="shared" si="36"/>
        <v>33</v>
      </c>
      <c r="G132">
        <f t="shared" ca="1" si="37"/>
        <v>33.006</v>
      </c>
      <c r="H132" s="5">
        <f t="shared" ca="1" si="38"/>
        <v>6.0000000000002274E-3</v>
      </c>
      <c r="I132" s="5">
        <f t="shared" ca="1" si="39"/>
        <v>1.8181818181818872E-4</v>
      </c>
      <c r="J132" s="10">
        <f t="shared" si="40"/>
        <v>1.0833333333333333</v>
      </c>
      <c r="K132" s="12">
        <f t="shared" ca="1" si="41"/>
        <v>1.083833333333333</v>
      </c>
      <c r="L132" s="5">
        <f t="shared" ca="1" si="42"/>
        <v>4.6153846153820576E-4</v>
      </c>
      <c r="N132">
        <f t="shared" ca="1" si="43"/>
        <v>8.0060000000000002</v>
      </c>
      <c r="O132">
        <f t="shared" ca="1" si="44"/>
        <v>1.0120090000000001E-3</v>
      </c>
      <c r="P132">
        <f t="shared" ca="1" si="45"/>
        <v>1.00020015</v>
      </c>
      <c r="Q132">
        <f t="shared" ca="1" si="46"/>
        <v>1.0830380510213982</v>
      </c>
      <c r="R132">
        <f t="shared" ca="1" si="47"/>
        <v>5776.2029387807897</v>
      </c>
      <c r="S132">
        <f t="shared" ca="1" si="48"/>
        <v>2.1036463043906837</v>
      </c>
      <c r="T132">
        <f t="shared" ca="1" si="49"/>
        <v>0</v>
      </c>
      <c r="U132">
        <f t="shared" ca="1" si="50"/>
        <v>5778</v>
      </c>
      <c r="V132">
        <f t="shared" ca="1" si="51"/>
        <v>1.083375</v>
      </c>
      <c r="X132">
        <f t="shared" ca="1" si="52"/>
        <v>1.0821463993981604</v>
      </c>
    </row>
    <row r="133" spans="5:24" x14ac:dyDescent="0.25">
      <c r="E133">
        <v>131</v>
      </c>
      <c r="F133">
        <f t="shared" si="36"/>
        <v>33.1</v>
      </c>
      <c r="G133">
        <f t="shared" ca="1" si="37"/>
        <v>33.094999999999999</v>
      </c>
      <c r="H133" s="5">
        <f t="shared" ca="1" si="38"/>
        <v>5.000000000002558E-3</v>
      </c>
      <c r="I133" s="5">
        <f t="shared" ca="1" si="39"/>
        <v>1.510574018127661E-4</v>
      </c>
      <c r="J133" s="10">
        <f t="shared" si="40"/>
        <v>1.0916666666666666</v>
      </c>
      <c r="K133" s="12">
        <f t="shared" ca="1" si="41"/>
        <v>1.0912499999999998</v>
      </c>
      <c r="L133" s="5">
        <f t="shared" ca="1" si="42"/>
        <v>3.8167938931303678E-4</v>
      </c>
      <c r="N133">
        <f t="shared" ca="1" si="43"/>
        <v>8.0949999999999989</v>
      </c>
      <c r="O133">
        <f t="shared" ca="1" si="44"/>
        <v>1.0121425000000001E-3</v>
      </c>
      <c r="P133">
        <f t="shared" ca="1" si="45"/>
        <v>1.000202375</v>
      </c>
      <c r="Q133">
        <f t="shared" ca="1" si="46"/>
        <v>1.0904584943864113</v>
      </c>
      <c r="R133">
        <f t="shared" ca="1" si="47"/>
        <v>5815.7786367275266</v>
      </c>
      <c r="S133">
        <f t="shared" ca="1" si="48"/>
        <v>2.1165398416577563</v>
      </c>
      <c r="T133">
        <f t="shared" ca="1" si="49"/>
        <v>0</v>
      </c>
      <c r="U133">
        <f t="shared" ca="1" si="50"/>
        <v>5818</v>
      </c>
      <c r="V133">
        <f t="shared" ca="1" si="51"/>
        <v>1.090875</v>
      </c>
      <c r="X133">
        <f t="shared" ca="1" si="52"/>
        <v>1.0896423411312135</v>
      </c>
    </row>
    <row r="134" spans="5:24" x14ac:dyDescent="0.25">
      <c r="E134">
        <v>132</v>
      </c>
      <c r="F134">
        <f t="shared" si="36"/>
        <v>33.200000000000003</v>
      </c>
      <c r="G134">
        <f t="shared" ca="1" si="37"/>
        <v>33.206000000000003</v>
      </c>
      <c r="H134" s="5">
        <f t="shared" ca="1" si="38"/>
        <v>6.0000000000002274E-3</v>
      </c>
      <c r="I134" s="5">
        <f t="shared" ca="1" si="39"/>
        <v>1.807228915662719E-4</v>
      </c>
      <c r="J134" s="10">
        <f t="shared" si="40"/>
        <v>1.0999999999999999</v>
      </c>
      <c r="K134" s="12">
        <f t="shared" ca="1" si="41"/>
        <v>1.1005</v>
      </c>
      <c r="L134" s="5">
        <f t="shared" ca="1" si="42"/>
        <v>4.5454545454560639E-4</v>
      </c>
      <c r="N134">
        <f t="shared" ca="1" si="43"/>
        <v>8.2060000000000031</v>
      </c>
      <c r="O134">
        <f t="shared" ca="1" si="44"/>
        <v>1.0123090000000001E-3</v>
      </c>
      <c r="P134">
        <f t="shared" ca="1" si="45"/>
        <v>1.00020515</v>
      </c>
      <c r="Q134">
        <f t="shared" ca="1" si="46"/>
        <v>1.0997132508998086</v>
      </c>
      <c r="R134">
        <f t="shared" ca="1" si="47"/>
        <v>5865.1373381323128</v>
      </c>
      <c r="S134">
        <f t="shared" ca="1" si="48"/>
        <v>2.1325779042678961</v>
      </c>
      <c r="T134">
        <f t="shared" ca="1" si="49"/>
        <v>2</v>
      </c>
      <c r="U134">
        <f t="shared" ca="1" si="50"/>
        <v>5869</v>
      </c>
      <c r="V134">
        <f t="shared" ca="1" si="51"/>
        <v>1.1004375</v>
      </c>
      <c r="X134">
        <f t="shared" ca="1" si="52"/>
        <v>1.0991996901835588</v>
      </c>
    </row>
    <row r="135" spans="5:24" x14ac:dyDescent="0.25">
      <c r="E135">
        <v>133</v>
      </c>
      <c r="F135">
        <f t="shared" si="36"/>
        <v>33.299999999999997</v>
      </c>
      <c r="G135">
        <f t="shared" ca="1" si="37"/>
        <v>33.294999999999995</v>
      </c>
      <c r="H135" s="5">
        <f t="shared" ca="1" si="38"/>
        <v>5.000000000002558E-3</v>
      </c>
      <c r="I135" s="5">
        <f t="shared" ca="1" si="39"/>
        <v>1.5015015015022699E-4</v>
      </c>
      <c r="J135" s="10">
        <f t="shared" si="40"/>
        <v>1.1083333333333327</v>
      </c>
      <c r="K135" s="12">
        <f t="shared" ca="1" si="41"/>
        <v>1.107916666666666</v>
      </c>
      <c r="L135" s="5">
        <f t="shared" ca="1" si="42"/>
        <v>3.759398496241191E-4</v>
      </c>
      <c r="N135">
        <f t="shared" ca="1" si="43"/>
        <v>8.2949999999999946</v>
      </c>
      <c r="O135">
        <f t="shared" ca="1" si="44"/>
        <v>1.0124425000000001E-3</v>
      </c>
      <c r="P135">
        <f t="shared" ca="1" si="45"/>
        <v>1.000207375</v>
      </c>
      <c r="Q135">
        <f t="shared" ca="1" si="46"/>
        <v>1.1071337684301525</v>
      </c>
      <c r="R135">
        <f t="shared" ca="1" si="47"/>
        <v>5904.7134316274805</v>
      </c>
      <c r="S135">
        <f t="shared" ca="1" si="48"/>
        <v>2.1454028363486475</v>
      </c>
      <c r="T135">
        <f t="shared" ca="1" si="49"/>
        <v>-1</v>
      </c>
      <c r="U135">
        <f t="shared" ca="1" si="50"/>
        <v>5906</v>
      </c>
      <c r="V135">
        <f t="shared" ca="1" si="51"/>
        <v>1.107375</v>
      </c>
      <c r="X135">
        <f t="shared" ca="1" si="52"/>
        <v>1.1061331731332216</v>
      </c>
    </row>
    <row r="136" spans="5:24" x14ac:dyDescent="0.25">
      <c r="E136">
        <v>134</v>
      </c>
      <c r="F136">
        <f t="shared" si="36"/>
        <v>33.4</v>
      </c>
      <c r="G136">
        <f t="shared" ca="1" si="37"/>
        <v>33.406999999999996</v>
      </c>
      <c r="H136" s="5">
        <f t="shared" ca="1" si="38"/>
        <v>6.9999999999978968E-3</v>
      </c>
      <c r="I136" s="5">
        <f t="shared" ca="1" si="39"/>
        <v>2.0958083832329033E-4</v>
      </c>
      <c r="J136" s="10">
        <f t="shared" si="40"/>
        <v>1.1166666666666665</v>
      </c>
      <c r="K136" s="12">
        <f t="shared" ca="1" si="41"/>
        <v>1.1172499999999996</v>
      </c>
      <c r="L136" s="5">
        <f t="shared" ca="1" si="42"/>
        <v>5.2238805970133571E-4</v>
      </c>
      <c r="N136">
        <f t="shared" ca="1" si="43"/>
        <v>8.4069999999999965</v>
      </c>
      <c r="O136">
        <f t="shared" ca="1" si="44"/>
        <v>1.0126105000000001E-3</v>
      </c>
      <c r="P136">
        <f t="shared" ca="1" si="45"/>
        <v>1.0002101750000001</v>
      </c>
      <c r="Q136">
        <f t="shared" ca="1" si="46"/>
        <v>1.1164719946933379</v>
      </c>
      <c r="R136">
        <f t="shared" ca="1" si="47"/>
        <v>5954.517305031135</v>
      </c>
      <c r="S136">
        <f t="shared" ca="1" si="48"/>
        <v>2.1614982436071837</v>
      </c>
      <c r="T136">
        <f t="shared" ca="1" si="49"/>
        <v>1</v>
      </c>
      <c r="U136">
        <f t="shared" ca="1" si="50"/>
        <v>5958</v>
      </c>
      <c r="V136">
        <f t="shared" ca="1" si="51"/>
        <v>1.1171249999999999</v>
      </c>
      <c r="X136">
        <f t="shared" ca="1" si="52"/>
        <v>1.1158778598708017</v>
      </c>
    </row>
    <row r="137" spans="5:24" x14ac:dyDescent="0.25">
      <c r="E137">
        <v>135</v>
      </c>
      <c r="F137">
        <f t="shared" si="36"/>
        <v>33.5</v>
      </c>
      <c r="G137">
        <f t="shared" ca="1" si="37"/>
        <v>33.505000000000003</v>
      </c>
      <c r="H137" s="5">
        <f t="shared" ca="1" si="38"/>
        <v>5.000000000002558E-3</v>
      </c>
      <c r="I137" s="5">
        <f t="shared" ca="1" si="39"/>
        <v>1.4925373134335994E-4</v>
      </c>
      <c r="J137" s="10">
        <f t="shared" si="40"/>
        <v>1.1249999999999998</v>
      </c>
      <c r="K137" s="12">
        <f t="shared" ca="1" si="41"/>
        <v>1.1254166666666665</v>
      </c>
      <c r="L137" s="5">
        <f t="shared" ca="1" si="42"/>
        <v>3.7037037037042836E-4</v>
      </c>
      <c r="N137">
        <f t="shared" ca="1" si="43"/>
        <v>8.5050000000000026</v>
      </c>
      <c r="O137">
        <f t="shared" ca="1" si="44"/>
        <v>1.0127574999999999E-3</v>
      </c>
      <c r="P137">
        <f t="shared" ca="1" si="45"/>
        <v>1.0002126250000001</v>
      </c>
      <c r="Q137">
        <f t="shared" ca="1" si="46"/>
        <v>1.124642985547853</v>
      </c>
      <c r="R137">
        <f t="shared" ca="1" si="47"/>
        <v>5998.0959229218824</v>
      </c>
      <c r="S137">
        <f t="shared" ca="1" si="48"/>
        <v>2.1755413851780512</v>
      </c>
      <c r="T137">
        <f t="shared" ca="1" si="49"/>
        <v>-1</v>
      </c>
      <c r="U137">
        <f t="shared" ca="1" si="50"/>
        <v>5999</v>
      </c>
      <c r="V137">
        <f t="shared" ca="1" si="51"/>
        <v>1.1248125</v>
      </c>
      <c r="X137">
        <f t="shared" ca="1" si="52"/>
        <v>1.1235608453752519</v>
      </c>
    </row>
    <row r="138" spans="5:24" x14ac:dyDescent="0.25">
      <c r="E138">
        <v>136</v>
      </c>
      <c r="F138">
        <f t="shared" si="36"/>
        <v>33.6</v>
      </c>
      <c r="G138">
        <f t="shared" ca="1" si="37"/>
        <v>33.593000000000004</v>
      </c>
      <c r="H138" s="5">
        <f t="shared" ca="1" si="38"/>
        <v>6.9999999999978968E-3</v>
      </c>
      <c r="I138" s="5">
        <f t="shared" ca="1" si="39"/>
        <v>2.0833333333327073E-4</v>
      </c>
      <c r="J138" s="10">
        <f t="shared" si="40"/>
        <v>1.1333333333333331</v>
      </c>
      <c r="K138" s="12">
        <f t="shared" ca="1" si="41"/>
        <v>1.1327499999999999</v>
      </c>
      <c r="L138" s="5">
        <f t="shared" ca="1" si="42"/>
        <v>5.1470588235278661E-4</v>
      </c>
      <c r="N138">
        <f t="shared" ca="1" si="43"/>
        <v>8.5930000000000035</v>
      </c>
      <c r="O138">
        <f t="shared" ca="1" si="44"/>
        <v>1.0128895000000001E-3</v>
      </c>
      <c r="P138">
        <f t="shared" ca="1" si="45"/>
        <v>1.000214825</v>
      </c>
      <c r="Q138">
        <f t="shared" ca="1" si="46"/>
        <v>1.1319802359247633</v>
      </c>
      <c r="R138">
        <f t="shared" ca="1" si="47"/>
        <v>6037.2279249320709</v>
      </c>
      <c r="S138">
        <f t="shared" ca="1" si="48"/>
        <v>2.1881192572188701</v>
      </c>
      <c r="T138">
        <f t="shared" ca="1" si="49"/>
        <v>-1</v>
      </c>
      <c r="U138">
        <f t="shared" ca="1" si="50"/>
        <v>6038</v>
      </c>
      <c r="V138">
        <f t="shared" ca="1" si="51"/>
        <v>1.132125</v>
      </c>
      <c r="X138">
        <f t="shared" ca="1" si="52"/>
        <v>1.1308691715302261</v>
      </c>
    </row>
    <row r="139" spans="5:24" x14ac:dyDescent="0.25">
      <c r="E139">
        <v>137</v>
      </c>
      <c r="F139">
        <f t="shared" si="36"/>
        <v>33.700000000000003</v>
      </c>
      <c r="G139">
        <f t="shared" ca="1" si="37"/>
        <v>33.696000000000005</v>
      </c>
      <c r="H139" s="5">
        <f t="shared" ca="1" si="38"/>
        <v>3.9999999999977831E-3</v>
      </c>
      <c r="I139" s="5">
        <f t="shared" ca="1" si="39"/>
        <v>1.1869436201773836E-4</v>
      </c>
      <c r="J139" s="10">
        <f t="shared" si="40"/>
        <v>1.1416666666666668</v>
      </c>
      <c r="K139" s="12">
        <f t="shared" ca="1" si="41"/>
        <v>1.1413333333333335</v>
      </c>
      <c r="L139" s="5">
        <f t="shared" ca="1" si="42"/>
        <v>2.9197080291967585E-4</v>
      </c>
      <c r="N139">
        <f t="shared" ca="1" si="43"/>
        <v>8.6960000000000051</v>
      </c>
      <c r="O139">
        <f t="shared" ca="1" si="44"/>
        <v>1.0130440000000001E-3</v>
      </c>
      <c r="P139">
        <f t="shared" ca="1" si="45"/>
        <v>1.0002173999999999</v>
      </c>
      <c r="Q139">
        <f t="shared" ca="1" si="46"/>
        <v>1.1405681949642346</v>
      </c>
      <c r="R139">
        <f t="shared" ca="1" si="47"/>
        <v>6083.0303731425838</v>
      </c>
      <c r="S139">
        <f t="shared" ca="1" si="48"/>
        <v>2.2028020209575163</v>
      </c>
      <c r="T139">
        <f t="shared" ca="1" si="49"/>
        <v>1</v>
      </c>
      <c r="U139">
        <f t="shared" ca="1" si="50"/>
        <v>6086</v>
      </c>
      <c r="V139">
        <f t="shared" ca="1" si="51"/>
        <v>1.1411249999999999</v>
      </c>
      <c r="X139">
        <f t="shared" ca="1" si="52"/>
        <v>1.1398641495338913</v>
      </c>
    </row>
    <row r="140" spans="5:24" x14ac:dyDescent="0.25">
      <c r="E140">
        <v>138</v>
      </c>
      <c r="F140">
        <f t="shared" si="36"/>
        <v>33.799999999999997</v>
      </c>
      <c r="G140">
        <f t="shared" ca="1" si="37"/>
        <v>33.803999999999995</v>
      </c>
      <c r="H140" s="5">
        <f t="shared" ca="1" si="38"/>
        <v>3.9999999999977831E-3</v>
      </c>
      <c r="I140" s="5">
        <f t="shared" ca="1" si="39"/>
        <v>1.1834319526620661E-4</v>
      </c>
      <c r="J140" s="10">
        <f t="shared" si="40"/>
        <v>1.1499999999999997</v>
      </c>
      <c r="K140" s="12">
        <f t="shared" ca="1" si="41"/>
        <v>1.1503333333333325</v>
      </c>
      <c r="L140" s="5">
        <f t="shared" ca="1" si="42"/>
        <v>2.8985507246335009E-4</v>
      </c>
      <c r="N140">
        <f t="shared" ca="1" si="43"/>
        <v>8.8039999999999949</v>
      </c>
      <c r="O140">
        <f t="shared" ca="1" si="44"/>
        <v>1.013206E-3</v>
      </c>
      <c r="P140">
        <f t="shared" ca="1" si="45"/>
        <v>1.0002200999999999</v>
      </c>
      <c r="Q140">
        <f t="shared" ca="1" si="46"/>
        <v>1.1495730926933585</v>
      </c>
      <c r="R140">
        <f t="shared" ca="1" si="47"/>
        <v>6131.0564943645786</v>
      </c>
      <c r="S140">
        <f t="shared" ca="1" si="48"/>
        <v>2.2181519962660388</v>
      </c>
      <c r="T140">
        <f t="shared" ca="1" si="49"/>
        <v>3</v>
      </c>
      <c r="U140">
        <f t="shared" ca="1" si="50"/>
        <v>6136</v>
      </c>
      <c r="V140">
        <f t="shared" ca="1" si="51"/>
        <v>1.1505000000000001</v>
      </c>
      <c r="X140">
        <f t="shared" ca="1" si="52"/>
        <v>1.1492338476301367</v>
      </c>
    </row>
    <row r="141" spans="5:24" x14ac:dyDescent="0.25">
      <c r="E141">
        <v>139</v>
      </c>
      <c r="F141">
        <f t="shared" si="36"/>
        <v>33.9</v>
      </c>
      <c r="G141">
        <f t="shared" ca="1" si="37"/>
        <v>33.893999999999998</v>
      </c>
      <c r="H141" s="5">
        <f t="shared" ca="1" si="38"/>
        <v>6.0000000000002274E-3</v>
      </c>
      <c r="I141" s="5">
        <f t="shared" ca="1" si="39"/>
        <v>1.769911504424846E-4</v>
      </c>
      <c r="J141" s="10">
        <f t="shared" si="40"/>
        <v>1.158333333333333</v>
      </c>
      <c r="K141" s="12">
        <f t="shared" ca="1" si="41"/>
        <v>1.1578333333333328</v>
      </c>
      <c r="L141" s="5">
        <f t="shared" ca="1" si="42"/>
        <v>4.3165467625913708E-4</v>
      </c>
      <c r="N141">
        <f t="shared" ca="1" si="43"/>
        <v>8.8939999999999984</v>
      </c>
      <c r="O141">
        <f t="shared" ca="1" si="44"/>
        <v>1.0133410000000001E-3</v>
      </c>
      <c r="P141">
        <f t="shared" ca="1" si="45"/>
        <v>1.00022235</v>
      </c>
      <c r="Q141">
        <f t="shared" ca="1" si="46"/>
        <v>1.1570772112586283</v>
      </c>
      <c r="R141">
        <f t="shared" ca="1" si="47"/>
        <v>6171.0784600460174</v>
      </c>
      <c r="S141">
        <f t="shared" ca="1" si="48"/>
        <v>2.2309077959110089</v>
      </c>
      <c r="T141">
        <f t="shared" ca="1" si="49"/>
        <v>-1</v>
      </c>
      <c r="U141">
        <f t="shared" ca="1" si="50"/>
        <v>6172</v>
      </c>
      <c r="V141">
        <f t="shared" ca="1" si="51"/>
        <v>1.1572500000000001</v>
      </c>
      <c r="X141">
        <f t="shared" ca="1" si="52"/>
        <v>1.1559796269299523</v>
      </c>
    </row>
    <row r="142" spans="5:24" x14ac:dyDescent="0.25">
      <c r="E142">
        <v>140</v>
      </c>
      <c r="F142">
        <f t="shared" si="36"/>
        <v>34</v>
      </c>
      <c r="G142">
        <f t="shared" ca="1" si="37"/>
        <v>34.01</v>
      </c>
      <c r="H142" s="5">
        <f t="shared" ca="1" si="38"/>
        <v>9.9999999999980105E-3</v>
      </c>
      <c r="I142" s="5">
        <f t="shared" ca="1" si="39"/>
        <v>2.9411764705876501E-4</v>
      </c>
      <c r="J142" s="10">
        <f t="shared" si="40"/>
        <v>1.1666666666666663</v>
      </c>
      <c r="K142" s="12">
        <f t="shared" ca="1" si="41"/>
        <v>1.1674999999999998</v>
      </c>
      <c r="L142" s="5">
        <f t="shared" ca="1" si="42"/>
        <v>7.1428571428582617E-4</v>
      </c>
      <c r="N142">
        <f t="shared" ca="1" si="43"/>
        <v>9.009999999999998</v>
      </c>
      <c r="O142">
        <f t="shared" ca="1" si="44"/>
        <v>1.013515E-3</v>
      </c>
      <c r="P142">
        <f t="shared" ca="1" si="45"/>
        <v>1.00022525</v>
      </c>
      <c r="Q142">
        <f t="shared" ca="1" si="46"/>
        <v>1.1667492360807461</v>
      </c>
      <c r="R142">
        <f t="shared" ca="1" si="47"/>
        <v>6222.6625924306454</v>
      </c>
      <c r="S142">
        <f t="shared" ca="1" si="48"/>
        <v>2.2473002126002686</v>
      </c>
      <c r="T142">
        <f t="shared" ca="1" si="49"/>
        <v>2</v>
      </c>
      <c r="U142">
        <f t="shared" ca="1" si="50"/>
        <v>6227</v>
      </c>
      <c r="V142">
        <f t="shared" ca="1" si="51"/>
        <v>1.1675625000000001</v>
      </c>
      <c r="X142">
        <f t="shared" ca="1" si="52"/>
        <v>1.1662862790156518</v>
      </c>
    </row>
    <row r="143" spans="5:24" x14ac:dyDescent="0.25">
      <c r="E143">
        <v>141</v>
      </c>
      <c r="F143">
        <f t="shared" si="36"/>
        <v>34.1</v>
      </c>
      <c r="G143">
        <f t="shared" ca="1" si="37"/>
        <v>34.109000000000002</v>
      </c>
      <c r="H143" s="5">
        <f t="shared" ca="1" si="38"/>
        <v>9.0000000000003411E-3</v>
      </c>
      <c r="I143" s="5">
        <f t="shared" ca="1" si="39"/>
        <v>2.6392961876833842E-4</v>
      </c>
      <c r="J143" s="10">
        <f t="shared" si="40"/>
        <v>1.175</v>
      </c>
      <c r="K143" s="12">
        <f t="shared" ca="1" si="41"/>
        <v>1.1757500000000001</v>
      </c>
      <c r="L143" s="5">
        <f t="shared" ca="1" si="42"/>
        <v>6.3829787234044968E-4</v>
      </c>
      <c r="N143">
        <f t="shared" ca="1" si="43"/>
        <v>9.1090000000000018</v>
      </c>
      <c r="O143">
        <f t="shared" ca="1" si="44"/>
        <v>1.0136635000000001E-3</v>
      </c>
      <c r="P143">
        <f t="shared" ca="1" si="45"/>
        <v>1.000227725</v>
      </c>
      <c r="Q143">
        <f t="shared" ca="1" si="46"/>
        <v>1.1750038533322296</v>
      </c>
      <c r="R143">
        <f t="shared" ca="1" si="47"/>
        <v>6266.6872177718906</v>
      </c>
      <c r="S143">
        <f t="shared" ca="1" si="48"/>
        <v>2.2612469095855445</v>
      </c>
      <c r="T143">
        <f t="shared" ca="1" si="49"/>
        <v>1</v>
      </c>
      <c r="U143">
        <f t="shared" ca="1" si="50"/>
        <v>6270</v>
      </c>
      <c r="V143">
        <f t="shared" ca="1" si="51"/>
        <v>1.1756249999999999</v>
      </c>
      <c r="X143">
        <f t="shared" ca="1" si="52"/>
        <v>1.1743439090333152</v>
      </c>
    </row>
    <row r="144" spans="5:24" x14ac:dyDescent="0.25">
      <c r="E144">
        <v>142</v>
      </c>
      <c r="F144">
        <f t="shared" si="36"/>
        <v>34.200000000000003</v>
      </c>
      <c r="G144">
        <f t="shared" ca="1" si="37"/>
        <v>34.197000000000003</v>
      </c>
      <c r="H144" s="5">
        <f t="shared" ca="1" si="38"/>
        <v>3.0000000000001137E-3</v>
      </c>
      <c r="I144" s="5">
        <f t="shared" ca="1" si="39"/>
        <v>8.7719298245617349E-5</v>
      </c>
      <c r="J144" s="10">
        <f t="shared" si="40"/>
        <v>1.1833333333333333</v>
      </c>
      <c r="K144" s="12">
        <f t="shared" ca="1" si="41"/>
        <v>1.1830833333333335</v>
      </c>
      <c r="L144" s="5">
        <f t="shared" ca="1" si="42"/>
        <v>2.1126760563368573E-4</v>
      </c>
      <c r="N144">
        <f t="shared" ca="1" si="43"/>
        <v>9.1970000000000027</v>
      </c>
      <c r="O144">
        <f t="shared" ca="1" si="44"/>
        <v>1.0137955E-3</v>
      </c>
      <c r="P144">
        <f t="shared" ca="1" si="45"/>
        <v>1.000229925</v>
      </c>
      <c r="Q144">
        <f t="shared" ca="1" si="46"/>
        <v>1.1823413251718198</v>
      </c>
      <c r="R144">
        <f t="shared" ca="1" si="47"/>
        <v>6305.8204009163719</v>
      </c>
      <c r="S144">
        <f t="shared" ca="1" si="48"/>
        <v>2.2736102198406507</v>
      </c>
      <c r="T144">
        <f t="shared" ca="1" si="49"/>
        <v>0</v>
      </c>
      <c r="U144">
        <f t="shared" ca="1" si="50"/>
        <v>6308</v>
      </c>
      <c r="V144">
        <f t="shared" ca="1" si="51"/>
        <v>1.18275</v>
      </c>
      <c r="X144">
        <f t="shared" ca="1" si="52"/>
        <v>1.1814645562619015</v>
      </c>
    </row>
    <row r="145" spans="5:24" x14ac:dyDescent="0.25">
      <c r="E145">
        <v>143</v>
      </c>
      <c r="F145">
        <f t="shared" si="36"/>
        <v>34.299999999999997</v>
      </c>
      <c r="G145">
        <f t="shared" ca="1" si="37"/>
        <v>34.29</v>
      </c>
      <c r="H145" s="5">
        <f t="shared" ca="1" si="38"/>
        <v>9.9999999999980105E-3</v>
      </c>
      <c r="I145" s="5">
        <f t="shared" ca="1" si="39"/>
        <v>2.9154518950431522E-4</v>
      </c>
      <c r="J145" s="10">
        <f t="shared" si="40"/>
        <v>1.1916666666666662</v>
      </c>
      <c r="K145" s="12">
        <f t="shared" ca="1" si="41"/>
        <v>1.1908333333333332</v>
      </c>
      <c r="L145" s="5">
        <f t="shared" ca="1" si="42"/>
        <v>6.9930069930043627E-4</v>
      </c>
      <c r="N145">
        <f t="shared" ca="1" si="43"/>
        <v>9.2899999999999991</v>
      </c>
      <c r="O145">
        <f t="shared" ca="1" si="44"/>
        <v>1.0139350000000001E-3</v>
      </c>
      <c r="P145">
        <f t="shared" ca="1" si="45"/>
        <v>1.00023225</v>
      </c>
      <c r="Q145">
        <f t="shared" ca="1" si="46"/>
        <v>1.1900957338885962</v>
      </c>
      <c r="R145">
        <f t="shared" ca="1" si="47"/>
        <v>6347.1772474058462</v>
      </c>
      <c r="S145">
        <f t="shared" ca="1" si="48"/>
        <v>2.2866412627897295</v>
      </c>
      <c r="T145">
        <f t="shared" ca="1" si="49"/>
        <v>-3</v>
      </c>
      <c r="U145">
        <f t="shared" ca="1" si="50"/>
        <v>6346</v>
      </c>
      <c r="V145">
        <f t="shared" ca="1" si="51"/>
        <v>1.189875</v>
      </c>
      <c r="X145">
        <f t="shared" ca="1" si="52"/>
        <v>1.1885850161300038</v>
      </c>
    </row>
    <row r="146" spans="5:24" x14ac:dyDescent="0.25">
      <c r="E146">
        <v>144</v>
      </c>
      <c r="F146">
        <f t="shared" si="36"/>
        <v>34.4</v>
      </c>
      <c r="G146">
        <f t="shared" ca="1" si="37"/>
        <v>34.400999999999996</v>
      </c>
      <c r="H146" s="5">
        <f t="shared" ca="1" si="38"/>
        <v>9.9999999999766942E-4</v>
      </c>
      <c r="I146" s="5">
        <f t="shared" ca="1" si="39"/>
        <v>2.9069767441792718E-5</v>
      </c>
      <c r="J146" s="10">
        <f t="shared" si="40"/>
        <v>1.1999999999999995</v>
      </c>
      <c r="K146" s="12">
        <f t="shared" ca="1" si="41"/>
        <v>1.2000833333333329</v>
      </c>
      <c r="L146" s="5">
        <f t="shared" ca="1" si="42"/>
        <v>6.9444444444529337E-5</v>
      </c>
      <c r="N146">
        <f t="shared" ca="1" si="43"/>
        <v>9.4009999999999962</v>
      </c>
      <c r="O146">
        <f t="shared" ca="1" si="44"/>
        <v>1.0141015000000001E-3</v>
      </c>
      <c r="P146">
        <f t="shared" ca="1" si="45"/>
        <v>1.0002350250000001</v>
      </c>
      <c r="Q146">
        <f t="shared" ca="1" si="46"/>
        <v>1.1993510430795447</v>
      </c>
      <c r="R146">
        <f t="shared" ca="1" si="47"/>
        <v>6396.5388964242384</v>
      </c>
      <c r="S146">
        <f t="shared" ca="1" si="48"/>
        <v>2.3021474449937638</v>
      </c>
      <c r="T146">
        <f t="shared" ca="1" si="49"/>
        <v>1</v>
      </c>
      <c r="U146">
        <f t="shared" ca="1" si="50"/>
        <v>6400</v>
      </c>
      <c r="V146">
        <f t="shared" ca="1" si="51"/>
        <v>1.2</v>
      </c>
      <c r="X146">
        <f t="shared" ca="1" si="52"/>
        <v>1.1987041730517283</v>
      </c>
    </row>
    <row r="147" spans="5:24" x14ac:dyDescent="0.25">
      <c r="E147">
        <v>145</v>
      </c>
      <c r="F147">
        <f t="shared" si="36"/>
        <v>34.5</v>
      </c>
      <c r="G147">
        <f t="shared" ca="1" si="37"/>
        <v>34.497</v>
      </c>
      <c r="H147" s="5">
        <f t="shared" ca="1" si="38"/>
        <v>3.0000000000001137E-3</v>
      </c>
      <c r="I147" s="5">
        <f t="shared" ca="1" si="39"/>
        <v>8.6956521739133734E-5</v>
      </c>
      <c r="J147" s="10">
        <f t="shared" si="40"/>
        <v>1.2083333333333333</v>
      </c>
      <c r="K147" s="12">
        <f t="shared" ca="1" si="41"/>
        <v>1.208083333333333</v>
      </c>
      <c r="L147" s="5">
        <f t="shared" ca="1" si="42"/>
        <v>2.0689655172439079E-4</v>
      </c>
      <c r="N147">
        <f t="shared" ca="1" si="43"/>
        <v>9.4969999999999999</v>
      </c>
      <c r="O147">
        <f t="shared" ca="1" si="44"/>
        <v>1.0142454999999999E-3</v>
      </c>
      <c r="P147">
        <f t="shared" ca="1" si="45"/>
        <v>1.0002374249999999</v>
      </c>
      <c r="Q147">
        <f t="shared" ca="1" si="46"/>
        <v>1.2073556762115116</v>
      </c>
      <c r="R147">
        <f t="shared" ca="1" si="47"/>
        <v>6439.2302731280615</v>
      </c>
      <c r="S147">
        <f t="shared" ca="1" si="48"/>
        <v>2.3155166995027128</v>
      </c>
      <c r="T147">
        <f t="shared" ca="1" si="49"/>
        <v>2</v>
      </c>
      <c r="U147">
        <f t="shared" ca="1" si="50"/>
        <v>6444</v>
      </c>
      <c r="V147">
        <f t="shared" ca="1" si="51"/>
        <v>1.20825</v>
      </c>
      <c r="X147">
        <f t="shared" ca="1" si="52"/>
        <v>1.2069491945874753</v>
      </c>
    </row>
    <row r="148" spans="5:24" x14ac:dyDescent="0.25">
      <c r="E148">
        <v>146</v>
      </c>
      <c r="F148">
        <f t="shared" si="36"/>
        <v>34.6</v>
      </c>
      <c r="G148">
        <f t="shared" ca="1" si="37"/>
        <v>34.594000000000001</v>
      </c>
      <c r="H148" s="5">
        <f t="shared" ca="1" si="38"/>
        <v>6.0000000000002274E-3</v>
      </c>
      <c r="I148" s="5">
        <f t="shared" ca="1" si="39"/>
        <v>1.7341040462428401E-4</v>
      </c>
      <c r="J148" s="10">
        <f t="shared" si="40"/>
        <v>1.2166666666666666</v>
      </c>
      <c r="K148" s="12">
        <f t="shared" ca="1" si="41"/>
        <v>1.2161666666666664</v>
      </c>
      <c r="L148" s="5">
        <f t="shared" ca="1" si="42"/>
        <v>4.1095890410972633E-4</v>
      </c>
      <c r="N148">
        <f t="shared" ca="1" si="43"/>
        <v>9.5940000000000012</v>
      </c>
      <c r="O148">
        <f t="shared" ca="1" si="44"/>
        <v>1.0143910000000001E-3</v>
      </c>
      <c r="P148">
        <f t="shared" ca="1" si="45"/>
        <v>1.00023985</v>
      </c>
      <c r="Q148">
        <f t="shared" ca="1" si="46"/>
        <v>1.2154437299399852</v>
      </c>
      <c r="R148">
        <f t="shared" ca="1" si="47"/>
        <v>6482.366559679921</v>
      </c>
      <c r="S148">
        <f t="shared" ca="1" si="48"/>
        <v>2.3289858822459362</v>
      </c>
      <c r="T148">
        <f t="shared" ca="1" si="49"/>
        <v>-1</v>
      </c>
      <c r="U148">
        <f t="shared" ca="1" si="50"/>
        <v>6484</v>
      </c>
      <c r="V148">
        <f t="shared" ca="1" si="51"/>
        <v>1.2157500000000001</v>
      </c>
      <c r="X148">
        <f t="shared" ca="1" si="52"/>
        <v>1.2144443245287617</v>
      </c>
    </row>
    <row r="149" spans="5:24" x14ac:dyDescent="0.25">
      <c r="E149">
        <v>147</v>
      </c>
      <c r="F149">
        <f t="shared" si="36"/>
        <v>34.700000000000003</v>
      </c>
      <c r="G149">
        <f t="shared" ca="1" si="37"/>
        <v>34.706000000000003</v>
      </c>
      <c r="H149" s="5">
        <f t="shared" ca="1" si="38"/>
        <v>6.0000000000002274E-3</v>
      </c>
      <c r="I149" s="5">
        <f t="shared" ca="1" si="39"/>
        <v>1.7291066282421402E-4</v>
      </c>
      <c r="J149" s="10">
        <f t="shared" si="40"/>
        <v>1.2249999999999999</v>
      </c>
      <c r="K149" s="12">
        <f t="shared" ca="1" si="41"/>
        <v>1.2255</v>
      </c>
      <c r="L149" s="5">
        <f t="shared" ca="1" si="42"/>
        <v>4.081632653062588E-4</v>
      </c>
      <c r="N149">
        <f t="shared" ca="1" si="43"/>
        <v>9.7060000000000031</v>
      </c>
      <c r="O149">
        <f t="shared" ca="1" si="44"/>
        <v>1.0145589999999999E-3</v>
      </c>
      <c r="P149">
        <f t="shared" ca="1" si="45"/>
        <v>1.0002426499999999</v>
      </c>
      <c r="Q149">
        <f t="shared" ca="1" si="46"/>
        <v>1.2247825623922586</v>
      </c>
      <c r="R149">
        <f t="shared" ca="1" si="47"/>
        <v>6532.173666092046</v>
      </c>
      <c r="S149">
        <f t="shared" ca="1" si="48"/>
        <v>2.3444884445115264</v>
      </c>
      <c r="T149">
        <f t="shared" ca="1" si="49"/>
        <v>-3</v>
      </c>
      <c r="U149">
        <f t="shared" ca="1" si="50"/>
        <v>6532</v>
      </c>
      <c r="V149">
        <f t="shared" ca="1" si="51"/>
        <v>1.22475</v>
      </c>
      <c r="X149">
        <f t="shared" ca="1" si="52"/>
        <v>1.2234385736301088</v>
      </c>
    </row>
    <row r="150" spans="5:24" x14ac:dyDescent="0.25">
      <c r="E150">
        <v>148</v>
      </c>
      <c r="F150">
        <f t="shared" si="36"/>
        <v>34.799999999999997</v>
      </c>
      <c r="G150">
        <f t="shared" ca="1" si="37"/>
        <v>34.808</v>
      </c>
      <c r="H150" s="5">
        <f t="shared" ca="1" si="38"/>
        <v>8.0000000000026716E-3</v>
      </c>
      <c r="I150" s="5">
        <f t="shared" ca="1" si="39"/>
        <v>2.2988505747134115E-4</v>
      </c>
      <c r="J150" s="10">
        <f t="shared" si="40"/>
        <v>1.2333333333333327</v>
      </c>
      <c r="K150" s="12">
        <f t="shared" ca="1" si="41"/>
        <v>1.2339999999999998</v>
      </c>
      <c r="L150" s="5">
        <f t="shared" ca="1" si="42"/>
        <v>5.4054054054084131E-4</v>
      </c>
      <c r="N150">
        <f t="shared" ca="1" si="43"/>
        <v>9.8079999999999998</v>
      </c>
      <c r="O150">
        <f t="shared" ca="1" si="44"/>
        <v>1.0147120000000001E-3</v>
      </c>
      <c r="P150">
        <f t="shared" ca="1" si="45"/>
        <v>1.0002451999999999</v>
      </c>
      <c r="Q150">
        <f t="shared" ca="1" si="46"/>
        <v>1.2332876159926174</v>
      </c>
      <c r="R150">
        <f t="shared" ca="1" si="47"/>
        <v>6577.5339519606259</v>
      </c>
      <c r="S150">
        <f t="shared" ca="1" si="48"/>
        <v>2.3585604203267776</v>
      </c>
      <c r="T150">
        <f t="shared" ca="1" si="49"/>
        <v>2</v>
      </c>
      <c r="U150">
        <f t="shared" ca="1" si="50"/>
        <v>6582</v>
      </c>
      <c r="V150">
        <f t="shared" ca="1" si="51"/>
        <v>1.2341249999999999</v>
      </c>
      <c r="X150">
        <f t="shared" ca="1" si="52"/>
        <v>1.2328080034775473</v>
      </c>
    </row>
    <row r="151" spans="5:24" x14ac:dyDescent="0.25">
      <c r="E151">
        <v>149</v>
      </c>
      <c r="F151">
        <f t="shared" si="36"/>
        <v>34.9</v>
      </c>
      <c r="G151">
        <f t="shared" ca="1" si="37"/>
        <v>34.897999999999996</v>
      </c>
      <c r="H151" s="5">
        <f t="shared" ca="1" si="38"/>
        <v>2.0000000000024443E-3</v>
      </c>
      <c r="I151" s="5">
        <f t="shared" ca="1" si="39"/>
        <v>5.7306590257949692E-5</v>
      </c>
      <c r="J151" s="10">
        <f t="shared" si="40"/>
        <v>1.2416666666666665</v>
      </c>
      <c r="K151" s="12">
        <f t="shared" ca="1" si="41"/>
        <v>1.2414999999999996</v>
      </c>
      <c r="L151" s="5">
        <f t="shared" ca="1" si="42"/>
        <v>1.3422818791962714E-4</v>
      </c>
      <c r="N151">
        <f t="shared" ca="1" si="43"/>
        <v>9.8979999999999961</v>
      </c>
      <c r="O151">
        <f t="shared" ca="1" si="44"/>
        <v>1.0148469999999999E-3</v>
      </c>
      <c r="P151">
        <f t="shared" ca="1" si="45"/>
        <v>1.00024745</v>
      </c>
      <c r="Q151">
        <f t="shared" ca="1" si="46"/>
        <v>1.2407921110511095</v>
      </c>
      <c r="R151">
        <f t="shared" ca="1" si="47"/>
        <v>6617.5579256059173</v>
      </c>
      <c r="S151">
        <f t="shared" ca="1" si="48"/>
        <v>2.3709398940968276</v>
      </c>
      <c r="T151">
        <f t="shared" ca="1" si="49"/>
        <v>-2</v>
      </c>
      <c r="U151">
        <f t="shared" ca="1" si="50"/>
        <v>6618</v>
      </c>
      <c r="V151">
        <f t="shared" ca="1" si="51"/>
        <v>1.240875</v>
      </c>
      <c r="X151">
        <f t="shared" ca="1" si="52"/>
        <v>1.2395534255048588</v>
      </c>
    </row>
    <row r="152" spans="5:24" x14ac:dyDescent="0.25">
      <c r="E152">
        <v>150</v>
      </c>
      <c r="F152">
        <f t="shared" si="36"/>
        <v>35</v>
      </c>
      <c r="G152">
        <f t="shared" ca="1" si="37"/>
        <v>34.991</v>
      </c>
      <c r="H152" s="5">
        <f t="shared" ca="1" si="38"/>
        <v>9.0000000000003411E-3</v>
      </c>
      <c r="I152" s="5">
        <f t="shared" ca="1" si="39"/>
        <v>2.5714285714286691E-4</v>
      </c>
      <c r="J152" s="10">
        <f t="shared" si="40"/>
        <v>1.2499999999999998</v>
      </c>
      <c r="K152" s="12">
        <f t="shared" ca="1" si="41"/>
        <v>1.2492499999999997</v>
      </c>
      <c r="L152" s="5">
        <f t="shared" ca="1" si="42"/>
        <v>6.0000000000002282E-4</v>
      </c>
      <c r="N152">
        <f t="shared" ca="1" si="43"/>
        <v>9.9909999999999997</v>
      </c>
      <c r="O152">
        <f t="shared" ca="1" si="44"/>
        <v>1.0149865E-3</v>
      </c>
      <c r="P152">
        <f t="shared" ca="1" si="45"/>
        <v>1.0002497749999999</v>
      </c>
      <c r="Q152">
        <f t="shared" ca="1" si="46"/>
        <v>1.2485467914004966</v>
      </c>
      <c r="R152">
        <f t="shared" ca="1" si="47"/>
        <v>6658.9162208026482</v>
      </c>
      <c r="S152">
        <f t="shared" ca="1" si="48"/>
        <v>2.3836953973274078</v>
      </c>
      <c r="T152">
        <f t="shared" ca="1" si="49"/>
        <v>3</v>
      </c>
      <c r="U152">
        <f t="shared" ca="1" si="50"/>
        <v>6664</v>
      </c>
      <c r="V152">
        <f t="shared" ca="1" si="51"/>
        <v>1.2495000000000001</v>
      </c>
      <c r="X152">
        <f t="shared" ca="1" si="52"/>
        <v>1.2481732510262251</v>
      </c>
    </row>
    <row r="153" spans="5:24" x14ac:dyDescent="0.25">
      <c r="E153">
        <v>151</v>
      </c>
      <c r="F153">
        <f t="shared" si="36"/>
        <v>35.1</v>
      </c>
      <c r="G153">
        <f t="shared" ca="1" si="37"/>
        <v>35.105000000000004</v>
      </c>
      <c r="H153" s="5">
        <f t="shared" ca="1" si="38"/>
        <v>5.000000000002558E-3</v>
      </c>
      <c r="I153" s="5">
        <f t="shared" ca="1" si="39"/>
        <v>1.4245014245021533E-4</v>
      </c>
      <c r="J153" s="10">
        <f t="shared" si="40"/>
        <v>1.2583333333333331</v>
      </c>
      <c r="K153" s="12">
        <f t="shared" ca="1" si="41"/>
        <v>1.2587500000000003</v>
      </c>
      <c r="L153" s="5">
        <f t="shared" ca="1" si="42"/>
        <v>3.3112582781497427E-4</v>
      </c>
      <c r="N153">
        <f t="shared" ca="1" si="43"/>
        <v>10.105000000000004</v>
      </c>
      <c r="O153">
        <f t="shared" ca="1" si="44"/>
        <v>1.0151575E-3</v>
      </c>
      <c r="P153">
        <f t="shared" ca="1" si="45"/>
        <v>1.0002526249999999</v>
      </c>
      <c r="Q153">
        <f t="shared" ca="1" si="46"/>
        <v>1.2580525777645868</v>
      </c>
      <c r="R153">
        <f t="shared" ca="1" si="47"/>
        <v>6709.6137480777961</v>
      </c>
      <c r="S153">
        <f t="shared" ca="1" si="48"/>
        <v>2.3992801078829502</v>
      </c>
      <c r="T153">
        <f t="shared" ca="1" si="49"/>
        <v>-2</v>
      </c>
      <c r="U153">
        <f t="shared" ca="1" si="50"/>
        <v>6710</v>
      </c>
      <c r="V153">
        <f t="shared" ca="1" si="51"/>
        <v>1.2581249999999999</v>
      </c>
      <c r="X153">
        <f t="shared" ca="1" si="52"/>
        <v>1.2567923453337602</v>
      </c>
    </row>
    <row r="154" spans="5:24" x14ac:dyDescent="0.25">
      <c r="E154">
        <v>152</v>
      </c>
      <c r="F154">
        <f t="shared" si="36"/>
        <v>35.200000000000003</v>
      </c>
      <c r="G154">
        <f t="shared" ca="1" si="37"/>
        <v>35.198</v>
      </c>
      <c r="H154" s="5">
        <f t="shared" ca="1" si="38"/>
        <v>2.0000000000024443E-3</v>
      </c>
      <c r="I154" s="5">
        <f t="shared" ca="1" si="39"/>
        <v>5.6818181818251255E-5</v>
      </c>
      <c r="J154" s="10">
        <f t="shared" si="40"/>
        <v>1.2666666666666668</v>
      </c>
      <c r="K154" s="12">
        <f t="shared" ca="1" si="41"/>
        <v>1.2665</v>
      </c>
      <c r="L154" s="5">
        <f t="shared" ca="1" si="42"/>
        <v>1.3157894736858184E-4</v>
      </c>
      <c r="N154">
        <f t="shared" ca="1" si="43"/>
        <v>10.198</v>
      </c>
      <c r="O154">
        <f t="shared" ca="1" si="44"/>
        <v>1.0152970000000001E-3</v>
      </c>
      <c r="P154">
        <f t="shared" ca="1" si="45"/>
        <v>1.00025495</v>
      </c>
      <c r="Q154">
        <f t="shared" ca="1" si="46"/>
        <v>1.2658073383250299</v>
      </c>
      <c r="R154">
        <f t="shared" ca="1" si="47"/>
        <v>6750.9724710668261</v>
      </c>
      <c r="S154">
        <f t="shared" ca="1" si="48"/>
        <v>2.4119520504577774</v>
      </c>
      <c r="T154">
        <f t="shared" ca="1" si="49"/>
        <v>3</v>
      </c>
      <c r="U154">
        <f t="shared" ca="1" si="50"/>
        <v>6756</v>
      </c>
      <c r="V154">
        <f t="shared" ca="1" si="51"/>
        <v>1.26675</v>
      </c>
      <c r="X154">
        <f t="shared" ca="1" si="52"/>
        <v>1.2654120861886264</v>
      </c>
    </row>
    <row r="155" spans="5:24" x14ac:dyDescent="0.25">
      <c r="E155">
        <v>153</v>
      </c>
      <c r="F155">
        <f t="shared" si="36"/>
        <v>35.299999999999997</v>
      </c>
      <c r="G155">
        <f t="shared" ca="1" si="37"/>
        <v>35.290999999999997</v>
      </c>
      <c r="H155" s="5">
        <f t="shared" ca="1" si="38"/>
        <v>9.0000000000003411E-3</v>
      </c>
      <c r="I155" s="5">
        <f t="shared" ca="1" si="39"/>
        <v>2.5495750708216266E-4</v>
      </c>
      <c r="J155" s="10">
        <f t="shared" si="40"/>
        <v>1.2749999999999997</v>
      </c>
      <c r="K155" s="12">
        <f t="shared" ca="1" si="41"/>
        <v>1.2742499999999997</v>
      </c>
      <c r="L155" s="5">
        <f t="shared" ca="1" si="42"/>
        <v>5.8823529411766945E-4</v>
      </c>
      <c r="N155">
        <f t="shared" ca="1" si="43"/>
        <v>10.290999999999997</v>
      </c>
      <c r="O155">
        <f t="shared" ca="1" si="44"/>
        <v>1.0154364999999999E-3</v>
      </c>
      <c r="P155">
        <f t="shared" ca="1" si="45"/>
        <v>1.0002572750000001</v>
      </c>
      <c r="Q155">
        <f t="shared" ca="1" si="46"/>
        <v>1.2735621349223243</v>
      </c>
      <c r="R155">
        <f t="shared" ca="1" si="47"/>
        <v>6792.3313862523964</v>
      </c>
      <c r="S155">
        <f t="shared" ca="1" si="48"/>
        <v>2.4245861286961334</v>
      </c>
      <c r="T155">
        <f t="shared" ca="1" si="49"/>
        <v>-2</v>
      </c>
      <c r="U155">
        <f t="shared" ca="1" si="50"/>
        <v>6793</v>
      </c>
      <c r="V155">
        <f t="shared" ca="1" si="51"/>
        <v>1.2736875000000001</v>
      </c>
      <c r="X155">
        <f t="shared" ca="1" si="52"/>
        <v>1.2723447210119017</v>
      </c>
    </row>
    <row r="156" spans="5:24" x14ac:dyDescent="0.25">
      <c r="E156">
        <v>154</v>
      </c>
      <c r="F156">
        <f t="shared" si="36"/>
        <v>35.4</v>
      </c>
      <c r="G156">
        <f t="shared" ca="1" si="37"/>
        <v>35.408000000000001</v>
      </c>
      <c r="H156" s="5">
        <f t="shared" ca="1" si="38"/>
        <v>8.0000000000026716E-3</v>
      </c>
      <c r="I156" s="5">
        <f t="shared" ca="1" si="39"/>
        <v>2.2598870056504724E-4</v>
      </c>
      <c r="J156" s="10">
        <f t="shared" si="40"/>
        <v>1.283333333333333</v>
      </c>
      <c r="K156" s="12">
        <f t="shared" ca="1" si="41"/>
        <v>1.284</v>
      </c>
      <c r="L156" s="5">
        <f t="shared" ca="1" si="42"/>
        <v>5.1948051948080842E-4</v>
      </c>
      <c r="N156">
        <f t="shared" ca="1" si="43"/>
        <v>10.408000000000001</v>
      </c>
      <c r="O156">
        <f t="shared" ca="1" si="44"/>
        <v>1.0156119999999999E-3</v>
      </c>
      <c r="P156">
        <f t="shared" ca="1" si="45"/>
        <v>1.0002602</v>
      </c>
      <c r="Q156">
        <f t="shared" ca="1" si="46"/>
        <v>1.2833182205377578</v>
      </c>
      <c r="R156">
        <f t="shared" ca="1" si="47"/>
        <v>6844.3638428680415</v>
      </c>
      <c r="S156">
        <f t="shared" ca="1" si="48"/>
        <v>2.4404265247047441</v>
      </c>
      <c r="T156">
        <f t="shared" ca="1" si="49"/>
        <v>-2</v>
      </c>
      <c r="U156">
        <f t="shared" ca="1" si="50"/>
        <v>6845</v>
      </c>
      <c r="V156">
        <f t="shared" ca="1" si="51"/>
        <v>1.2834375</v>
      </c>
      <c r="X156">
        <f t="shared" ca="1" si="52"/>
        <v>1.2820882886272991</v>
      </c>
    </row>
    <row r="157" spans="5:24" x14ac:dyDescent="0.25">
      <c r="E157">
        <v>155</v>
      </c>
      <c r="F157">
        <f t="shared" si="36"/>
        <v>35.5</v>
      </c>
      <c r="G157">
        <f t="shared" ca="1" si="37"/>
        <v>35.503999999999998</v>
      </c>
      <c r="H157" s="5">
        <f t="shared" ca="1" si="38"/>
        <v>3.9999999999977831E-3</v>
      </c>
      <c r="I157" s="5">
        <f t="shared" ca="1" si="39"/>
        <v>1.1267605633796572E-4</v>
      </c>
      <c r="J157" s="10">
        <f t="shared" si="40"/>
        <v>1.2916666666666663</v>
      </c>
      <c r="K157" s="12">
        <f t="shared" ca="1" si="41"/>
        <v>1.2919999999999996</v>
      </c>
      <c r="L157" s="5">
        <f t="shared" ca="1" si="42"/>
        <v>2.5806451612900392E-4</v>
      </c>
      <c r="N157">
        <f t="shared" ca="1" si="43"/>
        <v>10.503999999999998</v>
      </c>
      <c r="O157">
        <f t="shared" ca="1" si="44"/>
        <v>1.015756E-3</v>
      </c>
      <c r="P157">
        <f t="shared" ca="1" si="45"/>
        <v>1.0002625999999999</v>
      </c>
      <c r="Q157">
        <f t="shared" ca="1" si="46"/>
        <v>1.2913232564624739</v>
      </c>
      <c r="R157">
        <f t="shared" ca="1" si="47"/>
        <v>6887.0573677998609</v>
      </c>
      <c r="S157">
        <f t="shared" ca="1" si="48"/>
        <v>2.4533785001968735</v>
      </c>
      <c r="T157">
        <f t="shared" ca="1" si="49"/>
        <v>-3</v>
      </c>
      <c r="U157">
        <f t="shared" ca="1" si="50"/>
        <v>6887</v>
      </c>
      <c r="V157">
        <f t="shared" ca="1" si="51"/>
        <v>1.2913125000000001</v>
      </c>
      <c r="X157">
        <f t="shared" ca="1" si="52"/>
        <v>1.2899580010289302</v>
      </c>
    </row>
    <row r="158" spans="5:24" x14ac:dyDescent="0.25">
      <c r="E158">
        <v>156</v>
      </c>
      <c r="F158">
        <f t="shared" si="36"/>
        <v>35.6</v>
      </c>
      <c r="G158">
        <f t="shared" ca="1" si="37"/>
        <v>35.599000000000004</v>
      </c>
      <c r="H158" s="5">
        <f t="shared" ca="1" si="38"/>
        <v>9.9999999999766942E-4</v>
      </c>
      <c r="I158" s="5">
        <f t="shared" ca="1" si="39"/>
        <v>2.808988764038397E-5</v>
      </c>
      <c r="J158" s="10">
        <f t="shared" si="40"/>
        <v>1.3</v>
      </c>
      <c r="K158" s="12">
        <f t="shared" ca="1" si="41"/>
        <v>1.2999166666666666</v>
      </c>
      <c r="L158" s="5">
        <f t="shared" ca="1" si="42"/>
        <v>6.4102564102642436E-5</v>
      </c>
      <c r="N158">
        <f t="shared" ca="1" si="43"/>
        <v>10.599000000000004</v>
      </c>
      <c r="O158">
        <f t="shared" ca="1" si="44"/>
        <v>1.0158985000000001E-3</v>
      </c>
      <c r="P158">
        <f t="shared" ca="1" si="45"/>
        <v>1.0002649749999999</v>
      </c>
      <c r="Q158">
        <f t="shared" ca="1" si="46"/>
        <v>1.2992449443977114</v>
      </c>
      <c r="R158">
        <f t="shared" ca="1" si="47"/>
        <v>6929.3063701211277</v>
      </c>
      <c r="S158">
        <f t="shared" ca="1" si="48"/>
        <v>2.4661551565592954</v>
      </c>
      <c r="T158">
        <f t="shared" ca="1" si="49"/>
        <v>-1</v>
      </c>
      <c r="U158">
        <f t="shared" ca="1" si="50"/>
        <v>6931</v>
      </c>
      <c r="V158">
        <f t="shared" ca="1" si="51"/>
        <v>1.2995625</v>
      </c>
      <c r="X158">
        <f t="shared" ca="1" si="52"/>
        <v>1.2982026102633457</v>
      </c>
    </row>
    <row r="159" spans="5:24" x14ac:dyDescent="0.25">
      <c r="E159">
        <v>157</v>
      </c>
      <c r="F159">
        <f t="shared" si="36"/>
        <v>35.700000000000003</v>
      </c>
      <c r="G159">
        <f t="shared" ca="1" si="37"/>
        <v>35.699000000000005</v>
      </c>
      <c r="H159" s="5">
        <f t="shared" ca="1" si="38"/>
        <v>9.9999999999766942E-4</v>
      </c>
      <c r="I159" s="5">
        <f t="shared" ca="1" si="39"/>
        <v>2.8011204481727432E-5</v>
      </c>
      <c r="J159" s="10">
        <f t="shared" si="40"/>
        <v>1.3083333333333333</v>
      </c>
      <c r="K159" s="12">
        <f t="shared" ca="1" si="41"/>
        <v>1.3082500000000004</v>
      </c>
      <c r="L159" s="5">
        <f t="shared" ca="1" si="42"/>
        <v>6.3694267515661984E-5</v>
      </c>
      <c r="N159">
        <f t="shared" ca="1" si="43"/>
        <v>10.699000000000005</v>
      </c>
      <c r="O159">
        <f t="shared" ca="1" si="44"/>
        <v>1.0160485E-3</v>
      </c>
      <c r="P159">
        <f t="shared" ca="1" si="45"/>
        <v>1.000267475</v>
      </c>
      <c r="Q159">
        <f t="shared" ca="1" si="46"/>
        <v>1.3075836039011779</v>
      </c>
      <c r="R159">
        <f t="shared" ca="1" si="47"/>
        <v>6973.779220806282</v>
      </c>
      <c r="S159">
        <f t="shared" ca="1" si="48"/>
        <v>2.4795606168170963</v>
      </c>
      <c r="T159">
        <f t="shared" ca="1" si="49"/>
        <v>-3</v>
      </c>
      <c r="U159">
        <f t="shared" ca="1" si="50"/>
        <v>6973</v>
      </c>
      <c r="V159">
        <f t="shared" ca="1" si="51"/>
        <v>1.3074375</v>
      </c>
      <c r="X159">
        <f t="shared" ca="1" si="52"/>
        <v>1.3060721098624146</v>
      </c>
    </row>
    <row r="160" spans="5:24" x14ac:dyDescent="0.25">
      <c r="E160">
        <v>158</v>
      </c>
      <c r="F160">
        <f t="shared" si="36"/>
        <v>35.799999999999997</v>
      </c>
      <c r="G160">
        <f t="shared" ca="1" si="37"/>
        <v>35.803999999999995</v>
      </c>
      <c r="H160" s="5">
        <f t="shared" ca="1" si="38"/>
        <v>3.9999999999977831E-3</v>
      </c>
      <c r="I160" s="5">
        <f t="shared" ca="1" si="39"/>
        <v>1.1173184357535707E-4</v>
      </c>
      <c r="J160" s="10">
        <f t="shared" si="40"/>
        <v>1.3166666666666662</v>
      </c>
      <c r="K160" s="12">
        <f t="shared" ca="1" si="41"/>
        <v>1.3169999999999995</v>
      </c>
      <c r="L160" s="5">
        <f t="shared" ca="1" si="42"/>
        <v>2.5316455696199752E-4</v>
      </c>
      <c r="N160">
        <f t="shared" ca="1" si="43"/>
        <v>10.803999999999995</v>
      </c>
      <c r="O160">
        <f t="shared" ca="1" si="44"/>
        <v>1.016206E-3</v>
      </c>
      <c r="P160">
        <f t="shared" ca="1" si="45"/>
        <v>1.0002701000000001</v>
      </c>
      <c r="Q160">
        <f t="shared" ca="1" si="46"/>
        <v>1.3163392412227588</v>
      </c>
      <c r="R160">
        <f t="shared" ca="1" si="47"/>
        <v>7020.4759531880472</v>
      </c>
      <c r="S160">
        <f t="shared" ca="1" si="48"/>
        <v>2.4935879023288288</v>
      </c>
      <c r="T160">
        <f t="shared" ca="1" si="49"/>
        <v>1</v>
      </c>
      <c r="U160">
        <f t="shared" ca="1" si="50"/>
        <v>7024</v>
      </c>
      <c r="V160">
        <f t="shared" ca="1" si="51"/>
        <v>1.3169999999999999</v>
      </c>
      <c r="X160">
        <f t="shared" ca="1" si="52"/>
        <v>1.315628442757611</v>
      </c>
    </row>
    <row r="161" spans="5:24" x14ac:dyDescent="0.25">
      <c r="E161">
        <v>159</v>
      </c>
      <c r="F161">
        <f t="shared" si="36"/>
        <v>35.9</v>
      </c>
      <c r="G161">
        <f t="shared" ca="1" si="37"/>
        <v>35.905999999999999</v>
      </c>
      <c r="H161" s="5">
        <f t="shared" ca="1" si="38"/>
        <v>6.0000000000002274E-3</v>
      </c>
      <c r="I161" s="5">
        <f t="shared" ca="1" si="39"/>
        <v>1.6713091922006205E-4</v>
      </c>
      <c r="J161" s="10">
        <f t="shared" si="40"/>
        <v>1.3249999999999995</v>
      </c>
      <c r="K161" s="12">
        <f t="shared" ca="1" si="41"/>
        <v>1.3254999999999997</v>
      </c>
      <c r="L161" s="5">
        <f t="shared" ca="1" si="42"/>
        <v>3.7735849056616392E-4</v>
      </c>
      <c r="N161">
        <f t="shared" ca="1" si="43"/>
        <v>10.905999999999999</v>
      </c>
      <c r="O161">
        <f t="shared" ca="1" si="44"/>
        <v>1.0163590000000001E-3</v>
      </c>
      <c r="P161">
        <f t="shared" ca="1" si="45"/>
        <v>1.0002726500000001</v>
      </c>
      <c r="Q161">
        <f t="shared" ca="1" si="46"/>
        <v>1.3248447614647183</v>
      </c>
      <c r="R161">
        <f t="shared" ca="1" si="47"/>
        <v>7065.8387278118307</v>
      </c>
      <c r="S161">
        <f t="shared" ca="1" si="48"/>
        <v>2.5071666224501841</v>
      </c>
      <c r="T161">
        <f t="shared" ca="1" si="49"/>
        <v>1</v>
      </c>
      <c r="U161">
        <f t="shared" ca="1" si="50"/>
        <v>7069</v>
      </c>
      <c r="V161">
        <f t="shared" ca="1" si="51"/>
        <v>1.3254375</v>
      </c>
      <c r="X161">
        <f t="shared" ca="1" si="52"/>
        <v>1.3240601360039184</v>
      </c>
    </row>
    <row r="162" spans="5:24" x14ac:dyDescent="0.25">
      <c r="E162">
        <v>160</v>
      </c>
      <c r="F162">
        <f t="shared" si="36"/>
        <v>36</v>
      </c>
      <c r="G162">
        <f t="shared" ca="1" si="37"/>
        <v>35.991999999999997</v>
      </c>
      <c r="H162" s="5">
        <f t="shared" ca="1" si="38"/>
        <v>8.0000000000026716E-3</v>
      </c>
      <c r="I162" s="5">
        <f t="shared" ca="1" si="39"/>
        <v>2.2222222222229645E-4</v>
      </c>
      <c r="J162" s="10">
        <f t="shared" si="40"/>
        <v>1.3333333333333333</v>
      </c>
      <c r="K162" s="12">
        <f t="shared" ca="1" si="41"/>
        <v>1.3326666666666662</v>
      </c>
      <c r="L162" s="5">
        <f t="shared" ca="1" si="42"/>
        <v>5.00000000000278E-4</v>
      </c>
      <c r="N162">
        <f t="shared" ca="1" si="43"/>
        <v>10.991999999999997</v>
      </c>
      <c r="O162">
        <f t="shared" ca="1" si="44"/>
        <v>1.0164880000000001E-3</v>
      </c>
      <c r="P162">
        <f t="shared" ca="1" si="45"/>
        <v>1.0002747999999999</v>
      </c>
      <c r="Q162">
        <f t="shared" ca="1" si="46"/>
        <v>1.3320161161357635</v>
      </c>
      <c r="R162">
        <f t="shared" ca="1" si="47"/>
        <v>7104.0859527240718</v>
      </c>
      <c r="S162">
        <f t="shared" ca="1" si="48"/>
        <v>2.5185785637267188</v>
      </c>
      <c r="T162">
        <f t="shared" ca="1" si="49"/>
        <v>0</v>
      </c>
      <c r="U162">
        <f t="shared" ca="1" si="50"/>
        <v>7107</v>
      </c>
      <c r="V162">
        <f t="shared" ca="1" si="51"/>
        <v>1.3325625000000001</v>
      </c>
      <c r="X162">
        <f t="shared" ca="1" si="52"/>
        <v>1.3311802036800289</v>
      </c>
    </row>
    <row r="163" spans="5:24" x14ac:dyDescent="0.25">
      <c r="E163">
        <v>161</v>
      </c>
      <c r="F163">
        <f t="shared" si="36"/>
        <v>36.1</v>
      </c>
      <c r="G163">
        <f t="shared" ca="1" si="37"/>
        <v>36.108000000000004</v>
      </c>
      <c r="H163" s="5">
        <f t="shared" ca="1" si="38"/>
        <v>8.0000000000026716E-3</v>
      </c>
      <c r="I163" s="5">
        <f t="shared" ca="1" si="39"/>
        <v>2.2160664819951997E-4</v>
      </c>
      <c r="J163" s="10">
        <f t="shared" si="40"/>
        <v>1.3416666666666666</v>
      </c>
      <c r="K163" s="12">
        <f t="shared" ca="1" si="41"/>
        <v>1.3423333333333336</v>
      </c>
      <c r="L163" s="5">
        <f t="shared" ca="1" si="42"/>
        <v>4.9689440993816447E-4</v>
      </c>
      <c r="N163">
        <f t="shared" ca="1" si="43"/>
        <v>11.108000000000004</v>
      </c>
      <c r="O163">
        <f t="shared" ca="1" si="44"/>
        <v>1.016662E-3</v>
      </c>
      <c r="P163">
        <f t="shared" ca="1" si="45"/>
        <v>1.0002777</v>
      </c>
      <c r="Q163">
        <f t="shared" ca="1" si="46"/>
        <v>1.3416891549729628</v>
      </c>
      <c r="R163">
        <f t="shared" ca="1" si="47"/>
        <v>7155.6754931891346</v>
      </c>
      <c r="S163">
        <f t="shared" ca="1" si="48"/>
        <v>2.5339178178277106</v>
      </c>
      <c r="T163">
        <f t="shared" ca="1" si="49"/>
        <v>3</v>
      </c>
      <c r="U163">
        <f t="shared" ca="1" si="50"/>
        <v>7161</v>
      </c>
      <c r="V163">
        <f t="shared" ca="1" si="51"/>
        <v>1.3426875</v>
      </c>
      <c r="X163">
        <f t="shared" ca="1" si="52"/>
        <v>1.3412983594455818</v>
      </c>
    </row>
    <row r="164" spans="5:24" x14ac:dyDescent="0.25">
      <c r="E164">
        <v>162</v>
      </c>
      <c r="F164">
        <f t="shared" si="36"/>
        <v>36.200000000000003</v>
      </c>
      <c r="G164">
        <f t="shared" ca="1" si="37"/>
        <v>36.208000000000006</v>
      </c>
      <c r="H164" s="5">
        <f t="shared" ca="1" si="38"/>
        <v>8.0000000000026716E-3</v>
      </c>
      <c r="I164" s="5">
        <f t="shared" ca="1" si="39"/>
        <v>2.2099447513819533E-4</v>
      </c>
      <c r="J164" s="10">
        <f t="shared" si="40"/>
        <v>1.3499999999999999</v>
      </c>
      <c r="K164" s="12">
        <f t="shared" ca="1" si="41"/>
        <v>1.3506666666666669</v>
      </c>
      <c r="L164" s="5">
        <f t="shared" ca="1" si="42"/>
        <v>4.938271604941018E-4</v>
      </c>
      <c r="N164">
        <f t="shared" ca="1" si="43"/>
        <v>11.208000000000006</v>
      </c>
      <c r="O164">
        <f t="shared" ca="1" si="44"/>
        <v>1.016812E-3</v>
      </c>
      <c r="P164">
        <f t="shared" ca="1" si="45"/>
        <v>1.0002802</v>
      </c>
      <c r="Q164">
        <f t="shared" ca="1" si="46"/>
        <v>1.3500280265559443</v>
      </c>
      <c r="R164">
        <f t="shared" ca="1" si="47"/>
        <v>7200.1494749650365</v>
      </c>
      <c r="S164">
        <f t="shared" ca="1" si="48"/>
        <v>2.5470916441329434</v>
      </c>
      <c r="T164">
        <f t="shared" ca="1" si="49"/>
        <v>-1</v>
      </c>
      <c r="U164">
        <f t="shared" ca="1" si="50"/>
        <v>7202</v>
      </c>
      <c r="V164">
        <f t="shared" ca="1" si="51"/>
        <v>1.3503750000000001</v>
      </c>
      <c r="X164">
        <f t="shared" ca="1" si="52"/>
        <v>1.3489802037469103</v>
      </c>
    </row>
    <row r="165" spans="5:24" x14ac:dyDescent="0.25">
      <c r="E165">
        <v>163</v>
      </c>
      <c r="F165">
        <f t="shared" si="36"/>
        <v>36.299999999999997</v>
      </c>
      <c r="G165">
        <f t="shared" ca="1" si="37"/>
        <v>36.296999999999997</v>
      </c>
      <c r="H165" s="5">
        <f t="shared" ca="1" si="38"/>
        <v>3.0000000000001137E-3</v>
      </c>
      <c r="I165" s="5">
        <f t="shared" ca="1" si="39"/>
        <v>8.264462809917669E-5</v>
      </c>
      <c r="J165" s="10">
        <f t="shared" si="40"/>
        <v>1.3583333333333327</v>
      </c>
      <c r="K165" s="12">
        <f t="shared" ca="1" si="41"/>
        <v>1.3580833333333329</v>
      </c>
      <c r="L165" s="5">
        <f t="shared" ca="1" si="42"/>
        <v>1.840490797544993E-4</v>
      </c>
      <c r="N165">
        <f t="shared" ca="1" si="43"/>
        <v>11.296999999999997</v>
      </c>
      <c r="O165">
        <f t="shared" ca="1" si="44"/>
        <v>1.0169455E-3</v>
      </c>
      <c r="P165">
        <f t="shared" ca="1" si="45"/>
        <v>1.000282425</v>
      </c>
      <c r="Q165">
        <f t="shared" ca="1" si="46"/>
        <v>1.3574496573079167</v>
      </c>
      <c r="R165">
        <f t="shared" ca="1" si="47"/>
        <v>7239.7315056422221</v>
      </c>
      <c r="S165">
        <f t="shared" ca="1" si="48"/>
        <v>2.5587774646779926</v>
      </c>
      <c r="T165">
        <f t="shared" ca="1" si="49"/>
        <v>-1</v>
      </c>
      <c r="U165">
        <f t="shared" ca="1" si="50"/>
        <v>7241</v>
      </c>
      <c r="V165">
        <f t="shared" ca="1" si="51"/>
        <v>1.3576874999999999</v>
      </c>
      <c r="X165">
        <f t="shared" ca="1" si="52"/>
        <v>1.3562875050014001</v>
      </c>
    </row>
    <row r="166" spans="5:24" x14ac:dyDescent="0.25">
      <c r="E166">
        <v>164</v>
      </c>
      <c r="F166">
        <f t="shared" si="36"/>
        <v>36.400000000000006</v>
      </c>
      <c r="G166">
        <f t="shared" ca="1" si="37"/>
        <v>36.392000000000003</v>
      </c>
      <c r="H166" s="5">
        <f t="shared" ca="1" si="38"/>
        <v>8.0000000000026716E-3</v>
      </c>
      <c r="I166" s="5">
        <f t="shared" ca="1" si="39"/>
        <v>2.1978021978029315E-4</v>
      </c>
      <c r="J166" s="10">
        <f t="shared" si="40"/>
        <v>1.3666666666666669</v>
      </c>
      <c r="K166" s="12">
        <f t="shared" ca="1" si="41"/>
        <v>1.3659999999999999</v>
      </c>
      <c r="L166" s="5">
        <f t="shared" ca="1" si="42"/>
        <v>4.8780487804905159E-4</v>
      </c>
      <c r="N166">
        <f t="shared" ca="1" si="43"/>
        <v>11.392000000000003</v>
      </c>
      <c r="O166">
        <f t="shared" ca="1" si="44"/>
        <v>1.017088E-3</v>
      </c>
      <c r="P166">
        <f t="shared" ca="1" si="45"/>
        <v>1.0002848</v>
      </c>
      <c r="Q166">
        <f t="shared" ca="1" si="46"/>
        <v>1.3653716591333374</v>
      </c>
      <c r="R166">
        <f t="shared" ca="1" si="47"/>
        <v>7281.9821820444658</v>
      </c>
      <c r="S166">
        <f t="shared" ca="1" si="48"/>
        <v>2.5712104869860055</v>
      </c>
      <c r="T166">
        <f t="shared" ca="1" si="49"/>
        <v>1</v>
      </c>
      <c r="U166">
        <f t="shared" ca="1" si="50"/>
        <v>7286</v>
      </c>
      <c r="V166">
        <f t="shared" ca="1" si="51"/>
        <v>1.366125</v>
      </c>
      <c r="X166">
        <f t="shared" ca="1" si="52"/>
        <v>1.3647192399604593</v>
      </c>
    </row>
    <row r="167" spans="5:24" x14ac:dyDescent="0.25">
      <c r="E167">
        <v>165</v>
      </c>
      <c r="F167">
        <f t="shared" si="36"/>
        <v>36.5</v>
      </c>
      <c r="G167">
        <f t="shared" ca="1" si="37"/>
        <v>36.49</v>
      </c>
      <c r="H167" s="5">
        <f t="shared" ca="1" si="38"/>
        <v>9.9999999999980105E-3</v>
      </c>
      <c r="I167" s="5">
        <f t="shared" ca="1" si="39"/>
        <v>2.7397260273967153E-4</v>
      </c>
      <c r="J167" s="10">
        <f t="shared" si="40"/>
        <v>1.3749999999999998</v>
      </c>
      <c r="K167" s="12">
        <f t="shared" ca="1" si="41"/>
        <v>1.3741666666666668</v>
      </c>
      <c r="L167" s="5">
        <f t="shared" ca="1" si="42"/>
        <v>6.0606060606037794E-4</v>
      </c>
      <c r="N167">
        <f t="shared" ca="1" si="43"/>
        <v>11.490000000000002</v>
      </c>
      <c r="O167">
        <f t="shared" ca="1" si="44"/>
        <v>1.017235E-3</v>
      </c>
      <c r="P167">
        <f t="shared" ca="1" si="45"/>
        <v>1.00028725</v>
      </c>
      <c r="Q167">
        <f t="shared" ca="1" si="46"/>
        <v>1.373543868840913</v>
      </c>
      <c r="R167">
        <f t="shared" ca="1" si="47"/>
        <v>7325.5673004848686</v>
      </c>
      <c r="S167">
        <f t="shared" ca="1" si="48"/>
        <v>2.5839919813531638</v>
      </c>
      <c r="T167">
        <f t="shared" ca="1" si="49"/>
        <v>-1</v>
      </c>
      <c r="U167">
        <f t="shared" ca="1" si="50"/>
        <v>7327</v>
      </c>
      <c r="V167">
        <f t="shared" ca="1" si="51"/>
        <v>1.3738125000000001</v>
      </c>
      <c r="X167">
        <f t="shared" ca="1" si="52"/>
        <v>1.3724010428004558</v>
      </c>
    </row>
    <row r="168" spans="5:24" x14ac:dyDescent="0.25">
      <c r="E168">
        <v>166</v>
      </c>
      <c r="F168">
        <f t="shared" si="36"/>
        <v>36.6</v>
      </c>
      <c r="G168">
        <f t="shared" ca="1" si="37"/>
        <v>36.606000000000002</v>
      </c>
      <c r="H168" s="5">
        <f t="shared" ca="1" si="38"/>
        <v>6.0000000000002274E-3</v>
      </c>
      <c r="I168" s="5">
        <f t="shared" ca="1" si="39"/>
        <v>1.639344262295144E-4</v>
      </c>
      <c r="J168" s="10">
        <f t="shared" si="40"/>
        <v>1.3833333333333331</v>
      </c>
      <c r="K168" s="12">
        <f t="shared" ca="1" si="41"/>
        <v>1.3838333333333332</v>
      </c>
      <c r="L168" s="5">
        <f t="shared" ca="1" si="42"/>
        <v>3.6144578313265091E-4</v>
      </c>
      <c r="N168">
        <f t="shared" ca="1" si="43"/>
        <v>11.606000000000002</v>
      </c>
      <c r="O168">
        <f t="shared" ca="1" si="44"/>
        <v>1.0174089999999999E-3</v>
      </c>
      <c r="P168">
        <f t="shared" ca="1" si="45"/>
        <v>1.0002901500000001</v>
      </c>
      <c r="Q168">
        <f t="shared" ca="1" si="46"/>
        <v>1.3832171483737787</v>
      </c>
      <c r="R168">
        <f t="shared" ca="1" si="47"/>
        <v>7377.1581246601527</v>
      </c>
      <c r="S168">
        <f t="shared" ca="1" si="48"/>
        <v>2.5990628481233871</v>
      </c>
      <c r="T168">
        <f t="shared" ca="1" si="49"/>
        <v>0</v>
      </c>
      <c r="U168">
        <f t="shared" ca="1" si="50"/>
        <v>7380</v>
      </c>
      <c r="V168">
        <f t="shared" ca="1" si="51"/>
        <v>1.38375</v>
      </c>
      <c r="X168">
        <f t="shared" ca="1" si="52"/>
        <v>1.3823315075130951</v>
      </c>
    </row>
    <row r="169" spans="5:24" x14ac:dyDescent="0.25">
      <c r="E169">
        <v>167</v>
      </c>
      <c r="F169">
        <f t="shared" si="36"/>
        <v>36.700000000000003</v>
      </c>
      <c r="G169">
        <f t="shared" ca="1" si="37"/>
        <v>36.696000000000005</v>
      </c>
      <c r="H169" s="5">
        <f t="shared" ca="1" si="38"/>
        <v>3.9999999999977831E-3</v>
      </c>
      <c r="I169" s="5">
        <f t="shared" ca="1" si="39"/>
        <v>1.089918256130186E-4</v>
      </c>
      <c r="J169" s="10">
        <f t="shared" si="40"/>
        <v>1.3916666666666668</v>
      </c>
      <c r="K169" s="12">
        <f t="shared" ca="1" si="41"/>
        <v>1.3913333333333335</v>
      </c>
      <c r="L169" s="5">
        <f t="shared" ca="1" si="42"/>
        <v>2.3952095808380593E-4</v>
      </c>
      <c r="N169">
        <f t="shared" ca="1" si="43"/>
        <v>11.696000000000005</v>
      </c>
      <c r="O169">
        <f t="shared" ca="1" si="44"/>
        <v>1.017544E-3</v>
      </c>
      <c r="P169">
        <f t="shared" ca="1" si="45"/>
        <v>1.0002924</v>
      </c>
      <c r="Q169">
        <f t="shared" ca="1" si="46"/>
        <v>1.3907223176701347</v>
      </c>
      <c r="R169">
        <f t="shared" ca="1" si="47"/>
        <v>7417.1856942407176</v>
      </c>
      <c r="S169">
        <f t="shared" ca="1" si="48"/>
        <v>2.6107120356929361</v>
      </c>
      <c r="T169">
        <f t="shared" ca="1" si="49"/>
        <v>-1</v>
      </c>
      <c r="U169">
        <f t="shared" ca="1" si="50"/>
        <v>7419</v>
      </c>
      <c r="V169">
        <f t="shared" ca="1" si="51"/>
        <v>1.3910625000000001</v>
      </c>
      <c r="X169">
        <f t="shared" ca="1" si="52"/>
        <v>1.3896386256658555</v>
      </c>
    </row>
    <row r="170" spans="5:24" x14ac:dyDescent="0.25">
      <c r="E170">
        <v>168</v>
      </c>
      <c r="F170">
        <f t="shared" si="36"/>
        <v>36.799999999999997</v>
      </c>
      <c r="G170">
        <f t="shared" ca="1" si="37"/>
        <v>36.802999999999997</v>
      </c>
      <c r="H170" s="5">
        <f t="shared" ca="1" si="38"/>
        <v>3.0000000000001137E-3</v>
      </c>
      <c r="I170" s="5">
        <f t="shared" ca="1" si="39"/>
        <v>8.1521739130437879E-5</v>
      </c>
      <c r="J170" s="10">
        <f t="shared" si="40"/>
        <v>1.3999999999999997</v>
      </c>
      <c r="K170" s="12">
        <f t="shared" ca="1" si="41"/>
        <v>1.4002499999999996</v>
      </c>
      <c r="L170" s="5">
        <f t="shared" ca="1" si="42"/>
        <v>1.7857142857132964E-4</v>
      </c>
      <c r="N170">
        <f t="shared" ca="1" si="43"/>
        <v>11.802999999999997</v>
      </c>
      <c r="O170">
        <f t="shared" ca="1" si="44"/>
        <v>1.0177045000000001E-3</v>
      </c>
      <c r="P170">
        <f t="shared" ca="1" si="45"/>
        <v>1.0002950749999999</v>
      </c>
      <c r="Q170">
        <f t="shared" ca="1" si="46"/>
        <v>1.3996451739695941</v>
      </c>
      <c r="R170">
        <f t="shared" ca="1" si="47"/>
        <v>7464.7742611711683</v>
      </c>
      <c r="S170">
        <f t="shared" ca="1" si="48"/>
        <v>2.6245116512821465</v>
      </c>
      <c r="T170">
        <f t="shared" ca="1" si="49"/>
        <v>1</v>
      </c>
      <c r="U170">
        <f t="shared" ca="1" si="50"/>
        <v>7468</v>
      </c>
      <c r="V170">
        <f t="shared" ca="1" si="51"/>
        <v>1.40025</v>
      </c>
      <c r="X170">
        <f t="shared" ca="1" si="52"/>
        <v>1.3988195388245814</v>
      </c>
    </row>
    <row r="171" spans="5:24" x14ac:dyDescent="0.25">
      <c r="E171">
        <v>169</v>
      </c>
      <c r="F171">
        <f t="shared" si="36"/>
        <v>36.900000000000006</v>
      </c>
      <c r="G171">
        <f t="shared" ca="1" si="37"/>
        <v>36.902000000000008</v>
      </c>
      <c r="H171" s="5">
        <f t="shared" ca="1" si="38"/>
        <v>2.0000000000024443E-3</v>
      </c>
      <c r="I171" s="5">
        <f t="shared" ca="1" si="39"/>
        <v>5.4200542005486285E-5</v>
      </c>
      <c r="J171" s="10">
        <f t="shared" si="40"/>
        <v>1.4083333333333334</v>
      </c>
      <c r="K171" s="12">
        <f t="shared" ca="1" si="41"/>
        <v>1.4085000000000003</v>
      </c>
      <c r="L171" s="5">
        <f t="shared" ca="1" si="42"/>
        <v>1.1834319526641681E-4</v>
      </c>
      <c r="N171">
        <f t="shared" ca="1" si="43"/>
        <v>11.902000000000008</v>
      </c>
      <c r="O171">
        <f t="shared" ca="1" si="44"/>
        <v>1.017853E-3</v>
      </c>
      <c r="P171">
        <f t="shared" ca="1" si="45"/>
        <v>1.00029755</v>
      </c>
      <c r="Q171">
        <f t="shared" ca="1" si="46"/>
        <v>1.4079009433128402</v>
      </c>
      <c r="R171">
        <f t="shared" ca="1" si="47"/>
        <v>7508.8050310018143</v>
      </c>
      <c r="S171">
        <f t="shared" ca="1" si="48"/>
        <v>2.6372309332146946</v>
      </c>
      <c r="T171">
        <f t="shared" ca="1" si="49"/>
        <v>-1</v>
      </c>
      <c r="U171">
        <f t="shared" ca="1" si="50"/>
        <v>7510</v>
      </c>
      <c r="V171">
        <f t="shared" ca="1" si="51"/>
        <v>1.4081250000000001</v>
      </c>
      <c r="X171">
        <f t="shared" ca="1" si="52"/>
        <v>1.4066885868109944</v>
      </c>
    </row>
    <row r="172" spans="5:24" x14ac:dyDescent="0.25">
      <c r="E172">
        <v>170</v>
      </c>
      <c r="F172">
        <f t="shared" si="36"/>
        <v>37</v>
      </c>
      <c r="G172">
        <f t="shared" ca="1" si="37"/>
        <v>37.003</v>
      </c>
      <c r="H172" s="5">
        <f t="shared" ca="1" si="38"/>
        <v>3.0000000000001137E-3</v>
      </c>
      <c r="I172" s="5">
        <f t="shared" ca="1" si="39"/>
        <v>8.1081081081084153E-5</v>
      </c>
      <c r="J172" s="10">
        <f t="shared" si="40"/>
        <v>1.4166666666666663</v>
      </c>
      <c r="K172" s="12">
        <f t="shared" ca="1" si="41"/>
        <v>1.4169166666666666</v>
      </c>
      <c r="L172" s="5">
        <f t="shared" ca="1" si="42"/>
        <v>1.7647058823550983E-4</v>
      </c>
      <c r="N172">
        <f t="shared" ca="1" si="43"/>
        <v>12.003</v>
      </c>
      <c r="O172">
        <f t="shared" ca="1" si="44"/>
        <v>1.0180045E-3</v>
      </c>
      <c r="P172">
        <f t="shared" ca="1" si="45"/>
        <v>1.000300075</v>
      </c>
      <c r="Q172">
        <f t="shared" ca="1" si="46"/>
        <v>1.4163235379577164</v>
      </c>
      <c r="R172">
        <f t="shared" ca="1" si="47"/>
        <v>7553.7255357744871</v>
      </c>
      <c r="S172">
        <f t="shared" ca="1" si="48"/>
        <v>2.6501588036336328</v>
      </c>
      <c r="T172">
        <f t="shared" ca="1" si="49"/>
        <v>3</v>
      </c>
      <c r="U172">
        <f t="shared" ca="1" si="50"/>
        <v>7559</v>
      </c>
      <c r="V172">
        <f t="shared" ca="1" si="51"/>
        <v>1.4173125</v>
      </c>
      <c r="X172">
        <f t="shared" ca="1" si="52"/>
        <v>1.4158696284212517</v>
      </c>
    </row>
    <row r="173" spans="5:24" x14ac:dyDescent="0.25">
      <c r="E173">
        <v>171</v>
      </c>
      <c r="F173">
        <f t="shared" si="36"/>
        <v>37.1</v>
      </c>
      <c r="G173">
        <f t="shared" ca="1" si="37"/>
        <v>37.106999999999999</v>
      </c>
      <c r="H173" s="5">
        <f t="shared" ca="1" si="38"/>
        <v>6.9999999999978968E-3</v>
      </c>
      <c r="I173" s="5">
        <f t="shared" ca="1" si="39"/>
        <v>1.8867924528296218E-4</v>
      </c>
      <c r="J173" s="10">
        <f t="shared" si="40"/>
        <v>1.425</v>
      </c>
      <c r="K173" s="12">
        <f t="shared" ca="1" si="41"/>
        <v>1.4255833333333332</v>
      </c>
      <c r="L173" s="5">
        <f t="shared" ca="1" si="42"/>
        <v>4.0935672514607582E-4</v>
      </c>
      <c r="N173">
        <f t="shared" ca="1" si="43"/>
        <v>12.106999999999999</v>
      </c>
      <c r="O173">
        <f t="shared" ca="1" si="44"/>
        <v>1.0181605000000001E-3</v>
      </c>
      <c r="P173">
        <f t="shared" ca="1" si="45"/>
        <v>1.0003026749999999</v>
      </c>
      <c r="Q173">
        <f t="shared" ca="1" si="46"/>
        <v>1.4249963530970204</v>
      </c>
      <c r="R173">
        <f t="shared" ca="1" si="47"/>
        <v>7599.9805498507758</v>
      </c>
      <c r="S173">
        <f t="shared" ca="1" si="48"/>
        <v>2.663419369617186</v>
      </c>
      <c r="T173">
        <f t="shared" ca="1" si="49"/>
        <v>-1</v>
      </c>
      <c r="U173">
        <f t="shared" ca="1" si="50"/>
        <v>7602</v>
      </c>
      <c r="V173">
        <f t="shared" ca="1" si="51"/>
        <v>1.4253750000000001</v>
      </c>
      <c r="X173">
        <f t="shared" ca="1" si="52"/>
        <v>1.4239258527425214</v>
      </c>
    </row>
    <row r="174" spans="5:24" x14ac:dyDescent="0.25">
      <c r="E174">
        <v>172</v>
      </c>
      <c r="F174">
        <f t="shared" si="36"/>
        <v>37.200000000000003</v>
      </c>
      <c r="G174">
        <f t="shared" ca="1" si="37"/>
        <v>37.190000000000005</v>
      </c>
      <c r="H174" s="5">
        <f t="shared" ca="1" si="38"/>
        <v>9.9999999999980105E-3</v>
      </c>
      <c r="I174" s="5">
        <f t="shared" ca="1" si="39"/>
        <v>2.6881720430102176E-4</v>
      </c>
      <c r="J174" s="10">
        <f t="shared" si="40"/>
        <v>1.4333333333333333</v>
      </c>
      <c r="K174" s="12">
        <f t="shared" ca="1" si="41"/>
        <v>1.4325000000000003</v>
      </c>
      <c r="L174" s="5">
        <f t="shared" ca="1" si="42"/>
        <v>5.8139534883699039E-4</v>
      </c>
      <c r="N174">
        <f t="shared" ca="1" si="43"/>
        <v>12.190000000000005</v>
      </c>
      <c r="O174">
        <f t="shared" ca="1" si="44"/>
        <v>1.0182850000000001E-3</v>
      </c>
      <c r="P174">
        <f t="shared" ca="1" si="45"/>
        <v>1.00030475</v>
      </c>
      <c r="Q174">
        <f t="shared" ca="1" si="46"/>
        <v>1.4319179590526465</v>
      </c>
      <c r="R174">
        <f t="shared" ca="1" si="47"/>
        <v>7636.8957816141146</v>
      </c>
      <c r="S174">
        <f t="shared" ca="1" si="48"/>
        <v>2.6739648011048485</v>
      </c>
      <c r="T174">
        <f t="shared" ca="1" si="49"/>
        <v>0</v>
      </c>
      <c r="U174">
        <f t="shared" ca="1" si="50"/>
        <v>7640</v>
      </c>
      <c r="V174">
        <f t="shared" ca="1" si="51"/>
        <v>1.4325000000000001</v>
      </c>
      <c r="X174">
        <f t="shared" ca="1" si="52"/>
        <v>1.4310456038522261</v>
      </c>
    </row>
    <row r="175" spans="5:24" x14ac:dyDescent="0.25">
      <c r="E175">
        <v>173</v>
      </c>
      <c r="F175">
        <f t="shared" si="36"/>
        <v>37.299999999999997</v>
      </c>
      <c r="G175">
        <f t="shared" ca="1" si="37"/>
        <v>37.296999999999997</v>
      </c>
      <c r="H175" s="5">
        <f t="shared" ca="1" si="38"/>
        <v>3.0000000000001137E-3</v>
      </c>
      <c r="I175" s="5">
        <f t="shared" ca="1" si="39"/>
        <v>8.0428954423595545E-5</v>
      </c>
      <c r="J175" s="10">
        <f t="shared" si="40"/>
        <v>1.4416666666666662</v>
      </c>
      <c r="K175" s="12">
        <f t="shared" ca="1" si="41"/>
        <v>1.4414166666666663</v>
      </c>
      <c r="L175" s="5">
        <f t="shared" ca="1" si="42"/>
        <v>1.7341040462418139E-4</v>
      </c>
      <c r="N175">
        <f t="shared" ca="1" si="43"/>
        <v>12.296999999999997</v>
      </c>
      <c r="O175">
        <f t="shared" ca="1" si="44"/>
        <v>1.0184454999999999E-3</v>
      </c>
      <c r="P175">
        <f t="shared" ca="1" si="45"/>
        <v>1.0003074249999999</v>
      </c>
      <c r="Q175">
        <f t="shared" ca="1" si="46"/>
        <v>1.4408410355898085</v>
      </c>
      <c r="R175">
        <f t="shared" ca="1" si="47"/>
        <v>7684.4855231456449</v>
      </c>
      <c r="S175">
        <f t="shared" ca="1" si="48"/>
        <v>2.6875101377297295</v>
      </c>
      <c r="T175">
        <f t="shared" ca="1" si="49"/>
        <v>1</v>
      </c>
      <c r="U175">
        <f t="shared" ca="1" si="50"/>
        <v>7688</v>
      </c>
      <c r="V175">
        <f t="shared" ca="1" si="51"/>
        <v>1.4415</v>
      </c>
      <c r="X175">
        <f t="shared" ca="1" si="52"/>
        <v>1.4400388505563679</v>
      </c>
    </row>
    <row r="176" spans="5:24" x14ac:dyDescent="0.25">
      <c r="E176">
        <v>174</v>
      </c>
      <c r="F176">
        <f t="shared" si="36"/>
        <v>37.400000000000006</v>
      </c>
      <c r="G176">
        <f t="shared" ca="1" si="37"/>
        <v>37.392000000000003</v>
      </c>
      <c r="H176" s="5">
        <f t="shared" ca="1" si="38"/>
        <v>8.0000000000026716E-3</v>
      </c>
      <c r="I176" s="5">
        <f t="shared" ca="1" si="39"/>
        <v>2.1390374331557943E-4</v>
      </c>
      <c r="J176" s="10">
        <f t="shared" si="40"/>
        <v>1.4500000000000004</v>
      </c>
      <c r="K176" s="12">
        <f t="shared" ca="1" si="41"/>
        <v>1.4493333333333334</v>
      </c>
      <c r="L176" s="5">
        <f t="shared" ca="1" si="42"/>
        <v>4.5977011494278426E-4</v>
      </c>
      <c r="N176">
        <f t="shared" ca="1" si="43"/>
        <v>12.392000000000003</v>
      </c>
      <c r="O176">
        <f t="shared" ca="1" si="44"/>
        <v>1.018588E-3</v>
      </c>
      <c r="P176">
        <f t="shared" ca="1" si="45"/>
        <v>1.0003097999999999</v>
      </c>
      <c r="Q176">
        <f t="shared" ca="1" si="46"/>
        <v>1.4487634332414374</v>
      </c>
      <c r="R176">
        <f t="shared" ca="1" si="47"/>
        <v>7726.7383106209991</v>
      </c>
      <c r="S176">
        <f t="shared" ca="1" si="48"/>
        <v>2.6994895532317393</v>
      </c>
      <c r="T176">
        <f t="shared" ca="1" si="49"/>
        <v>-2</v>
      </c>
      <c r="U176">
        <f t="shared" ca="1" si="50"/>
        <v>7727</v>
      </c>
      <c r="V176">
        <f t="shared" ca="1" si="51"/>
        <v>1.4488125000000001</v>
      </c>
      <c r="X176">
        <f t="shared" ca="1" si="52"/>
        <v>1.4473455243565545</v>
      </c>
    </row>
    <row r="177" spans="5:24" x14ac:dyDescent="0.25">
      <c r="E177">
        <v>175</v>
      </c>
      <c r="F177">
        <f t="shared" si="36"/>
        <v>37.5</v>
      </c>
      <c r="G177">
        <f t="shared" ca="1" si="37"/>
        <v>37.503</v>
      </c>
      <c r="H177" s="5">
        <f t="shared" ca="1" si="38"/>
        <v>3.0000000000001137E-3</v>
      </c>
      <c r="I177" s="5">
        <f t="shared" ca="1" si="39"/>
        <v>8.0000000000003029E-5</v>
      </c>
      <c r="J177" s="10">
        <f t="shared" si="40"/>
        <v>1.4583333333333333</v>
      </c>
      <c r="K177" s="12">
        <f t="shared" ca="1" si="41"/>
        <v>1.4585833333333331</v>
      </c>
      <c r="L177" s="5">
        <f t="shared" ca="1" si="42"/>
        <v>1.7142857142847642E-4</v>
      </c>
      <c r="N177">
        <f t="shared" ca="1" si="43"/>
        <v>12.503</v>
      </c>
      <c r="O177">
        <f t="shared" ca="1" si="44"/>
        <v>1.0187544999999999E-3</v>
      </c>
      <c r="P177">
        <f t="shared" ca="1" si="45"/>
        <v>1.0003125749999999</v>
      </c>
      <c r="Q177">
        <f t="shared" ca="1" si="46"/>
        <v>1.458020177081562</v>
      </c>
      <c r="R177">
        <f t="shared" ca="1" si="47"/>
        <v>7776.1076111016637</v>
      </c>
      <c r="S177">
        <f t="shared" ca="1" si="48"/>
        <v>2.7134304938293297</v>
      </c>
      <c r="T177">
        <f t="shared" ca="1" si="49"/>
        <v>-1</v>
      </c>
      <c r="U177">
        <f t="shared" ca="1" si="50"/>
        <v>7778</v>
      </c>
      <c r="V177">
        <f t="shared" ca="1" si="51"/>
        <v>1.458375</v>
      </c>
      <c r="X177">
        <f t="shared" ca="1" si="52"/>
        <v>1.4569008547153375</v>
      </c>
    </row>
    <row r="178" spans="5:24" x14ac:dyDescent="0.25">
      <c r="E178">
        <v>176</v>
      </c>
      <c r="F178">
        <f t="shared" si="36"/>
        <v>37.6</v>
      </c>
      <c r="G178">
        <f t="shared" ca="1" si="37"/>
        <v>37.594000000000001</v>
      </c>
      <c r="H178" s="5">
        <f t="shared" ca="1" si="38"/>
        <v>6.0000000000002274E-3</v>
      </c>
      <c r="I178" s="5">
        <f t="shared" ca="1" si="39"/>
        <v>1.5957446808511242E-4</v>
      </c>
      <c r="J178" s="10">
        <f t="shared" si="40"/>
        <v>1.4666666666666666</v>
      </c>
      <c r="K178" s="12">
        <f t="shared" ca="1" si="41"/>
        <v>1.4661666666666664</v>
      </c>
      <c r="L178" s="5">
        <f t="shared" ca="1" si="42"/>
        <v>3.4090909090920478E-4</v>
      </c>
      <c r="N178">
        <f t="shared" ca="1" si="43"/>
        <v>12.594000000000001</v>
      </c>
      <c r="O178">
        <f t="shared" ca="1" si="44"/>
        <v>1.0188910000000001E-3</v>
      </c>
      <c r="P178">
        <f t="shared" ca="1" si="45"/>
        <v>1.0003148500000001</v>
      </c>
      <c r="Q178">
        <f t="shared" ca="1" si="46"/>
        <v>1.4656090774438353</v>
      </c>
      <c r="R178">
        <f t="shared" ca="1" si="47"/>
        <v>7816.581746367121</v>
      </c>
      <c r="S178">
        <f t="shared" ca="1" si="48"/>
        <v>2.7248142775336994</v>
      </c>
      <c r="T178">
        <f t="shared" ca="1" si="49"/>
        <v>2</v>
      </c>
      <c r="U178">
        <f t="shared" ca="1" si="50"/>
        <v>7821</v>
      </c>
      <c r="V178">
        <f t="shared" ca="1" si="51"/>
        <v>1.4664375000000001</v>
      </c>
      <c r="X178">
        <f t="shared" ca="1" si="52"/>
        <v>1.4649573671729457</v>
      </c>
    </row>
    <row r="179" spans="5:24" x14ac:dyDescent="0.25">
      <c r="E179">
        <v>177</v>
      </c>
      <c r="F179">
        <f t="shared" si="36"/>
        <v>37.700000000000003</v>
      </c>
      <c r="G179">
        <f t="shared" ca="1" si="37"/>
        <v>37.709000000000003</v>
      </c>
      <c r="H179" s="5">
        <f t="shared" ca="1" si="38"/>
        <v>9.0000000000003411E-3</v>
      </c>
      <c r="I179" s="5">
        <f t="shared" ca="1" si="39"/>
        <v>2.387267904509374E-4</v>
      </c>
      <c r="J179" s="10">
        <f t="shared" si="40"/>
        <v>1.4749999999999999</v>
      </c>
      <c r="K179" s="12">
        <f t="shared" ca="1" si="41"/>
        <v>1.4757499999999999</v>
      </c>
      <c r="L179" s="5">
        <f t="shared" ca="1" si="42"/>
        <v>5.0847457627120575E-4</v>
      </c>
      <c r="N179">
        <f t="shared" ca="1" si="43"/>
        <v>12.709000000000003</v>
      </c>
      <c r="O179">
        <f t="shared" ca="1" si="44"/>
        <v>1.0190635000000001E-3</v>
      </c>
      <c r="P179">
        <f t="shared" ca="1" si="45"/>
        <v>1.0003177249999999</v>
      </c>
      <c r="Q179">
        <f t="shared" ca="1" si="46"/>
        <v>1.4751994953867993</v>
      </c>
      <c r="R179">
        <f t="shared" ca="1" si="47"/>
        <v>7867.7306420629293</v>
      </c>
      <c r="S179">
        <f t="shared" ca="1" si="48"/>
        <v>2.739141742650975</v>
      </c>
      <c r="T179">
        <f t="shared" ca="1" si="49"/>
        <v>3</v>
      </c>
      <c r="U179">
        <f t="shared" ca="1" si="50"/>
        <v>7873</v>
      </c>
      <c r="V179">
        <f t="shared" ca="1" si="51"/>
        <v>1.4761875</v>
      </c>
      <c r="X179">
        <f t="shared" ca="1" si="52"/>
        <v>1.4746998874782511</v>
      </c>
    </row>
    <row r="180" spans="5:24" x14ac:dyDescent="0.25">
      <c r="E180">
        <v>178</v>
      </c>
      <c r="F180">
        <f t="shared" si="36"/>
        <v>37.799999999999997</v>
      </c>
      <c r="G180">
        <f t="shared" ca="1" si="37"/>
        <v>37.792999999999999</v>
      </c>
      <c r="H180" s="5">
        <f t="shared" ca="1" si="38"/>
        <v>6.9999999999978968E-3</v>
      </c>
      <c r="I180" s="5">
        <f t="shared" ca="1" si="39"/>
        <v>1.8518518518512956E-4</v>
      </c>
      <c r="J180" s="10">
        <f t="shared" si="40"/>
        <v>1.4833333333333327</v>
      </c>
      <c r="K180" s="12">
        <f t="shared" ca="1" si="41"/>
        <v>1.4827499999999996</v>
      </c>
      <c r="L180" s="5">
        <f t="shared" ca="1" si="42"/>
        <v>3.9325842696617412E-4</v>
      </c>
      <c r="N180">
        <f t="shared" ca="1" si="43"/>
        <v>12.792999999999999</v>
      </c>
      <c r="O180">
        <f t="shared" ca="1" si="44"/>
        <v>1.0191894999999999E-3</v>
      </c>
      <c r="P180">
        <f t="shared" ca="1" si="45"/>
        <v>1.0003198250000001</v>
      </c>
      <c r="Q180">
        <f t="shared" ca="1" si="46"/>
        <v>1.4822047050564677</v>
      </c>
      <c r="R180">
        <f t="shared" ca="1" si="47"/>
        <v>7905.0917603011612</v>
      </c>
      <c r="S180">
        <f t="shared" ca="1" si="48"/>
        <v>2.7495654640665714</v>
      </c>
      <c r="T180">
        <f t="shared" ca="1" si="49"/>
        <v>-3</v>
      </c>
      <c r="U180">
        <f t="shared" ca="1" si="50"/>
        <v>7905</v>
      </c>
      <c r="V180">
        <f t="shared" ca="1" si="51"/>
        <v>1.4821875</v>
      </c>
      <c r="X180">
        <f t="shared" ca="1" si="52"/>
        <v>1.4806947473024439</v>
      </c>
    </row>
    <row r="181" spans="5:24" x14ac:dyDescent="0.25">
      <c r="E181">
        <v>179</v>
      </c>
      <c r="F181">
        <f t="shared" si="36"/>
        <v>37.900000000000006</v>
      </c>
      <c r="G181">
        <f t="shared" ca="1" si="37"/>
        <v>37.898000000000003</v>
      </c>
      <c r="H181" s="5">
        <f t="shared" ca="1" si="38"/>
        <v>2.0000000000024443E-3</v>
      </c>
      <c r="I181" s="5">
        <f t="shared" ca="1" si="39"/>
        <v>5.277044854887715E-5</v>
      </c>
      <c r="J181" s="10">
        <f t="shared" si="40"/>
        <v>1.4916666666666669</v>
      </c>
      <c r="K181" s="12">
        <f t="shared" ca="1" si="41"/>
        <v>1.4915</v>
      </c>
      <c r="L181" s="5">
        <f t="shared" ca="1" si="42"/>
        <v>1.1173184357555552E-4</v>
      </c>
      <c r="N181">
        <f t="shared" ca="1" si="43"/>
        <v>12.898000000000003</v>
      </c>
      <c r="O181">
        <f t="shared" ca="1" si="44"/>
        <v>1.0193470000000001E-3</v>
      </c>
      <c r="P181">
        <f t="shared" ca="1" si="45"/>
        <v>1.0003224500000001</v>
      </c>
      <c r="Q181">
        <f t="shared" ca="1" si="46"/>
        <v>1.4909612584865601</v>
      </c>
      <c r="R181">
        <f t="shared" ca="1" si="47"/>
        <v>7951.7933785949872</v>
      </c>
      <c r="S181">
        <f t="shared" ca="1" si="48"/>
        <v>2.76254555175775</v>
      </c>
      <c r="T181">
        <f t="shared" ca="1" si="49"/>
        <v>-2</v>
      </c>
      <c r="U181">
        <f t="shared" ca="1" si="50"/>
        <v>7953</v>
      </c>
      <c r="V181">
        <f t="shared" ca="1" si="51"/>
        <v>1.4911875000000001</v>
      </c>
      <c r="X181">
        <f t="shared" ca="1" si="52"/>
        <v>1.4896878031678686</v>
      </c>
    </row>
    <row r="182" spans="5:24" x14ac:dyDescent="0.25">
      <c r="E182">
        <v>180</v>
      </c>
      <c r="F182">
        <f t="shared" si="36"/>
        <v>38</v>
      </c>
      <c r="G182">
        <f t="shared" ca="1" si="37"/>
        <v>38.006</v>
      </c>
      <c r="H182" s="5">
        <f t="shared" ca="1" si="38"/>
        <v>6.0000000000002274E-3</v>
      </c>
      <c r="I182" s="5">
        <f t="shared" ca="1" si="39"/>
        <v>1.5789473684211126E-4</v>
      </c>
      <c r="J182" s="10">
        <f t="shared" si="40"/>
        <v>1.4999999999999998</v>
      </c>
      <c r="K182" s="12">
        <f t="shared" ca="1" si="41"/>
        <v>1.5004999999999999</v>
      </c>
      <c r="L182" s="5">
        <f t="shared" ca="1" si="42"/>
        <v>3.3333333333344472E-4</v>
      </c>
      <c r="N182">
        <f t="shared" ca="1" si="43"/>
        <v>13.006</v>
      </c>
      <c r="O182">
        <f t="shared" ca="1" si="44"/>
        <v>1.019509E-3</v>
      </c>
      <c r="P182">
        <f t="shared" ca="1" si="45"/>
        <v>1.0003251500000001</v>
      </c>
      <c r="Q182">
        <f t="shared" ca="1" si="46"/>
        <v>1.4999680470816488</v>
      </c>
      <c r="R182">
        <f t="shared" ca="1" si="47"/>
        <v>7999.8295844354598</v>
      </c>
      <c r="S182">
        <f t="shared" ca="1" si="48"/>
        <v>2.7758387884678593</v>
      </c>
      <c r="T182">
        <f t="shared" ca="1" si="49"/>
        <v>0</v>
      </c>
      <c r="U182">
        <f t="shared" ca="1" si="50"/>
        <v>8003</v>
      </c>
      <c r="V182">
        <f t="shared" ca="1" si="51"/>
        <v>1.5005625</v>
      </c>
      <c r="X182">
        <f t="shared" ca="1" si="52"/>
        <v>1.4990555730804127</v>
      </c>
    </row>
    <row r="183" spans="5:24" x14ac:dyDescent="0.25">
      <c r="E183">
        <v>181</v>
      </c>
      <c r="F183">
        <f t="shared" si="36"/>
        <v>38.1</v>
      </c>
      <c r="G183">
        <f t="shared" ca="1" si="37"/>
        <v>38.091000000000001</v>
      </c>
      <c r="H183" s="5">
        <f t="shared" ca="1" si="38"/>
        <v>9.0000000000003411E-3</v>
      </c>
      <c r="I183" s="5">
        <f t="shared" ca="1" si="39"/>
        <v>2.3622047244095383E-4</v>
      </c>
      <c r="J183" s="10">
        <f t="shared" si="40"/>
        <v>1.5083333333333331</v>
      </c>
      <c r="K183" s="12">
        <f t="shared" ca="1" si="41"/>
        <v>1.5075833333333331</v>
      </c>
      <c r="L183" s="5">
        <f t="shared" ca="1" si="42"/>
        <v>4.9723756906079239E-4</v>
      </c>
      <c r="N183">
        <f t="shared" ca="1" si="43"/>
        <v>13.091000000000001</v>
      </c>
      <c r="O183">
        <f t="shared" ca="1" si="44"/>
        <v>1.0196364999999999E-3</v>
      </c>
      <c r="P183">
        <f t="shared" ca="1" si="45"/>
        <v>1.0003272750000001</v>
      </c>
      <c r="Q183">
        <f t="shared" ca="1" si="46"/>
        <v>1.5070567574672145</v>
      </c>
      <c r="R183">
        <f t="shared" ca="1" si="47"/>
        <v>8037.6360398251436</v>
      </c>
      <c r="S183">
        <f t="shared" ca="1" si="48"/>
        <v>2.7862597195093599</v>
      </c>
      <c r="T183">
        <f t="shared" ca="1" si="49"/>
        <v>-3</v>
      </c>
      <c r="U183">
        <f t="shared" ca="1" si="50"/>
        <v>8037</v>
      </c>
      <c r="V183">
        <f t="shared" ca="1" si="51"/>
        <v>1.5069375</v>
      </c>
      <c r="X183">
        <f t="shared" ca="1" si="52"/>
        <v>1.5054251754756962</v>
      </c>
    </row>
    <row r="184" spans="5:24" x14ac:dyDescent="0.25">
      <c r="E184">
        <v>182</v>
      </c>
      <c r="F184">
        <f t="shared" si="36"/>
        <v>38.200000000000003</v>
      </c>
      <c r="G184">
        <f t="shared" ca="1" si="37"/>
        <v>38.191000000000003</v>
      </c>
      <c r="H184" s="5">
        <f t="shared" ca="1" si="38"/>
        <v>9.0000000000003411E-3</v>
      </c>
      <c r="I184" s="5">
        <f t="shared" ca="1" si="39"/>
        <v>2.3560209424084661E-4</v>
      </c>
      <c r="J184" s="10">
        <f t="shared" si="40"/>
        <v>1.5166666666666668</v>
      </c>
      <c r="K184" s="12">
        <f t="shared" ca="1" si="41"/>
        <v>1.5159166666666668</v>
      </c>
      <c r="L184" s="5">
        <f t="shared" ca="1" si="42"/>
        <v>4.9450549450551315E-4</v>
      </c>
      <c r="N184">
        <f t="shared" ca="1" si="43"/>
        <v>13.191000000000003</v>
      </c>
      <c r="O184">
        <f t="shared" ca="1" si="44"/>
        <v>1.0197865000000001E-3</v>
      </c>
      <c r="P184">
        <f t="shared" ca="1" si="45"/>
        <v>1.000329775</v>
      </c>
      <c r="Q184">
        <f t="shared" ca="1" si="46"/>
        <v>1.5153964552853239</v>
      </c>
      <c r="R184">
        <f t="shared" ca="1" si="47"/>
        <v>8082.1144281883935</v>
      </c>
      <c r="S184">
        <f t="shared" ca="1" si="48"/>
        <v>2.7984728185410961</v>
      </c>
      <c r="T184">
        <f t="shared" ca="1" si="49"/>
        <v>-1</v>
      </c>
      <c r="U184">
        <f t="shared" ca="1" si="50"/>
        <v>8084</v>
      </c>
      <c r="V184">
        <f t="shared" ca="1" si="51"/>
        <v>1.5157499999999999</v>
      </c>
      <c r="X184">
        <f t="shared" ca="1" si="52"/>
        <v>1.5142308580187969</v>
      </c>
    </row>
    <row r="185" spans="5:24" x14ac:dyDescent="0.25">
      <c r="E185">
        <v>183</v>
      </c>
      <c r="F185">
        <f t="shared" si="36"/>
        <v>38.299999999999997</v>
      </c>
      <c r="G185">
        <f t="shared" ca="1" si="37"/>
        <v>38.293999999999997</v>
      </c>
      <c r="H185" s="5">
        <f t="shared" ca="1" si="38"/>
        <v>6.0000000000002274E-3</v>
      </c>
      <c r="I185" s="5">
        <f t="shared" ca="1" si="39"/>
        <v>1.5665796344648114E-4</v>
      </c>
      <c r="J185" s="10">
        <f t="shared" si="40"/>
        <v>1.5249999999999997</v>
      </c>
      <c r="K185" s="12">
        <f t="shared" ca="1" si="41"/>
        <v>1.5244999999999995</v>
      </c>
      <c r="L185" s="5">
        <f t="shared" ca="1" si="42"/>
        <v>3.2786885245912595E-4</v>
      </c>
      <c r="N185">
        <f t="shared" ca="1" si="43"/>
        <v>13.293999999999997</v>
      </c>
      <c r="O185">
        <f t="shared" ca="1" si="44"/>
        <v>1.0199410000000001E-3</v>
      </c>
      <c r="P185">
        <f t="shared" ca="1" si="45"/>
        <v>1.0003323500000001</v>
      </c>
      <c r="Q185">
        <f t="shared" ca="1" si="46"/>
        <v>1.5239863875976083</v>
      </c>
      <c r="R185">
        <f t="shared" ca="1" si="47"/>
        <v>8127.9274005205771</v>
      </c>
      <c r="S185">
        <f t="shared" ca="1" si="48"/>
        <v>2.8109991703845774</v>
      </c>
      <c r="T185">
        <f t="shared" ca="1" si="49"/>
        <v>2</v>
      </c>
      <c r="U185">
        <f t="shared" ca="1" si="50"/>
        <v>8133</v>
      </c>
      <c r="V185">
        <f t="shared" ca="1" si="51"/>
        <v>1.5249375000000001</v>
      </c>
      <c r="X185">
        <f t="shared" ca="1" si="52"/>
        <v>1.5234112532699755</v>
      </c>
    </row>
    <row r="186" spans="5:24" x14ac:dyDescent="0.25">
      <c r="E186">
        <v>184</v>
      </c>
      <c r="F186">
        <f t="shared" si="36"/>
        <v>38.400000000000006</v>
      </c>
      <c r="G186">
        <f t="shared" ca="1" si="37"/>
        <v>38.404000000000003</v>
      </c>
      <c r="H186" s="5">
        <f t="shared" ca="1" si="38"/>
        <v>3.9999999999977831E-3</v>
      </c>
      <c r="I186" s="5">
        <f t="shared" ca="1" si="39"/>
        <v>1.0416666666660893E-4</v>
      </c>
      <c r="J186" s="10">
        <f t="shared" si="40"/>
        <v>1.5333333333333334</v>
      </c>
      <c r="K186" s="12">
        <f t="shared" ca="1" si="41"/>
        <v>1.5336666666666667</v>
      </c>
      <c r="L186" s="5">
        <f t="shared" ca="1" si="42"/>
        <v>2.1739130434780213E-4</v>
      </c>
      <c r="N186">
        <f t="shared" ca="1" si="43"/>
        <v>13.404000000000003</v>
      </c>
      <c r="O186">
        <f t="shared" ca="1" si="44"/>
        <v>1.020106E-3</v>
      </c>
      <c r="P186">
        <f t="shared" ca="1" si="45"/>
        <v>1.0003351</v>
      </c>
      <c r="Q186">
        <f t="shared" ca="1" si="46"/>
        <v>1.5331601505291463</v>
      </c>
      <c r="R186">
        <f t="shared" ca="1" si="47"/>
        <v>8176.8541361554471</v>
      </c>
      <c r="S186">
        <f t="shared" ca="1" si="48"/>
        <v>2.8243170092087921</v>
      </c>
      <c r="T186">
        <f t="shared" ca="1" si="49"/>
        <v>1</v>
      </c>
      <c r="U186">
        <f t="shared" ca="1" si="50"/>
        <v>8181</v>
      </c>
      <c r="V186">
        <f t="shared" ca="1" si="51"/>
        <v>1.5339375</v>
      </c>
      <c r="X186">
        <f t="shared" ca="1" si="52"/>
        <v>1.5324038854579831</v>
      </c>
    </row>
    <row r="187" spans="5:24" x14ac:dyDescent="0.25">
      <c r="E187">
        <v>185</v>
      </c>
      <c r="F187">
        <f t="shared" si="36"/>
        <v>38.5</v>
      </c>
      <c r="G187">
        <f t="shared" ca="1" si="37"/>
        <v>38.503999999999998</v>
      </c>
      <c r="H187" s="5">
        <f t="shared" ca="1" si="38"/>
        <v>3.9999999999977831E-3</v>
      </c>
      <c r="I187" s="5">
        <f t="shared" ca="1" si="39"/>
        <v>1.0389610389604632E-4</v>
      </c>
      <c r="J187" s="10">
        <f t="shared" si="40"/>
        <v>1.5416666666666663</v>
      </c>
      <c r="K187" s="12">
        <f t="shared" ca="1" si="41"/>
        <v>1.5419999999999996</v>
      </c>
      <c r="L187" s="5">
        <f t="shared" ca="1" si="42"/>
        <v>2.1621621621619244E-4</v>
      </c>
      <c r="N187">
        <f t="shared" ca="1" si="43"/>
        <v>13.503999999999998</v>
      </c>
      <c r="O187">
        <f t="shared" ca="1" si="44"/>
        <v>1.020256E-3</v>
      </c>
      <c r="P187">
        <f t="shared" ca="1" si="45"/>
        <v>1.0003375999999999</v>
      </c>
      <c r="Q187">
        <f t="shared" ca="1" si="46"/>
        <v>1.5414999787615737</v>
      </c>
      <c r="R187">
        <f t="shared" ca="1" si="47"/>
        <v>8221.333220061726</v>
      </c>
      <c r="S187">
        <f t="shared" ca="1" si="48"/>
        <v>2.8363702788548331</v>
      </c>
      <c r="T187">
        <f t="shared" ca="1" si="49"/>
        <v>2</v>
      </c>
      <c r="U187">
        <f t="shared" ca="1" si="50"/>
        <v>8226</v>
      </c>
      <c r="V187">
        <f t="shared" ca="1" si="51"/>
        <v>1.5423750000000001</v>
      </c>
      <c r="X187">
        <f t="shared" ca="1" si="52"/>
        <v>1.5408345582531338</v>
      </c>
    </row>
    <row r="188" spans="5:24" x14ac:dyDescent="0.25">
      <c r="E188">
        <v>186</v>
      </c>
      <c r="F188">
        <f t="shared" si="36"/>
        <v>38.6</v>
      </c>
      <c r="G188">
        <f t="shared" ca="1" si="37"/>
        <v>38.590000000000003</v>
      </c>
      <c r="H188" s="5">
        <f t="shared" ca="1" si="38"/>
        <v>9.9999999999980105E-3</v>
      </c>
      <c r="I188" s="5">
        <f t="shared" ca="1" si="39"/>
        <v>2.590673575129018E-4</v>
      </c>
      <c r="J188" s="10">
        <f t="shared" si="40"/>
        <v>1.55</v>
      </c>
      <c r="K188" s="12">
        <f t="shared" ca="1" si="41"/>
        <v>1.5491666666666666</v>
      </c>
      <c r="L188" s="5">
        <f t="shared" ca="1" si="42"/>
        <v>5.3763440860223456E-4</v>
      </c>
      <c r="N188">
        <f t="shared" ca="1" si="43"/>
        <v>13.590000000000003</v>
      </c>
      <c r="O188">
        <f t="shared" ca="1" si="44"/>
        <v>1.020385E-3</v>
      </c>
      <c r="P188">
        <f t="shared" ca="1" si="45"/>
        <v>1.00033975</v>
      </c>
      <c r="Q188">
        <f t="shared" ca="1" si="46"/>
        <v>1.5486722643658628</v>
      </c>
      <c r="R188">
        <f t="shared" ca="1" si="47"/>
        <v>8259.585409951269</v>
      </c>
      <c r="S188">
        <f t="shared" ca="1" si="48"/>
        <v>2.8466948938194805</v>
      </c>
      <c r="T188">
        <f t="shared" ca="1" si="49"/>
        <v>-1</v>
      </c>
      <c r="U188">
        <f t="shared" ca="1" si="50"/>
        <v>8261</v>
      </c>
      <c r="V188">
        <f t="shared" ca="1" si="51"/>
        <v>1.5489375000000001</v>
      </c>
      <c r="X188">
        <f t="shared" ca="1" si="52"/>
        <v>1.5473913887756636</v>
      </c>
    </row>
    <row r="189" spans="5:24" x14ac:dyDescent="0.25">
      <c r="E189">
        <v>187</v>
      </c>
      <c r="F189">
        <f t="shared" si="36"/>
        <v>38.700000000000003</v>
      </c>
      <c r="G189">
        <f t="shared" ca="1" si="37"/>
        <v>38.694000000000003</v>
      </c>
      <c r="H189" s="5">
        <f t="shared" ca="1" si="38"/>
        <v>6.0000000000002274E-3</v>
      </c>
      <c r="I189" s="5">
        <f t="shared" ca="1" si="39"/>
        <v>1.5503875968992834E-4</v>
      </c>
      <c r="J189" s="10">
        <f t="shared" si="40"/>
        <v>1.5583333333333333</v>
      </c>
      <c r="K189" s="12">
        <f t="shared" ca="1" si="41"/>
        <v>1.5578333333333332</v>
      </c>
      <c r="L189" s="5">
        <f t="shared" ca="1" si="42"/>
        <v>3.208556149733692E-4</v>
      </c>
      <c r="N189">
        <f t="shared" ca="1" si="43"/>
        <v>13.694000000000003</v>
      </c>
      <c r="O189">
        <f t="shared" ca="1" si="44"/>
        <v>1.020541E-3</v>
      </c>
      <c r="P189">
        <f t="shared" ca="1" si="45"/>
        <v>1.0003423499999999</v>
      </c>
      <c r="Q189">
        <f t="shared" ca="1" si="46"/>
        <v>1.5573457671927884</v>
      </c>
      <c r="R189">
        <f t="shared" ca="1" si="47"/>
        <v>8305.8440916948712</v>
      </c>
      <c r="S189">
        <f t="shared" ca="1" si="48"/>
        <v>2.8591293745351125</v>
      </c>
      <c r="T189">
        <f t="shared" ca="1" si="49"/>
        <v>-1</v>
      </c>
      <c r="U189">
        <f t="shared" ca="1" si="50"/>
        <v>8308</v>
      </c>
      <c r="V189">
        <f t="shared" ca="1" si="51"/>
        <v>1.55775</v>
      </c>
      <c r="X189">
        <f t="shared" ca="1" si="52"/>
        <v>1.5561966950614459</v>
      </c>
    </row>
    <row r="190" spans="5:24" x14ac:dyDescent="0.25">
      <c r="E190">
        <v>188</v>
      </c>
      <c r="F190">
        <f t="shared" si="36"/>
        <v>38.799999999999997</v>
      </c>
      <c r="G190">
        <f t="shared" ca="1" si="37"/>
        <v>38.808</v>
      </c>
      <c r="H190" s="5">
        <f t="shared" ca="1" si="38"/>
        <v>8.0000000000026716E-3</v>
      </c>
      <c r="I190" s="5">
        <f t="shared" ca="1" si="39"/>
        <v>2.0618556701037816E-4</v>
      </c>
      <c r="J190" s="10">
        <f t="shared" si="40"/>
        <v>1.5666666666666662</v>
      </c>
      <c r="K190" s="12">
        <f t="shared" ca="1" si="41"/>
        <v>1.5673333333333332</v>
      </c>
      <c r="L190" s="5">
        <f t="shared" ca="1" si="42"/>
        <v>4.2553191489385375E-4</v>
      </c>
      <c r="N190">
        <f t="shared" ca="1" si="43"/>
        <v>13.808</v>
      </c>
      <c r="O190">
        <f t="shared" ca="1" si="44"/>
        <v>1.020712E-3</v>
      </c>
      <c r="P190">
        <f t="shared" ca="1" si="45"/>
        <v>1.0003451999999999</v>
      </c>
      <c r="Q190">
        <f t="shared" ca="1" si="46"/>
        <v>1.5668533124502173</v>
      </c>
      <c r="R190">
        <f t="shared" ca="1" si="47"/>
        <v>8356.5509997344925</v>
      </c>
      <c r="S190">
        <f t="shared" ca="1" si="48"/>
        <v>2.8726949354298732</v>
      </c>
      <c r="T190">
        <f t="shared" ca="1" si="49"/>
        <v>1</v>
      </c>
      <c r="U190">
        <f t="shared" ca="1" si="50"/>
        <v>8360</v>
      </c>
      <c r="V190">
        <f t="shared" ca="1" si="51"/>
        <v>1.5675000000000001</v>
      </c>
      <c r="X190">
        <f t="shared" ca="1" si="52"/>
        <v>1.5659387259518016</v>
      </c>
    </row>
    <row r="191" spans="5:24" x14ac:dyDescent="0.25">
      <c r="E191">
        <v>189</v>
      </c>
      <c r="F191">
        <f t="shared" si="36"/>
        <v>38.900000000000006</v>
      </c>
      <c r="G191">
        <f t="shared" ca="1" si="37"/>
        <v>38.894000000000005</v>
      </c>
      <c r="H191" s="5">
        <f t="shared" ca="1" si="38"/>
        <v>6.0000000000002274E-3</v>
      </c>
      <c r="I191" s="5">
        <f t="shared" ca="1" si="39"/>
        <v>1.5424164524422177E-4</v>
      </c>
      <c r="J191" s="10">
        <f t="shared" si="40"/>
        <v>1.5750000000000004</v>
      </c>
      <c r="K191" s="12">
        <f t="shared" ca="1" si="41"/>
        <v>1.5745000000000002</v>
      </c>
      <c r="L191" s="5">
        <f t="shared" ca="1" si="42"/>
        <v>3.1746031746042339E-4</v>
      </c>
      <c r="N191">
        <f t="shared" ca="1" si="43"/>
        <v>13.894000000000005</v>
      </c>
      <c r="O191">
        <f t="shared" ca="1" si="44"/>
        <v>1.020841E-3</v>
      </c>
      <c r="P191">
        <f t="shared" ca="1" si="45"/>
        <v>1.00034735</v>
      </c>
      <c r="Q191">
        <f t="shared" ca="1" si="46"/>
        <v>1.5740257069858787</v>
      </c>
      <c r="R191">
        <f t="shared" ca="1" si="47"/>
        <v>8394.8037705913539</v>
      </c>
      <c r="S191">
        <f t="shared" ca="1" si="48"/>
        <v>2.8828837448647802</v>
      </c>
      <c r="T191">
        <f t="shared" ca="1" si="49"/>
        <v>-1</v>
      </c>
      <c r="U191">
        <f t="shared" ca="1" si="50"/>
        <v>8397</v>
      </c>
      <c r="V191">
        <f t="shared" ca="1" si="51"/>
        <v>1.5744374999999999</v>
      </c>
      <c r="X191">
        <f t="shared" ca="1" si="52"/>
        <v>1.5728703224934817</v>
      </c>
    </row>
    <row r="192" spans="5:24" x14ac:dyDescent="0.25">
      <c r="E192">
        <v>190</v>
      </c>
      <c r="F192">
        <f t="shared" si="36"/>
        <v>39</v>
      </c>
      <c r="G192">
        <f t="shared" ca="1" si="37"/>
        <v>38.991</v>
      </c>
      <c r="H192" s="5">
        <f t="shared" ca="1" si="38"/>
        <v>9.0000000000003411E-3</v>
      </c>
      <c r="I192" s="5">
        <f t="shared" ca="1" si="39"/>
        <v>2.3076923076923952E-4</v>
      </c>
      <c r="J192" s="10">
        <f t="shared" si="40"/>
        <v>1.5833333333333333</v>
      </c>
      <c r="K192" s="12">
        <f t="shared" ca="1" si="41"/>
        <v>1.5825833333333332</v>
      </c>
      <c r="L192" s="5">
        <f t="shared" ca="1" si="42"/>
        <v>4.7368421052633377E-4</v>
      </c>
      <c r="N192">
        <f t="shared" ca="1" si="43"/>
        <v>13.991</v>
      </c>
      <c r="O192">
        <f t="shared" ca="1" si="44"/>
        <v>1.0209864999999999E-3</v>
      </c>
      <c r="P192">
        <f t="shared" ca="1" si="45"/>
        <v>1.0003497750000001</v>
      </c>
      <c r="Q192">
        <f t="shared" ca="1" si="46"/>
        <v>1.582115537803197</v>
      </c>
      <c r="R192">
        <f t="shared" ca="1" si="47"/>
        <v>8437.9495349503832</v>
      </c>
      <c r="S192">
        <f t="shared" ca="1" si="48"/>
        <v>2.8943292877002902</v>
      </c>
      <c r="T192">
        <f t="shared" ca="1" si="49"/>
        <v>1</v>
      </c>
      <c r="U192">
        <f t="shared" ca="1" si="50"/>
        <v>8442</v>
      </c>
      <c r="V192">
        <f t="shared" ca="1" si="51"/>
        <v>1.582875</v>
      </c>
      <c r="X192">
        <f t="shared" ca="1" si="52"/>
        <v>1.5813009139728151</v>
      </c>
    </row>
    <row r="193" spans="5:24" x14ac:dyDescent="0.25">
      <c r="E193">
        <v>191</v>
      </c>
      <c r="F193">
        <f t="shared" si="36"/>
        <v>39.1</v>
      </c>
      <c r="G193">
        <f t="shared" ca="1" si="37"/>
        <v>39.109000000000002</v>
      </c>
      <c r="H193" s="5">
        <f t="shared" ca="1" si="38"/>
        <v>9.0000000000003411E-3</v>
      </c>
      <c r="I193" s="5">
        <f t="shared" ca="1" si="39"/>
        <v>2.3017902813300104E-4</v>
      </c>
      <c r="J193" s="10">
        <f t="shared" si="40"/>
        <v>1.5916666666666666</v>
      </c>
      <c r="K193" s="12">
        <f t="shared" ca="1" si="41"/>
        <v>1.5924166666666666</v>
      </c>
      <c r="L193" s="5">
        <f t="shared" ca="1" si="42"/>
        <v>4.7120418848169328E-4</v>
      </c>
      <c r="N193">
        <f t="shared" ca="1" si="43"/>
        <v>14.109000000000002</v>
      </c>
      <c r="O193">
        <f t="shared" ca="1" si="44"/>
        <v>1.0211635E-3</v>
      </c>
      <c r="P193">
        <f t="shared" ca="1" si="45"/>
        <v>1.0003527249999999</v>
      </c>
      <c r="Q193">
        <f t="shared" ca="1" si="46"/>
        <v>1.591956828145521</v>
      </c>
      <c r="R193">
        <f t="shared" ca="1" si="47"/>
        <v>8490.4364167761123</v>
      </c>
      <c r="S193">
        <f t="shared" ca="1" si="48"/>
        <v>2.9081860184623385</v>
      </c>
      <c r="T193">
        <f t="shared" ca="1" si="49"/>
        <v>-2</v>
      </c>
      <c r="U193">
        <f t="shared" ca="1" si="50"/>
        <v>8491</v>
      </c>
      <c r="V193">
        <f t="shared" ca="1" si="51"/>
        <v>1.5920624999999999</v>
      </c>
      <c r="X193">
        <f t="shared" ca="1" si="52"/>
        <v>1.5904803343240757</v>
      </c>
    </row>
    <row r="194" spans="5:24" x14ac:dyDescent="0.25">
      <c r="E194">
        <v>192</v>
      </c>
      <c r="F194">
        <f t="shared" si="36"/>
        <v>39.200000000000003</v>
      </c>
      <c r="G194">
        <f t="shared" ca="1" si="37"/>
        <v>39.206000000000003</v>
      </c>
      <c r="H194" s="5">
        <f t="shared" ca="1" si="38"/>
        <v>6.0000000000002274E-3</v>
      </c>
      <c r="I194" s="5">
        <f t="shared" ca="1" si="39"/>
        <v>1.5306122448980171E-4</v>
      </c>
      <c r="J194" s="10">
        <f t="shared" si="40"/>
        <v>1.5999999999999999</v>
      </c>
      <c r="K194" s="12">
        <f t="shared" ca="1" si="41"/>
        <v>1.6005</v>
      </c>
      <c r="L194" s="5">
        <f t="shared" ca="1" si="42"/>
        <v>3.1250000000010436E-4</v>
      </c>
      <c r="N194">
        <f t="shared" ca="1" si="43"/>
        <v>14.206000000000003</v>
      </c>
      <c r="O194">
        <f t="shared" ca="1" si="44"/>
        <v>1.021309E-3</v>
      </c>
      <c r="P194">
        <f t="shared" ca="1" si="45"/>
        <v>1.0003551500000001</v>
      </c>
      <c r="Q194">
        <f t="shared" ca="1" si="46"/>
        <v>1.6000467458571088</v>
      </c>
      <c r="R194">
        <f t="shared" ca="1" si="47"/>
        <v>8533.5826445712464</v>
      </c>
      <c r="S194">
        <f t="shared" ca="1" si="48"/>
        <v>2.9195216479864974</v>
      </c>
      <c r="T194">
        <f t="shared" ca="1" si="49"/>
        <v>-2</v>
      </c>
      <c r="U194">
        <f t="shared" ca="1" si="50"/>
        <v>8535</v>
      </c>
      <c r="V194">
        <f t="shared" ca="1" si="51"/>
        <v>1.6003125</v>
      </c>
      <c r="X194">
        <f t="shared" ca="1" si="52"/>
        <v>1.5987234043829333</v>
      </c>
    </row>
    <row r="195" spans="5:24" x14ac:dyDescent="0.25">
      <c r="E195">
        <v>193</v>
      </c>
      <c r="F195">
        <f t="shared" ref="F195:F258" si="53">0.1*E195+20</f>
        <v>39.299999999999997</v>
      </c>
      <c r="G195">
        <f t="shared" ref="G195:G258" ca="1" si="54">F195+(RANDBETWEEN(-10,10)/100)*0.1</f>
        <v>39.291999999999994</v>
      </c>
      <c r="H195" s="5">
        <f t="shared" ref="H195:H258" ca="1" si="55">ABS(F195-G195)</f>
        <v>8.0000000000026716E-3</v>
      </c>
      <c r="I195" s="5">
        <f t="shared" ref="I195:I258" ca="1" si="56">ABS(F195-G195)/F195</f>
        <v>2.0356234096698911E-4</v>
      </c>
      <c r="J195" s="10">
        <f t="shared" ref="J195:J258" si="57">1/12*F195-5/3</f>
        <v>1.6083333333333327</v>
      </c>
      <c r="K195" s="12">
        <f t="shared" ref="K195:K258" ca="1" si="58">(1/12*G195-5/3) + J195*RANDBETWEEN($B$2,$C$2)</f>
        <v>1.6076666666666661</v>
      </c>
      <c r="L195" s="5">
        <f t="shared" ref="L195:L258" ca="1" si="59">IF(J195=0, ABS(J195-K195), ABS(J195-K195)/J195)</f>
        <v>4.1450777202067991E-4</v>
      </c>
      <c r="N195">
        <f t="shared" ref="N195:N258" ca="1" si="60">G195-$B$29</f>
        <v>14.291999999999994</v>
      </c>
      <c r="O195">
        <f t="shared" ref="O195:O258" ca="1" si="61">0.001 + 0.0000015*N195</f>
        <v>1.0214379999999999E-3</v>
      </c>
      <c r="P195">
        <f t="shared" ref="P195:P258" ca="1" si="62">1 + 0.000025*N195</f>
        <v>1.0003572999999999</v>
      </c>
      <c r="Q195">
        <f t="shared" ref="Q195:Q258" ca="1" si="63">(K195-O195)*P195</f>
        <v>1.6072192830068686</v>
      </c>
      <c r="R195">
        <f t="shared" ref="R195:R258" ca="1" si="64">Q195*32768/6.144</f>
        <v>8571.8361760366315</v>
      </c>
      <c r="S195">
        <f t="shared" ref="S195:S258" ca="1" si="65">4*SIN(PI()*R195/32768)</f>
        <v>2.9295300651130627</v>
      </c>
      <c r="T195">
        <f t="shared" ref="T195:T258" ca="1" si="66">RANDBETWEEN(-1*$B$15,1*$B$15)</f>
        <v>-3</v>
      </c>
      <c r="U195">
        <f t="shared" ref="U195:U258" ca="1" si="67">ROUND(R195+S195+T195,0)</f>
        <v>8572</v>
      </c>
      <c r="V195">
        <f t="shared" ref="V195:V258" ca="1" si="68">U195*6.144/32768</f>
        <v>1.6072500000000001</v>
      </c>
      <c r="X195">
        <f t="shared" ref="X195:X258" ca="1" si="69">(U195*6.144/32768 -O195)/P195</f>
        <v>1.60565486151798</v>
      </c>
    </row>
    <row r="196" spans="5:24" x14ac:dyDescent="0.25">
      <c r="E196">
        <v>194</v>
      </c>
      <c r="F196">
        <f t="shared" si="53"/>
        <v>39.400000000000006</v>
      </c>
      <c r="G196">
        <f t="shared" ca="1" si="54"/>
        <v>39.397000000000006</v>
      </c>
      <c r="H196" s="5">
        <f t="shared" ca="1" si="55"/>
        <v>3.0000000000001137E-3</v>
      </c>
      <c r="I196" s="5">
        <f t="shared" ca="1" si="56"/>
        <v>7.6142131979698306E-5</v>
      </c>
      <c r="J196" s="10">
        <f t="shared" si="57"/>
        <v>1.6166666666666669</v>
      </c>
      <c r="K196" s="12">
        <f t="shared" ca="1" si="58"/>
        <v>1.6164166666666671</v>
      </c>
      <c r="L196" s="5">
        <f t="shared" ca="1" si="59"/>
        <v>1.5463917525764624E-4</v>
      </c>
      <c r="N196">
        <f t="shared" ca="1" si="60"/>
        <v>14.397000000000006</v>
      </c>
      <c r="O196">
        <f t="shared" ca="1" si="61"/>
        <v>1.0215955000000001E-3</v>
      </c>
      <c r="P196">
        <f t="shared" ca="1" si="62"/>
        <v>1.0003599249999999</v>
      </c>
      <c r="Q196">
        <f t="shared" ca="1" si="63"/>
        <v>1.6159764922376567</v>
      </c>
      <c r="R196">
        <f t="shared" ca="1" si="64"/>
        <v>8618.5412919341688</v>
      </c>
      <c r="S196">
        <f t="shared" ca="1" si="65"/>
        <v>2.9416962646952549</v>
      </c>
      <c r="T196">
        <f t="shared" ca="1" si="66"/>
        <v>1</v>
      </c>
      <c r="U196">
        <f t="shared" ca="1" si="67"/>
        <v>8622</v>
      </c>
      <c r="V196">
        <f t="shared" ca="1" si="68"/>
        <v>1.616625</v>
      </c>
      <c r="X196">
        <f t="shared" ca="1" si="69"/>
        <v>1.6150221176642998</v>
      </c>
    </row>
    <row r="197" spans="5:24" x14ac:dyDescent="0.25">
      <c r="E197">
        <v>195</v>
      </c>
      <c r="F197">
        <f t="shared" si="53"/>
        <v>39.5</v>
      </c>
      <c r="G197">
        <f t="shared" ca="1" si="54"/>
        <v>39.505000000000003</v>
      </c>
      <c r="H197" s="5">
        <f t="shared" ca="1" si="55"/>
        <v>5.000000000002558E-3</v>
      </c>
      <c r="I197" s="5">
        <f t="shared" ca="1" si="56"/>
        <v>1.2658227848107742E-4</v>
      </c>
      <c r="J197" s="10">
        <f t="shared" si="57"/>
        <v>1.6249999999999998</v>
      </c>
      <c r="K197" s="12">
        <f t="shared" ca="1" si="58"/>
        <v>1.6254166666666665</v>
      </c>
      <c r="L197" s="5">
        <f t="shared" ca="1" si="59"/>
        <v>2.5641025641029653E-4</v>
      </c>
      <c r="N197">
        <f t="shared" ca="1" si="60"/>
        <v>14.505000000000003</v>
      </c>
      <c r="O197">
        <f t="shared" ca="1" si="61"/>
        <v>1.0217575E-3</v>
      </c>
      <c r="P197">
        <f t="shared" ca="1" si="62"/>
        <v>1.0003626249999999</v>
      </c>
      <c r="Q197">
        <f t="shared" ca="1" si="63"/>
        <v>1.6249839553706029</v>
      </c>
      <c r="R197">
        <f t="shared" ca="1" si="64"/>
        <v>8666.5810953098826</v>
      </c>
      <c r="S197">
        <f t="shared" ca="1" si="65"/>
        <v>2.9541485988710106</v>
      </c>
      <c r="T197">
        <f t="shared" ca="1" si="66"/>
        <v>0</v>
      </c>
      <c r="U197">
        <f t="shared" ca="1" si="67"/>
        <v>8670</v>
      </c>
      <c r="V197">
        <f t="shared" ca="1" si="68"/>
        <v>1.6256250000000001</v>
      </c>
      <c r="X197">
        <f t="shared" ca="1" si="69"/>
        <v>1.6240143343020239</v>
      </c>
    </row>
    <row r="198" spans="5:24" x14ac:dyDescent="0.25">
      <c r="E198">
        <v>196</v>
      </c>
      <c r="F198">
        <f t="shared" si="53"/>
        <v>39.6</v>
      </c>
      <c r="G198">
        <f t="shared" ca="1" si="54"/>
        <v>39.594000000000001</v>
      </c>
      <c r="H198" s="5">
        <f t="shared" ca="1" si="55"/>
        <v>6.0000000000002274E-3</v>
      </c>
      <c r="I198" s="5">
        <f t="shared" ca="1" si="56"/>
        <v>1.5151515151515726E-4</v>
      </c>
      <c r="J198" s="10">
        <f t="shared" si="57"/>
        <v>1.6333333333333331</v>
      </c>
      <c r="K198" s="12">
        <f t="shared" ca="1" si="58"/>
        <v>1.6328333333333334</v>
      </c>
      <c r="L198" s="5">
        <f t="shared" ca="1" si="59"/>
        <v>3.061224489794222E-4</v>
      </c>
      <c r="N198">
        <f t="shared" ca="1" si="60"/>
        <v>14.594000000000001</v>
      </c>
      <c r="O198">
        <f t="shared" ca="1" si="61"/>
        <v>1.021891E-3</v>
      </c>
      <c r="P198">
        <f t="shared" ca="1" si="62"/>
        <v>1.00036485</v>
      </c>
      <c r="Q198">
        <f t="shared" ca="1" si="63"/>
        <v>1.6324068087380688</v>
      </c>
      <c r="R198">
        <f t="shared" ca="1" si="64"/>
        <v>8706.1696466030335</v>
      </c>
      <c r="S198">
        <f t="shared" ca="1" si="65"/>
        <v>2.96436320728656</v>
      </c>
      <c r="T198">
        <f t="shared" ca="1" si="66"/>
        <v>-3</v>
      </c>
      <c r="U198">
        <f t="shared" ca="1" si="67"/>
        <v>8706</v>
      </c>
      <c r="V198">
        <f t="shared" ca="1" si="68"/>
        <v>1.6323750000000001</v>
      </c>
      <c r="X198">
        <f t="shared" ca="1" si="69"/>
        <v>1.6307581268974016</v>
      </c>
    </row>
    <row r="199" spans="5:24" x14ac:dyDescent="0.25">
      <c r="E199">
        <v>197</v>
      </c>
      <c r="F199">
        <f t="shared" si="53"/>
        <v>39.700000000000003</v>
      </c>
      <c r="G199">
        <f t="shared" ca="1" si="54"/>
        <v>39.707000000000001</v>
      </c>
      <c r="H199" s="5">
        <f t="shared" ca="1" si="55"/>
        <v>6.9999999999978968E-3</v>
      </c>
      <c r="I199" s="5">
        <f t="shared" ca="1" si="56"/>
        <v>1.7632241813596717E-4</v>
      </c>
      <c r="J199" s="10">
        <f t="shared" si="57"/>
        <v>1.6416666666666668</v>
      </c>
      <c r="K199" s="12">
        <f t="shared" ca="1" si="58"/>
        <v>1.64225</v>
      </c>
      <c r="L199" s="5">
        <f t="shared" ca="1" si="59"/>
        <v>3.5532994923847188E-4</v>
      </c>
      <c r="N199">
        <f t="shared" ca="1" si="60"/>
        <v>14.707000000000001</v>
      </c>
      <c r="O199">
        <f t="shared" ca="1" si="61"/>
        <v>1.0220604999999999E-3</v>
      </c>
      <c r="P199">
        <f t="shared" ca="1" si="62"/>
        <v>1.0003676749999999</v>
      </c>
      <c r="Q199">
        <f t="shared" ca="1" si="63"/>
        <v>1.6418313779826554</v>
      </c>
      <c r="R199">
        <f t="shared" ca="1" si="64"/>
        <v>8756.4340159074964</v>
      </c>
      <c r="S199">
        <f t="shared" ca="1" si="65"/>
        <v>2.9772708324008565</v>
      </c>
      <c r="T199">
        <f t="shared" ca="1" si="66"/>
        <v>1</v>
      </c>
      <c r="U199">
        <f t="shared" ca="1" si="67"/>
        <v>8760</v>
      </c>
      <c r="V199">
        <f t="shared" ca="1" si="68"/>
        <v>1.6425000000000001</v>
      </c>
      <c r="X199">
        <f t="shared" ca="1" si="69"/>
        <v>1.6408746309200768</v>
      </c>
    </row>
    <row r="200" spans="5:24" x14ac:dyDescent="0.25">
      <c r="E200">
        <v>198</v>
      </c>
      <c r="F200">
        <f t="shared" si="53"/>
        <v>39.799999999999997</v>
      </c>
      <c r="G200">
        <f t="shared" ca="1" si="54"/>
        <v>39.796999999999997</v>
      </c>
      <c r="H200" s="5">
        <f t="shared" ca="1" si="55"/>
        <v>3.0000000000001137E-3</v>
      </c>
      <c r="I200" s="5">
        <f t="shared" ca="1" si="56"/>
        <v>7.5376884422113417E-5</v>
      </c>
      <c r="J200" s="10">
        <f t="shared" si="57"/>
        <v>1.6499999999999997</v>
      </c>
      <c r="K200" s="12">
        <f t="shared" ca="1" si="58"/>
        <v>1.6497499999999994</v>
      </c>
      <c r="L200" s="5">
        <f t="shared" ca="1" si="59"/>
        <v>1.5151515151533672E-4</v>
      </c>
      <c r="N200">
        <f t="shared" ca="1" si="60"/>
        <v>14.796999999999997</v>
      </c>
      <c r="O200">
        <f t="shared" ca="1" si="61"/>
        <v>1.0221955E-3</v>
      </c>
      <c r="P200">
        <f t="shared" ca="1" si="62"/>
        <v>1.000369925</v>
      </c>
      <c r="Q200">
        <f t="shared" ca="1" si="63"/>
        <v>1.6493377101330791</v>
      </c>
      <c r="R200">
        <f t="shared" ca="1" si="64"/>
        <v>8796.4677873764213</v>
      </c>
      <c r="S200">
        <f t="shared" ca="1" si="65"/>
        <v>2.9875018440127445</v>
      </c>
      <c r="T200">
        <f t="shared" ca="1" si="66"/>
        <v>0</v>
      </c>
      <c r="U200">
        <f t="shared" ca="1" si="67"/>
        <v>8799</v>
      </c>
      <c r="V200">
        <f t="shared" ca="1" si="68"/>
        <v>1.6498125000000001</v>
      </c>
      <c r="X200">
        <f t="shared" ca="1" si="69"/>
        <v>1.6481806012910676</v>
      </c>
    </row>
    <row r="201" spans="5:24" x14ac:dyDescent="0.25">
      <c r="E201">
        <v>199</v>
      </c>
      <c r="F201">
        <f t="shared" si="53"/>
        <v>39.900000000000006</v>
      </c>
      <c r="G201">
        <f t="shared" ca="1" si="54"/>
        <v>39.900000000000006</v>
      </c>
      <c r="H201" s="5">
        <f t="shared" ca="1" si="55"/>
        <v>0</v>
      </c>
      <c r="I201" s="5">
        <f t="shared" ca="1" si="56"/>
        <v>0</v>
      </c>
      <c r="J201" s="10">
        <f t="shared" si="57"/>
        <v>1.6583333333333334</v>
      </c>
      <c r="K201" s="12">
        <f t="shared" ca="1" si="58"/>
        <v>1.6583333333333334</v>
      </c>
      <c r="L201" s="5">
        <f t="shared" ca="1" si="59"/>
        <v>0</v>
      </c>
      <c r="N201">
        <f t="shared" ca="1" si="60"/>
        <v>14.900000000000006</v>
      </c>
      <c r="O201">
        <f t="shared" ca="1" si="61"/>
        <v>1.02235E-3</v>
      </c>
      <c r="P201">
        <f t="shared" ca="1" si="62"/>
        <v>1.0003725000000001</v>
      </c>
      <c r="Q201">
        <f t="shared" ca="1" si="63"/>
        <v>1.6579283316746254</v>
      </c>
      <c r="R201">
        <f t="shared" ca="1" si="64"/>
        <v>8842.2844355980014</v>
      </c>
      <c r="S201">
        <f t="shared" ca="1" si="65"/>
        <v>2.9991567098282781</v>
      </c>
      <c r="T201">
        <f t="shared" ca="1" si="66"/>
        <v>1</v>
      </c>
      <c r="U201">
        <f t="shared" ca="1" si="67"/>
        <v>8846</v>
      </c>
      <c r="V201">
        <f t="shared" ca="1" si="68"/>
        <v>1.658625</v>
      </c>
      <c r="X201">
        <f t="shared" ca="1" si="69"/>
        <v>1.6569854229299585</v>
      </c>
    </row>
    <row r="202" spans="5:24" x14ac:dyDescent="0.25">
      <c r="E202">
        <v>200</v>
      </c>
      <c r="F202">
        <f t="shared" si="53"/>
        <v>40</v>
      </c>
      <c r="G202">
        <f t="shared" ca="1" si="54"/>
        <v>40.003</v>
      </c>
      <c r="H202" s="5">
        <f t="shared" ca="1" si="55"/>
        <v>3.0000000000001137E-3</v>
      </c>
      <c r="I202" s="5">
        <f t="shared" ca="1" si="56"/>
        <v>7.5000000000002839E-5</v>
      </c>
      <c r="J202" s="10">
        <f t="shared" si="57"/>
        <v>1.6666666666666663</v>
      </c>
      <c r="K202" s="12">
        <f t="shared" ca="1" si="58"/>
        <v>1.6669166666666666</v>
      </c>
      <c r="L202" s="5">
        <f t="shared" ca="1" si="59"/>
        <v>1.5000000000018335E-4</v>
      </c>
      <c r="N202">
        <f t="shared" ca="1" si="60"/>
        <v>15.003</v>
      </c>
      <c r="O202">
        <f t="shared" ca="1" si="61"/>
        <v>1.0225045E-3</v>
      </c>
      <c r="P202">
        <f t="shared" ca="1" si="62"/>
        <v>1.000375075</v>
      </c>
      <c r="Q202">
        <f t="shared" ca="1" si="63"/>
        <v>1.6665189974195411</v>
      </c>
      <c r="R202">
        <f t="shared" ca="1" si="64"/>
        <v>8888.1013195708856</v>
      </c>
      <c r="S202">
        <f t="shared" ca="1" si="65"/>
        <v>3.0107537663022375</v>
      </c>
      <c r="T202">
        <f t="shared" ca="1" si="66"/>
        <v>3</v>
      </c>
      <c r="U202">
        <f t="shared" ca="1" si="67"/>
        <v>8894</v>
      </c>
      <c r="V202">
        <f t="shared" ca="1" si="68"/>
        <v>1.6676250000000001</v>
      </c>
      <c r="X202">
        <f t="shared" ca="1" si="69"/>
        <v>1.665977628940825</v>
      </c>
    </row>
    <row r="203" spans="5:24" x14ac:dyDescent="0.25">
      <c r="E203">
        <v>201</v>
      </c>
      <c r="F203">
        <f t="shared" si="53"/>
        <v>40.1</v>
      </c>
      <c r="G203">
        <f t="shared" ca="1" si="54"/>
        <v>40.094000000000001</v>
      </c>
      <c r="H203" s="5">
        <f t="shared" ca="1" si="55"/>
        <v>6.0000000000002274E-3</v>
      </c>
      <c r="I203" s="5">
        <f t="shared" ca="1" si="56"/>
        <v>1.4962593516210042E-4</v>
      </c>
      <c r="J203" s="10">
        <f t="shared" si="57"/>
        <v>1.675</v>
      </c>
      <c r="K203" s="12">
        <f t="shared" ca="1" si="58"/>
        <v>1.6744999999999999</v>
      </c>
      <c r="L203" s="5">
        <f t="shared" ca="1" si="59"/>
        <v>2.9850746268666686E-4</v>
      </c>
      <c r="N203">
        <f t="shared" ca="1" si="60"/>
        <v>15.094000000000001</v>
      </c>
      <c r="O203">
        <f t="shared" ca="1" si="61"/>
        <v>1.0226409999999999E-3</v>
      </c>
      <c r="P203">
        <f t="shared" ca="1" si="62"/>
        <v>1.0003773499999999</v>
      </c>
      <c r="Q203">
        <f t="shared" ca="1" si="63"/>
        <v>1.6741088456814184</v>
      </c>
      <c r="R203">
        <f t="shared" ca="1" si="64"/>
        <v>8928.580510300897</v>
      </c>
      <c r="S203">
        <f t="shared" ca="1" si="65"/>
        <v>3.0209514306353595</v>
      </c>
      <c r="T203">
        <f t="shared" ca="1" si="66"/>
        <v>3</v>
      </c>
      <c r="U203">
        <f t="shared" ca="1" si="67"/>
        <v>8935</v>
      </c>
      <c r="V203">
        <f t="shared" ca="1" si="68"/>
        <v>1.6753125</v>
      </c>
      <c r="X203">
        <f t="shared" ca="1" si="69"/>
        <v>1.673658304038971</v>
      </c>
    </row>
    <row r="204" spans="5:24" x14ac:dyDescent="0.25">
      <c r="E204">
        <v>202</v>
      </c>
      <c r="F204">
        <f t="shared" si="53"/>
        <v>40.200000000000003</v>
      </c>
      <c r="G204">
        <f t="shared" ca="1" si="54"/>
        <v>40.196000000000005</v>
      </c>
      <c r="H204" s="5">
        <f t="shared" ca="1" si="55"/>
        <v>3.9999999999977831E-3</v>
      </c>
      <c r="I204" s="5">
        <f t="shared" ca="1" si="56"/>
        <v>9.9502487562133906E-5</v>
      </c>
      <c r="J204" s="10">
        <f t="shared" si="57"/>
        <v>1.6833333333333333</v>
      </c>
      <c r="K204" s="12">
        <f t="shared" ca="1" si="58"/>
        <v>1.6830000000000001</v>
      </c>
      <c r="L204" s="5">
        <f t="shared" ca="1" si="59"/>
        <v>1.9801980198017621E-4</v>
      </c>
      <c r="N204">
        <f t="shared" ca="1" si="60"/>
        <v>15.196000000000005</v>
      </c>
      <c r="O204">
        <f t="shared" ca="1" si="61"/>
        <v>1.022794E-3</v>
      </c>
      <c r="P204">
        <f t="shared" ca="1" si="62"/>
        <v>1.0003799</v>
      </c>
      <c r="Q204">
        <f t="shared" ca="1" si="63"/>
        <v>1.6826161891405593</v>
      </c>
      <c r="R204">
        <f t="shared" ca="1" si="64"/>
        <v>8973.9530087496496</v>
      </c>
      <c r="S204">
        <f t="shared" ca="1" si="65"/>
        <v>3.032327745207231</v>
      </c>
      <c r="T204">
        <f t="shared" ca="1" si="66"/>
        <v>-1</v>
      </c>
      <c r="U204">
        <f t="shared" ca="1" si="67"/>
        <v>8976</v>
      </c>
      <c r="V204">
        <f t="shared" ca="1" si="68"/>
        <v>1.6830000000000001</v>
      </c>
      <c r="X204">
        <f t="shared" ca="1" si="69"/>
        <v>1.6813384655169501</v>
      </c>
    </row>
    <row r="205" spans="5:24" x14ac:dyDescent="0.25">
      <c r="E205">
        <v>203</v>
      </c>
      <c r="F205">
        <f t="shared" si="53"/>
        <v>40.299999999999997</v>
      </c>
      <c r="G205">
        <f t="shared" ca="1" si="54"/>
        <v>40.292999999999999</v>
      </c>
      <c r="H205" s="5">
        <f t="shared" ca="1" si="55"/>
        <v>6.9999999999978968E-3</v>
      </c>
      <c r="I205" s="5">
        <f t="shared" ca="1" si="56"/>
        <v>1.7369727047141184E-4</v>
      </c>
      <c r="J205" s="10">
        <f t="shared" si="57"/>
        <v>1.6916666666666662</v>
      </c>
      <c r="K205" s="12">
        <f t="shared" ca="1" si="58"/>
        <v>1.691083333333333</v>
      </c>
      <c r="L205" s="5">
        <f t="shared" ca="1" si="59"/>
        <v>3.4482758620679304E-4</v>
      </c>
      <c r="N205">
        <f t="shared" ca="1" si="60"/>
        <v>15.292999999999999</v>
      </c>
      <c r="O205">
        <f t="shared" ca="1" si="61"/>
        <v>1.0229395E-3</v>
      </c>
      <c r="P205">
        <f t="shared" ca="1" si="62"/>
        <v>1.0003823249999999</v>
      </c>
      <c r="Q205">
        <f t="shared" ca="1" si="63"/>
        <v>1.6907065461734052</v>
      </c>
      <c r="R205">
        <f t="shared" ca="1" si="64"/>
        <v>9017.1015795914936</v>
      </c>
      <c r="S205">
        <f t="shared" ca="1" si="65"/>
        <v>3.0430932240889002</v>
      </c>
      <c r="T205">
        <f t="shared" ca="1" si="66"/>
        <v>0</v>
      </c>
      <c r="U205">
        <f t="shared" ca="1" si="67"/>
        <v>9020</v>
      </c>
      <c r="V205">
        <f t="shared" ca="1" si="68"/>
        <v>1.6912500000000001</v>
      </c>
      <c r="X205">
        <f t="shared" ca="1" si="69"/>
        <v>1.6895810914092271</v>
      </c>
    </row>
    <row r="206" spans="5:24" x14ac:dyDescent="0.25">
      <c r="E206">
        <v>204</v>
      </c>
      <c r="F206">
        <f t="shared" si="53"/>
        <v>40.400000000000006</v>
      </c>
      <c r="G206">
        <f t="shared" ca="1" si="54"/>
        <v>40.402000000000008</v>
      </c>
      <c r="H206" s="5">
        <f t="shared" ca="1" si="55"/>
        <v>2.0000000000024443E-3</v>
      </c>
      <c r="I206" s="5">
        <f t="shared" ca="1" si="56"/>
        <v>4.950495049511E-5</v>
      </c>
      <c r="J206" s="10">
        <f t="shared" si="57"/>
        <v>1.7000000000000004</v>
      </c>
      <c r="K206" s="12">
        <f t="shared" ca="1" si="58"/>
        <v>1.7001666666666673</v>
      </c>
      <c r="L206" s="5">
        <f t="shared" ca="1" si="59"/>
        <v>9.803921568639431E-5</v>
      </c>
      <c r="N206">
        <f t="shared" ca="1" si="60"/>
        <v>15.402000000000008</v>
      </c>
      <c r="O206">
        <f t="shared" ca="1" si="61"/>
        <v>1.023103E-3</v>
      </c>
      <c r="P206">
        <f t="shared" ca="1" si="62"/>
        <v>1.00038505</v>
      </c>
      <c r="Q206">
        <f t="shared" ca="1" si="63"/>
        <v>1.6997978188958571</v>
      </c>
      <c r="R206">
        <f t="shared" ca="1" si="64"/>
        <v>9065.5883674445704</v>
      </c>
      <c r="S206">
        <f t="shared" ca="1" si="65"/>
        <v>3.0551284280388042</v>
      </c>
      <c r="T206">
        <f t="shared" ca="1" si="66"/>
        <v>3</v>
      </c>
      <c r="U206">
        <f t="shared" ca="1" si="67"/>
        <v>9072</v>
      </c>
      <c r="V206">
        <f t="shared" ca="1" si="68"/>
        <v>1.7010000000000001</v>
      </c>
      <c r="X206">
        <f t="shared" ca="1" si="69"/>
        <v>1.6993225728433268</v>
      </c>
    </row>
    <row r="207" spans="5:24" x14ac:dyDescent="0.25">
      <c r="E207">
        <v>205</v>
      </c>
      <c r="F207">
        <f t="shared" si="53"/>
        <v>40.5</v>
      </c>
      <c r="G207">
        <f t="shared" ca="1" si="54"/>
        <v>40.494999999999997</v>
      </c>
      <c r="H207" s="5">
        <f t="shared" ca="1" si="55"/>
        <v>5.000000000002558E-3</v>
      </c>
      <c r="I207" s="5">
        <f t="shared" ca="1" si="56"/>
        <v>1.2345679012351995E-4</v>
      </c>
      <c r="J207" s="10">
        <f t="shared" si="57"/>
        <v>1.7083333333333333</v>
      </c>
      <c r="K207" s="12">
        <f t="shared" ca="1" si="58"/>
        <v>1.7079166666666661</v>
      </c>
      <c r="L207" s="5">
        <f t="shared" ca="1" si="59"/>
        <v>2.4390243902468835E-4</v>
      </c>
      <c r="N207">
        <f t="shared" ca="1" si="60"/>
        <v>15.494999999999997</v>
      </c>
      <c r="O207">
        <f t="shared" ca="1" si="61"/>
        <v>1.0232425000000001E-3</v>
      </c>
      <c r="P207">
        <f t="shared" ca="1" si="62"/>
        <v>1.0003873750000001</v>
      </c>
      <c r="Q207">
        <f t="shared" ca="1" si="63"/>
        <v>1.7075546320068526</v>
      </c>
      <c r="R207">
        <f t="shared" ca="1" si="64"/>
        <v>9106.9580373698809</v>
      </c>
      <c r="S207">
        <f t="shared" ca="1" si="65"/>
        <v>3.0653448632553371</v>
      </c>
      <c r="T207">
        <f t="shared" ca="1" si="66"/>
        <v>-2</v>
      </c>
      <c r="U207">
        <f t="shared" ca="1" si="67"/>
        <v>9108</v>
      </c>
      <c r="V207">
        <f t="shared" ca="1" si="68"/>
        <v>1.7077500000000001</v>
      </c>
      <c r="X207">
        <f t="shared" ca="1" si="69"/>
        <v>1.7060658702335181</v>
      </c>
    </row>
    <row r="208" spans="5:24" x14ac:dyDescent="0.25">
      <c r="E208">
        <v>206</v>
      </c>
      <c r="F208">
        <f t="shared" si="53"/>
        <v>40.6</v>
      </c>
      <c r="G208">
        <f t="shared" ca="1" si="54"/>
        <v>40.596000000000004</v>
      </c>
      <c r="H208" s="5">
        <f t="shared" ca="1" si="55"/>
        <v>3.9999999999977831E-3</v>
      </c>
      <c r="I208" s="5">
        <f t="shared" ca="1" si="56"/>
        <v>9.8522167487630118E-5</v>
      </c>
      <c r="J208" s="10">
        <f t="shared" si="57"/>
        <v>1.7166666666666666</v>
      </c>
      <c r="K208" s="12">
        <f t="shared" ca="1" si="58"/>
        <v>1.7163333333333333</v>
      </c>
      <c r="L208" s="5">
        <f t="shared" ca="1" si="59"/>
        <v>1.9417475728153203E-4</v>
      </c>
      <c r="N208">
        <f t="shared" ca="1" si="60"/>
        <v>15.596000000000004</v>
      </c>
      <c r="O208">
        <f t="shared" ca="1" si="61"/>
        <v>1.023394E-3</v>
      </c>
      <c r="P208">
        <f t="shared" ca="1" si="62"/>
        <v>1.0003899000000001</v>
      </c>
      <c r="Q208">
        <f t="shared" ca="1" si="63"/>
        <v>1.7159787386786796</v>
      </c>
      <c r="R208">
        <f t="shared" ca="1" si="64"/>
        <v>9151.8866062862908</v>
      </c>
      <c r="S208">
        <f t="shared" ca="1" si="65"/>
        <v>3.0763855574703345</v>
      </c>
      <c r="T208">
        <f t="shared" ca="1" si="66"/>
        <v>1</v>
      </c>
      <c r="U208">
        <f t="shared" ca="1" si="67"/>
        <v>9156</v>
      </c>
      <c r="V208">
        <f t="shared" ca="1" si="68"/>
        <v>1.71675</v>
      </c>
      <c r="X208">
        <f t="shared" ca="1" si="69"/>
        <v>1.7150579049228705</v>
      </c>
    </row>
    <row r="209" spans="5:24" x14ac:dyDescent="0.25">
      <c r="E209">
        <v>207</v>
      </c>
      <c r="F209">
        <f t="shared" si="53"/>
        <v>40.700000000000003</v>
      </c>
      <c r="G209">
        <f t="shared" ca="1" si="54"/>
        <v>40.709000000000003</v>
      </c>
      <c r="H209" s="5">
        <f t="shared" ca="1" si="55"/>
        <v>9.0000000000003411E-3</v>
      </c>
      <c r="I209" s="5">
        <f t="shared" ca="1" si="56"/>
        <v>2.2113022113022949E-4</v>
      </c>
      <c r="J209" s="10">
        <f t="shared" si="57"/>
        <v>1.7249999999999999</v>
      </c>
      <c r="K209" s="12">
        <f t="shared" ca="1" si="58"/>
        <v>1.7257499999999999</v>
      </c>
      <c r="L209" s="5">
        <f t="shared" ca="1" si="59"/>
        <v>4.3478260869566867E-4</v>
      </c>
      <c r="N209">
        <f t="shared" ca="1" si="60"/>
        <v>15.709000000000003</v>
      </c>
      <c r="O209">
        <f t="shared" ca="1" si="61"/>
        <v>1.0235635000000001E-3</v>
      </c>
      <c r="P209">
        <f t="shared" ca="1" si="62"/>
        <v>1.000392725</v>
      </c>
      <c r="Q209">
        <f t="shared" ca="1" si="63"/>
        <v>1.7254037796897743</v>
      </c>
      <c r="R209">
        <f t="shared" ca="1" si="64"/>
        <v>9202.1534916787969</v>
      </c>
      <c r="S209">
        <f t="shared" ca="1" si="65"/>
        <v>3.0886704174958801</v>
      </c>
      <c r="T209">
        <f t="shared" ca="1" si="66"/>
        <v>0</v>
      </c>
      <c r="U209">
        <f t="shared" ca="1" si="67"/>
        <v>9205</v>
      </c>
      <c r="V209">
        <f t="shared" ca="1" si="68"/>
        <v>1.7259375000000001</v>
      </c>
      <c r="X209">
        <f t="shared" ca="1" si="69"/>
        <v>1.724236785608372</v>
      </c>
    </row>
    <row r="210" spans="5:24" x14ac:dyDescent="0.25">
      <c r="E210">
        <v>208</v>
      </c>
      <c r="F210">
        <f t="shared" si="53"/>
        <v>40.799999999999997</v>
      </c>
      <c r="G210">
        <f t="shared" ca="1" si="54"/>
        <v>40.795999999999999</v>
      </c>
      <c r="H210" s="5">
        <f t="shared" ca="1" si="55"/>
        <v>3.9999999999977831E-3</v>
      </c>
      <c r="I210" s="5">
        <f t="shared" ca="1" si="56"/>
        <v>9.8039215686220187E-5</v>
      </c>
      <c r="J210" s="10">
        <f t="shared" si="57"/>
        <v>1.7333333333333327</v>
      </c>
      <c r="K210" s="12">
        <f t="shared" ca="1" si="58"/>
        <v>1.7329999999999999</v>
      </c>
      <c r="L210" s="5">
        <f t="shared" ca="1" si="59"/>
        <v>1.92307692307415E-4</v>
      </c>
      <c r="N210">
        <f t="shared" ca="1" si="60"/>
        <v>15.795999999999999</v>
      </c>
      <c r="O210">
        <f t="shared" ca="1" si="61"/>
        <v>1.0236940000000001E-3</v>
      </c>
      <c r="P210">
        <f t="shared" ca="1" si="62"/>
        <v>1.0003949000000001</v>
      </c>
      <c r="Q210">
        <f t="shared" ca="1" si="63"/>
        <v>1.7326602634432395</v>
      </c>
      <c r="R210">
        <f t="shared" ca="1" si="64"/>
        <v>9240.8547383639434</v>
      </c>
      <c r="S210">
        <f t="shared" ca="1" si="65"/>
        <v>3.0980798581646831</v>
      </c>
      <c r="T210">
        <f t="shared" ca="1" si="66"/>
        <v>-2</v>
      </c>
      <c r="U210">
        <f t="shared" ca="1" si="67"/>
        <v>9242</v>
      </c>
      <c r="V210">
        <f t="shared" ca="1" si="68"/>
        <v>1.7328749999999999</v>
      </c>
      <c r="X210">
        <f t="shared" ca="1" si="69"/>
        <v>1.7311676678879508</v>
      </c>
    </row>
    <row r="211" spans="5:24" x14ac:dyDescent="0.25">
      <c r="E211">
        <v>209</v>
      </c>
      <c r="F211">
        <f t="shared" si="53"/>
        <v>40.900000000000006</v>
      </c>
      <c r="G211">
        <f t="shared" ca="1" si="54"/>
        <v>40.909000000000006</v>
      </c>
      <c r="H211" s="5">
        <f t="shared" ca="1" si="55"/>
        <v>9.0000000000003411E-3</v>
      </c>
      <c r="I211" s="5">
        <f t="shared" ca="1" si="56"/>
        <v>2.2004889975550952E-4</v>
      </c>
      <c r="J211" s="10">
        <f t="shared" si="57"/>
        <v>1.7416666666666669</v>
      </c>
      <c r="K211" s="12">
        <f t="shared" ca="1" si="58"/>
        <v>1.7424166666666669</v>
      </c>
      <c r="L211" s="5">
        <f t="shared" ca="1" si="59"/>
        <v>4.3062200956939424E-4</v>
      </c>
      <c r="N211">
        <f t="shared" ca="1" si="60"/>
        <v>15.909000000000006</v>
      </c>
      <c r="O211">
        <f t="shared" ca="1" si="61"/>
        <v>1.0238635E-3</v>
      </c>
      <c r="P211">
        <f t="shared" ca="1" si="62"/>
        <v>1.000397725</v>
      </c>
      <c r="Q211">
        <f t="shared" ca="1" si="63"/>
        <v>1.7420853986193066</v>
      </c>
      <c r="R211">
        <f t="shared" ca="1" si="64"/>
        <v>9291.122125969634</v>
      </c>
      <c r="S211">
        <f t="shared" ca="1" si="65"/>
        <v>3.1102376800560085</v>
      </c>
      <c r="T211">
        <f t="shared" ca="1" si="66"/>
        <v>-1</v>
      </c>
      <c r="U211">
        <f t="shared" ca="1" si="67"/>
        <v>9293</v>
      </c>
      <c r="V211">
        <f t="shared" ca="1" si="68"/>
        <v>1.7424375000000001</v>
      </c>
      <c r="X211">
        <f t="shared" ca="1" si="69"/>
        <v>1.7407213081177291</v>
      </c>
    </row>
    <row r="212" spans="5:24" x14ac:dyDescent="0.25">
      <c r="E212">
        <v>210</v>
      </c>
      <c r="F212">
        <f t="shared" si="53"/>
        <v>41</v>
      </c>
      <c r="G212">
        <f t="shared" ca="1" si="54"/>
        <v>41.01</v>
      </c>
      <c r="H212" s="5">
        <f t="shared" ca="1" si="55"/>
        <v>9.9999999999980105E-3</v>
      </c>
      <c r="I212" s="5">
        <f t="shared" ca="1" si="56"/>
        <v>2.4390243902434173E-4</v>
      </c>
      <c r="J212" s="10">
        <f t="shared" si="57"/>
        <v>1.7499999999999998</v>
      </c>
      <c r="K212" s="12">
        <f t="shared" ca="1" si="58"/>
        <v>1.7508333333333328</v>
      </c>
      <c r="L212" s="5">
        <f t="shared" ca="1" si="59"/>
        <v>4.7619047619029692E-4</v>
      </c>
      <c r="N212">
        <f t="shared" ca="1" si="60"/>
        <v>16.009999999999998</v>
      </c>
      <c r="O212">
        <f t="shared" ca="1" si="61"/>
        <v>1.0240150000000001E-3</v>
      </c>
      <c r="P212">
        <f t="shared" ca="1" si="62"/>
        <v>1.00040025</v>
      </c>
      <c r="Q212">
        <f t="shared" ca="1" si="63"/>
        <v>1.7505096795129957</v>
      </c>
      <c r="R212">
        <f t="shared" ca="1" si="64"/>
        <v>9336.0516240693105</v>
      </c>
      <c r="S212">
        <f t="shared" ca="1" si="65"/>
        <v>3.1210433335218948</v>
      </c>
      <c r="T212">
        <f t="shared" ca="1" si="66"/>
        <v>-1</v>
      </c>
      <c r="U212">
        <f t="shared" ca="1" si="67"/>
        <v>9338</v>
      </c>
      <c r="V212">
        <f t="shared" ca="1" si="68"/>
        <v>1.750875</v>
      </c>
      <c r="X212">
        <f t="shared" ca="1" si="69"/>
        <v>1.7491508873573351</v>
      </c>
    </row>
    <row r="213" spans="5:24" x14ac:dyDescent="0.25">
      <c r="E213">
        <v>211</v>
      </c>
      <c r="F213">
        <f t="shared" si="53"/>
        <v>41.1</v>
      </c>
      <c r="G213">
        <f t="shared" ca="1" si="54"/>
        <v>41.108000000000004</v>
      </c>
      <c r="H213" s="5">
        <f t="shared" ca="1" si="55"/>
        <v>8.0000000000026716E-3</v>
      </c>
      <c r="I213" s="5">
        <f t="shared" ca="1" si="56"/>
        <v>1.9464720194653702E-4</v>
      </c>
      <c r="J213" s="10">
        <f t="shared" si="57"/>
        <v>1.7583333333333331</v>
      </c>
      <c r="K213" s="12">
        <f t="shared" ca="1" si="58"/>
        <v>1.7590000000000001</v>
      </c>
      <c r="L213" s="5">
        <f t="shared" ca="1" si="59"/>
        <v>3.7914691943149049E-4</v>
      </c>
      <c r="N213">
        <f t="shared" ca="1" si="60"/>
        <v>16.108000000000004</v>
      </c>
      <c r="O213">
        <f t="shared" ca="1" si="61"/>
        <v>1.0241620000000001E-3</v>
      </c>
      <c r="P213">
        <f t="shared" ca="1" si="62"/>
        <v>1.0004027</v>
      </c>
      <c r="Q213">
        <f t="shared" ca="1" si="63"/>
        <v>1.7586837748699626</v>
      </c>
      <c r="R213">
        <f t="shared" ca="1" si="64"/>
        <v>9379.6467993064671</v>
      </c>
      <c r="S213">
        <f t="shared" ca="1" si="65"/>
        <v>3.1314727240860947</v>
      </c>
      <c r="T213">
        <f t="shared" ca="1" si="66"/>
        <v>-3</v>
      </c>
      <c r="U213">
        <f t="shared" ca="1" si="67"/>
        <v>9380</v>
      </c>
      <c r="V213">
        <f t="shared" ca="1" si="68"/>
        <v>1.75875</v>
      </c>
      <c r="X213">
        <f t="shared" ca="1" si="69"/>
        <v>1.7570182867359314</v>
      </c>
    </row>
    <row r="214" spans="5:24" x14ac:dyDescent="0.25">
      <c r="E214">
        <v>212</v>
      </c>
      <c r="F214">
        <f t="shared" si="53"/>
        <v>41.2</v>
      </c>
      <c r="G214">
        <f t="shared" ca="1" si="54"/>
        <v>41.199000000000005</v>
      </c>
      <c r="H214" s="5">
        <f t="shared" ca="1" si="55"/>
        <v>9.9999999999766942E-4</v>
      </c>
      <c r="I214" s="5">
        <f t="shared" ca="1" si="56"/>
        <v>2.4271844660137605E-5</v>
      </c>
      <c r="J214" s="10">
        <f t="shared" si="57"/>
        <v>1.7666666666666668</v>
      </c>
      <c r="K214" s="12">
        <f t="shared" ca="1" si="58"/>
        <v>1.7665833333333334</v>
      </c>
      <c r="L214" s="5">
        <f t="shared" ca="1" si="59"/>
        <v>4.716981132081236E-5</v>
      </c>
      <c r="N214">
        <f t="shared" ca="1" si="60"/>
        <v>16.199000000000005</v>
      </c>
      <c r="O214">
        <f t="shared" ca="1" si="61"/>
        <v>1.0242985E-3</v>
      </c>
      <c r="P214">
        <f t="shared" ca="1" si="62"/>
        <v>1.0004049749999999</v>
      </c>
      <c r="Q214">
        <f t="shared" ca="1" si="63"/>
        <v>1.7662740421034648</v>
      </c>
      <c r="R214">
        <f t="shared" ca="1" si="64"/>
        <v>9420.1282245518123</v>
      </c>
      <c r="S214">
        <f t="shared" ca="1" si="65"/>
        <v>3.141108224379296</v>
      </c>
      <c r="T214">
        <f t="shared" ca="1" si="66"/>
        <v>1</v>
      </c>
      <c r="U214">
        <f t="shared" ca="1" si="67"/>
        <v>9424</v>
      </c>
      <c r="V214">
        <f t="shared" ca="1" si="68"/>
        <v>1.7670000000000001</v>
      </c>
      <c r="X214">
        <f t="shared" ca="1" si="69"/>
        <v>1.765260815001445</v>
      </c>
    </row>
    <row r="215" spans="5:24" x14ac:dyDescent="0.25">
      <c r="E215">
        <v>213</v>
      </c>
      <c r="F215">
        <f t="shared" si="53"/>
        <v>41.3</v>
      </c>
      <c r="G215">
        <f t="shared" ca="1" si="54"/>
        <v>41.305999999999997</v>
      </c>
      <c r="H215" s="5">
        <f t="shared" ca="1" si="55"/>
        <v>6.0000000000002274E-3</v>
      </c>
      <c r="I215" s="5">
        <f t="shared" ca="1" si="56"/>
        <v>1.4527845036320163E-4</v>
      </c>
      <c r="J215" s="10">
        <f t="shared" si="57"/>
        <v>1.7749999999999997</v>
      </c>
      <c r="K215" s="12">
        <f t="shared" ca="1" si="58"/>
        <v>1.7754999999999994</v>
      </c>
      <c r="L215" s="5">
        <f t="shared" ca="1" si="59"/>
        <v>2.8169014084491437E-4</v>
      </c>
      <c r="N215">
        <f t="shared" ca="1" si="60"/>
        <v>16.305999999999997</v>
      </c>
      <c r="O215">
        <f t="shared" ca="1" si="61"/>
        <v>1.0244589999999999E-3</v>
      </c>
      <c r="P215">
        <f t="shared" ca="1" si="62"/>
        <v>1.0004076500000001</v>
      </c>
      <c r="Q215">
        <f t="shared" ca="1" si="63"/>
        <v>1.7751989059542883</v>
      </c>
      <c r="R215">
        <f t="shared" ca="1" si="64"/>
        <v>9467.7274984228716</v>
      </c>
      <c r="S215">
        <f t="shared" ca="1" si="65"/>
        <v>3.152377398967122</v>
      </c>
      <c r="T215">
        <f t="shared" ca="1" si="66"/>
        <v>2</v>
      </c>
      <c r="U215">
        <f t="shared" ca="1" si="67"/>
        <v>9473</v>
      </c>
      <c r="V215">
        <f t="shared" ca="1" si="68"/>
        <v>1.7761875</v>
      </c>
      <c r="X215">
        <f t="shared" ca="1" si="69"/>
        <v>1.7744396906601023</v>
      </c>
    </row>
    <row r="216" spans="5:24" x14ac:dyDescent="0.25">
      <c r="E216">
        <v>214</v>
      </c>
      <c r="F216">
        <f t="shared" si="53"/>
        <v>41.400000000000006</v>
      </c>
      <c r="G216">
        <f t="shared" ca="1" si="54"/>
        <v>41.397000000000006</v>
      </c>
      <c r="H216" s="5">
        <f t="shared" ca="1" si="55"/>
        <v>3.0000000000001137E-3</v>
      </c>
      <c r="I216" s="5">
        <f t="shared" ca="1" si="56"/>
        <v>7.2463768115944765E-5</v>
      </c>
      <c r="J216" s="10">
        <f t="shared" si="57"/>
        <v>1.7833333333333334</v>
      </c>
      <c r="K216" s="12">
        <f t="shared" ca="1" si="58"/>
        <v>1.7830833333333336</v>
      </c>
      <c r="L216" s="5">
        <f t="shared" ca="1" si="59"/>
        <v>1.4018691588777276E-4</v>
      </c>
      <c r="N216">
        <f t="shared" ca="1" si="60"/>
        <v>16.397000000000006</v>
      </c>
      <c r="O216">
        <f t="shared" ca="1" si="61"/>
        <v>1.0245955000000001E-3</v>
      </c>
      <c r="P216">
        <f t="shared" ca="1" si="62"/>
        <v>1.000409925</v>
      </c>
      <c r="Q216">
        <f t="shared" ca="1" si="63"/>
        <v>1.78278924826144</v>
      </c>
      <c r="R216">
        <f t="shared" ca="1" si="64"/>
        <v>9508.2093240610138</v>
      </c>
      <c r="S216">
        <f t="shared" ca="1" si="65"/>
        <v>3.1619098604052991</v>
      </c>
      <c r="T216">
        <f t="shared" ca="1" si="66"/>
        <v>0</v>
      </c>
      <c r="U216">
        <f t="shared" ca="1" si="67"/>
        <v>9511</v>
      </c>
      <c r="V216">
        <f t="shared" ca="1" si="68"/>
        <v>1.7833125000000001</v>
      </c>
      <c r="X216">
        <f t="shared" ca="1" si="69"/>
        <v>1.7815575995010247</v>
      </c>
    </row>
    <row r="217" spans="5:24" x14ac:dyDescent="0.25">
      <c r="E217">
        <v>215</v>
      </c>
      <c r="F217">
        <f t="shared" si="53"/>
        <v>41.5</v>
      </c>
      <c r="G217">
        <f t="shared" ca="1" si="54"/>
        <v>41.491999999999997</v>
      </c>
      <c r="H217" s="5">
        <f t="shared" ca="1" si="55"/>
        <v>8.0000000000026716E-3</v>
      </c>
      <c r="I217" s="5">
        <f t="shared" ca="1" si="56"/>
        <v>1.9277108433741376E-4</v>
      </c>
      <c r="J217" s="10">
        <f t="shared" si="57"/>
        <v>1.7916666666666663</v>
      </c>
      <c r="K217" s="12">
        <f t="shared" ca="1" si="58"/>
        <v>1.7909999999999997</v>
      </c>
      <c r="L217" s="5">
        <f t="shared" ca="1" si="59"/>
        <v>3.7209302325577306E-4</v>
      </c>
      <c r="N217">
        <f t="shared" ca="1" si="60"/>
        <v>16.491999999999997</v>
      </c>
      <c r="O217">
        <f t="shared" ca="1" si="61"/>
        <v>1.0247380000000001E-3</v>
      </c>
      <c r="P217">
        <f t="shared" ca="1" si="62"/>
        <v>1.0004123</v>
      </c>
      <c r="Q217">
        <f t="shared" ca="1" si="63"/>
        <v>1.7907132688005225</v>
      </c>
      <c r="R217">
        <f t="shared" ca="1" si="64"/>
        <v>9550.4707669361196</v>
      </c>
      <c r="S217">
        <f t="shared" ca="1" si="65"/>
        <v>3.171810559677593</v>
      </c>
      <c r="T217">
        <f t="shared" ca="1" si="66"/>
        <v>-1</v>
      </c>
      <c r="U217">
        <f t="shared" ca="1" si="67"/>
        <v>9553</v>
      </c>
      <c r="V217">
        <f t="shared" ca="1" si="68"/>
        <v>1.7911874999999999</v>
      </c>
      <c r="X217">
        <f t="shared" ca="1" si="69"/>
        <v>1.7894249820798884</v>
      </c>
    </row>
    <row r="218" spans="5:24" x14ac:dyDescent="0.25">
      <c r="E218">
        <v>216</v>
      </c>
      <c r="F218">
        <f t="shared" si="53"/>
        <v>41.6</v>
      </c>
      <c r="G218">
        <f t="shared" ca="1" si="54"/>
        <v>41.603000000000002</v>
      </c>
      <c r="H218" s="5">
        <f t="shared" ca="1" si="55"/>
        <v>3.0000000000001137E-3</v>
      </c>
      <c r="I218" s="5">
        <f t="shared" ca="1" si="56"/>
        <v>7.2115384615387346E-5</v>
      </c>
      <c r="J218" s="10">
        <f t="shared" si="57"/>
        <v>1.8</v>
      </c>
      <c r="K218" s="12">
        <f t="shared" ca="1" si="58"/>
        <v>1.8002499999999999</v>
      </c>
      <c r="L218" s="5">
        <f t="shared" ca="1" si="59"/>
        <v>1.3888888888881191E-4</v>
      </c>
      <c r="N218">
        <f t="shared" ca="1" si="60"/>
        <v>16.603000000000002</v>
      </c>
      <c r="O218">
        <f t="shared" ca="1" si="61"/>
        <v>1.0249045E-3</v>
      </c>
      <c r="P218">
        <f t="shared" ca="1" si="62"/>
        <v>1.000415075</v>
      </c>
      <c r="Q218">
        <f t="shared" ca="1" si="63"/>
        <v>1.7999719088565147</v>
      </c>
      <c r="R218">
        <f t="shared" ca="1" si="64"/>
        <v>9599.8501805680789</v>
      </c>
      <c r="S218">
        <f t="shared" ca="1" si="65"/>
        <v>3.183312828450549</v>
      </c>
      <c r="T218">
        <f t="shared" ca="1" si="66"/>
        <v>-3</v>
      </c>
      <c r="U218">
        <f t="shared" ca="1" si="67"/>
        <v>9600</v>
      </c>
      <c r="V218">
        <f t="shared" ca="1" si="68"/>
        <v>1.8</v>
      </c>
      <c r="X218">
        <f t="shared" ca="1" si="69"/>
        <v>1.7982286957241223</v>
      </c>
    </row>
    <row r="219" spans="5:24" x14ac:dyDescent="0.25">
      <c r="E219">
        <v>217</v>
      </c>
      <c r="F219">
        <f t="shared" si="53"/>
        <v>41.7</v>
      </c>
      <c r="G219">
        <f t="shared" ca="1" si="54"/>
        <v>41.696000000000005</v>
      </c>
      <c r="H219" s="5">
        <f t="shared" ca="1" si="55"/>
        <v>3.9999999999977831E-3</v>
      </c>
      <c r="I219" s="5">
        <f t="shared" ca="1" si="56"/>
        <v>9.5923261390834118E-5</v>
      </c>
      <c r="J219" s="10">
        <f t="shared" si="57"/>
        <v>1.8083333333333333</v>
      </c>
      <c r="K219" s="12">
        <f t="shared" ca="1" si="58"/>
        <v>1.8080000000000001</v>
      </c>
      <c r="L219" s="5">
        <f t="shared" ca="1" si="59"/>
        <v>1.8433179723500274E-4</v>
      </c>
      <c r="N219">
        <f t="shared" ca="1" si="60"/>
        <v>16.696000000000005</v>
      </c>
      <c r="O219">
        <f t="shared" ca="1" si="61"/>
        <v>1.0250440000000001E-3</v>
      </c>
      <c r="P219">
        <f t="shared" ca="1" si="62"/>
        <v>1.0004173999999999</v>
      </c>
      <c r="Q219">
        <f t="shared" ca="1" si="63"/>
        <v>1.8077291873466343</v>
      </c>
      <c r="R219">
        <f t="shared" ca="1" si="64"/>
        <v>9641.2223325153827</v>
      </c>
      <c r="S219">
        <f t="shared" ca="1" si="65"/>
        <v>3.1928949941030207</v>
      </c>
      <c r="T219">
        <f t="shared" ca="1" si="66"/>
        <v>3</v>
      </c>
      <c r="U219">
        <f t="shared" ca="1" si="67"/>
        <v>9647</v>
      </c>
      <c r="V219">
        <f t="shared" ca="1" si="68"/>
        <v>1.8088124999999999</v>
      </c>
      <c r="X219">
        <f t="shared" ca="1" si="69"/>
        <v>1.8070332003421774</v>
      </c>
    </row>
    <row r="220" spans="5:24" x14ac:dyDescent="0.25">
      <c r="E220">
        <v>218</v>
      </c>
      <c r="F220">
        <f t="shared" si="53"/>
        <v>41.8</v>
      </c>
      <c r="G220">
        <f t="shared" ca="1" si="54"/>
        <v>41.8</v>
      </c>
      <c r="H220" s="5">
        <f t="shared" ca="1" si="55"/>
        <v>0</v>
      </c>
      <c r="I220" s="5">
        <f t="shared" ca="1" si="56"/>
        <v>0</v>
      </c>
      <c r="J220" s="10">
        <f t="shared" si="57"/>
        <v>1.8166666666666662</v>
      </c>
      <c r="K220" s="12">
        <f t="shared" ca="1" si="58"/>
        <v>1.8166666666666662</v>
      </c>
      <c r="L220" s="5">
        <f t="shared" ca="1" si="59"/>
        <v>0</v>
      </c>
      <c r="N220">
        <f t="shared" ca="1" si="60"/>
        <v>16.799999999999997</v>
      </c>
      <c r="O220">
        <f t="shared" ca="1" si="61"/>
        <v>1.0252E-3</v>
      </c>
      <c r="P220">
        <f t="shared" ca="1" si="62"/>
        <v>1.0004200000000001</v>
      </c>
      <c r="Q220">
        <f t="shared" ca="1" si="63"/>
        <v>1.8164040360826663</v>
      </c>
      <c r="R220">
        <f t="shared" ca="1" si="64"/>
        <v>9687.4881924408874</v>
      </c>
      <c r="S220">
        <f t="shared" ca="1" si="65"/>
        <v>3.2035510812508594</v>
      </c>
      <c r="T220">
        <f t="shared" ca="1" si="66"/>
        <v>2</v>
      </c>
      <c r="U220">
        <f t="shared" ca="1" si="67"/>
        <v>9693</v>
      </c>
      <c r="V220">
        <f t="shared" ca="1" si="68"/>
        <v>1.8174375</v>
      </c>
      <c r="X220">
        <f t="shared" ca="1" si="69"/>
        <v>1.8156497271146117</v>
      </c>
    </row>
    <row r="221" spans="5:24" x14ac:dyDescent="0.25">
      <c r="E221">
        <v>219</v>
      </c>
      <c r="F221">
        <f t="shared" si="53"/>
        <v>41.900000000000006</v>
      </c>
      <c r="G221">
        <f t="shared" ca="1" si="54"/>
        <v>41.906000000000006</v>
      </c>
      <c r="H221" s="5">
        <f t="shared" ca="1" si="55"/>
        <v>6.0000000000002274E-3</v>
      </c>
      <c r="I221" s="5">
        <f t="shared" ca="1" si="56"/>
        <v>1.4319809069212951E-4</v>
      </c>
      <c r="J221" s="10">
        <f t="shared" si="57"/>
        <v>1.8250000000000004</v>
      </c>
      <c r="K221" s="12">
        <f t="shared" ca="1" si="58"/>
        <v>1.8255000000000001</v>
      </c>
      <c r="L221" s="5">
        <f t="shared" ca="1" si="59"/>
        <v>2.7397260273957411E-4</v>
      </c>
      <c r="N221">
        <f t="shared" ca="1" si="60"/>
        <v>16.906000000000006</v>
      </c>
      <c r="O221">
        <f t="shared" ca="1" si="61"/>
        <v>1.025359E-3</v>
      </c>
      <c r="P221">
        <f t="shared" ca="1" si="62"/>
        <v>1.00042265</v>
      </c>
      <c r="Q221">
        <f t="shared" ca="1" si="63"/>
        <v>1.8252457552070187</v>
      </c>
      <c r="R221">
        <f t="shared" ca="1" si="64"/>
        <v>9734.6440277707661</v>
      </c>
      <c r="S221">
        <f t="shared" ca="1" si="65"/>
        <v>3.2143472876849888</v>
      </c>
      <c r="T221">
        <f t="shared" ca="1" si="66"/>
        <v>2</v>
      </c>
      <c r="U221">
        <f t="shared" ca="1" si="67"/>
        <v>9740</v>
      </c>
      <c r="V221">
        <f t="shared" ca="1" si="68"/>
        <v>1.8262499999999999</v>
      </c>
      <c r="X221">
        <f t="shared" ca="1" si="69"/>
        <v>1.8244535357131308</v>
      </c>
    </row>
    <row r="222" spans="5:24" x14ac:dyDescent="0.25">
      <c r="E222">
        <v>220</v>
      </c>
      <c r="F222">
        <f t="shared" si="53"/>
        <v>42</v>
      </c>
      <c r="G222">
        <f t="shared" ca="1" si="54"/>
        <v>42.003999999999998</v>
      </c>
      <c r="H222" s="5">
        <f t="shared" ca="1" si="55"/>
        <v>3.9999999999977831E-3</v>
      </c>
      <c r="I222" s="5">
        <f t="shared" ca="1" si="56"/>
        <v>9.5238095238042454E-5</v>
      </c>
      <c r="J222" s="10">
        <f t="shared" si="57"/>
        <v>1.8333333333333333</v>
      </c>
      <c r="K222" s="12">
        <f t="shared" ca="1" si="58"/>
        <v>1.8336666666666661</v>
      </c>
      <c r="L222" s="5">
        <f t="shared" ca="1" si="59"/>
        <v>1.8181818181791957E-4</v>
      </c>
      <c r="N222">
        <f t="shared" ca="1" si="60"/>
        <v>17.003999999999998</v>
      </c>
      <c r="O222">
        <f t="shared" ca="1" si="61"/>
        <v>1.025506E-3</v>
      </c>
      <c r="P222">
        <f t="shared" ca="1" si="62"/>
        <v>1.0004251</v>
      </c>
      <c r="Q222">
        <f t="shared" ca="1" si="63"/>
        <v>1.8334202164240654</v>
      </c>
      <c r="R222">
        <f t="shared" ca="1" si="64"/>
        <v>9778.241154261681</v>
      </c>
      <c r="S222">
        <f t="shared" ca="1" si="65"/>
        <v>3.2242702923843503</v>
      </c>
      <c r="T222">
        <f t="shared" ca="1" si="66"/>
        <v>0</v>
      </c>
      <c r="U222">
        <f t="shared" ca="1" si="67"/>
        <v>9781</v>
      </c>
      <c r="V222">
        <f t="shared" ca="1" si="68"/>
        <v>1.8339375</v>
      </c>
      <c r="X222">
        <f t="shared" ca="1" si="69"/>
        <v>1.8321331541961514</v>
      </c>
    </row>
    <row r="223" spans="5:24" x14ac:dyDescent="0.25">
      <c r="E223">
        <v>221</v>
      </c>
      <c r="F223">
        <f t="shared" si="53"/>
        <v>42.1</v>
      </c>
      <c r="G223">
        <f t="shared" ca="1" si="54"/>
        <v>42.105000000000004</v>
      </c>
      <c r="H223" s="5">
        <f t="shared" ca="1" si="55"/>
        <v>5.000000000002558E-3</v>
      </c>
      <c r="I223" s="5">
        <f t="shared" ca="1" si="56"/>
        <v>1.1876484560576147E-4</v>
      </c>
      <c r="J223" s="10">
        <f t="shared" si="57"/>
        <v>1.8416666666666666</v>
      </c>
      <c r="K223" s="12">
        <f t="shared" ca="1" si="58"/>
        <v>1.8420833333333333</v>
      </c>
      <c r="L223" s="5">
        <f t="shared" ca="1" si="59"/>
        <v>2.262443438914381E-4</v>
      </c>
      <c r="N223">
        <f t="shared" ca="1" si="60"/>
        <v>17.105000000000004</v>
      </c>
      <c r="O223">
        <f t="shared" ca="1" si="61"/>
        <v>1.0256575000000001E-3</v>
      </c>
      <c r="P223">
        <f t="shared" ca="1" si="62"/>
        <v>1.0004276249999999</v>
      </c>
      <c r="Q223">
        <f t="shared" ca="1" si="63"/>
        <v>1.8418449581219614</v>
      </c>
      <c r="R223">
        <f t="shared" ca="1" si="64"/>
        <v>9823.1731099837943</v>
      </c>
      <c r="S223">
        <f t="shared" ca="1" si="65"/>
        <v>3.2344381671974394</v>
      </c>
      <c r="T223">
        <f t="shared" ca="1" si="66"/>
        <v>-3</v>
      </c>
      <c r="U223">
        <f t="shared" ca="1" si="67"/>
        <v>9823</v>
      </c>
      <c r="V223">
        <f t="shared" ca="1" si="68"/>
        <v>1.8418125000000001</v>
      </c>
      <c r="X223">
        <f t="shared" ca="1" si="69"/>
        <v>1.8400000124946572</v>
      </c>
    </row>
    <row r="224" spans="5:24" x14ac:dyDescent="0.25">
      <c r="E224">
        <v>222</v>
      </c>
      <c r="F224">
        <f t="shared" si="53"/>
        <v>42.2</v>
      </c>
      <c r="G224">
        <f t="shared" ca="1" si="54"/>
        <v>42.190000000000005</v>
      </c>
      <c r="H224" s="5">
        <f t="shared" ca="1" si="55"/>
        <v>9.9999999999980105E-3</v>
      </c>
      <c r="I224" s="5">
        <f t="shared" ca="1" si="56"/>
        <v>2.3696682464450261E-4</v>
      </c>
      <c r="J224" s="10">
        <f t="shared" si="57"/>
        <v>1.8499999999999999</v>
      </c>
      <c r="K224" s="12">
        <f t="shared" ca="1" si="58"/>
        <v>1.8491666666666668</v>
      </c>
      <c r="L224" s="5">
        <f t="shared" ca="1" si="59"/>
        <v>4.5045045045028083E-4</v>
      </c>
      <c r="N224">
        <f t="shared" ca="1" si="60"/>
        <v>17.190000000000005</v>
      </c>
      <c r="O224">
        <f t="shared" ca="1" si="61"/>
        <v>1.025785E-3</v>
      </c>
      <c r="P224">
        <f t="shared" ca="1" si="62"/>
        <v>1.0004297499999999</v>
      </c>
      <c r="Q224">
        <f t="shared" ca="1" si="63"/>
        <v>1.8489351202105631</v>
      </c>
      <c r="R224">
        <f t="shared" ca="1" si="64"/>
        <v>9860.98730778967</v>
      </c>
      <c r="S224">
        <f t="shared" ca="1" si="65"/>
        <v>3.2429488243890527</v>
      </c>
      <c r="T224">
        <f t="shared" ca="1" si="66"/>
        <v>-1</v>
      </c>
      <c r="U224">
        <f t="shared" ca="1" si="67"/>
        <v>9863</v>
      </c>
      <c r="V224">
        <f t="shared" ca="1" si="68"/>
        <v>1.8493125000000001</v>
      </c>
      <c r="X224">
        <f t="shared" ca="1" si="69"/>
        <v>1.847492754988544</v>
      </c>
    </row>
    <row r="225" spans="5:24" x14ac:dyDescent="0.25">
      <c r="E225">
        <v>223</v>
      </c>
      <c r="F225">
        <f t="shared" si="53"/>
        <v>42.3</v>
      </c>
      <c r="G225">
        <f t="shared" ca="1" si="54"/>
        <v>42.305</v>
      </c>
      <c r="H225" s="5">
        <f t="shared" ca="1" si="55"/>
        <v>5.000000000002558E-3</v>
      </c>
      <c r="I225" s="5">
        <f t="shared" ca="1" si="56"/>
        <v>1.1820330969273187E-4</v>
      </c>
      <c r="J225" s="10">
        <f t="shared" si="57"/>
        <v>1.8583333333333327</v>
      </c>
      <c r="K225" s="12">
        <f t="shared" ca="1" si="58"/>
        <v>1.8587499999999999</v>
      </c>
      <c r="L225" s="5">
        <f t="shared" ca="1" si="59"/>
        <v>2.2421524663704539E-4</v>
      </c>
      <c r="N225">
        <f t="shared" ca="1" si="60"/>
        <v>17.305</v>
      </c>
      <c r="O225">
        <f t="shared" ca="1" si="61"/>
        <v>1.0259575E-3</v>
      </c>
      <c r="P225">
        <f t="shared" ca="1" si="62"/>
        <v>1.000432625</v>
      </c>
      <c r="Q225">
        <f t="shared" ca="1" si="63"/>
        <v>1.8585277403638865</v>
      </c>
      <c r="R225">
        <f t="shared" ca="1" si="64"/>
        <v>9912.1479486073949</v>
      </c>
      <c r="S225">
        <f t="shared" ca="1" si="65"/>
        <v>3.254395435405284</v>
      </c>
      <c r="T225">
        <f t="shared" ca="1" si="66"/>
        <v>2</v>
      </c>
      <c r="U225">
        <f t="shared" ca="1" si="67"/>
        <v>9917</v>
      </c>
      <c r="V225">
        <f t="shared" ca="1" si="68"/>
        <v>1.8594375000000001</v>
      </c>
      <c r="X225">
        <f t="shared" ca="1" si="69"/>
        <v>1.8576078948844756</v>
      </c>
    </row>
    <row r="226" spans="5:24" x14ac:dyDescent="0.25">
      <c r="E226">
        <v>224</v>
      </c>
      <c r="F226">
        <f t="shared" si="53"/>
        <v>42.400000000000006</v>
      </c>
      <c r="G226">
        <f t="shared" ca="1" si="54"/>
        <v>42.391000000000005</v>
      </c>
      <c r="H226" s="5">
        <f t="shared" ca="1" si="55"/>
        <v>9.0000000000003411E-3</v>
      </c>
      <c r="I226" s="5">
        <f t="shared" ca="1" si="56"/>
        <v>2.1226415094340425E-4</v>
      </c>
      <c r="J226" s="10">
        <f t="shared" si="57"/>
        <v>1.8666666666666669</v>
      </c>
      <c r="K226" s="12">
        <f t="shared" ca="1" si="58"/>
        <v>1.8659166666666669</v>
      </c>
      <c r="L226" s="5">
        <f t="shared" ca="1" si="59"/>
        <v>4.0178571428572946E-4</v>
      </c>
      <c r="N226">
        <f t="shared" ca="1" si="60"/>
        <v>17.391000000000005</v>
      </c>
      <c r="O226">
        <f t="shared" ca="1" si="61"/>
        <v>1.0260865E-3</v>
      </c>
      <c r="P226">
        <f t="shared" ca="1" si="62"/>
        <v>1.000434775</v>
      </c>
      <c r="Q226">
        <f t="shared" ca="1" si="63"/>
        <v>1.8657013879686588</v>
      </c>
      <c r="R226">
        <f t="shared" ca="1" si="64"/>
        <v>9950.4074024995134</v>
      </c>
      <c r="S226">
        <f t="shared" ca="1" si="65"/>
        <v>3.2629043980182244</v>
      </c>
      <c r="T226">
        <f t="shared" ca="1" si="66"/>
        <v>2</v>
      </c>
      <c r="U226">
        <f t="shared" ca="1" si="67"/>
        <v>9956</v>
      </c>
      <c r="V226">
        <f t="shared" ca="1" si="68"/>
        <v>1.8667500000000001</v>
      </c>
      <c r="X226">
        <f t="shared" ca="1" si="69"/>
        <v>1.8649130959087263</v>
      </c>
    </row>
    <row r="227" spans="5:24" x14ac:dyDescent="0.25">
      <c r="E227">
        <v>225</v>
      </c>
      <c r="F227">
        <f t="shared" si="53"/>
        <v>42.5</v>
      </c>
      <c r="G227">
        <f t="shared" ca="1" si="54"/>
        <v>42.494</v>
      </c>
      <c r="H227" s="5">
        <f t="shared" ca="1" si="55"/>
        <v>6.0000000000002274E-3</v>
      </c>
      <c r="I227" s="5">
        <f t="shared" ca="1" si="56"/>
        <v>1.4117647058824065E-4</v>
      </c>
      <c r="J227" s="10">
        <f t="shared" si="57"/>
        <v>1.8749999999999998</v>
      </c>
      <c r="K227" s="12">
        <f t="shared" ca="1" si="58"/>
        <v>1.8744999999999996</v>
      </c>
      <c r="L227" s="5">
        <f t="shared" ca="1" si="59"/>
        <v>2.6666666666675575E-4</v>
      </c>
      <c r="N227">
        <f t="shared" ca="1" si="60"/>
        <v>17.494</v>
      </c>
      <c r="O227">
        <f t="shared" ca="1" si="61"/>
        <v>1.026241E-3</v>
      </c>
      <c r="P227">
        <f t="shared" ca="1" si="62"/>
        <v>1.0004373499999999</v>
      </c>
      <c r="Q227">
        <f t="shared" ca="1" si="63"/>
        <v>1.8742931227484982</v>
      </c>
      <c r="R227">
        <f t="shared" ca="1" si="64"/>
        <v>9996.2299879919901</v>
      </c>
      <c r="S227">
        <f t="shared" ca="1" si="65"/>
        <v>3.2730376258755669</v>
      </c>
      <c r="T227">
        <f t="shared" ca="1" si="66"/>
        <v>0</v>
      </c>
      <c r="U227">
        <f t="shared" ca="1" si="67"/>
        <v>10000</v>
      </c>
      <c r="V227">
        <f t="shared" ca="1" si="68"/>
        <v>1.875</v>
      </c>
      <c r="X227">
        <f t="shared" ca="1" si="69"/>
        <v>1.8731545348641774</v>
      </c>
    </row>
    <row r="228" spans="5:24" x14ac:dyDescent="0.25">
      <c r="E228">
        <v>226</v>
      </c>
      <c r="F228">
        <f t="shared" si="53"/>
        <v>42.6</v>
      </c>
      <c r="G228">
        <f t="shared" ca="1" si="54"/>
        <v>42.603999999999999</v>
      </c>
      <c r="H228" s="5">
        <f t="shared" ca="1" si="55"/>
        <v>3.9999999999977831E-3</v>
      </c>
      <c r="I228" s="5">
        <f t="shared" ca="1" si="56"/>
        <v>9.3896713614971433E-5</v>
      </c>
      <c r="J228" s="10">
        <f t="shared" si="57"/>
        <v>1.8833333333333331</v>
      </c>
      <c r="K228" s="12">
        <f t="shared" ca="1" si="58"/>
        <v>1.8836666666666664</v>
      </c>
      <c r="L228" s="5">
        <f t="shared" ca="1" si="59"/>
        <v>1.7699115044245842E-4</v>
      </c>
      <c r="N228">
        <f t="shared" ca="1" si="60"/>
        <v>17.603999999999999</v>
      </c>
      <c r="O228">
        <f t="shared" ca="1" si="61"/>
        <v>1.0264060000000001E-3</v>
      </c>
      <c r="P228">
        <f t="shared" ca="1" si="62"/>
        <v>1.0004401000000001</v>
      </c>
      <c r="Q228">
        <f t="shared" ca="1" si="63"/>
        <v>1.8834688106453858</v>
      </c>
      <c r="R228">
        <f t="shared" ca="1" si="64"/>
        <v>10045.166990108724</v>
      </c>
      <c r="S228">
        <f t="shared" ca="1" si="65"/>
        <v>3.2837898165428605</v>
      </c>
      <c r="T228">
        <f t="shared" ca="1" si="66"/>
        <v>1</v>
      </c>
      <c r="U228">
        <f t="shared" ca="1" si="67"/>
        <v>10049</v>
      </c>
      <c r="V228">
        <f t="shared" ca="1" si="68"/>
        <v>1.8841875000000001</v>
      </c>
      <c r="X228">
        <f t="shared" ca="1" si="69"/>
        <v>1.8823326793878015</v>
      </c>
    </row>
    <row r="229" spans="5:24" x14ac:dyDescent="0.25">
      <c r="E229">
        <v>227</v>
      </c>
      <c r="F229">
        <f t="shared" si="53"/>
        <v>42.7</v>
      </c>
      <c r="G229">
        <f t="shared" ca="1" si="54"/>
        <v>42.690000000000005</v>
      </c>
      <c r="H229" s="5">
        <f t="shared" ca="1" si="55"/>
        <v>9.9999999999980105E-3</v>
      </c>
      <c r="I229" s="5">
        <f t="shared" ca="1" si="56"/>
        <v>2.3419203747067937E-4</v>
      </c>
      <c r="J229" s="10">
        <f t="shared" si="57"/>
        <v>1.8916666666666668</v>
      </c>
      <c r="K229" s="12">
        <f t="shared" ca="1" si="58"/>
        <v>1.8908333333333334</v>
      </c>
      <c r="L229" s="5">
        <f t="shared" ca="1" si="59"/>
        <v>4.4052863436130229E-4</v>
      </c>
      <c r="N229">
        <f t="shared" ca="1" si="60"/>
        <v>17.690000000000005</v>
      </c>
      <c r="O229">
        <f t="shared" ca="1" si="61"/>
        <v>1.0265350000000001E-3</v>
      </c>
      <c r="P229">
        <f t="shared" ca="1" si="62"/>
        <v>1.0004422500000001</v>
      </c>
      <c r="Q229">
        <f t="shared" ca="1" si="63"/>
        <v>1.8906425653898964</v>
      </c>
      <c r="R229">
        <f t="shared" ca="1" si="64"/>
        <v>10083.427015412781</v>
      </c>
      <c r="S229">
        <f t="shared" ca="1" si="65"/>
        <v>3.2921457787237851</v>
      </c>
      <c r="T229">
        <f t="shared" ca="1" si="66"/>
        <v>1</v>
      </c>
      <c r="U229">
        <f t="shared" ca="1" si="67"/>
        <v>10088</v>
      </c>
      <c r="V229">
        <f t="shared" ca="1" si="68"/>
        <v>1.8915</v>
      </c>
      <c r="X229">
        <f t="shared" ca="1" si="69"/>
        <v>1.8896377726950253</v>
      </c>
    </row>
    <row r="230" spans="5:24" x14ac:dyDescent="0.25">
      <c r="E230">
        <v>228</v>
      </c>
      <c r="F230">
        <f t="shared" si="53"/>
        <v>42.8</v>
      </c>
      <c r="G230">
        <f t="shared" ca="1" si="54"/>
        <v>42.790999999999997</v>
      </c>
      <c r="H230" s="5">
        <f t="shared" ca="1" si="55"/>
        <v>9.0000000000003411E-3</v>
      </c>
      <c r="I230" s="5">
        <f t="shared" ca="1" si="56"/>
        <v>2.1028037383178367E-4</v>
      </c>
      <c r="J230" s="10">
        <f t="shared" si="57"/>
        <v>1.8999999999999997</v>
      </c>
      <c r="K230" s="12">
        <f t="shared" ca="1" si="58"/>
        <v>1.8992499999999997</v>
      </c>
      <c r="L230" s="5">
        <f t="shared" ca="1" si="59"/>
        <v>3.9473684210527817E-4</v>
      </c>
      <c r="N230">
        <f t="shared" ca="1" si="60"/>
        <v>17.790999999999997</v>
      </c>
      <c r="O230">
        <f t="shared" ca="1" si="61"/>
        <v>1.0266864999999999E-3</v>
      </c>
      <c r="P230">
        <f t="shared" ca="1" si="62"/>
        <v>1.0004447750000001</v>
      </c>
      <c r="Q230">
        <f t="shared" ca="1" si="63"/>
        <v>1.8990675957742618</v>
      </c>
      <c r="R230">
        <f t="shared" ca="1" si="64"/>
        <v>10128.360510796063</v>
      </c>
      <c r="S230">
        <f t="shared" ca="1" si="65"/>
        <v>3.3019026538506138</v>
      </c>
      <c r="T230">
        <f t="shared" ca="1" si="66"/>
        <v>-1</v>
      </c>
      <c r="U230">
        <f t="shared" ca="1" si="67"/>
        <v>10131</v>
      </c>
      <c r="V230">
        <f t="shared" ca="1" si="68"/>
        <v>1.8995625</v>
      </c>
      <c r="X230">
        <f t="shared" ca="1" si="69"/>
        <v>1.8976917676440461</v>
      </c>
    </row>
    <row r="231" spans="5:24" x14ac:dyDescent="0.25">
      <c r="E231">
        <v>229</v>
      </c>
      <c r="F231">
        <f t="shared" si="53"/>
        <v>42.900000000000006</v>
      </c>
      <c r="G231">
        <f t="shared" ca="1" si="54"/>
        <v>42.906000000000006</v>
      </c>
      <c r="H231" s="5">
        <f t="shared" ca="1" si="55"/>
        <v>6.0000000000002274E-3</v>
      </c>
      <c r="I231" s="5">
        <f t="shared" ca="1" si="56"/>
        <v>1.3986013986014515E-4</v>
      </c>
      <c r="J231" s="10">
        <f t="shared" si="57"/>
        <v>1.9083333333333334</v>
      </c>
      <c r="K231" s="12">
        <f t="shared" ca="1" si="58"/>
        <v>1.9088333333333336</v>
      </c>
      <c r="L231" s="5">
        <f t="shared" ca="1" si="59"/>
        <v>2.6200873362454164E-4</v>
      </c>
      <c r="N231">
        <f t="shared" ca="1" si="60"/>
        <v>17.906000000000006</v>
      </c>
      <c r="O231">
        <f t="shared" ca="1" si="61"/>
        <v>1.026859E-3</v>
      </c>
      <c r="P231">
        <f t="shared" ca="1" si="62"/>
        <v>1.0004476499999999</v>
      </c>
      <c r="Q231">
        <f t="shared" ca="1" si="63"/>
        <v>1.9086605039015687</v>
      </c>
      <c r="R231">
        <f t="shared" ca="1" si="64"/>
        <v>10179.522687475033</v>
      </c>
      <c r="S231">
        <f t="shared" ca="1" si="65"/>
        <v>3.3129374087493573</v>
      </c>
      <c r="T231">
        <f t="shared" ca="1" si="66"/>
        <v>3</v>
      </c>
      <c r="U231">
        <f t="shared" ca="1" si="67"/>
        <v>10186</v>
      </c>
      <c r="V231">
        <f t="shared" ca="1" si="68"/>
        <v>1.909875</v>
      </c>
      <c r="X231">
        <f t="shared" ca="1" si="69"/>
        <v>1.9079940274736016</v>
      </c>
    </row>
    <row r="232" spans="5:24" x14ac:dyDescent="0.25">
      <c r="E232">
        <v>230</v>
      </c>
      <c r="F232">
        <f t="shared" si="53"/>
        <v>43</v>
      </c>
      <c r="G232">
        <f t="shared" ca="1" si="54"/>
        <v>43.008000000000003</v>
      </c>
      <c r="H232" s="5">
        <f t="shared" ca="1" si="55"/>
        <v>8.0000000000026716E-3</v>
      </c>
      <c r="I232" s="5">
        <f t="shared" ca="1" si="56"/>
        <v>1.8604651162796912E-4</v>
      </c>
      <c r="J232" s="10">
        <f t="shared" si="57"/>
        <v>1.9166666666666663</v>
      </c>
      <c r="K232" s="12">
        <f t="shared" ca="1" si="58"/>
        <v>1.9173333333333333</v>
      </c>
      <c r="L232" s="5">
        <f t="shared" ca="1" si="59"/>
        <v>3.4782608695671518E-4</v>
      </c>
      <c r="N232">
        <f t="shared" ca="1" si="60"/>
        <v>18.008000000000003</v>
      </c>
      <c r="O232">
        <f t="shared" ca="1" si="61"/>
        <v>1.0270120000000001E-3</v>
      </c>
      <c r="P232">
        <f t="shared" ca="1" si="62"/>
        <v>1.0004502</v>
      </c>
      <c r="Q232">
        <f t="shared" ca="1" si="63"/>
        <v>1.9171690424391976</v>
      </c>
      <c r="R232">
        <f t="shared" ca="1" si="64"/>
        <v>10224.90155967572</v>
      </c>
      <c r="S232">
        <f t="shared" ca="1" si="65"/>
        <v>3.3226581145460043</v>
      </c>
      <c r="T232">
        <f t="shared" ca="1" si="66"/>
        <v>3</v>
      </c>
      <c r="U232">
        <f t="shared" ca="1" si="67"/>
        <v>10231</v>
      </c>
      <c r="V232">
        <f t="shared" ca="1" si="68"/>
        <v>1.9183125000000001</v>
      </c>
      <c r="X232">
        <f t="shared" ca="1" si="69"/>
        <v>1.916422714493935</v>
      </c>
    </row>
    <row r="233" spans="5:24" x14ac:dyDescent="0.25">
      <c r="E233">
        <v>231</v>
      </c>
      <c r="F233">
        <f t="shared" si="53"/>
        <v>43.1</v>
      </c>
      <c r="G233">
        <f t="shared" ca="1" si="54"/>
        <v>43.091000000000001</v>
      </c>
      <c r="H233" s="5">
        <f t="shared" ca="1" si="55"/>
        <v>9.0000000000003411E-3</v>
      </c>
      <c r="I233" s="5">
        <f t="shared" ca="1" si="56"/>
        <v>2.0881670533643481E-4</v>
      </c>
      <c r="J233" s="10">
        <f t="shared" si="57"/>
        <v>1.925</v>
      </c>
      <c r="K233" s="12">
        <f t="shared" ca="1" si="58"/>
        <v>1.92425</v>
      </c>
      <c r="L233" s="5">
        <f t="shared" ca="1" si="59"/>
        <v>3.8961038961040436E-4</v>
      </c>
      <c r="N233">
        <f t="shared" ca="1" si="60"/>
        <v>18.091000000000001</v>
      </c>
      <c r="O233">
        <f t="shared" ca="1" si="61"/>
        <v>1.0271365000000001E-3</v>
      </c>
      <c r="P233">
        <f t="shared" ca="1" si="62"/>
        <v>1.000452275</v>
      </c>
      <c r="Q233">
        <f t="shared" ca="1" si="63"/>
        <v>1.9240926891205894</v>
      </c>
      <c r="R233">
        <f t="shared" ca="1" si="64"/>
        <v>10261.827675309811</v>
      </c>
      <c r="S233">
        <f t="shared" ca="1" si="65"/>
        <v>3.330521735246466</v>
      </c>
      <c r="T233">
        <f t="shared" ca="1" si="66"/>
        <v>-2</v>
      </c>
      <c r="U233">
        <f t="shared" ca="1" si="67"/>
        <v>10263</v>
      </c>
      <c r="V233">
        <f t="shared" ca="1" si="68"/>
        <v>1.9243125000000001</v>
      </c>
      <c r="X233">
        <f t="shared" ca="1" si="69"/>
        <v>1.9224159028475396</v>
      </c>
    </row>
    <row r="234" spans="5:24" x14ac:dyDescent="0.25">
      <c r="E234">
        <v>232</v>
      </c>
      <c r="F234">
        <f t="shared" si="53"/>
        <v>43.2</v>
      </c>
      <c r="G234">
        <f t="shared" ca="1" si="54"/>
        <v>43.203000000000003</v>
      </c>
      <c r="H234" s="5">
        <f t="shared" ca="1" si="55"/>
        <v>3.0000000000001137E-3</v>
      </c>
      <c r="I234" s="5">
        <f t="shared" ca="1" si="56"/>
        <v>6.9444444444447074E-5</v>
      </c>
      <c r="J234" s="10">
        <f t="shared" si="57"/>
        <v>1.9333333333333333</v>
      </c>
      <c r="K234" s="12">
        <f t="shared" ca="1" si="58"/>
        <v>1.9335833333333332</v>
      </c>
      <c r="L234" s="5">
        <f t="shared" ca="1" si="59"/>
        <v>1.2931034482751454E-4</v>
      </c>
      <c r="N234">
        <f t="shared" ca="1" si="60"/>
        <v>18.203000000000003</v>
      </c>
      <c r="O234">
        <f t="shared" ca="1" si="61"/>
        <v>1.0273045000000001E-3</v>
      </c>
      <c r="P234">
        <f t="shared" ca="1" si="62"/>
        <v>1.0004550750000001</v>
      </c>
      <c r="Q234">
        <f t="shared" ca="1" si="63"/>
        <v>1.9334354867681547</v>
      </c>
      <c r="R234">
        <f t="shared" ca="1" si="64"/>
        <v>10311.655929430159</v>
      </c>
      <c r="S234">
        <f t="shared" ca="1" si="65"/>
        <v>3.341066751522983</v>
      </c>
      <c r="T234">
        <f t="shared" ca="1" si="66"/>
        <v>0</v>
      </c>
      <c r="U234">
        <f t="shared" ca="1" si="67"/>
        <v>10315</v>
      </c>
      <c r="V234">
        <f t="shared" ca="1" si="68"/>
        <v>1.9340625</v>
      </c>
      <c r="X234">
        <f t="shared" ca="1" si="69"/>
        <v>1.9321559196448674</v>
      </c>
    </row>
    <row r="235" spans="5:24" x14ac:dyDescent="0.25">
      <c r="E235">
        <v>233</v>
      </c>
      <c r="F235">
        <f t="shared" si="53"/>
        <v>43.3</v>
      </c>
      <c r="G235">
        <f t="shared" ca="1" si="54"/>
        <v>43.290999999999997</v>
      </c>
      <c r="H235" s="5">
        <f t="shared" ca="1" si="55"/>
        <v>9.0000000000003411E-3</v>
      </c>
      <c r="I235" s="5">
        <f t="shared" ca="1" si="56"/>
        <v>2.0785219399538894E-4</v>
      </c>
      <c r="J235" s="10">
        <f t="shared" si="57"/>
        <v>1.9416666666666662</v>
      </c>
      <c r="K235" s="12">
        <f t="shared" ca="1" si="58"/>
        <v>1.9409166666666662</v>
      </c>
      <c r="L235" s="5">
        <f t="shared" ca="1" si="59"/>
        <v>3.862660944206156E-4</v>
      </c>
      <c r="N235">
        <f t="shared" ca="1" si="60"/>
        <v>18.290999999999997</v>
      </c>
      <c r="O235">
        <f t="shared" ca="1" si="61"/>
        <v>1.0274365E-3</v>
      </c>
      <c r="P235">
        <f t="shared" ca="1" si="62"/>
        <v>1.000457275</v>
      </c>
      <c r="Q235">
        <f t="shared" ca="1" si="63"/>
        <v>1.9407762930143906</v>
      </c>
      <c r="R235">
        <f t="shared" ca="1" si="64"/>
        <v>10350.806896076749</v>
      </c>
      <c r="S235">
        <f t="shared" ca="1" si="65"/>
        <v>3.3492986832732687</v>
      </c>
      <c r="T235">
        <f t="shared" ca="1" si="66"/>
        <v>1</v>
      </c>
      <c r="U235">
        <f t="shared" ca="1" si="67"/>
        <v>10355</v>
      </c>
      <c r="V235">
        <f t="shared" ca="1" si="68"/>
        <v>1.9415625000000001</v>
      </c>
      <c r="X235">
        <f t="shared" ca="1" si="69"/>
        <v>1.9396481109100836</v>
      </c>
    </row>
    <row r="236" spans="5:24" x14ac:dyDescent="0.25">
      <c r="E236">
        <v>234</v>
      </c>
      <c r="F236">
        <f t="shared" si="53"/>
        <v>43.400000000000006</v>
      </c>
      <c r="G236">
        <f t="shared" ca="1" si="54"/>
        <v>43.395000000000003</v>
      </c>
      <c r="H236" s="5">
        <f t="shared" ca="1" si="55"/>
        <v>5.000000000002558E-3</v>
      </c>
      <c r="I236" s="5">
        <f t="shared" ca="1" si="56"/>
        <v>1.1520737327194833E-4</v>
      </c>
      <c r="J236" s="10">
        <f t="shared" si="57"/>
        <v>1.9500000000000004</v>
      </c>
      <c r="K236" s="12">
        <f t="shared" ca="1" si="58"/>
        <v>1.9495833333333332</v>
      </c>
      <c r="L236" s="5">
        <f t="shared" ca="1" si="59"/>
        <v>2.1367521367547478E-4</v>
      </c>
      <c r="N236">
        <f t="shared" ca="1" si="60"/>
        <v>18.395000000000003</v>
      </c>
      <c r="O236">
        <f t="shared" ca="1" si="61"/>
        <v>1.0275925000000001E-3</v>
      </c>
      <c r="P236">
        <f t="shared" ca="1" si="62"/>
        <v>1.000459875</v>
      </c>
      <c r="Q236">
        <f t="shared" ca="1" si="63"/>
        <v>1.9494518329046489</v>
      </c>
      <c r="R236">
        <f t="shared" ca="1" si="64"/>
        <v>10397.076442158126</v>
      </c>
      <c r="S236">
        <f t="shared" ca="1" si="65"/>
        <v>3.3589665287118637</v>
      </c>
      <c r="T236">
        <f t="shared" ca="1" si="66"/>
        <v>2</v>
      </c>
      <c r="U236">
        <f t="shared" ca="1" si="67"/>
        <v>10402</v>
      </c>
      <c r="V236">
        <f t="shared" ca="1" si="68"/>
        <v>1.950375</v>
      </c>
      <c r="X236">
        <f t="shared" ca="1" si="69"/>
        <v>1.9484513634292429</v>
      </c>
    </row>
    <row r="237" spans="5:24" x14ac:dyDescent="0.25">
      <c r="E237">
        <v>235</v>
      </c>
      <c r="F237">
        <f t="shared" si="53"/>
        <v>43.5</v>
      </c>
      <c r="G237">
        <f t="shared" ca="1" si="54"/>
        <v>43.494</v>
      </c>
      <c r="H237" s="5">
        <f t="shared" ca="1" si="55"/>
        <v>6.0000000000002274E-3</v>
      </c>
      <c r="I237" s="5">
        <f t="shared" ca="1" si="56"/>
        <v>1.3793103448276386E-4</v>
      </c>
      <c r="J237" s="10">
        <f t="shared" si="57"/>
        <v>1.9583333333333333</v>
      </c>
      <c r="K237" s="12">
        <f t="shared" ca="1" si="58"/>
        <v>1.9578333333333331</v>
      </c>
      <c r="L237" s="5">
        <f t="shared" ca="1" si="59"/>
        <v>2.5531914893625547E-4</v>
      </c>
      <c r="N237">
        <f t="shared" ca="1" si="60"/>
        <v>18.494</v>
      </c>
      <c r="O237">
        <f t="shared" ca="1" si="61"/>
        <v>1.027741E-3</v>
      </c>
      <c r="P237">
        <f t="shared" ca="1" si="62"/>
        <v>1.0004623500000001</v>
      </c>
      <c r="Q237">
        <f t="shared" ca="1" si="63"/>
        <v>1.9577103213989486</v>
      </c>
      <c r="R237">
        <f t="shared" ca="1" si="64"/>
        <v>10441.121714127727</v>
      </c>
      <c r="S237">
        <f t="shared" ca="1" si="65"/>
        <v>3.3681082142045828</v>
      </c>
      <c r="T237">
        <f t="shared" ca="1" si="66"/>
        <v>2</v>
      </c>
      <c r="U237">
        <f t="shared" ca="1" si="67"/>
        <v>10446</v>
      </c>
      <c r="V237">
        <f t="shared" ca="1" si="68"/>
        <v>1.9586250000000001</v>
      </c>
      <c r="X237">
        <f t="shared" ca="1" si="69"/>
        <v>1.956692582184627</v>
      </c>
    </row>
    <row r="238" spans="5:24" x14ac:dyDescent="0.25">
      <c r="E238">
        <v>236</v>
      </c>
      <c r="F238">
        <f t="shared" si="53"/>
        <v>43.6</v>
      </c>
      <c r="G238">
        <f t="shared" ca="1" si="54"/>
        <v>43.593000000000004</v>
      </c>
      <c r="H238" s="5">
        <f t="shared" ca="1" si="55"/>
        <v>6.9999999999978968E-3</v>
      </c>
      <c r="I238" s="5">
        <f t="shared" ca="1" si="56"/>
        <v>1.6055045871554808E-4</v>
      </c>
      <c r="J238" s="10">
        <f t="shared" si="57"/>
        <v>1.9666666666666666</v>
      </c>
      <c r="K238" s="12">
        <f t="shared" ca="1" si="58"/>
        <v>1.9660833333333334</v>
      </c>
      <c r="L238" s="5">
        <f t="shared" ca="1" si="59"/>
        <v>2.9661016949143634E-4</v>
      </c>
      <c r="N238">
        <f t="shared" ca="1" si="60"/>
        <v>18.593000000000004</v>
      </c>
      <c r="O238">
        <f t="shared" ca="1" si="61"/>
        <v>1.0278895000000001E-3</v>
      </c>
      <c r="P238">
        <f t="shared" ca="1" si="62"/>
        <v>1.0004648249999999</v>
      </c>
      <c r="Q238">
        <f t="shared" ca="1" si="63"/>
        <v>1.965968850730013</v>
      </c>
      <c r="R238">
        <f t="shared" ca="1" si="64"/>
        <v>10485.167203893403</v>
      </c>
      <c r="S238">
        <f t="shared" ca="1" si="65"/>
        <v>3.3771898846587569</v>
      </c>
      <c r="T238">
        <f t="shared" ca="1" si="66"/>
        <v>1</v>
      </c>
      <c r="U238">
        <f t="shared" ca="1" si="67"/>
        <v>10490</v>
      </c>
      <c r="V238">
        <f t="shared" ca="1" si="68"/>
        <v>1.9668750000000002</v>
      </c>
      <c r="X238">
        <f t="shared" ca="1" si="69"/>
        <v>1.9649337601649317</v>
      </c>
    </row>
    <row r="239" spans="5:24" x14ac:dyDescent="0.25">
      <c r="E239">
        <v>237</v>
      </c>
      <c r="F239">
        <f t="shared" si="53"/>
        <v>43.7</v>
      </c>
      <c r="G239">
        <f t="shared" ca="1" si="54"/>
        <v>43.7</v>
      </c>
      <c r="H239" s="5">
        <f t="shared" ca="1" si="55"/>
        <v>0</v>
      </c>
      <c r="I239" s="5">
        <f t="shared" ca="1" si="56"/>
        <v>0</v>
      </c>
      <c r="J239" s="10">
        <f t="shared" si="57"/>
        <v>1.9749999999999999</v>
      </c>
      <c r="K239" s="12">
        <f t="shared" ca="1" si="58"/>
        <v>1.9749999999999999</v>
      </c>
      <c r="L239" s="5">
        <f t="shared" ca="1" si="59"/>
        <v>0</v>
      </c>
      <c r="N239">
        <f t="shared" ca="1" si="60"/>
        <v>18.700000000000003</v>
      </c>
      <c r="O239">
        <f t="shared" ca="1" si="61"/>
        <v>1.02805E-3</v>
      </c>
      <c r="P239">
        <f t="shared" ca="1" si="62"/>
        <v>1.0004675000000001</v>
      </c>
      <c r="Q239">
        <f t="shared" ca="1" si="63"/>
        <v>1.9748947818866252</v>
      </c>
      <c r="R239">
        <f t="shared" ca="1" si="64"/>
        <v>10532.772170062</v>
      </c>
      <c r="S239">
        <f t="shared" ca="1" si="65"/>
        <v>3.3869377539226879</v>
      </c>
      <c r="T239">
        <f t="shared" ca="1" si="66"/>
        <v>-2</v>
      </c>
      <c r="U239">
        <f t="shared" ca="1" si="67"/>
        <v>10534</v>
      </c>
      <c r="V239">
        <f t="shared" ca="1" si="68"/>
        <v>1.975125</v>
      </c>
      <c r="X239">
        <f t="shared" ca="1" si="69"/>
        <v>1.9731744909254922</v>
      </c>
    </row>
    <row r="240" spans="5:24" x14ac:dyDescent="0.25">
      <c r="E240">
        <v>238</v>
      </c>
      <c r="F240">
        <f t="shared" si="53"/>
        <v>43.8</v>
      </c>
      <c r="G240">
        <f t="shared" ca="1" si="54"/>
        <v>43.792999999999999</v>
      </c>
      <c r="H240" s="5">
        <f t="shared" ca="1" si="55"/>
        <v>6.9999999999978968E-3</v>
      </c>
      <c r="I240" s="5">
        <f t="shared" ca="1" si="56"/>
        <v>1.5981735159812551E-4</v>
      </c>
      <c r="J240" s="10">
        <f t="shared" si="57"/>
        <v>1.9833333333333327</v>
      </c>
      <c r="K240" s="12">
        <f t="shared" ca="1" si="58"/>
        <v>1.9827499999999996</v>
      </c>
      <c r="L240" s="5">
        <f t="shared" ca="1" si="59"/>
        <v>2.9411764705873525E-4</v>
      </c>
      <c r="N240">
        <f t="shared" ca="1" si="60"/>
        <v>18.792999999999999</v>
      </c>
      <c r="O240">
        <f t="shared" ca="1" si="61"/>
        <v>1.0281895000000001E-3</v>
      </c>
      <c r="P240">
        <f t="shared" ca="1" si="62"/>
        <v>1.0004698249999999</v>
      </c>
      <c r="Q240">
        <f t="shared" ca="1" si="63"/>
        <v>1.9826528729496176</v>
      </c>
      <c r="R240">
        <f t="shared" ca="1" si="64"/>
        <v>10574.148655731293</v>
      </c>
      <c r="S240">
        <f t="shared" ca="1" si="65"/>
        <v>3.3953529406428147</v>
      </c>
      <c r="T240">
        <f t="shared" ca="1" si="66"/>
        <v>0</v>
      </c>
      <c r="U240">
        <f t="shared" ca="1" si="67"/>
        <v>10578</v>
      </c>
      <c r="V240">
        <f t="shared" ca="1" si="68"/>
        <v>1.9833750000000001</v>
      </c>
      <c r="X240">
        <f t="shared" ca="1" si="69"/>
        <v>1.9814158917786455</v>
      </c>
    </row>
    <row r="241" spans="5:24" x14ac:dyDescent="0.25">
      <c r="E241">
        <v>239</v>
      </c>
      <c r="F241">
        <f t="shared" si="53"/>
        <v>43.900000000000006</v>
      </c>
      <c r="G241">
        <f t="shared" ca="1" si="54"/>
        <v>43.893000000000008</v>
      </c>
      <c r="H241" s="5">
        <f t="shared" ca="1" si="55"/>
        <v>6.9999999999978968E-3</v>
      </c>
      <c r="I241" s="5">
        <f t="shared" ca="1" si="56"/>
        <v>1.5945330296122769E-4</v>
      </c>
      <c r="J241" s="10">
        <f t="shared" si="57"/>
        <v>1.9916666666666669</v>
      </c>
      <c r="K241" s="12">
        <f t="shared" ca="1" si="58"/>
        <v>1.9910833333333338</v>
      </c>
      <c r="L241" s="5">
        <f t="shared" ca="1" si="59"/>
        <v>2.9288702928861491E-4</v>
      </c>
      <c r="N241">
        <f t="shared" ca="1" si="60"/>
        <v>18.893000000000008</v>
      </c>
      <c r="O241">
        <f t="shared" ca="1" si="61"/>
        <v>1.0283395E-3</v>
      </c>
      <c r="P241">
        <f t="shared" ca="1" si="62"/>
        <v>1.0004723250000001</v>
      </c>
      <c r="Q241">
        <f t="shared" ca="1" si="63"/>
        <v>1.9909949465582963</v>
      </c>
      <c r="R241">
        <f t="shared" ca="1" si="64"/>
        <v>10618.63971497758</v>
      </c>
      <c r="S241">
        <f t="shared" ca="1" si="65"/>
        <v>3.4043419533721271</v>
      </c>
      <c r="T241">
        <f t="shared" ca="1" si="66"/>
        <v>-2</v>
      </c>
      <c r="U241">
        <f t="shared" ca="1" si="67"/>
        <v>10620</v>
      </c>
      <c r="V241">
        <f t="shared" ca="1" si="68"/>
        <v>1.99125</v>
      </c>
      <c r="X241">
        <f t="shared" ca="1" si="69"/>
        <v>1.9892820728449434</v>
      </c>
    </row>
    <row r="242" spans="5:24" x14ac:dyDescent="0.25">
      <c r="E242">
        <v>240</v>
      </c>
      <c r="F242">
        <f t="shared" si="53"/>
        <v>44</v>
      </c>
      <c r="G242">
        <f t="shared" ca="1" si="54"/>
        <v>43.991999999999997</v>
      </c>
      <c r="H242" s="5">
        <f t="shared" ca="1" si="55"/>
        <v>8.0000000000026716E-3</v>
      </c>
      <c r="I242" s="5">
        <f t="shared" ca="1" si="56"/>
        <v>1.8181818181824255E-4</v>
      </c>
      <c r="J242" s="10">
        <f t="shared" si="57"/>
        <v>1.9999999999999998</v>
      </c>
      <c r="K242" s="12">
        <f t="shared" ca="1" si="58"/>
        <v>1.9993333333333327</v>
      </c>
      <c r="L242" s="5">
        <f t="shared" ca="1" si="59"/>
        <v>3.3333333333351872E-4</v>
      </c>
      <c r="N242">
        <f t="shared" ca="1" si="60"/>
        <v>18.991999999999997</v>
      </c>
      <c r="O242">
        <f t="shared" ca="1" si="61"/>
        <v>1.0284879999999999E-3</v>
      </c>
      <c r="P242">
        <f t="shared" ca="1" si="62"/>
        <v>1.0004748000000001</v>
      </c>
      <c r="Q242">
        <f t="shared" ca="1" si="63"/>
        <v>1.9992536404738972</v>
      </c>
      <c r="R242">
        <f t="shared" ca="1" si="64"/>
        <v>10662.686082527451</v>
      </c>
      <c r="S242">
        <f t="shared" ca="1" si="65"/>
        <v>3.413180105343979</v>
      </c>
      <c r="T242">
        <f t="shared" ca="1" si="66"/>
        <v>-2</v>
      </c>
      <c r="U242">
        <f t="shared" ca="1" si="67"/>
        <v>10664</v>
      </c>
      <c r="V242">
        <f t="shared" ca="1" si="68"/>
        <v>1.9995000000000001</v>
      </c>
      <c r="X242">
        <f t="shared" ca="1" si="69"/>
        <v>1.9975230880377994</v>
      </c>
    </row>
    <row r="243" spans="5:24" x14ac:dyDescent="0.25">
      <c r="E243">
        <v>241</v>
      </c>
      <c r="F243">
        <f t="shared" si="53"/>
        <v>44.1</v>
      </c>
      <c r="G243">
        <f t="shared" ca="1" si="54"/>
        <v>44.106999999999999</v>
      </c>
      <c r="H243" s="5">
        <f t="shared" ca="1" si="55"/>
        <v>6.9999999999978968E-3</v>
      </c>
      <c r="I243" s="5">
        <f t="shared" ca="1" si="56"/>
        <v>1.5873015873011103E-4</v>
      </c>
      <c r="J243" s="10">
        <f t="shared" si="57"/>
        <v>2.0083333333333329</v>
      </c>
      <c r="K243" s="12">
        <f t="shared" ca="1" si="58"/>
        <v>2.008916666666666</v>
      </c>
      <c r="L243" s="5">
        <f t="shared" ca="1" si="59"/>
        <v>2.9045643153518251E-4</v>
      </c>
      <c r="N243">
        <f t="shared" ca="1" si="60"/>
        <v>19.106999999999999</v>
      </c>
      <c r="O243">
        <f t="shared" ca="1" si="61"/>
        <v>1.0286605E-3</v>
      </c>
      <c r="P243">
        <f t="shared" ca="1" si="62"/>
        <v>1.000477675</v>
      </c>
      <c r="Q243">
        <f t="shared" ca="1" si="63"/>
        <v>2.0088471240700119</v>
      </c>
      <c r="R243">
        <f t="shared" ca="1" si="64"/>
        <v>10713.851328373396</v>
      </c>
      <c r="S243">
        <f t="shared" ca="1" si="65"/>
        <v>3.4233702721717387</v>
      </c>
      <c r="T243">
        <f t="shared" ca="1" si="66"/>
        <v>-1</v>
      </c>
      <c r="U243">
        <f t="shared" ca="1" si="67"/>
        <v>10716</v>
      </c>
      <c r="V243">
        <f t="shared" ca="1" si="68"/>
        <v>2.0092500000000002</v>
      </c>
      <c r="X243">
        <f t="shared" ca="1" si="69"/>
        <v>2.0072625203755798</v>
      </c>
    </row>
    <row r="244" spans="5:24" x14ac:dyDescent="0.25">
      <c r="E244">
        <v>242</v>
      </c>
      <c r="F244">
        <f t="shared" si="53"/>
        <v>44.2</v>
      </c>
      <c r="G244">
        <f t="shared" ca="1" si="54"/>
        <v>44.199000000000005</v>
      </c>
      <c r="H244" s="5">
        <f t="shared" ca="1" si="55"/>
        <v>9.9999999999766942E-4</v>
      </c>
      <c r="I244" s="5">
        <f t="shared" ca="1" si="56"/>
        <v>2.2624434389087542E-5</v>
      </c>
      <c r="J244" s="10">
        <f t="shared" si="57"/>
        <v>2.0166666666666666</v>
      </c>
      <c r="K244" s="12">
        <f t="shared" ca="1" si="58"/>
        <v>2.0165833333333332</v>
      </c>
      <c r="L244" s="5">
        <f t="shared" ca="1" si="59"/>
        <v>4.1322314049637277E-5</v>
      </c>
      <c r="N244">
        <f t="shared" ca="1" si="60"/>
        <v>19.199000000000005</v>
      </c>
      <c r="O244">
        <f t="shared" ca="1" si="61"/>
        <v>1.0287985E-3</v>
      </c>
      <c r="P244">
        <f t="shared" ca="1" si="62"/>
        <v>1.000479975</v>
      </c>
      <c r="Q244">
        <f t="shared" ca="1" si="63"/>
        <v>2.0165219506211898</v>
      </c>
      <c r="R244">
        <f t="shared" ca="1" si="64"/>
        <v>10754.783736646345</v>
      </c>
      <c r="S244">
        <f t="shared" ca="1" si="65"/>
        <v>3.4314631480006104</v>
      </c>
      <c r="T244">
        <f t="shared" ca="1" si="66"/>
        <v>-2</v>
      </c>
      <c r="U244">
        <f t="shared" ca="1" si="67"/>
        <v>10756</v>
      </c>
      <c r="V244">
        <f t="shared" ca="1" si="68"/>
        <v>2.01675</v>
      </c>
      <c r="X244">
        <f t="shared" ca="1" si="69"/>
        <v>2.0147541698673179</v>
      </c>
    </row>
    <row r="245" spans="5:24" x14ac:dyDescent="0.25">
      <c r="E245">
        <v>243</v>
      </c>
      <c r="F245">
        <f t="shared" si="53"/>
        <v>44.3</v>
      </c>
      <c r="G245">
        <f t="shared" ca="1" si="54"/>
        <v>44.297999999999995</v>
      </c>
      <c r="H245" s="5">
        <f t="shared" ca="1" si="55"/>
        <v>2.0000000000024443E-3</v>
      </c>
      <c r="I245" s="5">
        <f t="shared" ca="1" si="56"/>
        <v>4.5146726862357661E-5</v>
      </c>
      <c r="J245" s="10">
        <f t="shared" si="57"/>
        <v>2.0249999999999995</v>
      </c>
      <c r="K245" s="12">
        <f t="shared" ca="1" si="58"/>
        <v>2.0248333333333326</v>
      </c>
      <c r="L245" s="5">
        <f t="shared" ca="1" si="59"/>
        <v>8.23045267490718E-5</v>
      </c>
      <c r="N245">
        <f t="shared" ca="1" si="60"/>
        <v>19.297999999999995</v>
      </c>
      <c r="O245">
        <f t="shared" ca="1" si="61"/>
        <v>1.0289470000000001E-3</v>
      </c>
      <c r="P245">
        <f t="shared" ca="1" si="62"/>
        <v>1.00048245</v>
      </c>
      <c r="Q245">
        <f t="shared" ca="1" si="63"/>
        <v>2.0247807707595191</v>
      </c>
      <c r="R245">
        <f t="shared" ca="1" si="64"/>
        <v>10798.830777384102</v>
      </c>
      <c r="S245">
        <f t="shared" ca="1" si="65"/>
        <v>3.4401127932591926</v>
      </c>
      <c r="T245">
        <f t="shared" ca="1" si="66"/>
        <v>1</v>
      </c>
      <c r="U245">
        <f t="shared" ca="1" si="67"/>
        <v>10803</v>
      </c>
      <c r="V245">
        <f t="shared" ca="1" si="68"/>
        <v>2.0255624999999999</v>
      </c>
      <c r="X245">
        <f t="shared" ca="1" si="69"/>
        <v>2.0235572877865073</v>
      </c>
    </row>
    <row r="246" spans="5:24" x14ac:dyDescent="0.25">
      <c r="E246">
        <v>244</v>
      </c>
      <c r="F246">
        <f t="shared" si="53"/>
        <v>44.400000000000006</v>
      </c>
      <c r="G246">
        <f t="shared" ca="1" si="54"/>
        <v>44.395000000000003</v>
      </c>
      <c r="H246" s="5">
        <f t="shared" ca="1" si="55"/>
        <v>5.000000000002558E-3</v>
      </c>
      <c r="I246" s="5">
        <f t="shared" ca="1" si="56"/>
        <v>1.1261261261267021E-4</v>
      </c>
      <c r="J246" s="10">
        <f t="shared" si="57"/>
        <v>2.0333333333333332</v>
      </c>
      <c r="K246" s="12">
        <f t="shared" ca="1" si="58"/>
        <v>2.0329166666666669</v>
      </c>
      <c r="L246" s="5">
        <f t="shared" ca="1" si="59"/>
        <v>2.049180327866989E-4</v>
      </c>
      <c r="N246">
        <f t="shared" ca="1" si="60"/>
        <v>19.395000000000003</v>
      </c>
      <c r="O246">
        <f t="shared" ca="1" si="61"/>
        <v>1.0290925000000001E-3</v>
      </c>
      <c r="P246">
        <f t="shared" ca="1" si="62"/>
        <v>1.0004848749999999</v>
      </c>
      <c r="Q246">
        <f t="shared" ca="1" si="63"/>
        <v>2.0328727856541908</v>
      </c>
      <c r="R246">
        <f t="shared" ca="1" si="64"/>
        <v>10841.988190155684</v>
      </c>
      <c r="S246">
        <f t="shared" ca="1" si="65"/>
        <v>3.4485282380878926</v>
      </c>
      <c r="T246">
        <f t="shared" ca="1" si="66"/>
        <v>3</v>
      </c>
      <c r="U246">
        <f t="shared" ca="1" si="67"/>
        <v>10848</v>
      </c>
      <c r="V246">
        <f t="shared" ca="1" si="68"/>
        <v>2.0340000000000003</v>
      </c>
      <c r="X246">
        <f t="shared" ca="1" si="69"/>
        <v>2.0319856484587038</v>
      </c>
    </row>
    <row r="247" spans="5:24" x14ac:dyDescent="0.25">
      <c r="E247">
        <v>245</v>
      </c>
      <c r="F247">
        <f t="shared" si="53"/>
        <v>44.5</v>
      </c>
      <c r="G247">
        <f t="shared" ca="1" si="54"/>
        <v>44.491999999999997</v>
      </c>
      <c r="H247" s="5">
        <f t="shared" ca="1" si="55"/>
        <v>8.0000000000026716E-3</v>
      </c>
      <c r="I247" s="5">
        <f t="shared" ca="1" si="56"/>
        <v>1.7977528089893645E-4</v>
      </c>
      <c r="J247" s="10">
        <f t="shared" si="57"/>
        <v>2.0416666666666661</v>
      </c>
      <c r="K247" s="12">
        <f t="shared" ca="1" si="58"/>
        <v>2.0409999999999995</v>
      </c>
      <c r="L247" s="5">
        <f t="shared" ca="1" si="59"/>
        <v>3.2653061224486207E-4</v>
      </c>
      <c r="N247">
        <f t="shared" ca="1" si="60"/>
        <v>19.491999999999997</v>
      </c>
      <c r="O247">
        <f t="shared" ca="1" si="61"/>
        <v>1.029238E-3</v>
      </c>
      <c r="P247">
        <f t="shared" ca="1" si="62"/>
        <v>1.0004873000000001</v>
      </c>
      <c r="Q247">
        <f t="shared" ca="1" si="63"/>
        <v>2.0409648397523221</v>
      </c>
      <c r="R247">
        <f t="shared" ca="1" si="64"/>
        <v>10885.145812012384</v>
      </c>
      <c r="S247">
        <f t="shared" ca="1" si="65"/>
        <v>3.4568846835980431</v>
      </c>
      <c r="T247">
        <f t="shared" ca="1" si="66"/>
        <v>1</v>
      </c>
      <c r="U247">
        <f t="shared" ca="1" si="67"/>
        <v>10890</v>
      </c>
      <c r="V247">
        <f t="shared" ca="1" si="68"/>
        <v>2.0418750000000001</v>
      </c>
      <c r="X247">
        <f t="shared" ca="1" si="69"/>
        <v>2.0398517422460034</v>
      </c>
    </row>
    <row r="248" spans="5:24" x14ac:dyDescent="0.25">
      <c r="E248">
        <v>246</v>
      </c>
      <c r="F248">
        <f t="shared" si="53"/>
        <v>44.6</v>
      </c>
      <c r="G248">
        <f t="shared" ca="1" si="54"/>
        <v>44.603999999999999</v>
      </c>
      <c r="H248" s="5">
        <f t="shared" ca="1" si="55"/>
        <v>3.9999999999977831E-3</v>
      </c>
      <c r="I248" s="5">
        <f t="shared" ca="1" si="56"/>
        <v>8.9686098654658805E-5</v>
      </c>
      <c r="J248" s="10">
        <f t="shared" si="57"/>
        <v>2.0499999999999998</v>
      </c>
      <c r="K248" s="12">
        <f t="shared" ca="1" si="58"/>
        <v>2.0503333333333327</v>
      </c>
      <c r="L248" s="5">
        <f t="shared" ca="1" si="59"/>
        <v>1.6260162601602565E-4</v>
      </c>
      <c r="N248">
        <f t="shared" ca="1" si="60"/>
        <v>19.603999999999999</v>
      </c>
      <c r="O248">
        <f t="shared" ca="1" si="61"/>
        <v>1.0294060000000001E-3</v>
      </c>
      <c r="P248">
        <f t="shared" ca="1" si="62"/>
        <v>1.0004900999999999</v>
      </c>
      <c r="Q248">
        <f t="shared" ca="1" si="63"/>
        <v>2.0503082911881187</v>
      </c>
      <c r="R248">
        <f t="shared" ca="1" si="64"/>
        <v>10934.9775530033</v>
      </c>
      <c r="S248">
        <f t="shared" ca="1" si="65"/>
        <v>3.4664597845812168</v>
      </c>
      <c r="T248">
        <f t="shared" ca="1" si="66"/>
        <v>0</v>
      </c>
      <c r="U248">
        <f t="shared" ca="1" si="67"/>
        <v>10938</v>
      </c>
      <c r="V248">
        <f t="shared" ca="1" si="68"/>
        <v>2.050875</v>
      </c>
      <c r="X248">
        <f t="shared" ca="1" si="69"/>
        <v>2.0488414568020215</v>
      </c>
    </row>
    <row r="249" spans="5:24" x14ac:dyDescent="0.25">
      <c r="E249">
        <v>247</v>
      </c>
      <c r="F249">
        <f t="shared" si="53"/>
        <v>44.7</v>
      </c>
      <c r="G249">
        <f t="shared" ca="1" si="54"/>
        <v>44.705000000000005</v>
      </c>
      <c r="H249" s="5">
        <f t="shared" ca="1" si="55"/>
        <v>5.000000000002558E-3</v>
      </c>
      <c r="I249" s="5">
        <f t="shared" ca="1" si="56"/>
        <v>1.1185682326627646E-4</v>
      </c>
      <c r="J249" s="10">
        <f t="shared" si="57"/>
        <v>2.0583333333333336</v>
      </c>
      <c r="K249" s="12">
        <f t="shared" ca="1" si="58"/>
        <v>2.0587499999999999</v>
      </c>
      <c r="L249" s="5">
        <f t="shared" ca="1" si="59"/>
        <v>2.0242914979738672E-4</v>
      </c>
      <c r="N249">
        <f t="shared" ca="1" si="60"/>
        <v>19.705000000000005</v>
      </c>
      <c r="O249">
        <f t="shared" ca="1" si="61"/>
        <v>1.0295575000000001E-3</v>
      </c>
      <c r="P249">
        <f t="shared" ca="1" si="62"/>
        <v>1.0004926249999999</v>
      </c>
      <c r="Q249">
        <f t="shared" ca="1" si="63"/>
        <v>2.0587341270329862</v>
      </c>
      <c r="R249">
        <f t="shared" ca="1" si="64"/>
        <v>10979.915344175926</v>
      </c>
      <c r="S249">
        <f t="shared" ca="1" si="65"/>
        <v>3.4750266781024979</v>
      </c>
      <c r="T249">
        <f t="shared" ca="1" si="66"/>
        <v>-1</v>
      </c>
      <c r="U249">
        <f t="shared" ca="1" si="67"/>
        <v>10982</v>
      </c>
      <c r="V249">
        <f t="shared" ca="1" si="68"/>
        <v>2.0591249999999999</v>
      </c>
      <c r="X249">
        <f t="shared" ca="1" si="69"/>
        <v>2.0570820724440626</v>
      </c>
    </row>
    <row r="250" spans="5:24" x14ac:dyDescent="0.25">
      <c r="E250">
        <v>248</v>
      </c>
      <c r="F250">
        <f t="shared" si="53"/>
        <v>44.8</v>
      </c>
      <c r="G250">
        <f t="shared" ca="1" si="54"/>
        <v>44.793999999999997</v>
      </c>
      <c r="H250" s="5">
        <f t="shared" ca="1" si="55"/>
        <v>6.0000000000002274E-3</v>
      </c>
      <c r="I250" s="5">
        <f t="shared" ca="1" si="56"/>
        <v>1.339285714285765E-4</v>
      </c>
      <c r="J250" s="10">
        <f t="shared" si="57"/>
        <v>2.0666666666666664</v>
      </c>
      <c r="K250" s="12">
        <f t="shared" ca="1" si="58"/>
        <v>2.0661666666666658</v>
      </c>
      <c r="L250" s="5">
        <f t="shared" ca="1" si="59"/>
        <v>2.4193548387126346E-4</v>
      </c>
      <c r="N250">
        <f t="shared" ca="1" si="60"/>
        <v>19.793999999999997</v>
      </c>
      <c r="O250">
        <f t="shared" ca="1" si="61"/>
        <v>1.0296910000000001E-3</v>
      </c>
      <c r="P250">
        <f t="shared" ca="1" si="62"/>
        <v>1.0004948499999999</v>
      </c>
      <c r="Q250">
        <f t="shared" ca="1" si="63"/>
        <v>2.0661589086990744</v>
      </c>
      <c r="R250">
        <f t="shared" ca="1" si="64"/>
        <v>11019.514179728396</v>
      </c>
      <c r="S250">
        <f t="shared" ca="1" si="65"/>
        <v>3.4825223007313855</v>
      </c>
      <c r="T250">
        <f t="shared" ca="1" si="66"/>
        <v>1</v>
      </c>
      <c r="U250">
        <f t="shared" ca="1" si="67"/>
        <v>11024</v>
      </c>
      <c r="V250">
        <f t="shared" ca="1" si="68"/>
        <v>2.0670000000000002</v>
      </c>
      <c r="X250">
        <f t="shared" ca="1" si="69"/>
        <v>2.064948469249992</v>
      </c>
    </row>
    <row r="251" spans="5:24" x14ac:dyDescent="0.25">
      <c r="E251">
        <v>249</v>
      </c>
      <c r="F251">
        <f t="shared" si="53"/>
        <v>44.900000000000006</v>
      </c>
      <c r="G251">
        <f t="shared" ca="1" si="54"/>
        <v>44.908000000000008</v>
      </c>
      <c r="H251" s="5">
        <f t="shared" ca="1" si="55"/>
        <v>8.0000000000026716E-3</v>
      </c>
      <c r="I251" s="5">
        <f t="shared" ca="1" si="56"/>
        <v>1.7817371937645145E-4</v>
      </c>
      <c r="J251" s="10">
        <f t="shared" si="57"/>
        <v>2.0750000000000002</v>
      </c>
      <c r="K251" s="12">
        <f t="shared" ca="1" si="58"/>
        <v>2.0756666666666668</v>
      </c>
      <c r="L251" s="5">
        <f t="shared" ca="1" si="59"/>
        <v>3.212851405622136E-4</v>
      </c>
      <c r="N251">
        <f t="shared" ca="1" si="60"/>
        <v>19.908000000000008</v>
      </c>
      <c r="O251">
        <f t="shared" ca="1" si="61"/>
        <v>1.0298620000000001E-3</v>
      </c>
      <c r="P251">
        <f t="shared" ca="1" si="62"/>
        <v>1.0004976999999999</v>
      </c>
      <c r="Q251">
        <f t="shared" ca="1" si="63"/>
        <v>2.0756693514043492</v>
      </c>
      <c r="R251">
        <f t="shared" ca="1" si="64"/>
        <v>11070.236540823194</v>
      </c>
      <c r="S251">
        <f t="shared" ca="1" si="65"/>
        <v>3.4920501442529166</v>
      </c>
      <c r="T251">
        <f t="shared" ca="1" si="66"/>
        <v>-3</v>
      </c>
      <c r="U251">
        <f t="shared" ca="1" si="67"/>
        <v>11071</v>
      </c>
      <c r="V251">
        <f t="shared" ca="1" si="68"/>
        <v>2.0758125000000001</v>
      </c>
      <c r="X251">
        <f t="shared" ca="1" si="69"/>
        <v>2.0737505323600445</v>
      </c>
    </row>
    <row r="252" spans="5:24" x14ac:dyDescent="0.25">
      <c r="E252">
        <v>250</v>
      </c>
      <c r="F252">
        <f t="shared" si="53"/>
        <v>45</v>
      </c>
      <c r="G252">
        <f t="shared" ca="1" si="54"/>
        <v>45.002000000000002</v>
      </c>
      <c r="H252" s="5">
        <f t="shared" ca="1" si="55"/>
        <v>2.0000000000024443E-3</v>
      </c>
      <c r="I252" s="5">
        <f t="shared" ca="1" si="56"/>
        <v>4.4444444444498758E-5</v>
      </c>
      <c r="J252" s="10">
        <f t="shared" si="57"/>
        <v>2.083333333333333</v>
      </c>
      <c r="K252" s="12">
        <f t="shared" ca="1" si="58"/>
        <v>2.0834999999999999</v>
      </c>
      <c r="L252" s="5">
        <f t="shared" ca="1" si="59"/>
        <v>8.0000000000097788E-5</v>
      </c>
      <c r="N252">
        <f t="shared" ca="1" si="60"/>
        <v>20.002000000000002</v>
      </c>
      <c r="O252">
        <f t="shared" ca="1" si="61"/>
        <v>1.030003E-3</v>
      </c>
      <c r="P252">
        <f t="shared" ca="1" si="62"/>
        <v>1.0005000500000001</v>
      </c>
      <c r="Q252">
        <f t="shared" ca="1" si="63"/>
        <v>2.0835113361220001</v>
      </c>
      <c r="R252">
        <f t="shared" ca="1" si="64"/>
        <v>11112.060459317334</v>
      </c>
      <c r="S252">
        <f t="shared" ca="1" si="65"/>
        <v>3.4998443666896826</v>
      </c>
      <c r="T252">
        <f t="shared" ca="1" si="66"/>
        <v>-1</v>
      </c>
      <c r="U252">
        <f t="shared" ca="1" si="67"/>
        <v>11115</v>
      </c>
      <c r="V252">
        <f t="shared" ca="1" si="68"/>
        <v>2.0840624999999999</v>
      </c>
      <c r="X252">
        <f t="shared" ca="1" si="69"/>
        <v>2.0819913972018291</v>
      </c>
    </row>
    <row r="253" spans="5:24" x14ac:dyDescent="0.25">
      <c r="E253">
        <v>251</v>
      </c>
      <c r="F253">
        <f t="shared" si="53"/>
        <v>45.1</v>
      </c>
      <c r="G253">
        <f t="shared" ca="1" si="54"/>
        <v>45.109000000000002</v>
      </c>
      <c r="H253" s="5">
        <f t="shared" ca="1" si="55"/>
        <v>9.0000000000003411E-3</v>
      </c>
      <c r="I253" s="5">
        <f t="shared" ca="1" si="56"/>
        <v>1.9955654101996322E-4</v>
      </c>
      <c r="J253" s="10">
        <f t="shared" si="57"/>
        <v>2.0916666666666668</v>
      </c>
      <c r="K253" s="12">
        <f t="shared" ca="1" si="58"/>
        <v>2.0924166666666668</v>
      </c>
      <c r="L253" s="5">
        <f t="shared" ca="1" si="59"/>
        <v>3.5856573705180639E-4</v>
      </c>
      <c r="N253">
        <f t="shared" ca="1" si="60"/>
        <v>20.109000000000002</v>
      </c>
      <c r="O253">
        <f t="shared" ca="1" si="61"/>
        <v>1.0301635000000001E-3</v>
      </c>
      <c r="P253">
        <f t="shared" ca="1" si="62"/>
        <v>1.000502725</v>
      </c>
      <c r="Q253">
        <f t="shared" ca="1" si="63"/>
        <v>2.0924378954464715</v>
      </c>
      <c r="R253">
        <f t="shared" ca="1" si="64"/>
        <v>11159.668775714514</v>
      </c>
      <c r="S253">
        <f t="shared" ca="1" si="65"/>
        <v>3.5086480661295445</v>
      </c>
      <c r="T253">
        <f t="shared" ca="1" si="66"/>
        <v>2</v>
      </c>
      <c r="U253">
        <f t="shared" ca="1" si="67"/>
        <v>11165</v>
      </c>
      <c r="V253">
        <f t="shared" ca="1" si="68"/>
        <v>2.0934374999999998</v>
      </c>
      <c r="X253">
        <f t="shared" ca="1" si="69"/>
        <v>2.0913559595752225</v>
      </c>
    </row>
    <row r="254" spans="5:24" x14ac:dyDescent="0.25">
      <c r="E254">
        <v>252</v>
      </c>
      <c r="F254">
        <f t="shared" si="53"/>
        <v>45.2</v>
      </c>
      <c r="G254">
        <f t="shared" ca="1" si="54"/>
        <v>45.193000000000005</v>
      </c>
      <c r="H254" s="5">
        <f t="shared" ca="1" si="55"/>
        <v>6.9999999999978968E-3</v>
      </c>
      <c r="I254" s="5">
        <f t="shared" ca="1" si="56"/>
        <v>1.5486725663712159E-4</v>
      </c>
      <c r="J254" s="10">
        <f t="shared" si="57"/>
        <v>2.0999999999999996</v>
      </c>
      <c r="K254" s="12">
        <f t="shared" ca="1" si="58"/>
        <v>2.0994166666666665</v>
      </c>
      <c r="L254" s="5">
        <f t="shared" ca="1" si="59"/>
        <v>2.7777777777769435E-4</v>
      </c>
      <c r="N254">
        <f t="shared" ca="1" si="60"/>
        <v>20.193000000000005</v>
      </c>
      <c r="O254">
        <f t="shared" ca="1" si="61"/>
        <v>1.0302894999999999E-3</v>
      </c>
      <c r="P254">
        <f t="shared" ca="1" si="62"/>
        <v>1.0005048249999999</v>
      </c>
      <c r="Q254">
        <f t="shared" ca="1" si="63"/>
        <v>2.0994456950695195</v>
      </c>
      <c r="R254">
        <f t="shared" ca="1" si="64"/>
        <v>11197.043707037437</v>
      </c>
      <c r="S254">
        <f t="shared" ca="1" si="65"/>
        <v>3.5155082056913542</v>
      </c>
      <c r="T254">
        <f t="shared" ca="1" si="66"/>
        <v>-3</v>
      </c>
      <c r="U254">
        <f t="shared" ca="1" si="67"/>
        <v>11198</v>
      </c>
      <c r="V254">
        <f t="shared" ca="1" si="68"/>
        <v>2.0996250000000001</v>
      </c>
      <c r="X254">
        <f t="shared" ca="1" si="69"/>
        <v>2.0975358219786697</v>
      </c>
    </row>
    <row r="255" spans="5:24" x14ac:dyDescent="0.25">
      <c r="E255">
        <v>253</v>
      </c>
      <c r="F255">
        <f t="shared" si="53"/>
        <v>45.3</v>
      </c>
      <c r="G255">
        <f t="shared" ca="1" si="54"/>
        <v>45.294999999999995</v>
      </c>
      <c r="H255" s="5">
        <f t="shared" ca="1" si="55"/>
        <v>5.000000000002558E-3</v>
      </c>
      <c r="I255" s="5">
        <f t="shared" ca="1" si="56"/>
        <v>1.1037527593824632E-4</v>
      </c>
      <c r="J255" s="10">
        <f t="shared" si="57"/>
        <v>2.1083333333333325</v>
      </c>
      <c r="K255" s="12">
        <f t="shared" ca="1" si="58"/>
        <v>2.1079166666666662</v>
      </c>
      <c r="L255" s="5">
        <f t="shared" ca="1" si="59"/>
        <v>1.9762845849784406E-4</v>
      </c>
      <c r="N255">
        <f t="shared" ca="1" si="60"/>
        <v>20.294999999999995</v>
      </c>
      <c r="O255">
        <f t="shared" ca="1" si="61"/>
        <v>1.0304425000000001E-3</v>
      </c>
      <c r="P255">
        <f t="shared" ca="1" si="62"/>
        <v>1.000507375</v>
      </c>
      <c r="Q255">
        <f t="shared" ca="1" si="63"/>
        <v>2.1079552055646529</v>
      </c>
      <c r="R255">
        <f t="shared" ca="1" si="64"/>
        <v>11242.427763011481</v>
      </c>
      <c r="S255">
        <f t="shared" ca="1" si="65"/>
        <v>3.5237777211844952</v>
      </c>
      <c r="T255">
        <f t="shared" ca="1" si="66"/>
        <v>-3</v>
      </c>
      <c r="U255">
        <f t="shared" ca="1" si="67"/>
        <v>11243</v>
      </c>
      <c r="V255">
        <f t="shared" ca="1" si="68"/>
        <v>2.1080625</v>
      </c>
      <c r="X255">
        <f t="shared" ca="1" si="69"/>
        <v>2.1059635442467379</v>
      </c>
    </row>
    <row r="256" spans="5:24" x14ac:dyDescent="0.25">
      <c r="E256">
        <v>254</v>
      </c>
      <c r="F256">
        <f t="shared" si="53"/>
        <v>45.400000000000006</v>
      </c>
      <c r="G256">
        <f t="shared" ca="1" si="54"/>
        <v>45.390000000000008</v>
      </c>
      <c r="H256" s="5">
        <f t="shared" ca="1" si="55"/>
        <v>9.9999999999980105E-3</v>
      </c>
      <c r="I256" s="5">
        <f t="shared" ca="1" si="56"/>
        <v>2.2026431718057289E-4</v>
      </c>
      <c r="J256" s="10">
        <f t="shared" si="57"/>
        <v>2.1166666666666671</v>
      </c>
      <c r="K256" s="12">
        <f t="shared" ca="1" si="58"/>
        <v>2.1158333333333337</v>
      </c>
      <c r="L256" s="5">
        <f t="shared" ca="1" si="59"/>
        <v>3.9370078740163627E-4</v>
      </c>
      <c r="N256">
        <f t="shared" ca="1" si="60"/>
        <v>20.390000000000008</v>
      </c>
      <c r="O256">
        <f t="shared" ca="1" si="61"/>
        <v>1.0305850000000001E-3</v>
      </c>
      <c r="P256">
        <f t="shared" ca="1" si="62"/>
        <v>1.00050975</v>
      </c>
      <c r="Q256">
        <f t="shared" ca="1" si="63"/>
        <v>2.1158807690342964</v>
      </c>
      <c r="R256">
        <f t="shared" ca="1" si="64"/>
        <v>11284.697434849581</v>
      </c>
      <c r="S256">
        <f t="shared" ca="1" si="65"/>
        <v>3.5314197584467761</v>
      </c>
      <c r="T256">
        <f t="shared" ca="1" si="66"/>
        <v>-1</v>
      </c>
      <c r="U256">
        <f t="shared" ca="1" si="67"/>
        <v>11287</v>
      </c>
      <c r="V256">
        <f t="shared" ca="1" si="68"/>
        <v>2.1163125000000003</v>
      </c>
      <c r="X256">
        <f t="shared" ca="1" si="69"/>
        <v>2.1142041994093512</v>
      </c>
    </row>
    <row r="257" spans="5:24" x14ac:dyDescent="0.25">
      <c r="E257">
        <v>255</v>
      </c>
      <c r="F257">
        <f t="shared" si="53"/>
        <v>45.5</v>
      </c>
      <c r="G257">
        <f t="shared" ca="1" si="54"/>
        <v>45.508000000000003</v>
      </c>
      <c r="H257" s="5">
        <f t="shared" ca="1" si="55"/>
        <v>8.0000000000026716E-3</v>
      </c>
      <c r="I257" s="5">
        <f t="shared" ca="1" si="56"/>
        <v>1.7582417582423453E-4</v>
      </c>
      <c r="J257" s="10">
        <f t="shared" si="57"/>
        <v>2.125</v>
      </c>
      <c r="K257" s="12">
        <f t="shared" ca="1" si="58"/>
        <v>2.1256666666666666</v>
      </c>
      <c r="L257" s="5">
        <f t="shared" ca="1" si="59"/>
        <v>3.1372549019604385E-4</v>
      </c>
      <c r="N257">
        <f t="shared" ca="1" si="60"/>
        <v>20.508000000000003</v>
      </c>
      <c r="O257">
        <f t="shared" ca="1" si="61"/>
        <v>1.030762E-3</v>
      </c>
      <c r="P257">
        <f t="shared" ca="1" si="62"/>
        <v>1.0005127</v>
      </c>
      <c r="Q257">
        <f t="shared" ca="1" si="63"/>
        <v>2.1257252054949891</v>
      </c>
      <c r="R257">
        <f t="shared" ca="1" si="64"/>
        <v>11337.201095973274</v>
      </c>
      <c r="S257">
        <f t="shared" ca="1" si="65"/>
        <v>3.5408312499831744</v>
      </c>
      <c r="T257">
        <f t="shared" ca="1" si="66"/>
        <v>-2</v>
      </c>
      <c r="U257">
        <f t="shared" ca="1" si="67"/>
        <v>11339</v>
      </c>
      <c r="V257">
        <f t="shared" ca="1" si="68"/>
        <v>2.1260625000000002</v>
      </c>
      <c r="X257">
        <f t="shared" ca="1" si="69"/>
        <v>2.1239427925302699</v>
      </c>
    </row>
    <row r="258" spans="5:24" x14ac:dyDescent="0.25">
      <c r="E258">
        <v>256</v>
      </c>
      <c r="F258">
        <f t="shared" si="53"/>
        <v>45.6</v>
      </c>
      <c r="G258">
        <f t="shared" ca="1" si="54"/>
        <v>45.606000000000002</v>
      </c>
      <c r="H258" s="5">
        <f t="shared" ca="1" si="55"/>
        <v>6.0000000000002274E-3</v>
      </c>
      <c r="I258" s="5">
        <f t="shared" ca="1" si="56"/>
        <v>1.3157894736842604E-4</v>
      </c>
      <c r="J258" s="10">
        <f t="shared" si="57"/>
        <v>2.1333333333333329</v>
      </c>
      <c r="K258" s="12">
        <f t="shared" ca="1" si="58"/>
        <v>2.1338333333333335</v>
      </c>
      <c r="L258" s="5">
        <f t="shared" ca="1" si="59"/>
        <v>2.3437500000028649E-4</v>
      </c>
      <c r="N258">
        <f t="shared" ca="1" si="60"/>
        <v>20.606000000000002</v>
      </c>
      <c r="O258">
        <f t="shared" ca="1" si="61"/>
        <v>1.030909E-3</v>
      </c>
      <c r="P258">
        <f t="shared" ca="1" si="62"/>
        <v>1.00051515</v>
      </c>
      <c r="Q258">
        <f t="shared" ca="1" si="63"/>
        <v>2.133901137502229</v>
      </c>
      <c r="R258">
        <f t="shared" ca="1" si="64"/>
        <v>11380.806066678555</v>
      </c>
      <c r="S258">
        <f t="shared" ca="1" si="65"/>
        <v>3.5485794276454641</v>
      </c>
      <c r="T258">
        <f t="shared" ca="1" si="66"/>
        <v>-2</v>
      </c>
      <c r="U258">
        <f t="shared" ca="1" si="67"/>
        <v>11382</v>
      </c>
      <c r="V258">
        <f t="shared" ca="1" si="68"/>
        <v>2.134125</v>
      </c>
      <c r="X258">
        <f t="shared" ca="1" si="69"/>
        <v>2.131995793367047</v>
      </c>
    </row>
    <row r="259" spans="5:24" x14ac:dyDescent="0.25">
      <c r="E259">
        <v>257</v>
      </c>
      <c r="F259">
        <f t="shared" ref="F259:F322" si="70">0.1*E259+20</f>
        <v>45.7</v>
      </c>
      <c r="G259">
        <f t="shared" ref="G259:G322" ca="1" si="71">F259+(RANDBETWEEN(-10,10)/100)*0.1</f>
        <v>45.707000000000001</v>
      </c>
      <c r="H259" s="5">
        <f t="shared" ref="H259:H322" ca="1" si="72">ABS(F259-G259)</f>
        <v>6.9999999999978968E-3</v>
      </c>
      <c r="I259" s="5">
        <f t="shared" ref="I259:I322" ca="1" si="73">ABS(F259-G259)/F259</f>
        <v>1.5317286652074172E-4</v>
      </c>
      <c r="J259" s="10">
        <f t="shared" ref="J259:J322" si="74">1/12*F259-5/3</f>
        <v>2.1416666666666666</v>
      </c>
      <c r="K259" s="12">
        <f t="shared" ref="K259:K322" ca="1" si="75">(1/12*G259-5/3) + J259*RANDBETWEEN($B$2,$C$2)</f>
        <v>2.1422499999999998</v>
      </c>
      <c r="L259" s="5">
        <f t="shared" ref="L259:L322" ca="1" si="76">IF(J259=0, ABS(J259-K259), ABS(J259-K259)/J259)</f>
        <v>2.7237354085594929E-4</v>
      </c>
      <c r="N259">
        <f t="shared" ref="N259:N322" ca="1" si="77">G259-$B$29</f>
        <v>20.707000000000001</v>
      </c>
      <c r="O259">
        <f t="shared" ref="O259:O322" ca="1" si="78">0.001 + 0.0000015*N259</f>
        <v>1.0310605E-3</v>
      </c>
      <c r="P259">
        <f t="shared" ref="P259:P322" ca="1" si="79">1 + 0.000025*N259</f>
        <v>1.000517675</v>
      </c>
      <c r="Q259">
        <f t="shared" ref="Q259:Q322" ca="1" si="80">(K259-O259)*P259</f>
        <v>2.1423273950145054</v>
      </c>
      <c r="R259">
        <f t="shared" ref="R259:R322" ca="1" si="81">Q259*32768/6.144</f>
        <v>11425.746106744029</v>
      </c>
      <c r="S259">
        <f t="shared" ref="S259:S322" ca="1" si="82">4*SIN(PI()*R259/32768)</f>
        <v>3.5564999361560159</v>
      </c>
      <c r="T259">
        <f t="shared" ref="T259:T322" ca="1" si="83">RANDBETWEEN(-1*$B$15,1*$B$15)</f>
        <v>-3</v>
      </c>
      <c r="U259">
        <f t="shared" ref="U259:U322" ca="1" si="84">ROUND(R259+S259+T259,0)</f>
        <v>11426</v>
      </c>
      <c r="V259">
        <f t="shared" ref="V259:V322" ca="1" si="85">U259*6.144/32768</f>
        <v>2.1423749999999999</v>
      </c>
      <c r="X259">
        <f t="shared" ref="X259:X322" ca="1" si="86">(U259*6.144/32768 -O259)/P259</f>
        <v>2.1402359928324106</v>
      </c>
    </row>
    <row r="260" spans="5:24" x14ac:dyDescent="0.25">
      <c r="E260">
        <v>258</v>
      </c>
      <c r="F260">
        <f t="shared" si="70"/>
        <v>45.8</v>
      </c>
      <c r="G260">
        <f t="shared" ca="1" si="71"/>
        <v>45.795999999999999</v>
      </c>
      <c r="H260" s="5">
        <f t="shared" ca="1" si="72"/>
        <v>3.9999999999977831E-3</v>
      </c>
      <c r="I260" s="5">
        <f t="shared" ca="1" si="73"/>
        <v>8.7336244541436314E-5</v>
      </c>
      <c r="J260" s="10">
        <f t="shared" si="74"/>
        <v>2.1499999999999995</v>
      </c>
      <c r="K260" s="12">
        <f t="shared" ca="1" si="75"/>
        <v>2.1496666666666666</v>
      </c>
      <c r="L260" s="5">
        <f t="shared" ca="1" si="76"/>
        <v>1.550387596896989E-4</v>
      </c>
      <c r="N260">
        <f t="shared" ca="1" si="77"/>
        <v>20.795999999999999</v>
      </c>
      <c r="O260">
        <f t="shared" ca="1" si="78"/>
        <v>1.031194E-3</v>
      </c>
      <c r="P260">
        <f t="shared" ca="1" si="79"/>
        <v>1.0005199</v>
      </c>
      <c r="Q260">
        <f t="shared" ca="1" si="80"/>
        <v>2.1497525482489062</v>
      </c>
      <c r="R260">
        <f t="shared" ca="1" si="81"/>
        <v>11465.346923994166</v>
      </c>
      <c r="S260">
        <f t="shared" ca="1" si="82"/>
        <v>3.5634247099551044</v>
      </c>
      <c r="T260">
        <f t="shared" ca="1" si="83"/>
        <v>-2</v>
      </c>
      <c r="U260">
        <f t="shared" ca="1" si="84"/>
        <v>11467</v>
      </c>
      <c r="V260">
        <f t="shared" ca="1" si="85"/>
        <v>2.1500625000000002</v>
      </c>
      <c r="X260">
        <f t="shared" ca="1" si="86"/>
        <v>2.1479146051967586</v>
      </c>
    </row>
    <row r="261" spans="5:24" x14ac:dyDescent="0.25">
      <c r="E261">
        <v>259</v>
      </c>
      <c r="F261">
        <f t="shared" si="70"/>
        <v>45.900000000000006</v>
      </c>
      <c r="G261">
        <f t="shared" ca="1" si="71"/>
        <v>45.893000000000008</v>
      </c>
      <c r="H261" s="5">
        <f t="shared" ca="1" si="72"/>
        <v>6.9999999999978968E-3</v>
      </c>
      <c r="I261" s="5">
        <f t="shared" ca="1" si="73"/>
        <v>1.5250544662304783E-4</v>
      </c>
      <c r="J261" s="10">
        <f t="shared" si="74"/>
        <v>2.1583333333333332</v>
      </c>
      <c r="K261" s="12">
        <f t="shared" ca="1" si="75"/>
        <v>2.1577500000000001</v>
      </c>
      <c r="L261" s="5">
        <f t="shared" ca="1" si="76"/>
        <v>2.7027027027018907E-4</v>
      </c>
      <c r="N261">
        <f t="shared" ca="1" si="77"/>
        <v>20.893000000000008</v>
      </c>
      <c r="O261">
        <f t="shared" ca="1" si="78"/>
        <v>1.0313395E-3</v>
      </c>
      <c r="P261">
        <f t="shared" ca="1" si="79"/>
        <v>1.0005223249999999</v>
      </c>
      <c r="Q261">
        <f t="shared" ca="1" si="80"/>
        <v>2.1578451685743456</v>
      </c>
      <c r="R261">
        <f t="shared" ca="1" si="81"/>
        <v>11508.507565729842</v>
      </c>
      <c r="S261">
        <f t="shared" ca="1" si="82"/>
        <v>3.5709134673877978</v>
      </c>
      <c r="T261">
        <f t="shared" ca="1" si="83"/>
        <v>-2</v>
      </c>
      <c r="U261">
        <f t="shared" ca="1" si="84"/>
        <v>11510</v>
      </c>
      <c r="V261">
        <f t="shared" ca="1" si="85"/>
        <v>2.1581250000000001</v>
      </c>
      <c r="X261">
        <f t="shared" ca="1" si="86"/>
        <v>2.1559675447521878</v>
      </c>
    </row>
    <row r="262" spans="5:24" x14ac:dyDescent="0.25">
      <c r="E262">
        <v>260</v>
      </c>
      <c r="F262">
        <f t="shared" si="70"/>
        <v>46</v>
      </c>
      <c r="G262">
        <f t="shared" ca="1" si="71"/>
        <v>45.997999999999998</v>
      </c>
      <c r="H262" s="5">
        <f t="shared" ca="1" si="72"/>
        <v>2.0000000000024443E-3</v>
      </c>
      <c r="I262" s="5">
        <f t="shared" ca="1" si="73"/>
        <v>4.3478260869618353E-5</v>
      </c>
      <c r="J262" s="10">
        <f t="shared" si="74"/>
        <v>2.1666666666666661</v>
      </c>
      <c r="K262" s="12">
        <f t="shared" ca="1" si="75"/>
        <v>2.1664999999999992</v>
      </c>
      <c r="L262" s="5">
        <f t="shared" ca="1" si="76"/>
        <v>7.6923076923170953E-5</v>
      </c>
      <c r="N262">
        <f t="shared" ca="1" si="77"/>
        <v>20.997999999999998</v>
      </c>
      <c r="O262">
        <f t="shared" ca="1" si="78"/>
        <v>1.0314969999999999E-3</v>
      </c>
      <c r="P262">
        <f t="shared" ca="1" si="79"/>
        <v>1.00052495</v>
      </c>
      <c r="Q262">
        <f t="shared" ca="1" si="80"/>
        <v>2.1666052656906492</v>
      </c>
      <c r="R262">
        <f t="shared" ca="1" si="81"/>
        <v>11555.228083683462</v>
      </c>
      <c r="S262">
        <f t="shared" ca="1" si="82"/>
        <v>3.5789509744723835</v>
      </c>
      <c r="T262">
        <f t="shared" ca="1" si="83"/>
        <v>-2</v>
      </c>
      <c r="U262">
        <f t="shared" ca="1" si="84"/>
        <v>11557</v>
      </c>
      <c r="V262">
        <f t="shared" ca="1" si="85"/>
        <v>2.1669375</v>
      </c>
      <c r="X262">
        <f t="shared" ca="1" si="86"/>
        <v>2.1647696071947031</v>
      </c>
    </row>
    <row r="263" spans="5:24" x14ac:dyDescent="0.25">
      <c r="E263">
        <v>261</v>
      </c>
      <c r="F263">
        <f t="shared" si="70"/>
        <v>46.1</v>
      </c>
      <c r="G263">
        <f t="shared" ca="1" si="71"/>
        <v>46.106999999999999</v>
      </c>
      <c r="H263" s="5">
        <f t="shared" ca="1" si="72"/>
        <v>6.9999999999978968E-3</v>
      </c>
      <c r="I263" s="5">
        <f t="shared" ca="1" si="73"/>
        <v>1.5184381778737303E-4</v>
      </c>
      <c r="J263" s="10">
        <f t="shared" si="74"/>
        <v>2.1749999999999998</v>
      </c>
      <c r="K263" s="12">
        <f t="shared" ca="1" si="75"/>
        <v>2.175583333333333</v>
      </c>
      <c r="L263" s="5">
        <f t="shared" ca="1" si="76"/>
        <v>2.6819923371639454E-4</v>
      </c>
      <c r="N263">
        <f t="shared" ca="1" si="77"/>
        <v>21.106999999999999</v>
      </c>
      <c r="O263">
        <f t="shared" ca="1" si="78"/>
        <v>1.0316605E-3</v>
      </c>
      <c r="P263">
        <f t="shared" ca="1" si="79"/>
        <v>1.0005276750000001</v>
      </c>
      <c r="Q263">
        <f t="shared" ca="1" si="80"/>
        <v>2.1756991293872958</v>
      </c>
      <c r="R263">
        <f t="shared" ca="1" si="81"/>
        <v>11603.728690065578</v>
      </c>
      <c r="S263">
        <f t="shared" ca="1" si="82"/>
        <v>3.5872187511659268</v>
      </c>
      <c r="T263">
        <f t="shared" ca="1" si="83"/>
        <v>1</v>
      </c>
      <c r="U263">
        <f t="shared" ca="1" si="84"/>
        <v>11608</v>
      </c>
      <c r="V263">
        <f t="shared" ca="1" si="85"/>
        <v>2.1764999999999999</v>
      </c>
      <c r="X263">
        <f t="shared" ca="1" si="86"/>
        <v>2.1743210046638639</v>
      </c>
    </row>
    <row r="264" spans="5:24" x14ac:dyDescent="0.25">
      <c r="E264">
        <v>262</v>
      </c>
      <c r="F264">
        <f t="shared" si="70"/>
        <v>46.2</v>
      </c>
      <c r="G264">
        <f t="shared" ca="1" si="71"/>
        <v>46.206000000000003</v>
      </c>
      <c r="H264" s="5">
        <f t="shared" ca="1" si="72"/>
        <v>6.0000000000002274E-3</v>
      </c>
      <c r="I264" s="5">
        <f t="shared" ca="1" si="73"/>
        <v>1.2987012987013478E-4</v>
      </c>
      <c r="J264" s="10">
        <f t="shared" si="74"/>
        <v>2.1833333333333336</v>
      </c>
      <c r="K264" s="12">
        <f t="shared" ca="1" si="75"/>
        <v>2.1838333333333333</v>
      </c>
      <c r="L264" s="5">
        <f t="shared" ca="1" si="76"/>
        <v>2.2900763358765932E-4</v>
      </c>
      <c r="N264">
        <f t="shared" ca="1" si="77"/>
        <v>21.206000000000003</v>
      </c>
      <c r="O264">
        <f t="shared" ca="1" si="78"/>
        <v>1.0318090000000001E-3</v>
      </c>
      <c r="P264">
        <f t="shared" ca="1" si="79"/>
        <v>1.0005301499999999</v>
      </c>
      <c r="Q264">
        <f t="shared" ca="1" si="80"/>
        <v>2.1839587365614581</v>
      </c>
      <c r="R264">
        <f t="shared" ca="1" si="81"/>
        <v>11647.779928327776</v>
      </c>
      <c r="S264">
        <f t="shared" ca="1" si="82"/>
        <v>3.5946608443313282</v>
      </c>
      <c r="T264">
        <f t="shared" ca="1" si="83"/>
        <v>-3</v>
      </c>
      <c r="U264">
        <f t="shared" ca="1" si="84"/>
        <v>11648</v>
      </c>
      <c r="V264">
        <f t="shared" ca="1" si="85"/>
        <v>2.1840000000000002</v>
      </c>
      <c r="X264">
        <f t="shared" ca="1" si="86"/>
        <v>2.1818115036313501</v>
      </c>
    </row>
    <row r="265" spans="5:24" x14ac:dyDescent="0.25">
      <c r="E265">
        <v>263</v>
      </c>
      <c r="F265">
        <f t="shared" si="70"/>
        <v>46.3</v>
      </c>
      <c r="G265">
        <f t="shared" ca="1" si="71"/>
        <v>46.298999999999999</v>
      </c>
      <c r="H265" s="5">
        <f t="shared" ca="1" si="72"/>
        <v>9.9999999999766942E-4</v>
      </c>
      <c r="I265" s="5">
        <f t="shared" ca="1" si="73"/>
        <v>2.1598272138178605E-5</v>
      </c>
      <c r="J265" s="10">
        <f t="shared" si="74"/>
        <v>2.1916666666666664</v>
      </c>
      <c r="K265" s="12">
        <f t="shared" ca="1" si="75"/>
        <v>2.191583333333333</v>
      </c>
      <c r="L265" s="5">
        <f t="shared" ca="1" si="76"/>
        <v>3.80228136882594E-5</v>
      </c>
      <c r="N265">
        <f t="shared" ca="1" si="77"/>
        <v>21.298999999999999</v>
      </c>
      <c r="O265">
        <f t="shared" ca="1" si="78"/>
        <v>1.0319484999999999E-3</v>
      </c>
      <c r="P265">
        <f t="shared" ca="1" si="79"/>
        <v>1.000532475</v>
      </c>
      <c r="Q265">
        <f t="shared" ca="1" si="80"/>
        <v>2.1917177986819718</v>
      </c>
      <c r="R265">
        <f t="shared" ca="1" si="81"/>
        <v>11689.161592970517</v>
      </c>
      <c r="S265">
        <f t="shared" ca="1" si="82"/>
        <v>3.6015935311138363</v>
      </c>
      <c r="T265">
        <f t="shared" ca="1" si="83"/>
        <v>-1</v>
      </c>
      <c r="U265">
        <f t="shared" ca="1" si="84"/>
        <v>11692</v>
      </c>
      <c r="V265">
        <f t="shared" ca="1" si="85"/>
        <v>2.19225</v>
      </c>
      <c r="X265">
        <f t="shared" ca="1" si="86"/>
        <v>2.1900519036126238</v>
      </c>
    </row>
    <row r="266" spans="5:24" x14ac:dyDescent="0.25">
      <c r="E266">
        <v>264</v>
      </c>
      <c r="F266">
        <f t="shared" si="70"/>
        <v>46.400000000000006</v>
      </c>
      <c r="G266">
        <f t="shared" ca="1" si="71"/>
        <v>46.392000000000003</v>
      </c>
      <c r="H266" s="5">
        <f t="shared" ca="1" si="72"/>
        <v>8.0000000000026716E-3</v>
      </c>
      <c r="I266" s="5">
        <f t="shared" ca="1" si="73"/>
        <v>1.7241379310350583E-4</v>
      </c>
      <c r="J266" s="10">
        <f t="shared" si="74"/>
        <v>2.2000000000000002</v>
      </c>
      <c r="K266" s="12">
        <f t="shared" ca="1" si="75"/>
        <v>2.1993333333333336</v>
      </c>
      <c r="L266" s="5">
        <f t="shared" ca="1" si="76"/>
        <v>3.0303030303026964E-4</v>
      </c>
      <c r="N266">
        <f t="shared" ca="1" si="77"/>
        <v>21.392000000000003</v>
      </c>
      <c r="O266">
        <f t="shared" ca="1" si="78"/>
        <v>1.032088E-3</v>
      </c>
      <c r="P266">
        <f t="shared" ca="1" si="79"/>
        <v>1.0005348000000001</v>
      </c>
      <c r="Q266">
        <f t="shared" ca="1" si="80"/>
        <v>2.1994768968393377</v>
      </c>
      <c r="R266">
        <f t="shared" ca="1" si="81"/>
        <v>11730.5434498098</v>
      </c>
      <c r="S266">
        <f t="shared" ca="1" si="82"/>
        <v>3.6084695592483254</v>
      </c>
      <c r="T266">
        <f t="shared" ca="1" si="83"/>
        <v>-1</v>
      </c>
      <c r="U266">
        <f t="shared" ca="1" si="84"/>
        <v>11733</v>
      </c>
      <c r="V266">
        <f t="shared" ca="1" si="85"/>
        <v>2.1999374999999999</v>
      </c>
      <c r="X266">
        <f t="shared" ca="1" si="86"/>
        <v>2.197730065960724</v>
      </c>
    </row>
    <row r="267" spans="5:24" x14ac:dyDescent="0.25">
      <c r="E267">
        <v>265</v>
      </c>
      <c r="F267">
        <f t="shared" si="70"/>
        <v>46.5</v>
      </c>
      <c r="G267">
        <f t="shared" ca="1" si="71"/>
        <v>46.508000000000003</v>
      </c>
      <c r="H267" s="5">
        <f t="shared" ca="1" si="72"/>
        <v>8.0000000000026716E-3</v>
      </c>
      <c r="I267" s="5">
        <f t="shared" ca="1" si="73"/>
        <v>1.7204301075274562E-4</v>
      </c>
      <c r="J267" s="10">
        <f t="shared" si="74"/>
        <v>2.208333333333333</v>
      </c>
      <c r="K267" s="12">
        <f t="shared" ca="1" si="75"/>
        <v>2.2089999999999996</v>
      </c>
      <c r="L267" s="5">
        <f t="shared" ca="1" si="76"/>
        <v>3.0188679245279698E-4</v>
      </c>
      <c r="N267">
        <f t="shared" ca="1" si="77"/>
        <v>21.508000000000003</v>
      </c>
      <c r="O267">
        <f t="shared" ca="1" si="78"/>
        <v>1.0322619999999999E-3</v>
      </c>
      <c r="P267">
        <f t="shared" ca="1" si="79"/>
        <v>1.0005377</v>
      </c>
      <c r="Q267">
        <f t="shared" ca="1" si="80"/>
        <v>2.2091549622527222</v>
      </c>
      <c r="R267">
        <f t="shared" ca="1" si="81"/>
        <v>11782.159798681185</v>
      </c>
      <c r="S267">
        <f t="shared" ca="1" si="82"/>
        <v>3.616966535266692</v>
      </c>
      <c r="T267">
        <f t="shared" ca="1" si="83"/>
        <v>3</v>
      </c>
      <c r="U267">
        <f t="shared" ca="1" si="84"/>
        <v>11789</v>
      </c>
      <c r="V267">
        <f t="shared" ca="1" si="85"/>
        <v>2.2104374999999998</v>
      </c>
      <c r="X267">
        <f t="shared" ca="1" si="86"/>
        <v>2.2082178792463294</v>
      </c>
    </row>
    <row r="268" spans="5:24" x14ac:dyDescent="0.25">
      <c r="E268">
        <v>266</v>
      </c>
      <c r="F268">
        <f t="shared" si="70"/>
        <v>46.6</v>
      </c>
      <c r="G268">
        <f t="shared" ca="1" si="71"/>
        <v>46.599000000000004</v>
      </c>
      <c r="H268" s="5">
        <f t="shared" ca="1" si="72"/>
        <v>9.9999999999766942E-4</v>
      </c>
      <c r="I268" s="5">
        <f t="shared" ca="1" si="73"/>
        <v>2.1459227467761145E-5</v>
      </c>
      <c r="J268" s="10">
        <f t="shared" si="74"/>
        <v>2.2166666666666668</v>
      </c>
      <c r="K268" s="12">
        <f t="shared" ca="1" si="75"/>
        <v>2.2165833333333333</v>
      </c>
      <c r="L268" s="5">
        <f t="shared" ca="1" si="76"/>
        <v>3.7593984962451956E-5</v>
      </c>
      <c r="N268">
        <f t="shared" ca="1" si="77"/>
        <v>21.599000000000004</v>
      </c>
      <c r="O268">
        <f t="shared" ca="1" si="78"/>
        <v>1.0323985000000001E-3</v>
      </c>
      <c r="P268">
        <f t="shared" ca="1" si="79"/>
        <v>1.0005399749999999</v>
      </c>
      <c r="Q268">
        <f t="shared" ca="1" si="80"/>
        <v>2.2167472769493699</v>
      </c>
      <c r="R268">
        <f t="shared" ca="1" si="81"/>
        <v>11822.652143729973</v>
      </c>
      <c r="S268">
        <f t="shared" ca="1" si="82"/>
        <v>3.6235703119587743</v>
      </c>
      <c r="T268">
        <f t="shared" ca="1" si="83"/>
        <v>-3</v>
      </c>
      <c r="U268">
        <f t="shared" ca="1" si="84"/>
        <v>11823</v>
      </c>
      <c r="V268">
        <f t="shared" ca="1" si="85"/>
        <v>2.2168125000000001</v>
      </c>
      <c r="X268">
        <f t="shared" ca="1" si="86"/>
        <v>2.214584281352677</v>
      </c>
    </row>
    <row r="269" spans="5:24" x14ac:dyDescent="0.25">
      <c r="E269">
        <v>267</v>
      </c>
      <c r="F269">
        <f t="shared" si="70"/>
        <v>46.7</v>
      </c>
      <c r="G269">
        <f t="shared" ca="1" si="71"/>
        <v>46.706000000000003</v>
      </c>
      <c r="H269" s="5">
        <f t="shared" ca="1" si="72"/>
        <v>6.0000000000002274E-3</v>
      </c>
      <c r="I269" s="5">
        <f t="shared" ca="1" si="73"/>
        <v>1.2847965738758515E-4</v>
      </c>
      <c r="J269" s="10">
        <f t="shared" si="74"/>
        <v>2.2249999999999996</v>
      </c>
      <c r="K269" s="12">
        <f t="shared" ca="1" si="75"/>
        <v>2.2255000000000003</v>
      </c>
      <c r="L269" s="5">
        <f t="shared" ca="1" si="76"/>
        <v>2.2471910112387017E-4</v>
      </c>
      <c r="N269">
        <f t="shared" ca="1" si="77"/>
        <v>21.706000000000003</v>
      </c>
      <c r="O269">
        <f t="shared" ca="1" si="78"/>
        <v>1.032559E-3</v>
      </c>
      <c r="P269">
        <f t="shared" ca="1" si="79"/>
        <v>1.0005426500000001</v>
      </c>
      <c r="Q269">
        <f t="shared" ca="1" si="80"/>
        <v>2.2256745482568592</v>
      </c>
      <c r="R269">
        <f t="shared" ca="1" si="81"/>
        <v>11870.264257369916</v>
      </c>
      <c r="S269">
        <f t="shared" ca="1" si="82"/>
        <v>3.6312653643811967</v>
      </c>
      <c r="T269">
        <f t="shared" ca="1" si="83"/>
        <v>3</v>
      </c>
      <c r="U269">
        <f t="shared" ca="1" si="84"/>
        <v>11877</v>
      </c>
      <c r="V269">
        <f t="shared" ca="1" si="85"/>
        <v>2.2269375</v>
      </c>
      <c r="X269">
        <f t="shared" ca="1" si="86"/>
        <v>2.2246977087883257</v>
      </c>
    </row>
    <row r="270" spans="5:24" x14ac:dyDescent="0.25">
      <c r="E270">
        <v>268</v>
      </c>
      <c r="F270">
        <f t="shared" si="70"/>
        <v>46.8</v>
      </c>
      <c r="G270">
        <f t="shared" ca="1" si="71"/>
        <v>46.794999999999995</v>
      </c>
      <c r="H270" s="5">
        <f t="shared" ca="1" si="72"/>
        <v>5.000000000002558E-3</v>
      </c>
      <c r="I270" s="5">
        <f t="shared" ca="1" si="73"/>
        <v>1.0683760683766149E-4</v>
      </c>
      <c r="J270" s="10">
        <f t="shared" si="74"/>
        <v>2.2333333333333325</v>
      </c>
      <c r="K270" s="12">
        <f t="shared" ca="1" si="75"/>
        <v>2.2329166666666662</v>
      </c>
      <c r="L270" s="5">
        <f t="shared" ca="1" si="76"/>
        <v>1.8656716417893486E-4</v>
      </c>
      <c r="N270">
        <f t="shared" ca="1" si="77"/>
        <v>21.794999999999995</v>
      </c>
      <c r="O270">
        <f t="shared" ca="1" si="78"/>
        <v>1.0326924999999999E-3</v>
      </c>
      <c r="P270">
        <f t="shared" ca="1" si="79"/>
        <v>1.0005448749999999</v>
      </c>
      <c r="Q270">
        <f t="shared" ca="1" si="80"/>
        <v>2.2331000719470899</v>
      </c>
      <c r="R270">
        <f t="shared" ca="1" si="81"/>
        <v>11909.867050384479</v>
      </c>
      <c r="S270">
        <f t="shared" ca="1" si="82"/>
        <v>3.6376083175186458</v>
      </c>
      <c r="T270">
        <f t="shared" ca="1" si="83"/>
        <v>-2</v>
      </c>
      <c r="U270">
        <f t="shared" ca="1" si="84"/>
        <v>11912</v>
      </c>
      <c r="V270">
        <f t="shared" ca="1" si="85"/>
        <v>2.2335000000000003</v>
      </c>
      <c r="X270">
        <f t="shared" ca="1" si="86"/>
        <v>2.2312515543093463</v>
      </c>
    </row>
    <row r="271" spans="5:24" x14ac:dyDescent="0.25">
      <c r="E271">
        <v>269</v>
      </c>
      <c r="F271">
        <f t="shared" si="70"/>
        <v>46.900000000000006</v>
      </c>
      <c r="G271">
        <f t="shared" ca="1" si="71"/>
        <v>46.895000000000003</v>
      </c>
      <c r="H271" s="5">
        <f t="shared" ca="1" si="72"/>
        <v>5.000000000002558E-3</v>
      </c>
      <c r="I271" s="5">
        <f t="shared" ca="1" si="73"/>
        <v>1.0660980810239995E-4</v>
      </c>
      <c r="J271" s="10">
        <f t="shared" si="74"/>
        <v>2.2416666666666671</v>
      </c>
      <c r="K271" s="12">
        <f t="shared" ca="1" si="75"/>
        <v>2.24125</v>
      </c>
      <c r="L271" s="5">
        <f t="shared" ca="1" si="76"/>
        <v>1.858736059481825E-4</v>
      </c>
      <c r="N271">
        <f t="shared" ca="1" si="77"/>
        <v>21.895000000000003</v>
      </c>
      <c r="O271">
        <f t="shared" ca="1" si="78"/>
        <v>1.0328425000000001E-3</v>
      </c>
      <c r="P271">
        <f t="shared" ca="1" si="79"/>
        <v>1.000547375</v>
      </c>
      <c r="Q271">
        <f t="shared" ca="1" si="80"/>
        <v>2.2414433963665865</v>
      </c>
      <c r="R271">
        <f t="shared" ca="1" si="81"/>
        <v>11954.364780621794</v>
      </c>
      <c r="S271">
        <f t="shared" ca="1" si="82"/>
        <v>3.6446726967074277</v>
      </c>
      <c r="T271">
        <f t="shared" ca="1" si="83"/>
        <v>-2</v>
      </c>
      <c r="U271">
        <f t="shared" ca="1" si="84"/>
        <v>11956</v>
      </c>
      <c r="V271">
        <f t="shared" ca="1" si="85"/>
        <v>2.2417500000000001</v>
      </c>
      <c r="X271">
        <f t="shared" ca="1" si="86"/>
        <v>2.2394913159409371</v>
      </c>
    </row>
    <row r="272" spans="5:24" x14ac:dyDescent="0.25">
      <c r="E272">
        <v>270</v>
      </c>
      <c r="F272">
        <f t="shared" si="70"/>
        <v>47</v>
      </c>
      <c r="G272">
        <f t="shared" ca="1" si="71"/>
        <v>47.005000000000003</v>
      </c>
      <c r="H272" s="5">
        <f t="shared" ca="1" si="72"/>
        <v>5.000000000002558E-3</v>
      </c>
      <c r="I272" s="5">
        <f t="shared" ca="1" si="73"/>
        <v>1.0638297872345868E-4</v>
      </c>
      <c r="J272" s="10">
        <f t="shared" si="74"/>
        <v>2.25</v>
      </c>
      <c r="K272" s="12">
        <f t="shared" ca="1" si="75"/>
        <v>2.2504166666666663</v>
      </c>
      <c r="L272" s="5">
        <f t="shared" ca="1" si="76"/>
        <v>1.8518518518501677E-4</v>
      </c>
      <c r="N272">
        <f t="shared" ca="1" si="77"/>
        <v>22.005000000000003</v>
      </c>
      <c r="O272">
        <f t="shared" ca="1" si="78"/>
        <v>1.0330075E-3</v>
      </c>
      <c r="P272">
        <f t="shared" ca="1" si="79"/>
        <v>1.000550125</v>
      </c>
      <c r="Q272">
        <f t="shared" ca="1" si="80"/>
        <v>2.2506211013521655</v>
      </c>
      <c r="R272">
        <f t="shared" ca="1" si="81"/>
        <v>12003.312540544883</v>
      </c>
      <c r="S272">
        <f t="shared" ca="1" si="82"/>
        <v>3.6523669337453488</v>
      </c>
      <c r="T272">
        <f t="shared" ca="1" si="83"/>
        <v>2</v>
      </c>
      <c r="U272">
        <f t="shared" ca="1" si="84"/>
        <v>12009</v>
      </c>
      <c r="V272">
        <f t="shared" ca="1" si="85"/>
        <v>2.2516875000000001</v>
      </c>
      <c r="X272">
        <f t="shared" ca="1" si="86"/>
        <v>2.249417031955296</v>
      </c>
    </row>
    <row r="273" spans="5:24" x14ac:dyDescent="0.25">
      <c r="E273">
        <v>271</v>
      </c>
      <c r="F273">
        <f t="shared" si="70"/>
        <v>47.1</v>
      </c>
      <c r="G273">
        <f t="shared" ca="1" si="71"/>
        <v>47.097999999999999</v>
      </c>
      <c r="H273" s="5">
        <f t="shared" ca="1" si="72"/>
        <v>2.0000000000024443E-3</v>
      </c>
      <c r="I273" s="5">
        <f t="shared" ca="1" si="73"/>
        <v>4.2462845010667607E-5</v>
      </c>
      <c r="J273" s="10">
        <f t="shared" si="74"/>
        <v>2.2583333333333329</v>
      </c>
      <c r="K273" s="12">
        <f t="shared" ca="1" si="75"/>
        <v>2.258166666666666</v>
      </c>
      <c r="L273" s="5">
        <f t="shared" ca="1" si="76"/>
        <v>7.3800738007470285E-5</v>
      </c>
      <c r="N273">
        <f t="shared" ca="1" si="77"/>
        <v>22.097999999999999</v>
      </c>
      <c r="O273">
        <f t="shared" ca="1" si="78"/>
        <v>1.0331470000000001E-3</v>
      </c>
      <c r="P273">
        <f t="shared" ca="1" si="79"/>
        <v>1.00055245</v>
      </c>
      <c r="Q273">
        <f t="shared" ca="1" si="80"/>
        <v>2.258380473079606</v>
      </c>
      <c r="R273">
        <f t="shared" ca="1" si="81"/>
        <v>12044.695856424565</v>
      </c>
      <c r="S273">
        <f t="shared" ca="1" si="82"/>
        <v>3.6588093522786496</v>
      </c>
      <c r="T273">
        <f t="shared" ca="1" si="83"/>
        <v>-3</v>
      </c>
      <c r="U273">
        <f t="shared" ca="1" si="84"/>
        <v>12045</v>
      </c>
      <c r="V273">
        <f t="shared" ca="1" si="85"/>
        <v>2.2584374999999999</v>
      </c>
      <c r="X273">
        <f t="shared" ca="1" si="86"/>
        <v>2.25615793854685</v>
      </c>
    </row>
    <row r="274" spans="5:24" x14ac:dyDescent="0.25">
      <c r="E274">
        <v>272</v>
      </c>
      <c r="F274">
        <f t="shared" si="70"/>
        <v>47.2</v>
      </c>
      <c r="G274">
        <f t="shared" ca="1" si="71"/>
        <v>47.207000000000001</v>
      </c>
      <c r="H274" s="5">
        <f t="shared" ca="1" si="72"/>
        <v>6.9999999999978968E-3</v>
      </c>
      <c r="I274" s="5">
        <f t="shared" ca="1" si="73"/>
        <v>1.4830508474571814E-4</v>
      </c>
      <c r="J274" s="10">
        <f t="shared" si="74"/>
        <v>2.2666666666666666</v>
      </c>
      <c r="K274" s="12">
        <f t="shared" ca="1" si="75"/>
        <v>2.2672499999999998</v>
      </c>
      <c r="L274" s="5">
        <f t="shared" ca="1" si="76"/>
        <v>2.5735294117639325E-4</v>
      </c>
      <c r="N274">
        <f t="shared" ca="1" si="77"/>
        <v>22.207000000000001</v>
      </c>
      <c r="O274">
        <f t="shared" ca="1" si="78"/>
        <v>1.0333105000000001E-3</v>
      </c>
      <c r="P274">
        <f t="shared" ca="1" si="79"/>
        <v>1.0005551749999999</v>
      </c>
      <c r="Q274">
        <f t="shared" ca="1" si="80"/>
        <v>2.2674748363505928</v>
      </c>
      <c r="R274">
        <f t="shared" ca="1" si="81"/>
        <v>12093.199127203161</v>
      </c>
      <c r="S274">
        <f t="shared" ca="1" si="82"/>
        <v>3.6662868626375409</v>
      </c>
      <c r="T274">
        <f t="shared" ca="1" si="83"/>
        <v>2</v>
      </c>
      <c r="U274">
        <f t="shared" ca="1" si="84"/>
        <v>12099</v>
      </c>
      <c r="V274">
        <f t="shared" ca="1" si="85"/>
        <v>2.2685625000000003</v>
      </c>
      <c r="X274">
        <f t="shared" ca="1" si="86"/>
        <v>2.2662710124906411</v>
      </c>
    </row>
    <row r="275" spans="5:24" x14ac:dyDescent="0.25">
      <c r="E275">
        <v>273</v>
      </c>
      <c r="F275">
        <f t="shared" si="70"/>
        <v>47.3</v>
      </c>
      <c r="G275">
        <f t="shared" ca="1" si="71"/>
        <v>47.29</v>
      </c>
      <c r="H275" s="5">
        <f t="shared" ca="1" si="72"/>
        <v>9.9999999999980105E-3</v>
      </c>
      <c r="I275" s="5">
        <f t="shared" ca="1" si="73"/>
        <v>2.1141649048621588E-4</v>
      </c>
      <c r="J275" s="10">
        <f t="shared" si="74"/>
        <v>2.2749999999999995</v>
      </c>
      <c r="K275" s="12">
        <f t="shared" ca="1" si="75"/>
        <v>2.274166666666666</v>
      </c>
      <c r="L275" s="5">
        <f t="shared" ca="1" si="76"/>
        <v>3.6630036630042365E-4</v>
      </c>
      <c r="N275">
        <f t="shared" ca="1" si="77"/>
        <v>22.29</v>
      </c>
      <c r="O275">
        <f t="shared" ca="1" si="78"/>
        <v>1.0334350000000001E-3</v>
      </c>
      <c r="P275">
        <f t="shared" ca="1" si="79"/>
        <v>1.00055725</v>
      </c>
      <c r="Q275">
        <f t="shared" ca="1" si="80"/>
        <v>2.2743999351600119</v>
      </c>
      <c r="R275">
        <f t="shared" ca="1" si="81"/>
        <v>12130.132987520063</v>
      </c>
      <c r="S275">
        <f t="shared" ca="1" si="82"/>
        <v>3.6719276124991769</v>
      </c>
      <c r="T275">
        <f t="shared" ca="1" si="83"/>
        <v>2</v>
      </c>
      <c r="U275">
        <f t="shared" ca="1" si="84"/>
        <v>12136</v>
      </c>
      <c r="V275">
        <f t="shared" ca="1" si="85"/>
        <v>2.2755000000000001</v>
      </c>
      <c r="X275">
        <f t="shared" ca="1" si="86"/>
        <v>2.2731998243978544</v>
      </c>
    </row>
    <row r="276" spans="5:24" x14ac:dyDescent="0.25">
      <c r="E276">
        <v>274</v>
      </c>
      <c r="F276">
        <f t="shared" si="70"/>
        <v>47.400000000000006</v>
      </c>
      <c r="G276">
        <f t="shared" ca="1" si="71"/>
        <v>47.393000000000008</v>
      </c>
      <c r="H276" s="5">
        <f t="shared" ca="1" si="72"/>
        <v>6.9999999999978968E-3</v>
      </c>
      <c r="I276" s="5">
        <f t="shared" ca="1" si="73"/>
        <v>1.4767932489447038E-4</v>
      </c>
      <c r="J276" s="10">
        <f t="shared" si="74"/>
        <v>2.2833333333333332</v>
      </c>
      <c r="K276" s="12">
        <f t="shared" ca="1" si="75"/>
        <v>2.2827500000000001</v>
      </c>
      <c r="L276" s="5">
        <f t="shared" ca="1" si="76"/>
        <v>2.5547445255466779E-4</v>
      </c>
      <c r="N276">
        <f t="shared" ca="1" si="77"/>
        <v>22.393000000000008</v>
      </c>
      <c r="O276">
        <f t="shared" ca="1" si="78"/>
        <v>1.0335895000000001E-3</v>
      </c>
      <c r="P276">
        <f t="shared" ca="1" si="79"/>
        <v>1.0005598250000001</v>
      </c>
      <c r="Q276">
        <f t="shared" ca="1" si="80"/>
        <v>2.2829937723895082</v>
      </c>
      <c r="R276">
        <f t="shared" ca="1" si="81"/>
        <v>12175.966786077377</v>
      </c>
      <c r="S276">
        <f t="shared" ca="1" si="82"/>
        <v>3.6788635846843731</v>
      </c>
      <c r="T276">
        <f t="shared" ca="1" si="83"/>
        <v>0</v>
      </c>
      <c r="U276">
        <f t="shared" ca="1" si="84"/>
        <v>12180</v>
      </c>
      <c r="V276">
        <f t="shared" ca="1" si="85"/>
        <v>2.2837499999999999</v>
      </c>
      <c r="X276">
        <f t="shared" ca="1" si="86"/>
        <v>2.2814392037977336</v>
      </c>
    </row>
    <row r="277" spans="5:24" x14ac:dyDescent="0.25">
      <c r="E277">
        <v>275</v>
      </c>
      <c r="F277">
        <f t="shared" si="70"/>
        <v>47.5</v>
      </c>
      <c r="G277">
        <f t="shared" ca="1" si="71"/>
        <v>47.49</v>
      </c>
      <c r="H277" s="5">
        <f t="shared" ca="1" si="72"/>
        <v>9.9999999999980105E-3</v>
      </c>
      <c r="I277" s="5">
        <f t="shared" ca="1" si="73"/>
        <v>2.1052631578943179E-4</v>
      </c>
      <c r="J277" s="10">
        <f t="shared" si="74"/>
        <v>2.2916666666666661</v>
      </c>
      <c r="K277" s="12">
        <f t="shared" ca="1" si="75"/>
        <v>2.2908333333333335</v>
      </c>
      <c r="L277" s="5">
        <f t="shared" ca="1" si="76"/>
        <v>3.6363636363603299E-4</v>
      </c>
      <c r="N277">
        <f t="shared" ca="1" si="77"/>
        <v>22.490000000000002</v>
      </c>
      <c r="O277">
        <f t="shared" ca="1" si="78"/>
        <v>1.033735E-3</v>
      </c>
      <c r="P277">
        <f t="shared" ca="1" si="79"/>
        <v>1.00056225</v>
      </c>
      <c r="Q277">
        <f t="shared" ca="1" si="80"/>
        <v>2.2910870381574964</v>
      </c>
      <c r="R277">
        <f t="shared" ca="1" si="81"/>
        <v>12219.130870173314</v>
      </c>
      <c r="S277">
        <f t="shared" ca="1" si="82"/>
        <v>3.6853306037492648</v>
      </c>
      <c r="T277">
        <f t="shared" ca="1" si="83"/>
        <v>2</v>
      </c>
      <c r="U277">
        <f t="shared" ca="1" si="84"/>
        <v>12225</v>
      </c>
      <c r="V277">
        <f t="shared" ca="1" si="85"/>
        <v>2.2921875000000003</v>
      </c>
      <c r="X277">
        <f t="shared" ca="1" si="86"/>
        <v>2.2898662876797524</v>
      </c>
    </row>
    <row r="278" spans="5:24" x14ac:dyDescent="0.25">
      <c r="E278">
        <v>276</v>
      </c>
      <c r="F278">
        <f t="shared" si="70"/>
        <v>47.6</v>
      </c>
      <c r="G278">
        <f t="shared" ca="1" si="71"/>
        <v>47.608000000000004</v>
      </c>
      <c r="H278" s="5">
        <f t="shared" ca="1" si="72"/>
        <v>8.0000000000026716E-3</v>
      </c>
      <c r="I278" s="5">
        <f t="shared" ca="1" si="73"/>
        <v>1.6806722689081241E-4</v>
      </c>
      <c r="J278" s="10">
        <f t="shared" si="74"/>
        <v>2.2999999999999998</v>
      </c>
      <c r="K278" s="12">
        <f t="shared" ca="1" si="75"/>
        <v>2.3006666666666664</v>
      </c>
      <c r="L278" s="5">
        <f t="shared" ca="1" si="76"/>
        <v>2.8985507246373623E-4</v>
      </c>
      <c r="N278">
        <f t="shared" ca="1" si="77"/>
        <v>22.608000000000004</v>
      </c>
      <c r="O278">
        <f t="shared" ca="1" si="78"/>
        <v>1.0339120000000001E-3</v>
      </c>
      <c r="P278">
        <f t="shared" ca="1" si="79"/>
        <v>1.0005652</v>
      </c>
      <c r="Q278">
        <f t="shared" ca="1" si="80"/>
        <v>2.3009325070996041</v>
      </c>
      <c r="R278">
        <f t="shared" ca="1" si="81"/>
        <v>12271.640037864554</v>
      </c>
      <c r="S278">
        <f t="shared" ca="1" si="82"/>
        <v>3.6931126420475229</v>
      </c>
      <c r="T278">
        <f t="shared" ca="1" si="83"/>
        <v>3</v>
      </c>
      <c r="U278">
        <f t="shared" ca="1" si="84"/>
        <v>12278</v>
      </c>
      <c r="V278">
        <f t="shared" ca="1" si="85"/>
        <v>2.3021250000000002</v>
      </c>
      <c r="X278">
        <f t="shared" ca="1" si="86"/>
        <v>2.2997912459877679</v>
      </c>
    </row>
    <row r="279" spans="5:24" x14ac:dyDescent="0.25">
      <c r="E279">
        <v>277</v>
      </c>
      <c r="F279">
        <f t="shared" si="70"/>
        <v>47.7</v>
      </c>
      <c r="G279">
        <f t="shared" ca="1" si="71"/>
        <v>47.707000000000001</v>
      </c>
      <c r="H279" s="5">
        <f t="shared" ca="1" si="72"/>
        <v>6.9999999999978968E-3</v>
      </c>
      <c r="I279" s="5">
        <f t="shared" ca="1" si="73"/>
        <v>1.4675052410897057E-4</v>
      </c>
      <c r="J279" s="10">
        <f t="shared" si="74"/>
        <v>2.3083333333333336</v>
      </c>
      <c r="K279" s="12">
        <f t="shared" ca="1" si="75"/>
        <v>2.3089166666666667</v>
      </c>
      <c r="L279" s="5">
        <f t="shared" ca="1" si="76"/>
        <v>2.5270758122736086E-4</v>
      </c>
      <c r="N279">
        <f t="shared" ca="1" si="77"/>
        <v>22.707000000000001</v>
      </c>
      <c r="O279">
        <f t="shared" ca="1" si="78"/>
        <v>1.0340605E-3</v>
      </c>
      <c r="P279">
        <f t="shared" ca="1" si="79"/>
        <v>1.0005676750000001</v>
      </c>
      <c r="Q279">
        <f t="shared" ca="1" si="80"/>
        <v>2.3091927334251228</v>
      </c>
      <c r="R279">
        <f t="shared" ca="1" si="81"/>
        <v>12315.694578267321</v>
      </c>
      <c r="S279">
        <f t="shared" ca="1" si="82"/>
        <v>3.6995694789431508</v>
      </c>
      <c r="T279">
        <f t="shared" ca="1" si="83"/>
        <v>0</v>
      </c>
      <c r="U279">
        <f t="shared" ca="1" si="84"/>
        <v>12319</v>
      </c>
      <c r="V279">
        <f t="shared" ca="1" si="85"/>
        <v>2.3098125</v>
      </c>
      <c r="X279">
        <f t="shared" ca="1" si="86"/>
        <v>2.3074685472924159</v>
      </c>
    </row>
    <row r="280" spans="5:24" x14ac:dyDescent="0.25">
      <c r="E280">
        <v>278</v>
      </c>
      <c r="F280">
        <f t="shared" si="70"/>
        <v>47.8</v>
      </c>
      <c r="G280">
        <f t="shared" ca="1" si="71"/>
        <v>47.794999999999995</v>
      </c>
      <c r="H280" s="5">
        <f t="shared" ca="1" si="72"/>
        <v>5.000000000002558E-3</v>
      </c>
      <c r="I280" s="5">
        <f t="shared" ca="1" si="73"/>
        <v>1.0460251046030457E-4</v>
      </c>
      <c r="J280" s="10">
        <f t="shared" si="74"/>
        <v>2.3166666666666664</v>
      </c>
      <c r="K280" s="12">
        <f t="shared" ca="1" si="75"/>
        <v>2.3162499999999993</v>
      </c>
      <c r="L280" s="5">
        <f t="shared" ca="1" si="76"/>
        <v>1.7985611510813349E-4</v>
      </c>
      <c r="N280">
        <f t="shared" ca="1" si="77"/>
        <v>22.794999999999995</v>
      </c>
      <c r="O280">
        <f t="shared" ca="1" si="78"/>
        <v>1.0341924999999999E-3</v>
      </c>
      <c r="P280">
        <f t="shared" ca="1" si="79"/>
        <v>1.0005698750000001</v>
      </c>
      <c r="Q280">
        <f t="shared" ca="1" si="80"/>
        <v>2.3165351911082981</v>
      </c>
      <c r="R280">
        <f t="shared" ca="1" si="81"/>
        <v>12354.854352577589</v>
      </c>
      <c r="S280">
        <f t="shared" ca="1" si="82"/>
        <v>3.7052535136345557</v>
      </c>
      <c r="T280">
        <f t="shared" ca="1" si="83"/>
        <v>-3</v>
      </c>
      <c r="U280">
        <f t="shared" ca="1" si="84"/>
        <v>12356</v>
      </c>
      <c r="V280">
        <f t="shared" ca="1" si="85"/>
        <v>2.3167499999999999</v>
      </c>
      <c r="X280">
        <f t="shared" ca="1" si="86"/>
        <v>2.3143968905719849</v>
      </c>
    </row>
    <row r="281" spans="5:24" x14ac:dyDescent="0.25">
      <c r="E281">
        <v>279</v>
      </c>
      <c r="F281">
        <f t="shared" si="70"/>
        <v>47.900000000000006</v>
      </c>
      <c r="G281">
        <f t="shared" ca="1" si="71"/>
        <v>47.901000000000003</v>
      </c>
      <c r="H281" s="5">
        <f t="shared" ca="1" si="72"/>
        <v>9.9999999999766942E-4</v>
      </c>
      <c r="I281" s="5">
        <f t="shared" ca="1" si="73"/>
        <v>2.0876826722289545E-5</v>
      </c>
      <c r="J281" s="10">
        <f t="shared" si="74"/>
        <v>2.3250000000000002</v>
      </c>
      <c r="K281" s="12">
        <f t="shared" ca="1" si="75"/>
        <v>2.3250833333333336</v>
      </c>
      <c r="L281" s="5">
        <f t="shared" ca="1" si="76"/>
        <v>3.5842293906853838E-5</v>
      </c>
      <c r="N281">
        <f t="shared" ca="1" si="77"/>
        <v>22.901000000000003</v>
      </c>
      <c r="O281">
        <f t="shared" ca="1" si="78"/>
        <v>1.0343514999999999E-3</v>
      </c>
      <c r="P281">
        <f t="shared" ca="1" si="79"/>
        <v>1.0005725249999999</v>
      </c>
      <c r="Q281">
        <f t="shared" ca="1" si="80"/>
        <v>2.3253795579766576</v>
      </c>
      <c r="R281">
        <f t="shared" ca="1" si="81"/>
        <v>12402.02430920884</v>
      </c>
      <c r="S281">
        <f t="shared" ca="1" si="82"/>
        <v>3.7120308730680831</v>
      </c>
      <c r="T281">
        <f t="shared" ca="1" si="83"/>
        <v>-3</v>
      </c>
      <c r="U281">
        <f t="shared" ca="1" si="84"/>
        <v>12403</v>
      </c>
      <c r="V281">
        <f t="shared" ca="1" si="85"/>
        <v>2.3255625000000002</v>
      </c>
      <c r="X281">
        <f t="shared" ca="1" si="86"/>
        <v>2.3231980595309674</v>
      </c>
    </row>
    <row r="282" spans="5:24" x14ac:dyDescent="0.25">
      <c r="E282">
        <v>280</v>
      </c>
      <c r="F282">
        <f t="shared" si="70"/>
        <v>48</v>
      </c>
      <c r="G282">
        <f t="shared" ca="1" si="71"/>
        <v>47.991</v>
      </c>
      <c r="H282" s="5">
        <f t="shared" ca="1" si="72"/>
        <v>9.0000000000003411E-3</v>
      </c>
      <c r="I282" s="5">
        <f t="shared" ca="1" si="73"/>
        <v>1.8750000000000711E-4</v>
      </c>
      <c r="J282" s="10">
        <f t="shared" si="74"/>
        <v>2.333333333333333</v>
      </c>
      <c r="K282" s="12">
        <f t="shared" ca="1" si="75"/>
        <v>2.332583333333333</v>
      </c>
      <c r="L282" s="5">
        <f t="shared" ca="1" si="76"/>
        <v>3.2142857142858366E-4</v>
      </c>
      <c r="N282">
        <f t="shared" ca="1" si="77"/>
        <v>22.991</v>
      </c>
      <c r="O282">
        <f t="shared" ca="1" si="78"/>
        <v>1.0344865E-3</v>
      </c>
      <c r="P282">
        <f t="shared" ca="1" si="79"/>
        <v>1.000574775</v>
      </c>
      <c r="Q282">
        <f t="shared" ca="1" si="80"/>
        <v>2.3328889628217717</v>
      </c>
      <c r="R282">
        <f t="shared" ca="1" si="81"/>
        <v>12442.074468382782</v>
      </c>
      <c r="S282">
        <f t="shared" ca="1" si="82"/>
        <v>3.7177256745677711</v>
      </c>
      <c r="T282">
        <f t="shared" ca="1" si="83"/>
        <v>-3</v>
      </c>
      <c r="U282">
        <f t="shared" ca="1" si="84"/>
        <v>12443</v>
      </c>
      <c r="V282">
        <f t="shared" ca="1" si="85"/>
        <v>2.3330625</v>
      </c>
      <c r="X282">
        <f t="shared" ca="1" si="86"/>
        <v>2.3306883920794426</v>
      </c>
    </row>
    <row r="283" spans="5:24" x14ac:dyDescent="0.25">
      <c r="E283">
        <v>281</v>
      </c>
      <c r="F283">
        <f t="shared" si="70"/>
        <v>48.1</v>
      </c>
      <c r="G283">
        <f t="shared" ca="1" si="71"/>
        <v>48.103000000000002</v>
      </c>
      <c r="H283" s="5">
        <f t="shared" ca="1" si="72"/>
        <v>3.0000000000001137E-3</v>
      </c>
      <c r="I283" s="5">
        <f t="shared" ca="1" si="73"/>
        <v>6.2370062370064734E-5</v>
      </c>
      <c r="J283" s="10">
        <f t="shared" si="74"/>
        <v>2.3416666666666659</v>
      </c>
      <c r="K283" s="12">
        <f t="shared" ca="1" si="75"/>
        <v>2.3419166666666662</v>
      </c>
      <c r="L283" s="5">
        <f t="shared" ca="1" si="76"/>
        <v>1.0676156583642945E-4</v>
      </c>
      <c r="N283">
        <f t="shared" ca="1" si="77"/>
        <v>23.103000000000002</v>
      </c>
      <c r="O283">
        <f t="shared" ca="1" si="78"/>
        <v>1.0346545E-3</v>
      </c>
      <c r="P283">
        <f t="shared" ca="1" si="79"/>
        <v>1.0005775750000001</v>
      </c>
      <c r="Q283">
        <f t="shared" ca="1" si="80"/>
        <v>2.3422340470948435</v>
      </c>
      <c r="R283">
        <f t="shared" ca="1" si="81"/>
        <v>12491.914917839165</v>
      </c>
      <c r="S283">
        <f t="shared" ca="1" si="82"/>
        <v>3.724736015313725</v>
      </c>
      <c r="T283">
        <f t="shared" ca="1" si="83"/>
        <v>3</v>
      </c>
      <c r="U283">
        <f t="shared" ca="1" si="84"/>
        <v>12499</v>
      </c>
      <c r="V283">
        <f t="shared" ca="1" si="85"/>
        <v>2.3435625</v>
      </c>
      <c r="X283">
        <f t="shared" ca="1" si="86"/>
        <v>2.3411756409791611</v>
      </c>
    </row>
    <row r="284" spans="5:24" x14ac:dyDescent="0.25">
      <c r="E284">
        <v>282</v>
      </c>
      <c r="F284">
        <f t="shared" si="70"/>
        <v>48.2</v>
      </c>
      <c r="G284">
        <f t="shared" ca="1" si="71"/>
        <v>48.202000000000005</v>
      </c>
      <c r="H284" s="5">
        <f t="shared" ca="1" si="72"/>
        <v>2.0000000000024443E-3</v>
      </c>
      <c r="I284" s="5">
        <f t="shared" ca="1" si="73"/>
        <v>4.1493775933660664E-5</v>
      </c>
      <c r="J284" s="10">
        <f t="shared" si="74"/>
        <v>2.3499999999999996</v>
      </c>
      <c r="K284" s="12">
        <f t="shared" ca="1" si="75"/>
        <v>2.3501666666666665</v>
      </c>
      <c r="L284" s="5">
        <f t="shared" ca="1" si="76"/>
        <v>7.0921985815689518E-5</v>
      </c>
      <c r="N284">
        <f t="shared" ca="1" si="77"/>
        <v>23.202000000000005</v>
      </c>
      <c r="O284">
        <f t="shared" ca="1" si="78"/>
        <v>1.0348029999999999E-3</v>
      </c>
      <c r="P284">
        <f t="shared" ca="1" si="79"/>
        <v>1.0005800499999999</v>
      </c>
      <c r="Q284">
        <f t="shared" ca="1" si="80"/>
        <v>2.3504944776041863</v>
      </c>
      <c r="R284">
        <f t="shared" ca="1" si="81"/>
        <v>12535.970547222327</v>
      </c>
      <c r="S284">
        <f t="shared" ca="1" si="82"/>
        <v>3.7308618804822244</v>
      </c>
      <c r="T284">
        <f t="shared" ca="1" si="83"/>
        <v>2</v>
      </c>
      <c r="U284">
        <f t="shared" ca="1" si="84"/>
        <v>12542</v>
      </c>
      <c r="V284">
        <f t="shared" ca="1" si="85"/>
        <v>2.3516249999999999</v>
      </c>
      <c r="X284">
        <f t="shared" ca="1" si="86"/>
        <v>2.3492275275726313</v>
      </c>
    </row>
    <row r="285" spans="5:24" x14ac:dyDescent="0.25">
      <c r="E285">
        <v>283</v>
      </c>
      <c r="F285">
        <f t="shared" si="70"/>
        <v>48.3</v>
      </c>
      <c r="G285">
        <f t="shared" ca="1" si="71"/>
        <v>48.309999999999995</v>
      </c>
      <c r="H285" s="5">
        <f t="shared" ca="1" si="72"/>
        <v>9.9999999999980105E-3</v>
      </c>
      <c r="I285" s="5">
        <f t="shared" ca="1" si="73"/>
        <v>2.0703933747407891E-4</v>
      </c>
      <c r="J285" s="10">
        <f t="shared" si="74"/>
        <v>2.3583333333333325</v>
      </c>
      <c r="K285" s="12">
        <f t="shared" ca="1" si="75"/>
        <v>2.359166666666666</v>
      </c>
      <c r="L285" s="5">
        <f t="shared" ca="1" si="76"/>
        <v>3.5335689045941934E-4</v>
      </c>
      <c r="N285">
        <f t="shared" ca="1" si="77"/>
        <v>23.309999999999995</v>
      </c>
      <c r="O285">
        <f t="shared" ca="1" si="78"/>
        <v>1.0349650000000001E-3</v>
      </c>
      <c r="P285">
        <f t="shared" ca="1" si="79"/>
        <v>1.00058275</v>
      </c>
      <c r="Q285">
        <f t="shared" ca="1" si="80"/>
        <v>2.3595059029158119</v>
      </c>
      <c r="R285">
        <f t="shared" ca="1" si="81"/>
        <v>12584.031482217662</v>
      </c>
      <c r="S285">
        <f t="shared" ca="1" si="82"/>
        <v>3.737468761641332</v>
      </c>
      <c r="T285">
        <f t="shared" ca="1" si="83"/>
        <v>0</v>
      </c>
      <c r="U285">
        <f t="shared" ca="1" si="84"/>
        <v>12588</v>
      </c>
      <c r="V285">
        <f t="shared" ca="1" si="85"/>
        <v>2.3602500000000002</v>
      </c>
      <c r="X285">
        <f t="shared" ca="1" si="86"/>
        <v>2.3578410031554111</v>
      </c>
    </row>
    <row r="286" spans="5:24" x14ac:dyDescent="0.25">
      <c r="E286">
        <v>284</v>
      </c>
      <c r="F286">
        <f t="shared" si="70"/>
        <v>48.400000000000006</v>
      </c>
      <c r="G286">
        <f t="shared" ca="1" si="71"/>
        <v>48.398000000000003</v>
      </c>
      <c r="H286" s="5">
        <f t="shared" ca="1" si="72"/>
        <v>2.0000000000024443E-3</v>
      </c>
      <c r="I286" s="5">
        <f t="shared" ca="1" si="73"/>
        <v>4.1322314049637277E-5</v>
      </c>
      <c r="J286" s="10">
        <f t="shared" si="74"/>
        <v>2.3666666666666663</v>
      </c>
      <c r="K286" s="12">
        <f t="shared" ca="1" si="75"/>
        <v>2.3664999999999994</v>
      </c>
      <c r="L286" s="5">
        <f t="shared" ca="1" si="76"/>
        <v>7.0422535211353681E-5</v>
      </c>
      <c r="N286">
        <f t="shared" ca="1" si="77"/>
        <v>23.398000000000003</v>
      </c>
      <c r="O286">
        <f t="shared" ca="1" si="78"/>
        <v>1.035097E-3</v>
      </c>
      <c r="P286">
        <f t="shared" ca="1" si="79"/>
        <v>1.0005849499999999</v>
      </c>
      <c r="Q286">
        <f t="shared" ca="1" si="80"/>
        <v>2.3668485816950091</v>
      </c>
      <c r="R286">
        <f t="shared" ca="1" si="81"/>
        <v>12623.192435706715</v>
      </c>
      <c r="S286">
        <f t="shared" ca="1" si="82"/>
        <v>3.7427935077206764</v>
      </c>
      <c r="T286">
        <f t="shared" ca="1" si="83"/>
        <v>2</v>
      </c>
      <c r="U286">
        <f t="shared" ca="1" si="84"/>
        <v>12629</v>
      </c>
      <c r="V286">
        <f t="shared" ca="1" si="85"/>
        <v>2.3679375</v>
      </c>
      <c r="X286">
        <f t="shared" ca="1" si="86"/>
        <v>2.3655186928406233</v>
      </c>
    </row>
    <row r="287" spans="5:24" x14ac:dyDescent="0.25">
      <c r="E287">
        <v>285</v>
      </c>
      <c r="F287">
        <f t="shared" si="70"/>
        <v>48.5</v>
      </c>
      <c r="G287">
        <f t="shared" ca="1" si="71"/>
        <v>48.508000000000003</v>
      </c>
      <c r="H287" s="5">
        <f t="shared" ca="1" si="72"/>
        <v>8.0000000000026716E-3</v>
      </c>
      <c r="I287" s="5">
        <f t="shared" ca="1" si="73"/>
        <v>1.649484536083025E-4</v>
      </c>
      <c r="J287" s="10">
        <f t="shared" si="74"/>
        <v>2.3749999999999991</v>
      </c>
      <c r="K287" s="12">
        <f t="shared" ca="1" si="75"/>
        <v>2.3756666666666666</v>
      </c>
      <c r="L287" s="5">
        <f t="shared" ca="1" si="76"/>
        <v>2.807017543863081E-4</v>
      </c>
      <c r="N287">
        <f t="shared" ca="1" si="77"/>
        <v>23.508000000000003</v>
      </c>
      <c r="O287">
        <f t="shared" ca="1" si="78"/>
        <v>1.0352620000000001E-3</v>
      </c>
      <c r="P287">
        <f t="shared" ca="1" si="79"/>
        <v>1.0005877000000001</v>
      </c>
      <c r="Q287">
        <f t="shared" ca="1" si="80"/>
        <v>2.3760269755431898</v>
      </c>
      <c r="R287">
        <f t="shared" ca="1" si="81"/>
        <v>12672.143869563679</v>
      </c>
      <c r="S287">
        <f t="shared" ca="1" si="82"/>
        <v>3.7493752706973544</v>
      </c>
      <c r="T287">
        <f t="shared" ca="1" si="83"/>
        <v>-2</v>
      </c>
      <c r="U287">
        <f t="shared" ca="1" si="84"/>
        <v>12674</v>
      </c>
      <c r="V287">
        <f t="shared" ca="1" si="85"/>
        <v>2.3763749999999999</v>
      </c>
      <c r="X287">
        <f t="shared" ca="1" si="86"/>
        <v>2.3739445707757549</v>
      </c>
    </row>
    <row r="288" spans="5:24" x14ac:dyDescent="0.25">
      <c r="E288">
        <v>286</v>
      </c>
      <c r="F288">
        <f t="shared" si="70"/>
        <v>48.6</v>
      </c>
      <c r="G288">
        <f t="shared" ca="1" si="71"/>
        <v>48.591000000000001</v>
      </c>
      <c r="H288" s="5">
        <f t="shared" ca="1" si="72"/>
        <v>9.0000000000003411E-3</v>
      </c>
      <c r="I288" s="5">
        <f t="shared" ca="1" si="73"/>
        <v>1.851851851851922E-4</v>
      </c>
      <c r="J288" s="10">
        <f t="shared" si="74"/>
        <v>2.3833333333333329</v>
      </c>
      <c r="K288" s="12">
        <f t="shared" ca="1" si="75"/>
        <v>2.3825833333333328</v>
      </c>
      <c r="L288" s="5">
        <f t="shared" ca="1" si="76"/>
        <v>3.1468531468532667E-4</v>
      </c>
      <c r="N288">
        <f t="shared" ca="1" si="77"/>
        <v>23.591000000000001</v>
      </c>
      <c r="O288">
        <f t="shared" ca="1" si="78"/>
        <v>1.0353865000000001E-3</v>
      </c>
      <c r="P288">
        <f t="shared" ca="1" si="79"/>
        <v>1.0005897749999999</v>
      </c>
      <c r="Q288">
        <f t="shared" ca="1" si="80"/>
        <v>2.3829525242736764</v>
      </c>
      <c r="R288">
        <f t="shared" ca="1" si="81"/>
        <v>12709.080129459608</v>
      </c>
      <c r="S288">
        <f t="shared" ca="1" si="82"/>
        <v>3.7542868764341768</v>
      </c>
      <c r="T288">
        <f t="shared" ca="1" si="83"/>
        <v>2</v>
      </c>
      <c r="U288">
        <f t="shared" ca="1" si="84"/>
        <v>12715</v>
      </c>
      <c r="V288">
        <f t="shared" ca="1" si="85"/>
        <v>2.3840625000000002</v>
      </c>
      <c r="X288">
        <f t="shared" ca="1" si="86"/>
        <v>2.3816224920947255</v>
      </c>
    </row>
    <row r="289" spans="5:24" x14ac:dyDescent="0.25">
      <c r="E289">
        <v>287</v>
      </c>
      <c r="F289">
        <f t="shared" si="70"/>
        <v>48.7</v>
      </c>
      <c r="G289">
        <f t="shared" ca="1" si="71"/>
        <v>48.690000000000005</v>
      </c>
      <c r="H289" s="5">
        <f t="shared" ca="1" si="72"/>
        <v>9.9999999999980105E-3</v>
      </c>
      <c r="I289" s="5">
        <f t="shared" ca="1" si="73"/>
        <v>2.0533880903486672E-4</v>
      </c>
      <c r="J289" s="10">
        <f t="shared" si="74"/>
        <v>2.3916666666666666</v>
      </c>
      <c r="K289" s="12">
        <f t="shared" ca="1" si="75"/>
        <v>2.3908333333333331</v>
      </c>
      <c r="L289" s="5">
        <f t="shared" ca="1" si="76"/>
        <v>3.484320557491834E-4</v>
      </c>
      <c r="N289">
        <f t="shared" ca="1" si="77"/>
        <v>23.690000000000005</v>
      </c>
      <c r="O289">
        <f t="shared" ca="1" si="78"/>
        <v>1.035535E-3</v>
      </c>
      <c r="P289">
        <f t="shared" ca="1" si="79"/>
        <v>1.00059225</v>
      </c>
      <c r="Q289">
        <f t="shared" ca="1" si="80"/>
        <v>2.3912131560793957</v>
      </c>
      <c r="R289">
        <f t="shared" ca="1" si="81"/>
        <v>12753.136832423443</v>
      </c>
      <c r="S289">
        <f t="shared" ca="1" si="82"/>
        <v>3.7600837510615359</v>
      </c>
      <c r="T289">
        <f t="shared" ca="1" si="83"/>
        <v>-3</v>
      </c>
      <c r="U289">
        <f t="shared" ca="1" si="84"/>
        <v>12754</v>
      </c>
      <c r="V289">
        <f t="shared" ca="1" si="85"/>
        <v>2.391375</v>
      </c>
      <c r="X289">
        <f t="shared" ca="1" si="86"/>
        <v>2.3889246243912043</v>
      </c>
    </row>
    <row r="290" spans="5:24" x14ac:dyDescent="0.25">
      <c r="E290">
        <v>288</v>
      </c>
      <c r="F290">
        <f t="shared" si="70"/>
        <v>48.8</v>
      </c>
      <c r="G290">
        <f t="shared" ca="1" si="71"/>
        <v>48.791999999999994</v>
      </c>
      <c r="H290" s="5">
        <f t="shared" ca="1" si="72"/>
        <v>8.0000000000026716E-3</v>
      </c>
      <c r="I290" s="5">
        <f t="shared" ca="1" si="73"/>
        <v>1.6393442622956295E-4</v>
      </c>
      <c r="J290" s="10">
        <f t="shared" si="74"/>
        <v>2.3999999999999995</v>
      </c>
      <c r="K290" s="12">
        <f t="shared" ca="1" si="75"/>
        <v>2.399333333333332</v>
      </c>
      <c r="L290" s="5">
        <f t="shared" ca="1" si="76"/>
        <v>2.777777777781173E-4</v>
      </c>
      <c r="N290">
        <f t="shared" ca="1" si="77"/>
        <v>23.791999999999994</v>
      </c>
      <c r="O290">
        <f t="shared" ca="1" si="78"/>
        <v>1.0356880000000001E-3</v>
      </c>
      <c r="P290">
        <f t="shared" ca="1" si="79"/>
        <v>1.0005948</v>
      </c>
      <c r="Q290">
        <f t="shared" ca="1" si="80"/>
        <v>2.3997241527727762</v>
      </c>
      <c r="R290">
        <f t="shared" ca="1" si="81"/>
        <v>12798.52881478814</v>
      </c>
      <c r="S290">
        <f t="shared" ca="1" si="82"/>
        <v>3.7659861525534715</v>
      </c>
      <c r="T290">
        <f t="shared" ca="1" si="83"/>
        <v>-1</v>
      </c>
      <c r="U290">
        <f t="shared" ca="1" si="84"/>
        <v>12801</v>
      </c>
      <c r="V290">
        <f t="shared" ca="1" si="85"/>
        <v>2.4001874999999999</v>
      </c>
      <c r="X290">
        <f t="shared" ca="1" si="86"/>
        <v>2.397725644786481</v>
      </c>
    </row>
    <row r="291" spans="5:24" x14ac:dyDescent="0.25">
      <c r="E291">
        <v>289</v>
      </c>
      <c r="F291">
        <f t="shared" si="70"/>
        <v>48.900000000000006</v>
      </c>
      <c r="G291">
        <f t="shared" ca="1" si="71"/>
        <v>48.896000000000008</v>
      </c>
      <c r="H291" s="5">
        <f t="shared" ca="1" si="72"/>
        <v>3.9999999999977831E-3</v>
      </c>
      <c r="I291" s="5">
        <f t="shared" ca="1" si="73"/>
        <v>8.1799591001999639E-5</v>
      </c>
      <c r="J291" s="10">
        <f t="shared" si="74"/>
        <v>2.4083333333333332</v>
      </c>
      <c r="K291" s="12">
        <f t="shared" ca="1" si="75"/>
        <v>2.4080000000000004</v>
      </c>
      <c r="L291" s="5">
        <f t="shared" ca="1" si="76"/>
        <v>1.3840830449807025E-4</v>
      </c>
      <c r="N291">
        <f t="shared" ca="1" si="77"/>
        <v>23.896000000000008</v>
      </c>
      <c r="O291">
        <f t="shared" ca="1" si="78"/>
        <v>1.035844E-3</v>
      </c>
      <c r="P291">
        <f t="shared" ca="1" si="79"/>
        <v>1.0005974</v>
      </c>
      <c r="Q291">
        <f t="shared" ca="1" si="80"/>
        <v>2.4084020763867948</v>
      </c>
      <c r="R291">
        <f t="shared" ca="1" si="81"/>
        <v>12844.811074062905</v>
      </c>
      <c r="S291">
        <f t="shared" ca="1" si="82"/>
        <v>3.7719308814838088</v>
      </c>
      <c r="T291">
        <f t="shared" ca="1" si="83"/>
        <v>0</v>
      </c>
      <c r="U291">
        <f t="shared" ca="1" si="84"/>
        <v>12849</v>
      </c>
      <c r="V291">
        <f t="shared" ca="1" si="85"/>
        <v>2.4091875000000003</v>
      </c>
      <c r="X291">
        <f t="shared" ca="1" si="86"/>
        <v>2.4067138851250265</v>
      </c>
    </row>
    <row r="292" spans="5:24" x14ac:dyDescent="0.25">
      <c r="E292">
        <v>290</v>
      </c>
      <c r="F292">
        <f t="shared" si="70"/>
        <v>49</v>
      </c>
      <c r="G292">
        <f t="shared" ca="1" si="71"/>
        <v>49.006999999999998</v>
      </c>
      <c r="H292" s="5">
        <f t="shared" ca="1" si="72"/>
        <v>6.9999999999978968E-3</v>
      </c>
      <c r="I292" s="5">
        <f t="shared" ca="1" si="73"/>
        <v>1.4285714285709993E-4</v>
      </c>
      <c r="J292" s="10">
        <f t="shared" si="74"/>
        <v>2.4166666666666661</v>
      </c>
      <c r="K292" s="12">
        <f t="shared" ca="1" si="75"/>
        <v>2.4172499999999992</v>
      </c>
      <c r="L292" s="5">
        <f t="shared" ca="1" si="76"/>
        <v>2.4137931034475511E-4</v>
      </c>
      <c r="N292">
        <f t="shared" ca="1" si="77"/>
        <v>24.006999999999998</v>
      </c>
      <c r="O292">
        <f t="shared" ca="1" si="78"/>
        <v>1.0360104999999999E-3</v>
      </c>
      <c r="P292">
        <f t="shared" ca="1" si="79"/>
        <v>1.000600175</v>
      </c>
      <c r="Q292">
        <f t="shared" ca="1" si="80"/>
        <v>2.4176641407311474</v>
      </c>
      <c r="R292">
        <f t="shared" ca="1" si="81"/>
        <v>12894.20875056612</v>
      </c>
      <c r="S292">
        <f t="shared" ca="1" si="82"/>
        <v>3.7781938343185772</v>
      </c>
      <c r="T292">
        <f t="shared" ca="1" si="83"/>
        <v>2</v>
      </c>
      <c r="U292">
        <f t="shared" ca="1" si="84"/>
        <v>12900</v>
      </c>
      <c r="V292">
        <f t="shared" ca="1" si="85"/>
        <v>2.4187500000000002</v>
      </c>
      <c r="X292">
        <f t="shared" ca="1" si="86"/>
        <v>2.4162638083688126</v>
      </c>
    </row>
    <row r="293" spans="5:24" x14ac:dyDescent="0.25">
      <c r="E293">
        <v>291</v>
      </c>
      <c r="F293">
        <f t="shared" si="70"/>
        <v>49.1</v>
      </c>
      <c r="G293">
        <f t="shared" ca="1" si="71"/>
        <v>49.096000000000004</v>
      </c>
      <c r="H293" s="5">
        <f t="shared" ca="1" si="72"/>
        <v>3.9999999999977831E-3</v>
      </c>
      <c r="I293" s="5">
        <f t="shared" ca="1" si="73"/>
        <v>8.1466395111971145E-5</v>
      </c>
      <c r="J293" s="10">
        <f t="shared" si="74"/>
        <v>2.4249999999999998</v>
      </c>
      <c r="K293" s="12">
        <f t="shared" ca="1" si="75"/>
        <v>2.4246666666666661</v>
      </c>
      <c r="L293" s="5">
        <f t="shared" ca="1" si="76"/>
        <v>1.3745704467370753E-4</v>
      </c>
      <c r="N293">
        <f t="shared" ca="1" si="77"/>
        <v>24.096000000000004</v>
      </c>
      <c r="O293">
        <f t="shared" ca="1" si="78"/>
        <v>1.0361440000000001E-3</v>
      </c>
      <c r="P293">
        <f t="shared" ca="1" si="79"/>
        <v>1.0006024</v>
      </c>
      <c r="Q293">
        <f t="shared" ca="1" si="80"/>
        <v>2.4250905176935205</v>
      </c>
      <c r="R293">
        <f t="shared" ca="1" si="81"/>
        <v>12933.816094365442</v>
      </c>
      <c r="S293">
        <f t="shared" ca="1" si="82"/>
        <v>3.7831542999209535</v>
      </c>
      <c r="T293">
        <f t="shared" ca="1" si="83"/>
        <v>-1</v>
      </c>
      <c r="U293">
        <f t="shared" ca="1" si="84"/>
        <v>12937</v>
      </c>
      <c r="V293">
        <f t="shared" ca="1" si="85"/>
        <v>2.4256875</v>
      </c>
      <c r="X293">
        <f t="shared" ca="1" si="86"/>
        <v>2.4231916253648804</v>
      </c>
    </row>
    <row r="294" spans="5:24" x14ac:dyDescent="0.25">
      <c r="E294">
        <v>292</v>
      </c>
      <c r="F294">
        <f t="shared" si="70"/>
        <v>49.2</v>
      </c>
      <c r="G294">
        <f t="shared" ca="1" si="71"/>
        <v>49.194000000000003</v>
      </c>
      <c r="H294" s="5">
        <f t="shared" ca="1" si="72"/>
        <v>6.0000000000002274E-3</v>
      </c>
      <c r="I294" s="5">
        <f t="shared" ca="1" si="73"/>
        <v>1.2195121951219973E-4</v>
      </c>
      <c r="J294" s="10">
        <f t="shared" si="74"/>
        <v>2.4333333333333327</v>
      </c>
      <c r="K294" s="12">
        <f t="shared" ca="1" si="75"/>
        <v>2.432833333333333</v>
      </c>
      <c r="L294" s="5">
        <f t="shared" ca="1" si="76"/>
        <v>2.0547945205468069E-4</v>
      </c>
      <c r="N294">
        <f t="shared" ca="1" si="77"/>
        <v>24.194000000000003</v>
      </c>
      <c r="O294">
        <f t="shared" ca="1" si="78"/>
        <v>1.0362909999999999E-3</v>
      </c>
      <c r="P294">
        <f t="shared" ca="1" si="79"/>
        <v>1.00060485</v>
      </c>
      <c r="Q294">
        <f t="shared" ca="1" si="80"/>
        <v>2.4332679147743881</v>
      </c>
      <c r="R294">
        <f t="shared" ca="1" si="81"/>
        <v>12977.428878796736</v>
      </c>
      <c r="S294">
        <f t="shared" ca="1" si="82"/>
        <v>3.7885533031094067</v>
      </c>
      <c r="T294">
        <f t="shared" ca="1" si="83"/>
        <v>-3</v>
      </c>
      <c r="U294">
        <f t="shared" ca="1" si="84"/>
        <v>12978</v>
      </c>
      <c r="V294">
        <f t="shared" ca="1" si="85"/>
        <v>2.4333749999999998</v>
      </c>
      <c r="X294">
        <f t="shared" ca="1" si="86"/>
        <v>2.4308683982493187</v>
      </c>
    </row>
    <row r="295" spans="5:24" x14ac:dyDescent="0.25">
      <c r="E295">
        <v>293</v>
      </c>
      <c r="F295">
        <f t="shared" si="70"/>
        <v>49.3</v>
      </c>
      <c r="G295">
        <f t="shared" ca="1" si="71"/>
        <v>49.306999999999995</v>
      </c>
      <c r="H295" s="5">
        <f t="shared" ca="1" si="72"/>
        <v>6.9999999999978968E-3</v>
      </c>
      <c r="I295" s="5">
        <f t="shared" ca="1" si="73"/>
        <v>1.419878296145618E-4</v>
      </c>
      <c r="J295" s="10">
        <f t="shared" si="74"/>
        <v>2.4416666666666655</v>
      </c>
      <c r="K295" s="12">
        <f t="shared" ca="1" si="75"/>
        <v>2.4422499999999987</v>
      </c>
      <c r="L295" s="5">
        <f t="shared" ca="1" si="76"/>
        <v>2.3890784982927987E-4</v>
      </c>
      <c r="N295">
        <f t="shared" ca="1" si="77"/>
        <v>24.306999999999995</v>
      </c>
      <c r="O295">
        <f t="shared" ca="1" si="78"/>
        <v>1.0364605000000001E-3</v>
      </c>
      <c r="P295">
        <f t="shared" ca="1" si="79"/>
        <v>1.0006076749999999</v>
      </c>
      <c r="Q295">
        <f t="shared" ca="1" si="80"/>
        <v>2.4426970039376141</v>
      </c>
      <c r="R295">
        <f t="shared" ca="1" si="81"/>
        <v>13027.717354333941</v>
      </c>
      <c r="S295">
        <f t="shared" ca="1" si="82"/>
        <v>3.7946964902523046</v>
      </c>
      <c r="T295">
        <f t="shared" ca="1" si="83"/>
        <v>1</v>
      </c>
      <c r="U295">
        <f t="shared" ca="1" si="84"/>
        <v>13033</v>
      </c>
      <c r="V295">
        <f t="shared" ca="1" si="85"/>
        <v>2.4436875000000002</v>
      </c>
      <c r="X295">
        <f t="shared" ca="1" si="86"/>
        <v>2.4411676029768614</v>
      </c>
    </row>
    <row r="296" spans="5:24" x14ac:dyDescent="0.25">
      <c r="E296">
        <v>294</v>
      </c>
      <c r="F296">
        <f t="shared" si="70"/>
        <v>49.400000000000006</v>
      </c>
      <c r="G296">
        <f t="shared" ca="1" si="71"/>
        <v>49.403000000000006</v>
      </c>
      <c r="H296" s="5">
        <f t="shared" ca="1" si="72"/>
        <v>3.0000000000001137E-3</v>
      </c>
      <c r="I296" s="5">
        <f t="shared" ca="1" si="73"/>
        <v>6.0728744939273548E-5</v>
      </c>
      <c r="J296" s="10">
        <f t="shared" si="74"/>
        <v>2.4500000000000002</v>
      </c>
      <c r="K296" s="12">
        <f t="shared" ca="1" si="75"/>
        <v>2.4502499999999996</v>
      </c>
      <c r="L296" s="5">
        <f t="shared" ca="1" si="76"/>
        <v>1.020408163262928E-4</v>
      </c>
      <c r="N296">
        <f t="shared" ca="1" si="77"/>
        <v>24.403000000000006</v>
      </c>
      <c r="O296">
        <f t="shared" ca="1" si="78"/>
        <v>1.0366045E-3</v>
      </c>
      <c r="P296">
        <f t="shared" ca="1" si="79"/>
        <v>1.000610075</v>
      </c>
      <c r="Q296">
        <f t="shared" ca="1" si="80"/>
        <v>2.4507075993622593</v>
      </c>
      <c r="R296">
        <f t="shared" ca="1" si="81"/>
        <v>13070.44052993205</v>
      </c>
      <c r="S296">
        <f t="shared" ca="1" si="82"/>
        <v>3.7998462117097862</v>
      </c>
      <c r="T296">
        <f t="shared" ca="1" si="83"/>
        <v>-3</v>
      </c>
      <c r="U296">
        <f t="shared" ca="1" si="84"/>
        <v>13071</v>
      </c>
      <c r="V296">
        <f t="shared" ca="1" si="85"/>
        <v>2.4508125000000001</v>
      </c>
      <c r="X296">
        <f t="shared" ca="1" si="86"/>
        <v>2.4482822597004135</v>
      </c>
    </row>
    <row r="297" spans="5:24" x14ac:dyDescent="0.25">
      <c r="E297">
        <v>295</v>
      </c>
      <c r="F297">
        <f t="shared" si="70"/>
        <v>49.5</v>
      </c>
      <c r="G297">
        <f t="shared" ca="1" si="71"/>
        <v>49.506999999999998</v>
      </c>
      <c r="H297" s="5">
        <f t="shared" ca="1" si="72"/>
        <v>6.9999999999978968E-3</v>
      </c>
      <c r="I297" s="5">
        <f t="shared" ca="1" si="73"/>
        <v>1.4141414141409893E-4</v>
      </c>
      <c r="J297" s="10">
        <f t="shared" si="74"/>
        <v>2.458333333333333</v>
      </c>
      <c r="K297" s="12">
        <f t="shared" ca="1" si="75"/>
        <v>2.4589166666666662</v>
      </c>
      <c r="L297" s="5">
        <f t="shared" ca="1" si="76"/>
        <v>2.3728813559314906E-4</v>
      </c>
      <c r="N297">
        <f t="shared" ca="1" si="77"/>
        <v>24.506999999999998</v>
      </c>
      <c r="O297">
        <f t="shared" ca="1" si="78"/>
        <v>1.0367605E-3</v>
      </c>
      <c r="P297">
        <f t="shared" ca="1" si="79"/>
        <v>1.000612675</v>
      </c>
      <c r="Q297">
        <f t="shared" ca="1" si="80"/>
        <v>2.4593857877381766</v>
      </c>
      <c r="R297">
        <f t="shared" ca="1" si="81"/>
        <v>13116.724201270275</v>
      </c>
      <c r="S297">
        <f t="shared" ca="1" si="82"/>
        <v>3.8053531591332024</v>
      </c>
      <c r="T297">
        <f t="shared" ca="1" si="83"/>
        <v>2</v>
      </c>
      <c r="U297">
        <f t="shared" ca="1" si="84"/>
        <v>13123</v>
      </c>
      <c r="V297">
        <f t="shared" ca="1" si="85"/>
        <v>2.4605625</v>
      </c>
      <c r="X297">
        <f t="shared" ca="1" si="86"/>
        <v>2.4580197722360455</v>
      </c>
    </row>
    <row r="298" spans="5:24" x14ac:dyDescent="0.25">
      <c r="E298">
        <v>296</v>
      </c>
      <c r="F298">
        <f t="shared" si="70"/>
        <v>49.6</v>
      </c>
      <c r="G298">
        <f t="shared" ca="1" si="71"/>
        <v>49.593000000000004</v>
      </c>
      <c r="H298" s="5">
        <f t="shared" ca="1" si="72"/>
        <v>6.9999999999978968E-3</v>
      </c>
      <c r="I298" s="5">
        <f t="shared" ca="1" si="73"/>
        <v>1.4112903225802211E-4</v>
      </c>
      <c r="J298" s="10">
        <f t="shared" si="74"/>
        <v>2.4666666666666659</v>
      </c>
      <c r="K298" s="12">
        <f t="shared" ca="1" si="75"/>
        <v>2.4660833333333327</v>
      </c>
      <c r="L298" s="5">
        <f t="shared" ca="1" si="76"/>
        <v>2.364864864864155E-4</v>
      </c>
      <c r="N298">
        <f t="shared" ca="1" si="77"/>
        <v>24.593000000000004</v>
      </c>
      <c r="O298">
        <f t="shared" ca="1" si="78"/>
        <v>1.0368895E-3</v>
      </c>
      <c r="P298">
        <f t="shared" ca="1" si="79"/>
        <v>1.000614825</v>
      </c>
      <c r="Q298">
        <f t="shared" ca="1" si="80"/>
        <v>2.4665620160131625</v>
      </c>
      <c r="R298">
        <f t="shared" ca="1" si="81"/>
        <v>13154.997418736866</v>
      </c>
      <c r="S298">
        <f t="shared" ca="1" si="82"/>
        <v>3.8098504084078004</v>
      </c>
      <c r="T298">
        <f t="shared" ca="1" si="83"/>
        <v>1</v>
      </c>
      <c r="U298">
        <f t="shared" ca="1" si="84"/>
        <v>13160</v>
      </c>
      <c r="V298">
        <f t="shared" ca="1" si="85"/>
        <v>2.4675000000000002</v>
      </c>
      <c r="X298">
        <f t="shared" ca="1" si="86"/>
        <v>2.4649475990923886</v>
      </c>
    </row>
    <row r="299" spans="5:24" x14ac:dyDescent="0.25">
      <c r="E299">
        <v>297</v>
      </c>
      <c r="F299">
        <f t="shared" si="70"/>
        <v>49.7</v>
      </c>
      <c r="G299">
        <f t="shared" ca="1" si="71"/>
        <v>49.691000000000003</v>
      </c>
      <c r="H299" s="5">
        <f t="shared" ca="1" si="72"/>
        <v>9.0000000000003411E-3</v>
      </c>
      <c r="I299" s="5">
        <f t="shared" ca="1" si="73"/>
        <v>1.8108651911469498E-4</v>
      </c>
      <c r="J299" s="10">
        <f t="shared" si="74"/>
        <v>2.4749999999999996</v>
      </c>
      <c r="K299" s="12">
        <f t="shared" ca="1" si="75"/>
        <v>2.4742499999999996</v>
      </c>
      <c r="L299" s="5">
        <f t="shared" ca="1" si="76"/>
        <v>3.0303030303031458E-4</v>
      </c>
      <c r="N299">
        <f t="shared" ca="1" si="77"/>
        <v>24.691000000000003</v>
      </c>
      <c r="O299">
        <f t="shared" ca="1" si="78"/>
        <v>1.0370365E-3</v>
      </c>
      <c r="P299">
        <f t="shared" ca="1" si="79"/>
        <v>1.000617275</v>
      </c>
      <c r="Q299">
        <f t="shared" ca="1" si="80"/>
        <v>2.4747396160320441</v>
      </c>
      <c r="R299">
        <f t="shared" ca="1" si="81"/>
        <v>13198.611285504236</v>
      </c>
      <c r="S299">
        <f t="shared" ca="1" si="82"/>
        <v>3.8149126668169941</v>
      </c>
      <c r="T299">
        <f t="shared" ca="1" si="83"/>
        <v>1</v>
      </c>
      <c r="U299">
        <f t="shared" ca="1" si="84"/>
        <v>13203</v>
      </c>
      <c r="V299">
        <f t="shared" ca="1" si="85"/>
        <v>2.4755625000000001</v>
      </c>
      <c r="X299">
        <f t="shared" ca="1" si="86"/>
        <v>2.4729989430774122</v>
      </c>
    </row>
    <row r="300" spans="5:24" x14ac:dyDescent="0.25">
      <c r="E300">
        <v>298</v>
      </c>
      <c r="F300">
        <f t="shared" si="70"/>
        <v>49.8</v>
      </c>
      <c r="G300">
        <f t="shared" ca="1" si="71"/>
        <v>49.796999999999997</v>
      </c>
      <c r="H300" s="5">
        <f t="shared" ca="1" si="72"/>
        <v>3.0000000000001137E-3</v>
      </c>
      <c r="I300" s="5">
        <f t="shared" ca="1" si="73"/>
        <v>6.0240963855423974E-5</v>
      </c>
      <c r="J300" s="10">
        <f t="shared" si="74"/>
        <v>2.4833333333333325</v>
      </c>
      <c r="K300" s="12">
        <f t="shared" ca="1" si="75"/>
        <v>2.4830833333333322</v>
      </c>
      <c r="L300" s="5">
        <f t="shared" ca="1" si="76"/>
        <v>1.0067114093972038E-4</v>
      </c>
      <c r="N300">
        <f t="shared" ca="1" si="77"/>
        <v>24.796999999999997</v>
      </c>
      <c r="O300">
        <f t="shared" ca="1" si="78"/>
        <v>1.0371955E-3</v>
      </c>
      <c r="P300">
        <f t="shared" ca="1" si="79"/>
        <v>1.0006199250000001</v>
      </c>
      <c r="Q300">
        <f t="shared" ca="1" si="80"/>
        <v>2.483584820285329</v>
      </c>
      <c r="R300">
        <f t="shared" ca="1" si="81"/>
        <v>13245.785708188421</v>
      </c>
      <c r="S300">
        <f t="shared" ca="1" si="82"/>
        <v>3.820313104601067</v>
      </c>
      <c r="T300">
        <f t="shared" ca="1" si="83"/>
        <v>-3</v>
      </c>
      <c r="U300">
        <f t="shared" ca="1" si="84"/>
        <v>13247</v>
      </c>
      <c r="V300">
        <f t="shared" ca="1" si="85"/>
        <v>2.4838125</v>
      </c>
      <c r="X300">
        <f t="shared" ca="1" si="86"/>
        <v>2.4812371235761668</v>
      </c>
    </row>
    <row r="301" spans="5:24" x14ac:dyDescent="0.25">
      <c r="E301">
        <v>299</v>
      </c>
      <c r="F301">
        <f t="shared" si="70"/>
        <v>49.900000000000006</v>
      </c>
      <c r="G301">
        <f t="shared" ca="1" si="71"/>
        <v>49.906000000000006</v>
      </c>
      <c r="H301" s="5">
        <f t="shared" ca="1" si="72"/>
        <v>6.0000000000002274E-3</v>
      </c>
      <c r="I301" s="5">
        <f t="shared" ca="1" si="73"/>
        <v>1.2024048096192839E-4</v>
      </c>
      <c r="J301" s="10">
        <f t="shared" si="74"/>
        <v>2.4916666666666663</v>
      </c>
      <c r="K301" s="12">
        <f t="shared" ca="1" si="75"/>
        <v>2.4921666666666669</v>
      </c>
      <c r="L301" s="5">
        <f t="shared" ca="1" si="76"/>
        <v>2.0066889632131552E-4</v>
      </c>
      <c r="N301">
        <f t="shared" ca="1" si="77"/>
        <v>24.906000000000006</v>
      </c>
      <c r="O301">
        <f t="shared" ca="1" si="78"/>
        <v>1.0373590000000001E-3</v>
      </c>
      <c r="P301">
        <f t="shared" ca="1" si="79"/>
        <v>1.0006226499999999</v>
      </c>
      <c r="Q301">
        <f t="shared" ca="1" si="80"/>
        <v>2.4926804093300854</v>
      </c>
      <c r="R301">
        <f t="shared" ca="1" si="81"/>
        <v>13294.295516427122</v>
      </c>
      <c r="S301">
        <f t="shared" ca="1" si="82"/>
        <v>3.8257849173719007</v>
      </c>
      <c r="T301">
        <f t="shared" ca="1" si="83"/>
        <v>-1</v>
      </c>
      <c r="U301">
        <f t="shared" ca="1" si="84"/>
        <v>13297</v>
      </c>
      <c r="V301">
        <f t="shared" ca="1" si="85"/>
        <v>2.4931874999999999</v>
      </c>
      <c r="X301">
        <f t="shared" ca="1" si="86"/>
        <v>2.4905993693027035</v>
      </c>
    </row>
    <row r="302" spans="5:24" x14ac:dyDescent="0.25">
      <c r="E302">
        <v>300</v>
      </c>
      <c r="F302">
        <f t="shared" si="70"/>
        <v>50</v>
      </c>
      <c r="G302">
        <f t="shared" ca="1" si="71"/>
        <v>50.006</v>
      </c>
      <c r="H302" s="5">
        <f t="shared" ca="1" si="72"/>
        <v>6.0000000000002274E-3</v>
      </c>
      <c r="I302" s="5">
        <f t="shared" ca="1" si="73"/>
        <v>1.2000000000000454E-4</v>
      </c>
      <c r="J302" s="10">
        <f t="shared" si="74"/>
        <v>2.4999999999999991</v>
      </c>
      <c r="K302" s="12">
        <f t="shared" ca="1" si="75"/>
        <v>2.5004999999999997</v>
      </c>
      <c r="L302" s="5">
        <f t="shared" ca="1" si="76"/>
        <v>2.000000000002445E-4</v>
      </c>
      <c r="N302">
        <f t="shared" ca="1" si="77"/>
        <v>25.006</v>
      </c>
      <c r="O302">
        <f t="shared" ca="1" si="78"/>
        <v>1.037509E-3</v>
      </c>
      <c r="P302">
        <f t="shared" ca="1" si="79"/>
        <v>1.0006251500000001</v>
      </c>
      <c r="Q302">
        <f t="shared" ca="1" si="80"/>
        <v>2.5010250299762484</v>
      </c>
      <c r="R302">
        <f t="shared" ca="1" si="81"/>
        <v>13338.800159873324</v>
      </c>
      <c r="S302">
        <f t="shared" ca="1" si="82"/>
        <v>3.8307321725258956</v>
      </c>
      <c r="T302">
        <f t="shared" ca="1" si="83"/>
        <v>-3</v>
      </c>
      <c r="U302">
        <f t="shared" ca="1" si="84"/>
        <v>13340</v>
      </c>
      <c r="V302">
        <f t="shared" ca="1" si="85"/>
        <v>2.5012500000000002</v>
      </c>
      <c r="X302">
        <f t="shared" ca="1" si="86"/>
        <v>2.4986504596651402</v>
      </c>
    </row>
    <row r="303" spans="5:24" x14ac:dyDescent="0.25">
      <c r="E303">
        <v>301</v>
      </c>
      <c r="F303">
        <f t="shared" si="70"/>
        <v>50.1</v>
      </c>
      <c r="G303">
        <f t="shared" ca="1" si="71"/>
        <v>50.091999999999999</v>
      </c>
      <c r="H303" s="5">
        <f t="shared" ca="1" si="72"/>
        <v>8.0000000000026716E-3</v>
      </c>
      <c r="I303" s="5">
        <f t="shared" ca="1" si="73"/>
        <v>1.5968063872260821E-4</v>
      </c>
      <c r="J303" s="10">
        <f t="shared" si="74"/>
        <v>2.5083333333333329</v>
      </c>
      <c r="K303" s="12">
        <f t="shared" ca="1" si="75"/>
        <v>2.5076666666666663</v>
      </c>
      <c r="L303" s="5">
        <f t="shared" ca="1" si="76"/>
        <v>2.6578073089698076E-4</v>
      </c>
      <c r="N303">
        <f t="shared" ca="1" si="77"/>
        <v>25.091999999999999</v>
      </c>
      <c r="O303">
        <f t="shared" ca="1" si="78"/>
        <v>1.037638E-3</v>
      </c>
      <c r="P303">
        <f t="shared" ca="1" si="79"/>
        <v>1.0006273000000001</v>
      </c>
      <c r="Q303">
        <f t="shared" ca="1" si="80"/>
        <v>2.508201437056349</v>
      </c>
      <c r="R303">
        <f t="shared" ca="1" si="81"/>
        <v>13377.074330967194</v>
      </c>
      <c r="S303">
        <f t="shared" ca="1" si="82"/>
        <v>3.834931055364585</v>
      </c>
      <c r="T303">
        <f t="shared" ca="1" si="83"/>
        <v>3</v>
      </c>
      <c r="U303">
        <f t="shared" ca="1" si="84"/>
        <v>13384</v>
      </c>
      <c r="V303">
        <f t="shared" ca="1" si="85"/>
        <v>2.5095000000000001</v>
      </c>
      <c r="X303">
        <f t="shared" ca="1" si="86"/>
        <v>2.5068897900347107</v>
      </c>
    </row>
    <row r="304" spans="5:24" x14ac:dyDescent="0.25">
      <c r="E304">
        <v>302</v>
      </c>
      <c r="F304">
        <f t="shared" si="70"/>
        <v>50.2</v>
      </c>
      <c r="G304">
        <f t="shared" ca="1" si="71"/>
        <v>50.191000000000003</v>
      </c>
      <c r="H304" s="5">
        <f t="shared" ca="1" si="72"/>
        <v>9.0000000000003411E-3</v>
      </c>
      <c r="I304" s="5">
        <f t="shared" ca="1" si="73"/>
        <v>1.792828685259032E-4</v>
      </c>
      <c r="J304" s="10">
        <f t="shared" si="74"/>
        <v>2.5166666666666666</v>
      </c>
      <c r="K304" s="12">
        <f t="shared" ca="1" si="75"/>
        <v>2.5159166666666666</v>
      </c>
      <c r="L304" s="5">
        <f t="shared" ca="1" si="76"/>
        <v>2.9801324503312386E-4</v>
      </c>
      <c r="N304">
        <f t="shared" ca="1" si="77"/>
        <v>25.191000000000003</v>
      </c>
      <c r="O304">
        <f t="shared" ca="1" si="78"/>
        <v>1.0377864999999999E-3</v>
      </c>
      <c r="P304">
        <f t="shared" ca="1" si="79"/>
        <v>1.0006297749999999</v>
      </c>
      <c r="Q304">
        <f t="shared" ca="1" si="80"/>
        <v>2.5164626880134233</v>
      </c>
      <c r="R304">
        <f t="shared" ca="1" si="81"/>
        <v>13421.134336071591</v>
      </c>
      <c r="S304">
        <f t="shared" ca="1" si="82"/>
        <v>3.8397007349727104</v>
      </c>
      <c r="T304">
        <f t="shared" ca="1" si="83"/>
        <v>3</v>
      </c>
      <c r="U304">
        <f t="shared" ca="1" si="84"/>
        <v>13428</v>
      </c>
      <c r="V304">
        <f t="shared" ca="1" si="85"/>
        <v>2.5177499999999999</v>
      </c>
      <c r="X304">
        <f t="shared" ca="1" si="86"/>
        <v>2.5151282486072333</v>
      </c>
    </row>
    <row r="305" spans="5:24" x14ac:dyDescent="0.25">
      <c r="E305">
        <v>303</v>
      </c>
      <c r="F305">
        <f t="shared" si="70"/>
        <v>50.3</v>
      </c>
      <c r="G305">
        <f t="shared" ca="1" si="71"/>
        <v>50.296999999999997</v>
      </c>
      <c r="H305" s="5">
        <f t="shared" ca="1" si="72"/>
        <v>3.0000000000001137E-3</v>
      </c>
      <c r="I305" s="5">
        <f t="shared" ca="1" si="73"/>
        <v>5.9642147117298489E-5</v>
      </c>
      <c r="J305" s="10">
        <f t="shared" si="74"/>
        <v>2.5249999999999995</v>
      </c>
      <c r="K305" s="12">
        <f t="shared" ca="1" si="75"/>
        <v>2.5247499999999992</v>
      </c>
      <c r="L305" s="5">
        <f t="shared" ca="1" si="76"/>
        <v>9.9009900990220041E-5</v>
      </c>
      <c r="N305">
        <f t="shared" ca="1" si="77"/>
        <v>25.296999999999997</v>
      </c>
      <c r="O305">
        <f t="shared" ca="1" si="78"/>
        <v>1.0379454999999999E-3</v>
      </c>
      <c r="P305">
        <f t="shared" ca="1" si="79"/>
        <v>1.000632425</v>
      </c>
      <c r="Q305">
        <f t="shared" ca="1" si="80"/>
        <v>2.5253081130960666</v>
      </c>
      <c r="R305">
        <f t="shared" ca="1" si="81"/>
        <v>13468.309936512354</v>
      </c>
      <c r="S305">
        <f t="shared" ca="1" si="82"/>
        <v>3.844731734984101</v>
      </c>
      <c r="T305">
        <f t="shared" ca="1" si="83"/>
        <v>-2</v>
      </c>
      <c r="U305">
        <f t="shared" ca="1" si="84"/>
        <v>13470</v>
      </c>
      <c r="V305">
        <f t="shared" ca="1" si="85"/>
        <v>2.5256250000000002</v>
      </c>
      <c r="X305">
        <f t="shared" ca="1" si="86"/>
        <v>2.5229914516312024</v>
      </c>
    </row>
    <row r="306" spans="5:24" x14ac:dyDescent="0.25">
      <c r="E306">
        <v>304</v>
      </c>
      <c r="F306">
        <f t="shared" si="70"/>
        <v>50.400000000000006</v>
      </c>
      <c r="G306">
        <f t="shared" ca="1" si="71"/>
        <v>50.399000000000008</v>
      </c>
      <c r="H306" s="5">
        <f t="shared" ca="1" si="72"/>
        <v>9.9999999999766942E-4</v>
      </c>
      <c r="I306" s="5">
        <f t="shared" ca="1" si="73"/>
        <v>1.9841269841223597E-5</v>
      </c>
      <c r="J306" s="10">
        <f t="shared" si="74"/>
        <v>2.5333333333333332</v>
      </c>
      <c r="K306" s="12">
        <f t="shared" ca="1" si="75"/>
        <v>2.5332499999999998</v>
      </c>
      <c r="L306" s="5">
        <f t="shared" ca="1" si="76"/>
        <v>3.2894736842145466E-5</v>
      </c>
      <c r="N306">
        <f t="shared" ca="1" si="77"/>
        <v>25.399000000000008</v>
      </c>
      <c r="O306">
        <f t="shared" ca="1" si="78"/>
        <v>1.0380985000000001E-3</v>
      </c>
      <c r="P306">
        <f t="shared" ca="1" si="79"/>
        <v>1.0006349750000001</v>
      </c>
      <c r="Q306">
        <f t="shared" ca="1" si="80"/>
        <v>2.5338197927521549</v>
      </c>
      <c r="R306">
        <f t="shared" ca="1" si="81"/>
        <v>13513.705561344826</v>
      </c>
      <c r="S306">
        <f t="shared" ca="1" si="82"/>
        <v>3.8494986573727301</v>
      </c>
      <c r="T306">
        <f t="shared" ca="1" si="83"/>
        <v>3</v>
      </c>
      <c r="U306">
        <f t="shared" ca="1" si="84"/>
        <v>13521</v>
      </c>
      <c r="V306">
        <f t="shared" ca="1" si="85"/>
        <v>2.5351875000000001</v>
      </c>
      <c r="X306">
        <f t="shared" ca="1" si="86"/>
        <v>2.5325413010873419</v>
      </c>
    </row>
    <row r="307" spans="5:24" x14ac:dyDescent="0.25">
      <c r="E307">
        <v>305</v>
      </c>
      <c r="F307">
        <f t="shared" si="70"/>
        <v>50.5</v>
      </c>
      <c r="G307">
        <f t="shared" ca="1" si="71"/>
        <v>50.503</v>
      </c>
      <c r="H307" s="5">
        <f t="shared" ca="1" si="72"/>
        <v>3.0000000000001137E-3</v>
      </c>
      <c r="I307" s="5">
        <f t="shared" ca="1" si="73"/>
        <v>5.9405940594061654E-5</v>
      </c>
      <c r="J307" s="10">
        <f t="shared" si="74"/>
        <v>2.5416666666666661</v>
      </c>
      <c r="K307" s="12">
        <f t="shared" ca="1" si="75"/>
        <v>2.5419166666666664</v>
      </c>
      <c r="L307" s="5">
        <f t="shared" ca="1" si="76"/>
        <v>9.8360655737825151E-5</v>
      </c>
      <c r="N307">
        <f t="shared" ca="1" si="77"/>
        <v>25.503</v>
      </c>
      <c r="O307">
        <f t="shared" ca="1" si="78"/>
        <v>1.0382545000000001E-3</v>
      </c>
      <c r="P307">
        <f t="shared" ca="1" si="79"/>
        <v>1.0006375750000001</v>
      </c>
      <c r="Q307">
        <f t="shared" ca="1" si="80"/>
        <v>2.5424984127203034</v>
      </c>
      <c r="R307">
        <f t="shared" ca="1" si="81"/>
        <v>13559.991534508285</v>
      </c>
      <c r="S307">
        <f t="shared" ca="1" si="82"/>
        <v>3.8542839965637876</v>
      </c>
      <c r="T307">
        <f t="shared" ca="1" si="83"/>
        <v>2</v>
      </c>
      <c r="U307">
        <f t="shared" ca="1" si="84"/>
        <v>13566</v>
      </c>
      <c r="V307">
        <f t="shared" ca="1" si="85"/>
        <v>2.543625</v>
      </c>
      <c r="X307">
        <f t="shared" ca="1" si="86"/>
        <v>2.5409666886634752</v>
      </c>
    </row>
    <row r="308" spans="5:24" x14ac:dyDescent="0.25">
      <c r="E308">
        <v>306</v>
      </c>
      <c r="F308">
        <f t="shared" si="70"/>
        <v>50.6</v>
      </c>
      <c r="G308">
        <f t="shared" ca="1" si="71"/>
        <v>50.605000000000004</v>
      </c>
      <c r="H308" s="5">
        <f t="shared" ca="1" si="72"/>
        <v>5.000000000002558E-3</v>
      </c>
      <c r="I308" s="5">
        <f t="shared" ca="1" si="73"/>
        <v>9.8814229249062407E-5</v>
      </c>
      <c r="J308" s="10">
        <f t="shared" si="74"/>
        <v>2.5499999999999998</v>
      </c>
      <c r="K308" s="12">
        <f t="shared" ca="1" si="75"/>
        <v>2.5504166666666661</v>
      </c>
      <c r="L308" s="5">
        <f t="shared" ca="1" si="76"/>
        <v>1.6339869281030892E-4</v>
      </c>
      <c r="N308">
        <f t="shared" ca="1" si="77"/>
        <v>25.605000000000004</v>
      </c>
      <c r="O308">
        <f t="shared" ca="1" si="78"/>
        <v>1.0384075E-3</v>
      </c>
      <c r="P308">
        <f t="shared" ca="1" si="79"/>
        <v>1.0006401250000001</v>
      </c>
      <c r="Q308">
        <f t="shared" ca="1" si="80"/>
        <v>2.5510101799248157</v>
      </c>
      <c r="R308">
        <f t="shared" ca="1" si="81"/>
        <v>13605.387626265683</v>
      </c>
      <c r="S308">
        <f t="shared" ca="1" si="82"/>
        <v>3.8589036095565818</v>
      </c>
      <c r="T308">
        <f t="shared" ca="1" si="83"/>
        <v>-2</v>
      </c>
      <c r="U308">
        <f t="shared" ca="1" si="84"/>
        <v>13607</v>
      </c>
      <c r="V308">
        <f t="shared" ca="1" si="85"/>
        <v>2.5513124999999999</v>
      </c>
      <c r="X308">
        <f t="shared" ca="1" si="86"/>
        <v>2.5486426426283875</v>
      </c>
    </row>
    <row r="309" spans="5:24" x14ac:dyDescent="0.25">
      <c r="E309">
        <v>307</v>
      </c>
      <c r="F309">
        <f t="shared" si="70"/>
        <v>50.7</v>
      </c>
      <c r="G309">
        <f t="shared" ca="1" si="71"/>
        <v>50.704000000000001</v>
      </c>
      <c r="H309" s="5">
        <f t="shared" ca="1" si="72"/>
        <v>3.9999999999977831E-3</v>
      </c>
      <c r="I309" s="5">
        <f t="shared" ca="1" si="73"/>
        <v>7.88954635108044E-5</v>
      </c>
      <c r="J309" s="10">
        <f t="shared" si="74"/>
        <v>2.5583333333333327</v>
      </c>
      <c r="K309" s="12">
        <f t="shared" ca="1" si="75"/>
        <v>2.5586666666666664</v>
      </c>
      <c r="L309" s="5">
        <f t="shared" ca="1" si="76"/>
        <v>1.3029315960927978E-4</v>
      </c>
      <c r="N309">
        <f t="shared" ca="1" si="77"/>
        <v>25.704000000000001</v>
      </c>
      <c r="O309">
        <f t="shared" ca="1" si="78"/>
        <v>1.0385559999999999E-3</v>
      </c>
      <c r="P309">
        <f t="shared" ca="1" si="79"/>
        <v>1.0006425999999999</v>
      </c>
      <c r="Q309">
        <f t="shared" ca="1" si="80"/>
        <v>2.5592716424905806</v>
      </c>
      <c r="R309">
        <f t="shared" ca="1" si="81"/>
        <v>13649.448759949762</v>
      </c>
      <c r="S309">
        <f t="shared" ca="1" si="82"/>
        <v>3.8633174705365825</v>
      </c>
      <c r="T309">
        <f t="shared" ca="1" si="83"/>
        <v>-2</v>
      </c>
      <c r="U309">
        <f t="shared" ca="1" si="84"/>
        <v>13651</v>
      </c>
      <c r="V309">
        <f t="shared" ca="1" si="85"/>
        <v>2.5595625000000002</v>
      </c>
      <c r="X309">
        <f t="shared" ca="1" si="86"/>
        <v>2.5568808923385835</v>
      </c>
    </row>
    <row r="310" spans="5:24" x14ac:dyDescent="0.25">
      <c r="E310">
        <v>308</v>
      </c>
      <c r="F310">
        <f t="shared" si="70"/>
        <v>50.8</v>
      </c>
      <c r="G310">
        <f t="shared" ca="1" si="71"/>
        <v>50.795999999999999</v>
      </c>
      <c r="H310" s="5">
        <f t="shared" ca="1" si="72"/>
        <v>3.9999999999977831E-3</v>
      </c>
      <c r="I310" s="5">
        <f t="shared" ca="1" si="73"/>
        <v>7.8740157480271331E-5</v>
      </c>
      <c r="J310" s="10">
        <f t="shared" si="74"/>
        <v>2.5666666666666655</v>
      </c>
      <c r="K310" s="12">
        <f t="shared" ca="1" si="75"/>
        <v>2.5663333333333327</v>
      </c>
      <c r="L310" s="5">
        <f t="shared" ca="1" si="76"/>
        <v>1.298701298699426E-4</v>
      </c>
      <c r="N310">
        <f t="shared" ca="1" si="77"/>
        <v>25.795999999999999</v>
      </c>
      <c r="O310">
        <f t="shared" ca="1" si="78"/>
        <v>1.0386939999999999E-3</v>
      </c>
      <c r="P310">
        <f t="shared" ca="1" si="79"/>
        <v>1.0006448999999999</v>
      </c>
      <c r="Q310">
        <f t="shared" ca="1" si="80"/>
        <v>2.5669489978462385</v>
      </c>
      <c r="R310">
        <f t="shared" ca="1" si="81"/>
        <v>13690.394655179938</v>
      </c>
      <c r="S310">
        <f t="shared" ca="1" si="82"/>
        <v>3.8673574606338592</v>
      </c>
      <c r="T310">
        <f t="shared" ca="1" si="83"/>
        <v>-2</v>
      </c>
      <c r="U310">
        <f t="shared" ca="1" si="84"/>
        <v>13692</v>
      </c>
      <c r="V310">
        <f t="shared" ca="1" si="85"/>
        <v>2.56725</v>
      </c>
      <c r="X310">
        <f t="shared" ca="1" si="86"/>
        <v>2.5645574229179604</v>
      </c>
    </row>
    <row r="311" spans="5:24" x14ac:dyDescent="0.25">
      <c r="E311">
        <v>309</v>
      </c>
      <c r="F311">
        <f t="shared" si="70"/>
        <v>50.900000000000006</v>
      </c>
      <c r="G311">
        <f t="shared" ca="1" si="71"/>
        <v>50.894000000000005</v>
      </c>
      <c r="H311" s="5">
        <f t="shared" ca="1" si="72"/>
        <v>6.0000000000002274E-3</v>
      </c>
      <c r="I311" s="5">
        <f t="shared" ca="1" si="73"/>
        <v>1.178781925343856E-4</v>
      </c>
      <c r="J311" s="10">
        <f t="shared" si="74"/>
        <v>2.5750000000000002</v>
      </c>
      <c r="K311" s="12">
        <f t="shared" ca="1" si="75"/>
        <v>2.5744999999999996</v>
      </c>
      <c r="L311" s="5">
        <f t="shared" ca="1" si="76"/>
        <v>1.9417475728179069E-4</v>
      </c>
      <c r="N311">
        <f t="shared" ca="1" si="77"/>
        <v>25.894000000000005</v>
      </c>
      <c r="O311">
        <f t="shared" ca="1" si="78"/>
        <v>1.038841E-3</v>
      </c>
      <c r="P311">
        <f t="shared" ca="1" si="79"/>
        <v>1.0006473499999999</v>
      </c>
      <c r="Q311">
        <f t="shared" ca="1" si="80"/>
        <v>2.5751270890812781</v>
      </c>
      <c r="R311">
        <f t="shared" ca="1" si="81"/>
        <v>13734.011141766816</v>
      </c>
      <c r="S311">
        <f t="shared" ca="1" si="82"/>
        <v>3.8715953914260357</v>
      </c>
      <c r="T311">
        <f t="shared" ca="1" si="83"/>
        <v>0</v>
      </c>
      <c r="U311">
        <f t="shared" ca="1" si="84"/>
        <v>13738</v>
      </c>
      <c r="V311">
        <f t="shared" ca="1" si="85"/>
        <v>2.5758749999999999</v>
      </c>
      <c r="X311">
        <f t="shared" ca="1" si="86"/>
        <v>2.5731704171304703</v>
      </c>
    </row>
    <row r="312" spans="5:24" x14ac:dyDescent="0.25">
      <c r="E312">
        <v>310</v>
      </c>
      <c r="F312">
        <f t="shared" si="70"/>
        <v>51</v>
      </c>
      <c r="G312">
        <f t="shared" ca="1" si="71"/>
        <v>50.996000000000002</v>
      </c>
      <c r="H312" s="5">
        <f t="shared" ca="1" si="72"/>
        <v>3.9999999999977831E-3</v>
      </c>
      <c r="I312" s="5">
        <f t="shared" ca="1" si="73"/>
        <v>7.8431372548976134E-5</v>
      </c>
      <c r="J312" s="10">
        <f t="shared" si="74"/>
        <v>2.583333333333333</v>
      </c>
      <c r="K312" s="12">
        <f t="shared" ca="1" si="75"/>
        <v>2.5829999999999993</v>
      </c>
      <c r="L312" s="5">
        <f t="shared" ca="1" si="76"/>
        <v>1.2903225806467383E-4</v>
      </c>
      <c r="N312">
        <f t="shared" ca="1" si="77"/>
        <v>25.996000000000002</v>
      </c>
      <c r="O312">
        <f t="shared" ca="1" si="78"/>
        <v>1.0389940000000001E-3</v>
      </c>
      <c r="P312">
        <f t="shared" ca="1" si="79"/>
        <v>1.0006499</v>
      </c>
      <c r="Q312">
        <f t="shared" ca="1" si="80"/>
        <v>2.5836390224577985</v>
      </c>
      <c r="R312">
        <f t="shared" ca="1" si="81"/>
        <v>13779.408119774926</v>
      </c>
      <c r="S312">
        <f t="shared" ca="1" si="82"/>
        <v>3.8759344178034083</v>
      </c>
      <c r="T312">
        <f t="shared" ca="1" si="83"/>
        <v>-3</v>
      </c>
      <c r="U312">
        <f t="shared" ca="1" si="84"/>
        <v>13780</v>
      </c>
      <c r="V312">
        <f t="shared" ca="1" si="85"/>
        <v>2.5837500000000002</v>
      </c>
      <c r="X312">
        <f t="shared" ca="1" si="86"/>
        <v>2.5810335922683851</v>
      </c>
    </row>
    <row r="313" spans="5:24" x14ac:dyDescent="0.25">
      <c r="E313">
        <v>311</v>
      </c>
      <c r="F313">
        <f t="shared" si="70"/>
        <v>51.1</v>
      </c>
      <c r="G313">
        <f t="shared" ca="1" si="71"/>
        <v>51.100999999999999</v>
      </c>
      <c r="H313" s="5">
        <f t="shared" ca="1" si="72"/>
        <v>9.9999999999766942E-4</v>
      </c>
      <c r="I313" s="5">
        <f t="shared" ca="1" si="73"/>
        <v>1.9569471624220538E-5</v>
      </c>
      <c r="J313" s="10">
        <f t="shared" si="74"/>
        <v>2.5916666666666659</v>
      </c>
      <c r="K313" s="12">
        <f t="shared" ca="1" si="75"/>
        <v>2.5917499999999993</v>
      </c>
      <c r="L313" s="5">
        <f t="shared" ca="1" si="76"/>
        <v>3.2154340836052169E-5</v>
      </c>
      <c r="N313">
        <f t="shared" ca="1" si="77"/>
        <v>26.100999999999999</v>
      </c>
      <c r="O313">
        <f t="shared" ca="1" si="78"/>
        <v>1.0391515E-3</v>
      </c>
      <c r="P313">
        <f t="shared" ca="1" si="79"/>
        <v>1.000652525</v>
      </c>
      <c r="Q313">
        <f t="shared" ca="1" si="80"/>
        <v>2.5924013520964166</v>
      </c>
      <c r="R313">
        <f t="shared" ca="1" si="81"/>
        <v>13826.140544514223</v>
      </c>
      <c r="S313">
        <f t="shared" ca="1" si="82"/>
        <v>3.8803243907140175</v>
      </c>
      <c r="T313">
        <f t="shared" ca="1" si="83"/>
        <v>2</v>
      </c>
      <c r="U313">
        <f t="shared" ca="1" si="84"/>
        <v>13832</v>
      </c>
      <c r="V313">
        <f t="shared" ca="1" si="85"/>
        <v>2.5935000000000001</v>
      </c>
      <c r="X313">
        <f t="shared" ca="1" si="86"/>
        <v>2.5907703061060081</v>
      </c>
    </row>
    <row r="314" spans="5:24" x14ac:dyDescent="0.25">
      <c r="E314">
        <v>312</v>
      </c>
      <c r="F314">
        <f t="shared" si="70"/>
        <v>51.2</v>
      </c>
      <c r="G314">
        <f t="shared" ca="1" si="71"/>
        <v>51.2</v>
      </c>
      <c r="H314" s="5">
        <f t="shared" ca="1" si="72"/>
        <v>0</v>
      </c>
      <c r="I314" s="5">
        <f t="shared" ca="1" si="73"/>
        <v>0</v>
      </c>
      <c r="J314" s="10">
        <f t="shared" si="74"/>
        <v>2.5999999999999996</v>
      </c>
      <c r="K314" s="12">
        <f t="shared" ca="1" si="75"/>
        <v>2.5999999999999996</v>
      </c>
      <c r="L314" s="5">
        <f t="shared" ca="1" si="76"/>
        <v>0</v>
      </c>
      <c r="N314">
        <f t="shared" ca="1" si="77"/>
        <v>26.200000000000003</v>
      </c>
      <c r="O314">
        <f t="shared" ca="1" si="78"/>
        <v>1.0392999999999999E-3</v>
      </c>
      <c r="P314">
        <f t="shared" ca="1" si="79"/>
        <v>1.0006550000000001</v>
      </c>
      <c r="Q314">
        <f t="shared" ca="1" si="80"/>
        <v>2.6006630192585001</v>
      </c>
      <c r="R314">
        <f t="shared" ca="1" si="81"/>
        <v>13870.202769378668</v>
      </c>
      <c r="S314">
        <f t="shared" ca="1" si="82"/>
        <v>3.88439218557316</v>
      </c>
      <c r="T314">
        <f t="shared" ca="1" si="83"/>
        <v>1</v>
      </c>
      <c r="U314">
        <f t="shared" ca="1" si="84"/>
        <v>13875</v>
      </c>
      <c r="V314">
        <f t="shared" ca="1" si="85"/>
        <v>2.6015625</v>
      </c>
      <c r="X314">
        <f t="shared" ca="1" si="86"/>
        <v>2.5988209722631677</v>
      </c>
    </row>
    <row r="315" spans="5:24" x14ac:dyDescent="0.25">
      <c r="E315">
        <v>313</v>
      </c>
      <c r="F315">
        <f t="shared" si="70"/>
        <v>51.3</v>
      </c>
      <c r="G315">
        <f t="shared" ca="1" si="71"/>
        <v>51.302999999999997</v>
      </c>
      <c r="H315" s="5">
        <f t="shared" ca="1" si="72"/>
        <v>3.0000000000001137E-3</v>
      </c>
      <c r="I315" s="5">
        <f t="shared" ca="1" si="73"/>
        <v>5.8479532163744908E-5</v>
      </c>
      <c r="J315" s="10">
        <f t="shared" si="74"/>
        <v>2.6083333333333325</v>
      </c>
      <c r="K315" s="12">
        <f t="shared" ca="1" si="75"/>
        <v>2.6085833333333328</v>
      </c>
      <c r="L315" s="5">
        <f t="shared" ca="1" si="76"/>
        <v>9.5846645367529305E-5</v>
      </c>
      <c r="N315">
        <f t="shared" ca="1" si="77"/>
        <v>26.302999999999997</v>
      </c>
      <c r="O315">
        <f t="shared" ca="1" si="78"/>
        <v>1.0394544999999999E-3</v>
      </c>
      <c r="P315">
        <f t="shared" ca="1" si="79"/>
        <v>1.000657575</v>
      </c>
      <c r="Q315">
        <f t="shared" ca="1" si="80"/>
        <v>2.6092585344994568</v>
      </c>
      <c r="R315">
        <f t="shared" ca="1" si="81"/>
        <v>13916.045517330436</v>
      </c>
      <c r="S315">
        <f t="shared" ca="1" si="82"/>
        <v>3.888550778320504</v>
      </c>
      <c r="T315">
        <f t="shared" ca="1" si="83"/>
        <v>3</v>
      </c>
      <c r="U315">
        <f t="shared" ca="1" si="84"/>
        <v>13923</v>
      </c>
      <c r="V315">
        <f t="shared" ca="1" si="85"/>
        <v>2.6105624999999999</v>
      </c>
      <c r="X315">
        <f t="shared" ca="1" si="86"/>
        <v>2.6078082160123559</v>
      </c>
    </row>
    <row r="316" spans="5:24" x14ac:dyDescent="0.25">
      <c r="E316">
        <v>314</v>
      </c>
      <c r="F316">
        <f t="shared" si="70"/>
        <v>51.400000000000006</v>
      </c>
      <c r="G316">
        <f t="shared" ca="1" si="71"/>
        <v>51.408000000000008</v>
      </c>
      <c r="H316" s="5">
        <f t="shared" ca="1" si="72"/>
        <v>8.0000000000026716E-3</v>
      </c>
      <c r="I316" s="5">
        <f t="shared" ca="1" si="73"/>
        <v>1.5564202334635547E-4</v>
      </c>
      <c r="J316" s="10">
        <f t="shared" si="74"/>
        <v>2.6166666666666663</v>
      </c>
      <c r="K316" s="12">
        <f t="shared" ca="1" si="75"/>
        <v>2.6173333333333337</v>
      </c>
      <c r="L316" s="5">
        <f t="shared" ca="1" si="76"/>
        <v>2.5477707006400568E-4</v>
      </c>
      <c r="N316">
        <f t="shared" ca="1" si="77"/>
        <v>26.408000000000008</v>
      </c>
      <c r="O316">
        <f t="shared" ca="1" si="78"/>
        <v>1.0396120000000001E-3</v>
      </c>
      <c r="P316">
        <f t="shared" ca="1" si="79"/>
        <v>1.0006602</v>
      </c>
      <c r="Q316">
        <f t="shared" ca="1" si="80"/>
        <v>2.6180209984481579</v>
      </c>
      <c r="R316">
        <f t="shared" ca="1" si="81"/>
        <v>13962.778658390176</v>
      </c>
      <c r="S316">
        <f t="shared" ca="1" si="82"/>
        <v>3.8927128240676439</v>
      </c>
      <c r="T316">
        <f t="shared" ca="1" si="83"/>
        <v>2</v>
      </c>
      <c r="U316">
        <f t="shared" ca="1" si="84"/>
        <v>13969</v>
      </c>
      <c r="V316">
        <f t="shared" ca="1" si="85"/>
        <v>2.6191875000000002</v>
      </c>
      <c r="X316">
        <f t="shared" ca="1" si="86"/>
        <v>2.6164205271679637</v>
      </c>
    </row>
    <row r="317" spans="5:24" x14ac:dyDescent="0.25">
      <c r="E317">
        <v>315</v>
      </c>
      <c r="F317">
        <f t="shared" si="70"/>
        <v>51.5</v>
      </c>
      <c r="G317">
        <f t="shared" ca="1" si="71"/>
        <v>51.497</v>
      </c>
      <c r="H317" s="5">
        <f t="shared" ca="1" si="72"/>
        <v>3.0000000000001137E-3</v>
      </c>
      <c r="I317" s="5">
        <f t="shared" ca="1" si="73"/>
        <v>5.825242718446823E-5</v>
      </c>
      <c r="J317" s="10">
        <f t="shared" si="74"/>
        <v>2.6249999999999991</v>
      </c>
      <c r="K317" s="12">
        <f t="shared" ca="1" si="75"/>
        <v>2.6247499999999997</v>
      </c>
      <c r="L317" s="5">
        <f t="shared" ca="1" si="76"/>
        <v>9.5238095237873305E-5</v>
      </c>
      <c r="N317">
        <f t="shared" ca="1" si="77"/>
        <v>26.497</v>
      </c>
      <c r="O317">
        <f t="shared" ca="1" si="78"/>
        <v>1.0397455000000001E-3</v>
      </c>
      <c r="P317">
        <f t="shared" ca="1" si="79"/>
        <v>1.000662425</v>
      </c>
      <c r="Q317">
        <f t="shared" ca="1" si="80"/>
        <v>2.6254482657653369</v>
      </c>
      <c r="R317">
        <f t="shared" ca="1" si="81"/>
        <v>14002.390750748464</v>
      </c>
      <c r="S317">
        <f t="shared" ca="1" si="82"/>
        <v>3.896179482667161</v>
      </c>
      <c r="T317">
        <f t="shared" ca="1" si="83"/>
        <v>2</v>
      </c>
      <c r="U317">
        <f t="shared" ca="1" si="84"/>
        <v>14008</v>
      </c>
      <c r="V317">
        <f t="shared" ca="1" si="85"/>
        <v>2.6265000000000001</v>
      </c>
      <c r="X317">
        <f t="shared" ca="1" si="86"/>
        <v>2.6237222352982825</v>
      </c>
    </row>
    <row r="318" spans="5:24" x14ac:dyDescent="0.25">
      <c r="E318">
        <v>316</v>
      </c>
      <c r="F318">
        <f t="shared" si="70"/>
        <v>51.6</v>
      </c>
      <c r="G318">
        <f t="shared" ca="1" si="71"/>
        <v>51.597999999999999</v>
      </c>
      <c r="H318" s="5">
        <f t="shared" ca="1" si="72"/>
        <v>2.0000000000024443E-3</v>
      </c>
      <c r="I318" s="5">
        <f t="shared" ca="1" si="73"/>
        <v>3.8759689922527988E-5</v>
      </c>
      <c r="J318" s="10">
        <f t="shared" si="74"/>
        <v>2.6333333333333329</v>
      </c>
      <c r="K318" s="12">
        <f t="shared" ca="1" si="75"/>
        <v>2.633166666666666</v>
      </c>
      <c r="L318" s="5">
        <f t="shared" ca="1" si="76"/>
        <v>6.3291139240583691E-5</v>
      </c>
      <c r="N318">
        <f t="shared" ca="1" si="77"/>
        <v>26.597999999999999</v>
      </c>
      <c r="O318">
        <f t="shared" ca="1" si="78"/>
        <v>1.0398970000000001E-3</v>
      </c>
      <c r="P318">
        <f t="shared" ca="1" si="79"/>
        <v>1.00066495</v>
      </c>
      <c r="Q318">
        <f t="shared" ca="1" si="80"/>
        <v>2.6338770023621558</v>
      </c>
      <c r="R318">
        <f t="shared" ca="1" si="81"/>
        <v>14047.344012598163</v>
      </c>
      <c r="S318">
        <f t="shared" ca="1" si="82"/>
        <v>3.9000455009027633</v>
      </c>
      <c r="T318">
        <f t="shared" ca="1" si="83"/>
        <v>2</v>
      </c>
      <c r="U318">
        <f t="shared" ca="1" si="84"/>
        <v>14053</v>
      </c>
      <c r="V318">
        <f t="shared" ca="1" si="85"/>
        <v>2.6349374999999999</v>
      </c>
      <c r="X318">
        <f t="shared" ca="1" si="86"/>
        <v>2.6321473566152185</v>
      </c>
    </row>
    <row r="319" spans="5:24" x14ac:dyDescent="0.25">
      <c r="E319">
        <v>317</v>
      </c>
      <c r="F319">
        <f t="shared" si="70"/>
        <v>51.7</v>
      </c>
      <c r="G319">
        <f t="shared" ca="1" si="71"/>
        <v>51.696000000000005</v>
      </c>
      <c r="H319" s="5">
        <f t="shared" ca="1" si="72"/>
        <v>3.9999999999977831E-3</v>
      </c>
      <c r="I319" s="5">
        <f t="shared" ca="1" si="73"/>
        <v>7.7369439071523847E-5</v>
      </c>
      <c r="J319" s="10">
        <f t="shared" si="74"/>
        <v>2.6416666666666666</v>
      </c>
      <c r="K319" s="12">
        <f t="shared" ca="1" si="75"/>
        <v>2.6413333333333329</v>
      </c>
      <c r="L319" s="5">
        <f t="shared" ca="1" si="76"/>
        <v>1.2618296529983875E-4</v>
      </c>
      <c r="N319">
        <f t="shared" ca="1" si="77"/>
        <v>26.696000000000005</v>
      </c>
      <c r="O319">
        <f t="shared" ca="1" si="78"/>
        <v>1.040044E-3</v>
      </c>
      <c r="P319">
        <f t="shared" ca="1" si="79"/>
        <v>1.0006674</v>
      </c>
      <c r="Q319">
        <f t="shared" ca="1" si="80"/>
        <v>2.6420554210746343</v>
      </c>
      <c r="R319">
        <f t="shared" ca="1" si="81"/>
        <v>14090.962245731384</v>
      </c>
      <c r="S319">
        <f t="shared" ca="1" si="82"/>
        <v>3.9037274592246325</v>
      </c>
      <c r="T319">
        <f t="shared" ca="1" si="83"/>
        <v>3</v>
      </c>
      <c r="U319">
        <f t="shared" ca="1" si="84"/>
        <v>14098</v>
      </c>
      <c r="V319">
        <f t="shared" ca="1" si="85"/>
        <v>2.6433750000000003</v>
      </c>
      <c r="X319">
        <f t="shared" ca="1" si="86"/>
        <v>2.6405726378215184</v>
      </c>
    </row>
    <row r="320" spans="5:24" x14ac:dyDescent="0.25">
      <c r="E320">
        <v>318</v>
      </c>
      <c r="F320">
        <f t="shared" si="70"/>
        <v>51.8</v>
      </c>
      <c r="G320">
        <f t="shared" ca="1" si="71"/>
        <v>51.808</v>
      </c>
      <c r="H320" s="5">
        <f t="shared" ca="1" si="72"/>
        <v>8.0000000000026716E-3</v>
      </c>
      <c r="I320" s="5">
        <f t="shared" ca="1" si="73"/>
        <v>1.5444015444020603E-4</v>
      </c>
      <c r="J320" s="10">
        <f t="shared" si="74"/>
        <v>2.6499999999999995</v>
      </c>
      <c r="K320" s="12">
        <f t="shared" ca="1" si="75"/>
        <v>2.6506666666666661</v>
      </c>
      <c r="L320" s="5">
        <f t="shared" ca="1" si="76"/>
        <v>2.515723270439975E-4</v>
      </c>
      <c r="N320">
        <f t="shared" ca="1" si="77"/>
        <v>26.808</v>
      </c>
      <c r="O320">
        <f t="shared" ca="1" si="78"/>
        <v>1.040212E-3</v>
      </c>
      <c r="P320">
        <f t="shared" ca="1" si="79"/>
        <v>1.0006702000000001</v>
      </c>
      <c r="Q320">
        <f t="shared" ca="1" si="80"/>
        <v>2.651402234316584</v>
      </c>
      <c r="R320">
        <f t="shared" ca="1" si="81"/>
        <v>14140.811916355115</v>
      </c>
      <c r="S320">
        <f t="shared" ca="1" si="82"/>
        <v>3.9078518362551922</v>
      </c>
      <c r="T320">
        <f t="shared" ca="1" si="83"/>
        <v>1</v>
      </c>
      <c r="U320">
        <f t="shared" ca="1" si="84"/>
        <v>14146</v>
      </c>
      <c r="V320">
        <f t="shared" ca="1" si="85"/>
        <v>2.6523750000000001</v>
      </c>
      <c r="X320">
        <f t="shared" ca="1" si="86"/>
        <v>2.6495590535223292</v>
      </c>
    </row>
    <row r="321" spans="5:24" x14ac:dyDescent="0.25">
      <c r="E321">
        <v>319</v>
      </c>
      <c r="F321">
        <f t="shared" si="70"/>
        <v>51.900000000000006</v>
      </c>
      <c r="G321">
        <f t="shared" ca="1" si="71"/>
        <v>51.896000000000008</v>
      </c>
      <c r="H321" s="5">
        <f t="shared" ca="1" si="72"/>
        <v>3.9999999999977831E-3</v>
      </c>
      <c r="I321" s="5">
        <f t="shared" ca="1" si="73"/>
        <v>7.707129094408059E-5</v>
      </c>
      <c r="J321" s="10">
        <f t="shared" si="74"/>
        <v>2.6583333333333332</v>
      </c>
      <c r="K321" s="12">
        <f t="shared" ca="1" si="75"/>
        <v>2.6580000000000004</v>
      </c>
      <c r="L321" s="5">
        <f t="shared" ca="1" si="76"/>
        <v>1.2539184952959969E-4</v>
      </c>
      <c r="N321">
        <f t="shared" ca="1" si="77"/>
        <v>26.896000000000008</v>
      </c>
      <c r="O321">
        <f t="shared" ca="1" si="78"/>
        <v>1.0403440000000001E-3</v>
      </c>
      <c r="P321">
        <f t="shared" ca="1" si="79"/>
        <v>1.0006724</v>
      </c>
      <c r="Q321">
        <f t="shared" ca="1" si="80"/>
        <v>2.6587461956726948</v>
      </c>
      <c r="R321">
        <f t="shared" ca="1" si="81"/>
        <v>14179.979710254373</v>
      </c>
      <c r="S321">
        <f t="shared" ca="1" si="82"/>
        <v>3.9110298192657007</v>
      </c>
      <c r="T321">
        <f t="shared" ca="1" si="83"/>
        <v>-3</v>
      </c>
      <c r="U321">
        <f t="shared" ca="1" si="84"/>
        <v>14181</v>
      </c>
      <c r="V321">
        <f t="shared" ca="1" si="85"/>
        <v>2.6589375</v>
      </c>
      <c r="X321">
        <f t="shared" ca="1" si="86"/>
        <v>2.6561111868379697</v>
      </c>
    </row>
    <row r="322" spans="5:24" x14ac:dyDescent="0.25">
      <c r="E322">
        <v>320</v>
      </c>
      <c r="F322">
        <f t="shared" si="70"/>
        <v>52</v>
      </c>
      <c r="G322">
        <f t="shared" ca="1" si="71"/>
        <v>52.002000000000002</v>
      </c>
      <c r="H322" s="5">
        <f t="shared" ca="1" si="72"/>
        <v>2.0000000000024443E-3</v>
      </c>
      <c r="I322" s="5">
        <f t="shared" ca="1" si="73"/>
        <v>3.846153846158547E-5</v>
      </c>
      <c r="J322" s="10">
        <f t="shared" si="74"/>
        <v>2.6666666666666661</v>
      </c>
      <c r="K322" s="12">
        <f t="shared" ca="1" si="75"/>
        <v>2.6668333333333329</v>
      </c>
      <c r="L322" s="5">
        <f t="shared" ca="1" si="76"/>
        <v>6.2500000000076397E-5</v>
      </c>
      <c r="N322">
        <f t="shared" ca="1" si="77"/>
        <v>27.002000000000002</v>
      </c>
      <c r="O322">
        <f t="shared" ca="1" si="78"/>
        <v>1.0405029999999999E-3</v>
      </c>
      <c r="P322">
        <f t="shared" ca="1" si="79"/>
        <v>1.0006750499999999</v>
      </c>
      <c r="Q322">
        <f t="shared" ca="1" si="80"/>
        <v>2.667592373783449</v>
      </c>
      <c r="R322">
        <f t="shared" ca="1" si="81"/>
        <v>14227.159326845062</v>
      </c>
      <c r="S322">
        <f t="shared" ca="1" si="82"/>
        <v>3.9147846329774438</v>
      </c>
      <c r="T322">
        <f t="shared" ca="1" si="83"/>
        <v>0</v>
      </c>
      <c r="U322">
        <f t="shared" ca="1" si="84"/>
        <v>14231</v>
      </c>
      <c r="V322">
        <f t="shared" ca="1" si="85"/>
        <v>2.6683124999999999</v>
      </c>
      <c r="X322">
        <f t="shared" ca="1" si="86"/>
        <v>2.6654726696743363</v>
      </c>
    </row>
    <row r="323" spans="5:24" x14ac:dyDescent="0.25">
      <c r="E323">
        <v>321</v>
      </c>
      <c r="F323">
        <f t="shared" ref="F323:F386" si="87">0.1*E323+20</f>
        <v>52.1</v>
      </c>
      <c r="G323">
        <f t="shared" ref="G323:G386" ca="1" si="88">F323+(RANDBETWEEN(-10,10)/100)*0.1</f>
        <v>52.09</v>
      </c>
      <c r="H323" s="5">
        <f t="shared" ref="H323:H386" ca="1" si="89">ABS(F323-G323)</f>
        <v>9.9999999999980105E-3</v>
      </c>
      <c r="I323" s="5">
        <f t="shared" ref="I323:I386" ca="1" si="90">ABS(F323-G323)/F323</f>
        <v>1.9193857965447237E-4</v>
      </c>
      <c r="J323" s="10">
        <f t="shared" ref="J323:J386" si="91">1/12*F323-5/3</f>
        <v>2.6749999999999998</v>
      </c>
      <c r="K323" s="12">
        <f t="shared" ref="K323:K386" ca="1" si="92">(1/12*G323-5/3) + J323*RANDBETWEEN($B$2,$C$2)</f>
        <v>2.6741666666666664</v>
      </c>
      <c r="L323" s="5">
        <f t="shared" ref="L323:L386" ca="1" si="93">IF(J323=0, ABS(J323-K323), ABS(J323-K323)/J323)</f>
        <v>3.1152647975082751E-4</v>
      </c>
      <c r="N323">
        <f t="shared" ref="N323:N386" ca="1" si="94">G323-$B$29</f>
        <v>27.090000000000003</v>
      </c>
      <c r="O323">
        <f t="shared" ref="O323:O386" ca="1" si="95">0.001 + 0.0000015*N323</f>
        <v>1.040635E-3</v>
      </c>
      <c r="P323">
        <f t="shared" ref="P323:P386" ca="1" si="96">1 + 0.000025*N323</f>
        <v>1.0006772500000001</v>
      </c>
      <c r="Q323">
        <f t="shared" ref="Q323:Q386" ca="1" si="97">(K323-O323)*P323</f>
        <v>2.674936406271613</v>
      </c>
      <c r="R323">
        <f t="shared" ref="R323:R386" ca="1" si="98">Q323*32768/6.144</f>
        <v>14266.327500115269</v>
      </c>
      <c r="S323">
        <f t="shared" ref="S323:S386" ca="1" si="99">4*SIN(PI()*R323/32768)</f>
        <v>3.9178410050268968</v>
      </c>
      <c r="T323">
        <f t="shared" ref="T323:T386" ca="1" si="100">RANDBETWEEN(-1*$B$15,1*$B$15)</f>
        <v>-1</v>
      </c>
      <c r="U323">
        <f t="shared" ref="U323:U386" ca="1" si="101">ROUND(R323+S323+T323,0)</f>
        <v>14269</v>
      </c>
      <c r="V323">
        <f t="shared" ref="V323:V386" ca="1" si="102">U323*6.144/32768</f>
        <v>2.6754375000000001</v>
      </c>
      <c r="X323">
        <f t="shared" ref="X323:X386" ca="1" si="103">(U323*6.144/32768 -O323)/P323</f>
        <v>2.6725868555520775</v>
      </c>
    </row>
    <row r="324" spans="5:24" x14ac:dyDescent="0.25">
      <c r="E324">
        <v>322</v>
      </c>
      <c r="F324">
        <f t="shared" si="87"/>
        <v>52.2</v>
      </c>
      <c r="G324">
        <f t="shared" ca="1" si="88"/>
        <v>52.194000000000003</v>
      </c>
      <c r="H324" s="5">
        <f t="shared" ca="1" si="89"/>
        <v>6.0000000000002274E-3</v>
      </c>
      <c r="I324" s="5">
        <f t="shared" ca="1" si="90"/>
        <v>1.1494252873563653E-4</v>
      </c>
      <c r="J324" s="10">
        <f t="shared" si="91"/>
        <v>2.6833333333333327</v>
      </c>
      <c r="K324" s="12">
        <f t="shared" ca="1" si="92"/>
        <v>2.682833333333333</v>
      </c>
      <c r="L324" s="5">
        <f t="shared" ca="1" si="93"/>
        <v>1.8633540372660484E-4</v>
      </c>
      <c r="N324">
        <f t="shared" ca="1" si="94"/>
        <v>27.194000000000003</v>
      </c>
      <c r="O324">
        <f t="shared" ca="1" si="95"/>
        <v>1.0407910000000001E-3</v>
      </c>
      <c r="P324">
        <f t="shared" ca="1" si="96"/>
        <v>1.00067985</v>
      </c>
      <c r="Q324">
        <f t="shared" ca="1" si="97"/>
        <v>2.6836157589932386</v>
      </c>
      <c r="R324">
        <f t="shared" ca="1" si="98"/>
        <v>14312.617381297272</v>
      </c>
      <c r="S324">
        <f t="shared" ca="1" si="99"/>
        <v>3.9213818663412794</v>
      </c>
      <c r="T324">
        <f t="shared" ca="1" si="100"/>
        <v>2</v>
      </c>
      <c r="U324">
        <f t="shared" ca="1" si="101"/>
        <v>14319</v>
      </c>
      <c r="V324">
        <f t="shared" ca="1" si="102"/>
        <v>2.6848125</v>
      </c>
      <c r="X324">
        <f t="shared" ca="1" si="103"/>
        <v>2.6819483863895131</v>
      </c>
    </row>
    <row r="325" spans="5:24" x14ac:dyDescent="0.25">
      <c r="E325">
        <v>323</v>
      </c>
      <c r="F325">
        <f t="shared" si="87"/>
        <v>52.300000000000004</v>
      </c>
      <c r="G325">
        <f t="shared" ca="1" si="88"/>
        <v>52.300000000000004</v>
      </c>
      <c r="H325" s="5">
        <f t="shared" ca="1" si="89"/>
        <v>0</v>
      </c>
      <c r="I325" s="5">
        <f t="shared" ca="1" si="90"/>
        <v>0</v>
      </c>
      <c r="J325" s="10">
        <f t="shared" si="91"/>
        <v>2.6916666666666664</v>
      </c>
      <c r="K325" s="12">
        <f t="shared" ca="1" si="92"/>
        <v>2.6916666666666664</v>
      </c>
      <c r="L325" s="5">
        <f t="shared" ca="1" si="93"/>
        <v>0</v>
      </c>
      <c r="N325">
        <f t="shared" ca="1" si="94"/>
        <v>27.300000000000004</v>
      </c>
      <c r="O325">
        <f t="shared" ca="1" si="95"/>
        <v>1.0409500000000001E-3</v>
      </c>
      <c r="P325">
        <f t="shared" ca="1" si="96"/>
        <v>1.0006824999999999</v>
      </c>
      <c r="Q325">
        <f t="shared" ca="1" si="97"/>
        <v>2.692462068718291</v>
      </c>
      <c r="R325">
        <f t="shared" ca="1" si="98"/>
        <v>14359.797699830884</v>
      </c>
      <c r="S325">
        <f t="shared" ca="1" si="99"/>
        <v>3.9249113624483858</v>
      </c>
      <c r="T325">
        <f t="shared" ca="1" si="100"/>
        <v>-2</v>
      </c>
      <c r="U325">
        <f t="shared" ca="1" si="101"/>
        <v>14362</v>
      </c>
      <c r="V325">
        <f t="shared" ca="1" si="102"/>
        <v>2.6928749999999999</v>
      </c>
      <c r="X325">
        <f t="shared" ca="1" si="103"/>
        <v>2.6899981262788146</v>
      </c>
    </row>
    <row r="326" spans="5:24" x14ac:dyDescent="0.25">
      <c r="E326">
        <v>324</v>
      </c>
      <c r="F326">
        <f t="shared" si="87"/>
        <v>52.4</v>
      </c>
      <c r="G326">
        <f t="shared" ca="1" si="88"/>
        <v>52.41</v>
      </c>
      <c r="H326" s="5">
        <f t="shared" ca="1" si="89"/>
        <v>9.9999999999980105E-3</v>
      </c>
      <c r="I326" s="5">
        <f t="shared" ca="1" si="90"/>
        <v>1.9083969465645057E-4</v>
      </c>
      <c r="J326" s="10">
        <f t="shared" si="91"/>
        <v>2.6999999999999993</v>
      </c>
      <c r="K326" s="12">
        <f t="shared" ca="1" si="92"/>
        <v>2.7008333333333328</v>
      </c>
      <c r="L326" s="5">
        <f t="shared" ca="1" si="93"/>
        <v>3.0864197530869032E-4</v>
      </c>
      <c r="N326">
        <f t="shared" ca="1" si="94"/>
        <v>27.409999999999997</v>
      </c>
      <c r="O326">
        <f t="shared" ca="1" si="95"/>
        <v>1.041115E-3</v>
      </c>
      <c r="P326">
        <f t="shared" ca="1" si="96"/>
        <v>1.0006852500000001</v>
      </c>
      <c r="Q326">
        <f t="shared" ca="1" si="97"/>
        <v>2.7016422509509459</v>
      </c>
      <c r="R326">
        <f t="shared" ca="1" si="98"/>
        <v>14408.758671738378</v>
      </c>
      <c r="S326">
        <f t="shared" ca="1" si="99"/>
        <v>3.9284891558677209</v>
      </c>
      <c r="T326">
        <f t="shared" ca="1" si="100"/>
        <v>3</v>
      </c>
      <c r="U326">
        <f t="shared" ca="1" si="101"/>
        <v>14416</v>
      </c>
      <c r="V326">
        <f t="shared" ca="1" si="102"/>
        <v>2.7029999999999998</v>
      </c>
      <c r="X326">
        <f t="shared" ca="1" si="103"/>
        <v>2.7001086355574837</v>
      </c>
    </row>
    <row r="327" spans="5:24" x14ac:dyDescent="0.25">
      <c r="E327">
        <v>325</v>
      </c>
      <c r="F327">
        <f t="shared" si="87"/>
        <v>52.5</v>
      </c>
      <c r="G327">
        <f t="shared" ca="1" si="88"/>
        <v>52.503999999999998</v>
      </c>
      <c r="H327" s="5">
        <f t="shared" ca="1" si="89"/>
        <v>3.9999999999977831E-3</v>
      </c>
      <c r="I327" s="5">
        <f t="shared" ca="1" si="90"/>
        <v>7.6190476190433968E-5</v>
      </c>
      <c r="J327" s="10">
        <f t="shared" si="91"/>
        <v>2.708333333333333</v>
      </c>
      <c r="K327" s="12">
        <f t="shared" ca="1" si="92"/>
        <v>2.7086666666666659</v>
      </c>
      <c r="L327" s="5">
        <f t="shared" ca="1" si="93"/>
        <v>1.2307692307674556E-4</v>
      </c>
      <c r="N327">
        <f t="shared" ca="1" si="94"/>
        <v>27.503999999999998</v>
      </c>
      <c r="O327">
        <f t="shared" ca="1" si="95"/>
        <v>1.041256E-3</v>
      </c>
      <c r="P327">
        <f t="shared" ca="1" si="96"/>
        <v>1.0006876</v>
      </c>
      <c r="Q327">
        <f t="shared" ca="1" si="97"/>
        <v>2.7094871738990403</v>
      </c>
      <c r="R327">
        <f t="shared" ca="1" si="98"/>
        <v>14450.598260794881</v>
      </c>
      <c r="S327">
        <f t="shared" ca="1" si="99"/>
        <v>3.9314779699727294</v>
      </c>
      <c r="T327">
        <f t="shared" ca="1" si="100"/>
        <v>-2</v>
      </c>
      <c r="U327">
        <f t="shared" ca="1" si="101"/>
        <v>14453</v>
      </c>
      <c r="V327">
        <f t="shared" ca="1" si="102"/>
        <v>2.7099375000000001</v>
      </c>
      <c r="X327">
        <f t="shared" ca="1" si="103"/>
        <v>2.7070348868118281</v>
      </c>
    </row>
    <row r="328" spans="5:24" x14ac:dyDescent="0.25">
      <c r="E328">
        <v>326</v>
      </c>
      <c r="F328">
        <f t="shared" si="87"/>
        <v>52.6</v>
      </c>
      <c r="G328">
        <f t="shared" ca="1" si="88"/>
        <v>52.602000000000004</v>
      </c>
      <c r="H328" s="5">
        <f t="shared" ca="1" si="89"/>
        <v>2.0000000000024443E-3</v>
      </c>
      <c r="I328" s="5">
        <f t="shared" ca="1" si="90"/>
        <v>3.8022813688259393E-5</v>
      </c>
      <c r="J328" s="10">
        <f t="shared" si="91"/>
        <v>2.7166666666666659</v>
      </c>
      <c r="K328" s="12">
        <f t="shared" ca="1" si="92"/>
        <v>2.7168333333333328</v>
      </c>
      <c r="L328" s="5">
        <f t="shared" ca="1" si="93"/>
        <v>6.1349693251608732E-5</v>
      </c>
      <c r="N328">
        <f t="shared" ca="1" si="94"/>
        <v>27.602000000000004</v>
      </c>
      <c r="O328">
        <f t="shared" ca="1" si="95"/>
        <v>1.041403E-3</v>
      </c>
      <c r="P328">
        <f t="shared" ca="1" si="96"/>
        <v>1.00069005</v>
      </c>
      <c r="Q328">
        <f t="shared" ca="1" si="97"/>
        <v>2.7176659625548596</v>
      </c>
      <c r="R328">
        <f t="shared" ca="1" si="98"/>
        <v>14494.218466959252</v>
      </c>
      <c r="S328">
        <f t="shared" ca="1" si="99"/>
        <v>3.9345266261218446</v>
      </c>
      <c r="T328">
        <f t="shared" ca="1" si="100"/>
        <v>2</v>
      </c>
      <c r="U328">
        <f t="shared" ca="1" si="101"/>
        <v>14500</v>
      </c>
      <c r="V328">
        <f t="shared" ca="1" si="102"/>
        <v>2.71875</v>
      </c>
      <c r="X328">
        <f t="shared" ca="1" si="103"/>
        <v>2.7158345353788618</v>
      </c>
    </row>
    <row r="329" spans="5:24" x14ac:dyDescent="0.25">
      <c r="E329">
        <v>327</v>
      </c>
      <c r="F329">
        <f t="shared" si="87"/>
        <v>52.7</v>
      </c>
      <c r="G329">
        <f t="shared" ca="1" si="88"/>
        <v>52.705000000000005</v>
      </c>
      <c r="H329" s="5">
        <f t="shared" ca="1" si="89"/>
        <v>5.000000000002558E-3</v>
      </c>
      <c r="I329" s="5">
        <f t="shared" ca="1" si="90"/>
        <v>9.4876660341604508E-5</v>
      </c>
      <c r="J329" s="10">
        <f t="shared" si="91"/>
        <v>2.7249999999999996</v>
      </c>
      <c r="K329" s="12">
        <f t="shared" ca="1" si="92"/>
        <v>2.7254166666666668</v>
      </c>
      <c r="L329" s="5">
        <f t="shared" ca="1" si="93"/>
        <v>1.5290519877694529E-4</v>
      </c>
      <c r="N329">
        <f t="shared" ca="1" si="94"/>
        <v>27.705000000000005</v>
      </c>
      <c r="O329">
        <f t="shared" ca="1" si="95"/>
        <v>1.0415575E-3</v>
      </c>
      <c r="P329">
        <f t="shared" ca="1" si="96"/>
        <v>1.0006926249999999</v>
      </c>
      <c r="Q329">
        <f t="shared" ca="1" si="97"/>
        <v>2.7262620794766534</v>
      </c>
      <c r="R329">
        <f t="shared" ca="1" si="98"/>
        <v>14540.064423875485</v>
      </c>
      <c r="S329">
        <f t="shared" ca="1" si="99"/>
        <v>3.937656672210756</v>
      </c>
      <c r="T329">
        <f t="shared" ca="1" si="100"/>
        <v>1</v>
      </c>
      <c r="U329">
        <f t="shared" ca="1" si="101"/>
        <v>14545</v>
      </c>
      <c r="V329">
        <f t="shared" ca="1" si="102"/>
        <v>2.7271874999999999</v>
      </c>
      <c r="X329">
        <f t="shared" ca="1" si="103"/>
        <v>2.7242590525737116</v>
      </c>
    </row>
    <row r="330" spans="5:24" x14ac:dyDescent="0.25">
      <c r="E330">
        <v>328</v>
      </c>
      <c r="F330">
        <f t="shared" si="87"/>
        <v>52.800000000000004</v>
      </c>
      <c r="G330">
        <f t="shared" ca="1" si="88"/>
        <v>52.792000000000002</v>
      </c>
      <c r="H330" s="5">
        <f t="shared" ca="1" si="89"/>
        <v>8.0000000000026716E-3</v>
      </c>
      <c r="I330" s="5">
        <f t="shared" ca="1" si="90"/>
        <v>1.5151515151520209E-4</v>
      </c>
      <c r="J330" s="10">
        <f t="shared" si="91"/>
        <v>2.7333333333333334</v>
      </c>
      <c r="K330" s="12">
        <f t="shared" ca="1" si="92"/>
        <v>2.7326666666666659</v>
      </c>
      <c r="L330" s="5">
        <f t="shared" ca="1" si="93"/>
        <v>2.4390243902468832E-4</v>
      </c>
      <c r="N330">
        <f t="shared" ca="1" si="94"/>
        <v>27.792000000000002</v>
      </c>
      <c r="O330">
        <f t="shared" ca="1" si="95"/>
        <v>1.041688E-3</v>
      </c>
      <c r="P330">
        <f t="shared" ca="1" si="96"/>
        <v>1.0006948</v>
      </c>
      <c r="Q330">
        <f t="shared" ca="1" si="97"/>
        <v>2.7335229117018436</v>
      </c>
      <c r="R330">
        <f t="shared" ca="1" si="98"/>
        <v>14578.788862409832</v>
      </c>
      <c r="S330">
        <f t="shared" ca="1" si="99"/>
        <v>3.9402412458155189</v>
      </c>
      <c r="T330">
        <f t="shared" ca="1" si="100"/>
        <v>3</v>
      </c>
      <c r="U330">
        <f t="shared" ca="1" si="101"/>
        <v>14586</v>
      </c>
      <c r="V330">
        <f t="shared" ca="1" si="102"/>
        <v>2.7348750000000002</v>
      </c>
      <c r="X330">
        <f t="shared" ca="1" si="103"/>
        <v>2.7319351634484361</v>
      </c>
    </row>
    <row r="331" spans="5:24" x14ac:dyDescent="0.25">
      <c r="E331">
        <v>329</v>
      </c>
      <c r="F331">
        <f t="shared" si="87"/>
        <v>52.9</v>
      </c>
      <c r="G331">
        <f t="shared" ca="1" si="88"/>
        <v>52.891999999999996</v>
      </c>
      <c r="H331" s="5">
        <f t="shared" ca="1" si="89"/>
        <v>8.0000000000026716E-3</v>
      </c>
      <c r="I331" s="5">
        <f t="shared" ca="1" si="90"/>
        <v>1.5122873345940779E-4</v>
      </c>
      <c r="J331" s="10">
        <f t="shared" si="91"/>
        <v>2.7416666666666663</v>
      </c>
      <c r="K331" s="12">
        <f t="shared" ca="1" si="92"/>
        <v>2.7409999999999988</v>
      </c>
      <c r="L331" s="5">
        <f t="shared" ca="1" si="93"/>
        <v>2.4316109422522122E-4</v>
      </c>
      <c r="N331">
        <f t="shared" ca="1" si="94"/>
        <v>27.891999999999996</v>
      </c>
      <c r="O331">
        <f t="shared" ca="1" si="95"/>
        <v>1.041838E-3</v>
      </c>
      <c r="P331">
        <f t="shared" ca="1" si="96"/>
        <v>1.0006972999999999</v>
      </c>
      <c r="Q331">
        <f t="shared" ca="1" si="97"/>
        <v>2.7418687348263613</v>
      </c>
      <c r="R331">
        <f t="shared" ca="1" si="98"/>
        <v>14623.299919073927</v>
      </c>
      <c r="S331">
        <f t="shared" ca="1" si="99"/>
        <v>3.943144940105654</v>
      </c>
      <c r="T331">
        <f t="shared" ca="1" si="100"/>
        <v>-3</v>
      </c>
      <c r="U331">
        <f t="shared" ca="1" si="101"/>
        <v>14624</v>
      </c>
      <c r="V331">
        <f t="shared" ca="1" si="102"/>
        <v>2.742</v>
      </c>
      <c r="X331">
        <f t="shared" ca="1" si="103"/>
        <v>2.7390482236736329</v>
      </c>
    </row>
    <row r="332" spans="5:24" x14ac:dyDescent="0.25">
      <c r="E332">
        <v>330</v>
      </c>
      <c r="F332">
        <f t="shared" si="87"/>
        <v>53</v>
      </c>
      <c r="G332">
        <f t="shared" ca="1" si="88"/>
        <v>53.008000000000003</v>
      </c>
      <c r="H332" s="5">
        <f t="shared" ca="1" si="89"/>
        <v>8.0000000000026716E-3</v>
      </c>
      <c r="I332" s="5">
        <f t="shared" ca="1" si="90"/>
        <v>1.5094339622646549E-4</v>
      </c>
      <c r="J332" s="10">
        <f t="shared" si="91"/>
        <v>2.7499999999999991</v>
      </c>
      <c r="K332" s="12">
        <f t="shared" ca="1" si="92"/>
        <v>2.7506666666666666</v>
      </c>
      <c r="L332" s="5">
        <f t="shared" ca="1" si="93"/>
        <v>2.4242424242453879E-4</v>
      </c>
      <c r="N332">
        <f t="shared" ca="1" si="94"/>
        <v>28.008000000000003</v>
      </c>
      <c r="O332">
        <f t="shared" ca="1" si="95"/>
        <v>1.0420119999999999E-3</v>
      </c>
      <c r="P332">
        <f t="shared" ca="1" si="96"/>
        <v>1.0007002</v>
      </c>
      <c r="Q332">
        <f t="shared" ca="1" si="97"/>
        <v>2.7515499418498641</v>
      </c>
      <c r="R332">
        <f t="shared" ca="1" si="98"/>
        <v>14674.933023199275</v>
      </c>
      <c r="S332">
        <f t="shared" ca="1" si="99"/>
        <v>3.9464232773488659</v>
      </c>
      <c r="T332">
        <f t="shared" ca="1" si="100"/>
        <v>2</v>
      </c>
      <c r="U332">
        <f t="shared" ca="1" si="101"/>
        <v>14681</v>
      </c>
      <c r="V332">
        <f t="shared" ca="1" si="102"/>
        <v>2.7526875</v>
      </c>
      <c r="X332">
        <f t="shared" ca="1" si="103"/>
        <v>2.7497201339621995</v>
      </c>
    </row>
    <row r="333" spans="5:24" x14ac:dyDescent="0.25">
      <c r="E333">
        <v>331</v>
      </c>
      <c r="F333">
        <f t="shared" si="87"/>
        <v>53.1</v>
      </c>
      <c r="G333">
        <f t="shared" ca="1" si="88"/>
        <v>53.09</v>
      </c>
      <c r="H333" s="5">
        <f t="shared" ca="1" si="89"/>
        <v>9.9999999999980105E-3</v>
      </c>
      <c r="I333" s="5">
        <f t="shared" ca="1" si="90"/>
        <v>1.88323917137439E-4</v>
      </c>
      <c r="J333" s="10">
        <f t="shared" si="91"/>
        <v>2.7583333333333329</v>
      </c>
      <c r="K333" s="12">
        <f t="shared" ca="1" si="92"/>
        <v>2.7574999999999994</v>
      </c>
      <c r="L333" s="5">
        <f t="shared" ca="1" si="93"/>
        <v>3.0211480362542491E-4</v>
      </c>
      <c r="N333">
        <f t="shared" ca="1" si="94"/>
        <v>28.090000000000003</v>
      </c>
      <c r="O333">
        <f t="shared" ca="1" si="95"/>
        <v>1.042135E-3</v>
      </c>
      <c r="P333">
        <f t="shared" ca="1" si="96"/>
        <v>1.00070225</v>
      </c>
      <c r="Q333">
        <f t="shared" ca="1" si="97"/>
        <v>2.7583935875356955</v>
      </c>
      <c r="R333">
        <f t="shared" ca="1" si="98"/>
        <v>14711.432466857043</v>
      </c>
      <c r="S333">
        <f t="shared" ca="1" si="99"/>
        <v>3.9486823948669074</v>
      </c>
      <c r="T333">
        <f t="shared" ca="1" si="100"/>
        <v>1</v>
      </c>
      <c r="U333">
        <f t="shared" ca="1" si="101"/>
        <v>14716</v>
      </c>
      <c r="V333">
        <f t="shared" ca="1" si="102"/>
        <v>2.7592500000000002</v>
      </c>
      <c r="X333">
        <f t="shared" ca="1" si="103"/>
        <v>2.7562722727964286</v>
      </c>
    </row>
    <row r="334" spans="5:24" x14ac:dyDescent="0.25">
      <c r="E334">
        <v>332</v>
      </c>
      <c r="F334">
        <f t="shared" si="87"/>
        <v>53.2</v>
      </c>
      <c r="G334">
        <f t="shared" ca="1" si="88"/>
        <v>53.208000000000006</v>
      </c>
      <c r="H334" s="5">
        <f t="shared" ca="1" si="89"/>
        <v>8.0000000000026716E-3</v>
      </c>
      <c r="I334" s="5">
        <f t="shared" ca="1" si="90"/>
        <v>1.5037593984967428E-4</v>
      </c>
      <c r="J334" s="10">
        <f t="shared" si="91"/>
        <v>2.7666666666666666</v>
      </c>
      <c r="K334" s="12">
        <f t="shared" ca="1" si="92"/>
        <v>2.7673333333333332</v>
      </c>
      <c r="L334" s="5">
        <f t="shared" ca="1" si="93"/>
        <v>2.4096385542166023E-4</v>
      </c>
      <c r="N334">
        <f t="shared" ca="1" si="94"/>
        <v>28.208000000000006</v>
      </c>
      <c r="O334">
        <f t="shared" ca="1" si="95"/>
        <v>1.0423120000000001E-3</v>
      </c>
      <c r="P334">
        <f t="shared" ca="1" si="96"/>
        <v>1.0007052000000001</v>
      </c>
      <c r="Q334">
        <f t="shared" ca="1" si="97"/>
        <v>2.7682418097615775</v>
      </c>
      <c r="R334">
        <f t="shared" ca="1" si="98"/>
        <v>14763.956318728413</v>
      </c>
      <c r="S334">
        <f t="shared" ca="1" si="99"/>
        <v>3.9518484734647013</v>
      </c>
      <c r="T334">
        <f t="shared" ca="1" si="100"/>
        <v>-2</v>
      </c>
      <c r="U334">
        <f t="shared" ca="1" si="101"/>
        <v>14766</v>
      </c>
      <c r="V334">
        <f t="shared" ca="1" si="102"/>
        <v>2.7686250000000001</v>
      </c>
      <c r="X334">
        <f t="shared" ca="1" si="103"/>
        <v>2.765632364056867</v>
      </c>
    </row>
    <row r="335" spans="5:24" x14ac:dyDescent="0.25">
      <c r="E335">
        <v>333</v>
      </c>
      <c r="F335">
        <f t="shared" si="87"/>
        <v>53.300000000000004</v>
      </c>
      <c r="G335">
        <f t="shared" ca="1" si="88"/>
        <v>53.293000000000006</v>
      </c>
      <c r="H335" s="5">
        <f t="shared" ca="1" si="89"/>
        <v>6.9999999999978968E-3</v>
      </c>
      <c r="I335" s="5">
        <f t="shared" ca="1" si="90"/>
        <v>1.3133208255155528E-4</v>
      </c>
      <c r="J335" s="10">
        <f t="shared" si="91"/>
        <v>2.7749999999999995</v>
      </c>
      <c r="K335" s="12">
        <f t="shared" ca="1" si="92"/>
        <v>2.7744166666666663</v>
      </c>
      <c r="L335" s="5">
        <f t="shared" ca="1" si="93"/>
        <v>2.1021021021014709E-4</v>
      </c>
      <c r="N335">
        <f t="shared" ca="1" si="94"/>
        <v>28.293000000000006</v>
      </c>
      <c r="O335">
        <f t="shared" ca="1" si="95"/>
        <v>1.0424395E-3</v>
      </c>
      <c r="P335">
        <f t="shared" ca="1" si="96"/>
        <v>1.000707325</v>
      </c>
      <c r="Q335">
        <f t="shared" ca="1" si="97"/>
        <v>2.775335904091897</v>
      </c>
      <c r="R335">
        <f t="shared" ca="1" si="98"/>
        <v>14801.791488490117</v>
      </c>
      <c r="S335">
        <f t="shared" ca="1" si="99"/>
        <v>3.9540670472811956</v>
      </c>
      <c r="T335">
        <f t="shared" ca="1" si="100"/>
        <v>3</v>
      </c>
      <c r="U335">
        <f t="shared" ca="1" si="101"/>
        <v>14809</v>
      </c>
      <c r="V335">
        <f t="shared" ca="1" si="102"/>
        <v>2.7766875</v>
      </c>
      <c r="X335">
        <f t="shared" ca="1" si="103"/>
        <v>2.7736831650552771</v>
      </c>
    </row>
    <row r="336" spans="5:24" x14ac:dyDescent="0.25">
      <c r="E336">
        <v>334</v>
      </c>
      <c r="F336">
        <f t="shared" si="87"/>
        <v>53.4</v>
      </c>
      <c r="G336">
        <f t="shared" ca="1" si="88"/>
        <v>53.394999999999996</v>
      </c>
      <c r="H336" s="5">
        <f t="shared" ca="1" si="89"/>
        <v>5.000000000002558E-3</v>
      </c>
      <c r="I336" s="5">
        <f t="shared" ca="1" si="90"/>
        <v>9.3632958801546026E-5</v>
      </c>
      <c r="J336" s="10">
        <f t="shared" si="91"/>
        <v>2.7833333333333323</v>
      </c>
      <c r="K336" s="12">
        <f t="shared" ca="1" si="92"/>
        <v>2.782916666666666</v>
      </c>
      <c r="L336" s="5">
        <f t="shared" ca="1" si="93"/>
        <v>1.4970059880225911E-4</v>
      </c>
      <c r="N336">
        <f t="shared" ca="1" si="94"/>
        <v>28.394999999999996</v>
      </c>
      <c r="O336">
        <f t="shared" ca="1" si="95"/>
        <v>1.0425924999999999E-3</v>
      </c>
      <c r="P336">
        <f t="shared" ca="1" si="96"/>
        <v>1.0007098750000001</v>
      </c>
      <c r="Q336">
        <f t="shared" ca="1" si="97"/>
        <v>2.783848857025065</v>
      </c>
      <c r="R336">
        <f t="shared" ca="1" si="98"/>
        <v>14847.193904133679</v>
      </c>
      <c r="S336">
        <f t="shared" ca="1" si="99"/>
        <v>3.9566606686801951</v>
      </c>
      <c r="T336">
        <f t="shared" ca="1" si="100"/>
        <v>2</v>
      </c>
      <c r="U336">
        <f t="shared" ca="1" si="101"/>
        <v>14853</v>
      </c>
      <c r="V336">
        <f t="shared" ca="1" si="102"/>
        <v>2.7849374999999998</v>
      </c>
      <c r="X336">
        <f t="shared" ca="1" si="103"/>
        <v>2.7819200919747087</v>
      </c>
    </row>
    <row r="337" spans="5:24" x14ac:dyDescent="0.25">
      <c r="E337">
        <v>335</v>
      </c>
      <c r="F337">
        <f t="shared" si="87"/>
        <v>53.5</v>
      </c>
      <c r="G337">
        <f t="shared" ca="1" si="88"/>
        <v>53.506</v>
      </c>
      <c r="H337" s="5">
        <f t="shared" ca="1" si="89"/>
        <v>6.0000000000002274E-3</v>
      </c>
      <c r="I337" s="5">
        <f t="shared" ca="1" si="90"/>
        <v>1.1214953271028463E-4</v>
      </c>
      <c r="J337" s="10">
        <f t="shared" si="91"/>
        <v>2.7916666666666661</v>
      </c>
      <c r="K337" s="12">
        <f t="shared" ca="1" si="92"/>
        <v>2.7921666666666658</v>
      </c>
      <c r="L337" s="5">
        <f t="shared" ca="1" si="93"/>
        <v>1.7910447761184108E-4</v>
      </c>
      <c r="N337">
        <f t="shared" ca="1" si="94"/>
        <v>28.506</v>
      </c>
      <c r="O337">
        <f t="shared" ca="1" si="95"/>
        <v>1.0427590000000001E-3</v>
      </c>
      <c r="P337">
        <f t="shared" ca="1" si="96"/>
        <v>1.0007126500000001</v>
      </c>
      <c r="Q337">
        <f t="shared" ca="1" si="97"/>
        <v>2.7931130021194646</v>
      </c>
      <c r="R337">
        <f t="shared" ca="1" si="98"/>
        <v>14896.602677970477</v>
      </c>
      <c r="S337">
        <f t="shared" ca="1" si="99"/>
        <v>3.9593979677125519</v>
      </c>
      <c r="T337">
        <f t="shared" ca="1" si="100"/>
        <v>-1</v>
      </c>
      <c r="U337">
        <f t="shared" ca="1" si="101"/>
        <v>14900</v>
      </c>
      <c r="V337">
        <f t="shared" ca="1" si="102"/>
        <v>2.7937500000000002</v>
      </c>
      <c r="X337">
        <f t="shared" ca="1" si="103"/>
        <v>2.7907184355069359</v>
      </c>
    </row>
    <row r="338" spans="5:24" x14ac:dyDescent="0.25">
      <c r="E338">
        <v>336</v>
      </c>
      <c r="F338">
        <f t="shared" si="87"/>
        <v>53.6</v>
      </c>
      <c r="G338">
        <f t="shared" ca="1" si="88"/>
        <v>53.600999999999999</v>
      </c>
      <c r="H338" s="5">
        <f t="shared" ca="1" si="89"/>
        <v>9.9999999999766942E-4</v>
      </c>
      <c r="I338" s="5">
        <f t="shared" ca="1" si="90"/>
        <v>1.8656716417866965E-5</v>
      </c>
      <c r="J338" s="10">
        <f t="shared" si="91"/>
        <v>2.8</v>
      </c>
      <c r="K338" s="12">
        <f t="shared" ca="1" si="92"/>
        <v>2.8000833333333324</v>
      </c>
      <c r="L338" s="5">
        <f t="shared" ca="1" si="93"/>
        <v>2.976190476162393E-5</v>
      </c>
      <c r="N338">
        <f t="shared" ca="1" si="94"/>
        <v>28.600999999999999</v>
      </c>
      <c r="O338">
        <f t="shared" ca="1" si="95"/>
        <v>1.0429015000000001E-3</v>
      </c>
      <c r="P338">
        <f t="shared" ca="1" si="96"/>
        <v>1.0007150250000001</v>
      </c>
      <c r="Q338">
        <f t="shared" ca="1" si="97"/>
        <v>2.8010418157181043</v>
      </c>
      <c r="R338">
        <f t="shared" ca="1" si="98"/>
        <v>14938.88968382989</v>
      </c>
      <c r="S338">
        <f t="shared" ca="1" si="99"/>
        <v>3.9616701561149346</v>
      </c>
      <c r="T338">
        <f t="shared" ca="1" si="100"/>
        <v>0</v>
      </c>
      <c r="U338">
        <f t="shared" ca="1" si="101"/>
        <v>14943</v>
      </c>
      <c r="V338">
        <f t="shared" ca="1" si="102"/>
        <v>2.8018125</v>
      </c>
      <c r="X338">
        <f t="shared" ca="1" si="103"/>
        <v>2.7987684091182699</v>
      </c>
    </row>
    <row r="339" spans="5:24" x14ac:dyDescent="0.25">
      <c r="E339">
        <v>337</v>
      </c>
      <c r="F339">
        <f t="shared" si="87"/>
        <v>53.7</v>
      </c>
      <c r="G339">
        <f t="shared" ca="1" si="88"/>
        <v>53.697000000000003</v>
      </c>
      <c r="H339" s="5">
        <f t="shared" ca="1" si="89"/>
        <v>3.0000000000001137E-3</v>
      </c>
      <c r="I339" s="5">
        <f t="shared" ca="1" si="90"/>
        <v>5.5865921787711612E-5</v>
      </c>
      <c r="J339" s="10">
        <f t="shared" si="91"/>
        <v>2.8083333333333327</v>
      </c>
      <c r="K339" s="12">
        <f t="shared" ca="1" si="92"/>
        <v>2.8080833333333333</v>
      </c>
      <c r="L339" s="5">
        <f t="shared" ca="1" si="93"/>
        <v>8.9020771513145672E-5</v>
      </c>
      <c r="N339">
        <f t="shared" ca="1" si="94"/>
        <v>28.697000000000003</v>
      </c>
      <c r="O339">
        <f t="shared" ca="1" si="95"/>
        <v>1.0430455E-3</v>
      </c>
      <c r="P339">
        <f t="shared" ca="1" si="96"/>
        <v>1.0007174249999999</v>
      </c>
      <c r="Q339">
        <f t="shared" ca="1" si="97"/>
        <v>2.809054128711832</v>
      </c>
      <c r="R339">
        <f t="shared" ca="1" si="98"/>
        <v>14981.622019796438</v>
      </c>
      <c r="S339">
        <f t="shared" ca="1" si="99"/>
        <v>3.9639001243063507</v>
      </c>
      <c r="T339">
        <f t="shared" ca="1" si="100"/>
        <v>-3</v>
      </c>
      <c r="U339">
        <f t="shared" ca="1" si="101"/>
        <v>14983</v>
      </c>
      <c r="V339">
        <f t="shared" ca="1" si="102"/>
        <v>2.8093124999999999</v>
      </c>
      <c r="X339">
        <f t="shared" ca="1" si="103"/>
        <v>2.8062561761628166</v>
      </c>
    </row>
    <row r="340" spans="5:24" x14ac:dyDescent="0.25">
      <c r="E340">
        <v>338</v>
      </c>
      <c r="F340">
        <f t="shared" si="87"/>
        <v>53.800000000000004</v>
      </c>
      <c r="G340">
        <f t="shared" ca="1" si="88"/>
        <v>53.81</v>
      </c>
      <c r="H340" s="5">
        <f t="shared" ca="1" si="89"/>
        <v>9.9999999999980105E-3</v>
      </c>
      <c r="I340" s="5">
        <f t="shared" ca="1" si="90"/>
        <v>1.8587360594791839E-4</v>
      </c>
      <c r="J340" s="10">
        <f t="shared" si="91"/>
        <v>2.8166666666666664</v>
      </c>
      <c r="K340" s="12">
        <f t="shared" ca="1" si="92"/>
        <v>2.8174999999999999</v>
      </c>
      <c r="L340" s="5">
        <f t="shared" ca="1" si="93"/>
        <v>2.9585798816572677E-4</v>
      </c>
      <c r="N340">
        <f t="shared" ca="1" si="94"/>
        <v>28.810000000000002</v>
      </c>
      <c r="O340">
        <f t="shared" ca="1" si="95"/>
        <v>1.0432150000000001E-3</v>
      </c>
      <c r="P340">
        <f t="shared" ca="1" si="96"/>
        <v>1.0007202500000001</v>
      </c>
      <c r="Q340">
        <f t="shared" ca="1" si="97"/>
        <v>2.8184853379993964</v>
      </c>
      <c r="R340">
        <f t="shared" ca="1" si="98"/>
        <v>15031.921802663446</v>
      </c>
      <c r="S340">
        <f t="shared" ca="1" si="99"/>
        <v>3.9664397442933099</v>
      </c>
      <c r="T340">
        <f t="shared" ca="1" si="100"/>
        <v>-2</v>
      </c>
      <c r="U340">
        <f t="shared" ca="1" si="101"/>
        <v>15034</v>
      </c>
      <c r="V340">
        <f t="shared" ca="1" si="102"/>
        <v>2.8188750000000002</v>
      </c>
      <c r="X340">
        <f t="shared" ca="1" si="103"/>
        <v>2.8158037023833584</v>
      </c>
    </row>
    <row r="341" spans="5:24" x14ac:dyDescent="0.25">
      <c r="E341">
        <v>339</v>
      </c>
      <c r="F341">
        <f t="shared" si="87"/>
        <v>53.9</v>
      </c>
      <c r="G341">
        <f t="shared" ca="1" si="88"/>
        <v>53.906999999999996</v>
      </c>
      <c r="H341" s="5">
        <f t="shared" ca="1" si="89"/>
        <v>6.9999999999978968E-3</v>
      </c>
      <c r="I341" s="5">
        <f t="shared" ca="1" si="90"/>
        <v>1.2987012987009087E-4</v>
      </c>
      <c r="J341" s="10">
        <f t="shared" si="91"/>
        <v>2.8249999999999993</v>
      </c>
      <c r="K341" s="12">
        <f t="shared" ca="1" si="92"/>
        <v>2.8255833333333324</v>
      </c>
      <c r="L341" s="5">
        <f t="shared" ca="1" si="93"/>
        <v>2.0648967551616221E-4</v>
      </c>
      <c r="N341">
        <f t="shared" ca="1" si="94"/>
        <v>28.906999999999996</v>
      </c>
      <c r="O341">
        <f t="shared" ca="1" si="95"/>
        <v>1.0433605000000001E-3</v>
      </c>
      <c r="P341">
        <f t="shared" ca="1" si="96"/>
        <v>1.000722675</v>
      </c>
      <c r="Q341">
        <f t="shared" ca="1" si="97"/>
        <v>2.8265811972581996</v>
      </c>
      <c r="R341">
        <f t="shared" ca="1" si="98"/>
        <v>15075.099718710397</v>
      </c>
      <c r="S341">
        <f t="shared" ca="1" si="99"/>
        <v>3.9685462090838968</v>
      </c>
      <c r="T341">
        <f t="shared" ca="1" si="100"/>
        <v>3</v>
      </c>
      <c r="U341">
        <f t="shared" ca="1" si="101"/>
        <v>15082</v>
      </c>
      <c r="V341">
        <f t="shared" ca="1" si="102"/>
        <v>2.8278750000000001</v>
      </c>
      <c r="X341">
        <f t="shared" ca="1" si="103"/>
        <v>2.8247902342174869</v>
      </c>
    </row>
    <row r="342" spans="5:24" x14ac:dyDescent="0.25">
      <c r="E342">
        <v>340</v>
      </c>
      <c r="F342">
        <f t="shared" si="87"/>
        <v>54</v>
      </c>
      <c r="G342">
        <f t="shared" ca="1" si="88"/>
        <v>53.993000000000002</v>
      </c>
      <c r="H342" s="5">
        <f t="shared" ca="1" si="89"/>
        <v>6.9999999999978968E-3</v>
      </c>
      <c r="I342" s="5">
        <f t="shared" ca="1" si="90"/>
        <v>1.2962962962959068E-4</v>
      </c>
      <c r="J342" s="10">
        <f t="shared" si="91"/>
        <v>2.833333333333333</v>
      </c>
      <c r="K342" s="12">
        <f t="shared" ca="1" si="92"/>
        <v>2.8327499999999999</v>
      </c>
      <c r="L342" s="5">
        <f t="shared" ca="1" si="93"/>
        <v>2.0588235294111463E-4</v>
      </c>
      <c r="N342">
        <f t="shared" ca="1" si="94"/>
        <v>28.993000000000002</v>
      </c>
      <c r="O342">
        <f t="shared" ca="1" si="95"/>
        <v>1.0434895E-3</v>
      </c>
      <c r="P342">
        <f t="shared" ca="1" si="96"/>
        <v>1.000724825</v>
      </c>
      <c r="Q342">
        <f t="shared" ca="1" si="97"/>
        <v>2.8337590021714729</v>
      </c>
      <c r="R342">
        <f t="shared" ca="1" si="98"/>
        <v>15113.381344914522</v>
      </c>
      <c r="S342">
        <f t="shared" ca="1" si="99"/>
        <v>3.970356929545654</v>
      </c>
      <c r="T342">
        <f t="shared" ca="1" si="100"/>
        <v>1</v>
      </c>
      <c r="U342">
        <f t="shared" ca="1" si="101"/>
        <v>15118</v>
      </c>
      <c r="V342">
        <f t="shared" ca="1" si="102"/>
        <v>2.834625</v>
      </c>
      <c r="X342">
        <f t="shared" ca="1" si="103"/>
        <v>2.8315291473857456</v>
      </c>
    </row>
    <row r="343" spans="5:24" x14ac:dyDescent="0.25">
      <c r="E343">
        <v>341</v>
      </c>
      <c r="F343">
        <f t="shared" si="87"/>
        <v>54.1</v>
      </c>
      <c r="G343">
        <f t="shared" ca="1" si="88"/>
        <v>54.106000000000002</v>
      </c>
      <c r="H343" s="5">
        <f t="shared" ca="1" si="89"/>
        <v>6.0000000000002274E-3</v>
      </c>
      <c r="I343" s="5">
        <f t="shared" ca="1" si="90"/>
        <v>1.1090573012939422E-4</v>
      </c>
      <c r="J343" s="10">
        <f t="shared" si="91"/>
        <v>2.8416666666666659</v>
      </c>
      <c r="K343" s="12">
        <f t="shared" ca="1" si="92"/>
        <v>2.8421666666666665</v>
      </c>
      <c r="L343" s="5">
        <f t="shared" ca="1" si="93"/>
        <v>1.7595307917910071E-4</v>
      </c>
      <c r="N343">
        <f t="shared" ca="1" si="94"/>
        <v>29.106000000000002</v>
      </c>
      <c r="O343">
        <f t="shared" ca="1" si="95"/>
        <v>1.0436589999999999E-3</v>
      </c>
      <c r="P343">
        <f t="shared" ca="1" si="96"/>
        <v>1.00072765</v>
      </c>
      <c r="Q343">
        <f t="shared" ca="1" si="97"/>
        <v>2.8431903508231948</v>
      </c>
      <c r="R343">
        <f t="shared" ca="1" si="98"/>
        <v>15163.681871057039</v>
      </c>
      <c r="S343">
        <f t="shared" ca="1" si="99"/>
        <v>3.972654834961828</v>
      </c>
      <c r="T343">
        <f t="shared" ca="1" si="100"/>
        <v>-1</v>
      </c>
      <c r="U343">
        <f t="shared" ca="1" si="101"/>
        <v>15167</v>
      </c>
      <c r="V343">
        <f t="shared" ca="1" si="102"/>
        <v>2.8438124999999999</v>
      </c>
      <c r="X343">
        <f t="shared" ca="1" si="103"/>
        <v>2.8407018043320775</v>
      </c>
    </row>
    <row r="344" spans="5:24" x14ac:dyDescent="0.25">
      <c r="E344">
        <v>342</v>
      </c>
      <c r="F344">
        <f t="shared" si="87"/>
        <v>54.2</v>
      </c>
      <c r="G344">
        <f t="shared" ca="1" si="88"/>
        <v>54.203000000000003</v>
      </c>
      <c r="H344" s="5">
        <f t="shared" ca="1" si="89"/>
        <v>3.0000000000001137E-3</v>
      </c>
      <c r="I344" s="5">
        <f t="shared" ca="1" si="90"/>
        <v>5.535055350553715E-5</v>
      </c>
      <c r="J344" s="10">
        <f t="shared" si="91"/>
        <v>2.8499999999999996</v>
      </c>
      <c r="K344" s="12">
        <f t="shared" ca="1" si="92"/>
        <v>2.85025</v>
      </c>
      <c r="L344" s="5">
        <f t="shared" ca="1" si="93"/>
        <v>8.7719298245721256E-5</v>
      </c>
      <c r="N344">
        <f t="shared" ca="1" si="94"/>
        <v>29.203000000000003</v>
      </c>
      <c r="O344">
        <f t="shared" ca="1" si="95"/>
        <v>1.0438045000000001E-3</v>
      </c>
      <c r="P344">
        <f t="shared" ca="1" si="96"/>
        <v>1.0007300750000001</v>
      </c>
      <c r="Q344">
        <f t="shared" ca="1" si="97"/>
        <v>2.8512863297131799</v>
      </c>
      <c r="R344">
        <f t="shared" ca="1" si="98"/>
        <v>15206.86042513696</v>
      </c>
      <c r="S344">
        <f t="shared" ca="1" si="99"/>
        <v>3.9745536914877402</v>
      </c>
      <c r="T344">
        <f t="shared" ca="1" si="100"/>
        <v>1</v>
      </c>
      <c r="U344">
        <f t="shared" ca="1" si="101"/>
        <v>15212</v>
      </c>
      <c r="V344">
        <f t="shared" ca="1" si="102"/>
        <v>2.8522500000000002</v>
      </c>
      <c r="X344">
        <f t="shared" ca="1" si="103"/>
        <v>2.8491261197481248</v>
      </c>
    </row>
    <row r="345" spans="5:24" x14ac:dyDescent="0.25">
      <c r="E345">
        <v>343</v>
      </c>
      <c r="F345">
        <f t="shared" si="87"/>
        <v>54.300000000000004</v>
      </c>
      <c r="G345">
        <f t="shared" ca="1" si="88"/>
        <v>54.302000000000007</v>
      </c>
      <c r="H345" s="5">
        <f t="shared" ca="1" si="89"/>
        <v>2.0000000000024443E-3</v>
      </c>
      <c r="I345" s="5">
        <f t="shared" ca="1" si="90"/>
        <v>3.683241252306527E-5</v>
      </c>
      <c r="J345" s="10">
        <f t="shared" si="91"/>
        <v>2.8583333333333334</v>
      </c>
      <c r="K345" s="12">
        <f t="shared" ca="1" si="92"/>
        <v>2.8585000000000003</v>
      </c>
      <c r="L345" s="5">
        <f t="shared" ca="1" si="93"/>
        <v>5.8309037900945898E-5</v>
      </c>
      <c r="N345">
        <f t="shared" ca="1" si="94"/>
        <v>29.302000000000007</v>
      </c>
      <c r="O345">
        <f t="shared" ca="1" si="95"/>
        <v>1.043953E-3</v>
      </c>
      <c r="P345">
        <f t="shared" ca="1" si="96"/>
        <v>1.0007325499999999</v>
      </c>
      <c r="Q345">
        <f t="shared" ca="1" si="97"/>
        <v>2.8595492764272299</v>
      </c>
      <c r="R345">
        <f t="shared" ca="1" si="98"/>
        <v>15250.929474278559</v>
      </c>
      <c r="S345">
        <f t="shared" ca="1" si="99"/>
        <v>3.9764214753702962</v>
      </c>
      <c r="T345">
        <f t="shared" ca="1" si="100"/>
        <v>-2</v>
      </c>
      <c r="U345">
        <f t="shared" ca="1" si="101"/>
        <v>15253</v>
      </c>
      <c r="V345">
        <f t="shared" ca="1" si="102"/>
        <v>2.8599375</v>
      </c>
      <c r="X345">
        <f t="shared" ca="1" si="103"/>
        <v>2.8568007975757364</v>
      </c>
    </row>
    <row r="346" spans="5:24" x14ac:dyDescent="0.25">
      <c r="E346">
        <v>344</v>
      </c>
      <c r="F346">
        <f t="shared" si="87"/>
        <v>54.4</v>
      </c>
      <c r="G346">
        <f t="shared" ca="1" si="88"/>
        <v>54.402999999999999</v>
      </c>
      <c r="H346" s="5">
        <f t="shared" ca="1" si="89"/>
        <v>3.0000000000001137E-3</v>
      </c>
      <c r="I346" s="5">
        <f t="shared" ca="1" si="90"/>
        <v>5.5147058823531501E-5</v>
      </c>
      <c r="J346" s="10">
        <f t="shared" si="91"/>
        <v>2.8666666666666663</v>
      </c>
      <c r="K346" s="12">
        <f t="shared" ca="1" si="92"/>
        <v>2.8669166666666657</v>
      </c>
      <c r="L346" s="5">
        <f t="shared" ca="1" si="93"/>
        <v>8.7209302325378163E-5</v>
      </c>
      <c r="N346">
        <f t="shared" ca="1" si="94"/>
        <v>29.402999999999999</v>
      </c>
      <c r="O346">
        <f t="shared" ca="1" si="95"/>
        <v>1.0441045000000001E-3</v>
      </c>
      <c r="P346">
        <f t="shared" ca="1" si="96"/>
        <v>1.0007350749999999</v>
      </c>
      <c r="Q346">
        <f t="shared" ca="1" si="97"/>
        <v>2.8679791934403003</v>
      </c>
      <c r="R346">
        <f t="shared" ca="1" si="98"/>
        <v>15295.889031681601</v>
      </c>
      <c r="S346">
        <f t="shared" ca="1" si="99"/>
        <v>3.9782538517306683</v>
      </c>
      <c r="T346">
        <f t="shared" ca="1" si="100"/>
        <v>3</v>
      </c>
      <c r="U346">
        <f t="shared" ca="1" si="101"/>
        <v>15303</v>
      </c>
      <c r="V346">
        <f t="shared" ca="1" si="102"/>
        <v>2.8693124999999999</v>
      </c>
      <c r="X346">
        <f t="shared" ca="1" si="103"/>
        <v>2.8661615517973127</v>
      </c>
    </row>
    <row r="347" spans="5:24" x14ac:dyDescent="0.25">
      <c r="E347">
        <v>345</v>
      </c>
      <c r="F347">
        <f t="shared" si="87"/>
        <v>54.5</v>
      </c>
      <c r="G347">
        <f t="shared" ca="1" si="88"/>
        <v>54.496000000000002</v>
      </c>
      <c r="H347" s="5">
        <f t="shared" ca="1" si="89"/>
        <v>3.9999999999977831E-3</v>
      </c>
      <c r="I347" s="5">
        <f t="shared" ca="1" si="90"/>
        <v>7.339449541280336E-5</v>
      </c>
      <c r="J347" s="10">
        <f t="shared" si="91"/>
        <v>2.8749999999999991</v>
      </c>
      <c r="K347" s="12">
        <f t="shared" ca="1" si="92"/>
        <v>2.8746666666666663</v>
      </c>
      <c r="L347" s="5">
        <f t="shared" ca="1" si="93"/>
        <v>1.1594202898534004E-4</v>
      </c>
      <c r="N347">
        <f t="shared" ca="1" si="94"/>
        <v>29.496000000000002</v>
      </c>
      <c r="O347">
        <f t="shared" ca="1" si="95"/>
        <v>1.0442439999999999E-3</v>
      </c>
      <c r="P347">
        <f t="shared" ca="1" si="96"/>
        <v>1.0007374</v>
      </c>
      <c r="Q347">
        <f t="shared" ca="1" si="97"/>
        <v>2.8757414318411407</v>
      </c>
      <c r="R347">
        <f t="shared" ca="1" si="98"/>
        <v>15337.287636486084</v>
      </c>
      <c r="S347">
        <f t="shared" ca="1" si="99"/>
        <v>3.9798757324786167</v>
      </c>
      <c r="T347">
        <f t="shared" ca="1" si="100"/>
        <v>3</v>
      </c>
      <c r="U347">
        <f t="shared" ca="1" si="101"/>
        <v>15344</v>
      </c>
      <c r="V347">
        <f t="shared" ca="1" si="102"/>
        <v>2.8770000000000002</v>
      </c>
      <c r="X347">
        <f t="shared" ca="1" si="103"/>
        <v>2.873836588899346</v>
      </c>
    </row>
    <row r="348" spans="5:24" x14ac:dyDescent="0.25">
      <c r="E348">
        <v>346</v>
      </c>
      <c r="F348">
        <f t="shared" si="87"/>
        <v>54.6</v>
      </c>
      <c r="G348">
        <f t="shared" ca="1" si="88"/>
        <v>54.603999999999999</v>
      </c>
      <c r="H348" s="5">
        <f t="shared" ca="1" si="89"/>
        <v>3.9999999999977831E-3</v>
      </c>
      <c r="I348" s="5">
        <f t="shared" ca="1" si="90"/>
        <v>7.3260073260032657E-5</v>
      </c>
      <c r="J348" s="10">
        <f t="shared" si="91"/>
        <v>2.8833333333333329</v>
      </c>
      <c r="K348" s="12">
        <f t="shared" ca="1" si="92"/>
        <v>2.8836666666666657</v>
      </c>
      <c r="L348" s="5">
        <f t="shared" ca="1" si="93"/>
        <v>1.1560693641601824E-4</v>
      </c>
      <c r="N348">
        <f t="shared" ca="1" si="94"/>
        <v>29.603999999999999</v>
      </c>
      <c r="O348">
        <f t="shared" ca="1" si="95"/>
        <v>1.0444060000000001E-3</v>
      </c>
      <c r="P348">
        <f t="shared" ca="1" si="96"/>
        <v>1.0007401</v>
      </c>
      <c r="Q348">
        <f t="shared" ca="1" si="97"/>
        <v>2.8847556894017852</v>
      </c>
      <c r="R348">
        <f t="shared" ca="1" si="98"/>
        <v>15385.36367680952</v>
      </c>
      <c r="S348">
        <f t="shared" ca="1" si="99"/>
        <v>3.9816805341037975</v>
      </c>
      <c r="T348">
        <f t="shared" ca="1" si="100"/>
        <v>3</v>
      </c>
      <c r="U348">
        <f t="shared" ca="1" si="101"/>
        <v>15392</v>
      </c>
      <c r="V348">
        <f t="shared" ca="1" si="102"/>
        <v>2.8860000000000001</v>
      </c>
      <c r="X348">
        <f t="shared" ca="1" si="103"/>
        <v>2.8828220174249037</v>
      </c>
    </row>
    <row r="349" spans="5:24" x14ac:dyDescent="0.25">
      <c r="E349">
        <v>347</v>
      </c>
      <c r="F349">
        <f t="shared" si="87"/>
        <v>54.7</v>
      </c>
      <c r="G349">
        <f t="shared" ca="1" si="88"/>
        <v>54.691000000000003</v>
      </c>
      <c r="H349" s="5">
        <f t="shared" ca="1" si="89"/>
        <v>9.0000000000003411E-3</v>
      </c>
      <c r="I349" s="5">
        <f t="shared" ca="1" si="90"/>
        <v>1.6453382084095686E-4</v>
      </c>
      <c r="J349" s="10">
        <f t="shared" si="91"/>
        <v>2.8916666666666666</v>
      </c>
      <c r="K349" s="12">
        <f t="shared" ca="1" si="92"/>
        <v>2.8909166666666666</v>
      </c>
      <c r="L349" s="5">
        <f t="shared" ca="1" si="93"/>
        <v>2.5936599423632105E-4</v>
      </c>
      <c r="N349">
        <f t="shared" ca="1" si="94"/>
        <v>29.691000000000003</v>
      </c>
      <c r="O349">
        <f t="shared" ca="1" si="95"/>
        <v>1.0445364999999999E-3</v>
      </c>
      <c r="P349">
        <f t="shared" ca="1" si="96"/>
        <v>1.0007422749999999</v>
      </c>
      <c r="Q349">
        <f t="shared" ca="1" si="97"/>
        <v>2.892017210002086</v>
      </c>
      <c r="R349">
        <f t="shared" ca="1" si="98"/>
        <v>15424.091786677791</v>
      </c>
      <c r="S349">
        <f t="shared" ca="1" si="99"/>
        <v>3.9830728928887154</v>
      </c>
      <c r="T349">
        <f t="shared" ca="1" si="100"/>
        <v>3</v>
      </c>
      <c r="U349">
        <f t="shared" ca="1" si="101"/>
        <v>15431</v>
      </c>
      <c r="V349">
        <f t="shared" ca="1" si="102"/>
        <v>2.8933125</v>
      </c>
      <c r="X349">
        <f t="shared" ca="1" si="103"/>
        <v>2.8901226976745842</v>
      </c>
    </row>
    <row r="350" spans="5:24" x14ac:dyDescent="0.25">
      <c r="E350">
        <v>348</v>
      </c>
      <c r="F350">
        <f t="shared" si="87"/>
        <v>54.800000000000004</v>
      </c>
      <c r="G350">
        <f t="shared" ca="1" si="88"/>
        <v>54.797000000000004</v>
      </c>
      <c r="H350" s="5">
        <f t="shared" ca="1" si="89"/>
        <v>3.0000000000001137E-3</v>
      </c>
      <c r="I350" s="5">
        <f t="shared" ca="1" si="90"/>
        <v>5.4744525547447327E-5</v>
      </c>
      <c r="J350" s="10">
        <f t="shared" si="91"/>
        <v>2.8999999999999995</v>
      </c>
      <c r="K350" s="12">
        <f t="shared" ca="1" si="92"/>
        <v>2.89975</v>
      </c>
      <c r="L350" s="5">
        <f t="shared" ca="1" si="93"/>
        <v>8.6206896551523242E-5</v>
      </c>
      <c r="N350">
        <f t="shared" ca="1" si="94"/>
        <v>29.797000000000004</v>
      </c>
      <c r="O350">
        <f t="shared" ca="1" si="95"/>
        <v>1.0446955E-3</v>
      </c>
      <c r="P350">
        <f t="shared" ca="1" si="96"/>
        <v>1.000744925</v>
      </c>
      <c r="Q350">
        <f t="shared" ca="1" si="97"/>
        <v>2.9008646225489545</v>
      </c>
      <c r="R350">
        <f t="shared" ca="1" si="98"/>
        <v>15471.277986927757</v>
      </c>
      <c r="S350">
        <f t="shared" ca="1" si="99"/>
        <v>3.9846951253955933</v>
      </c>
      <c r="T350">
        <f t="shared" ca="1" si="100"/>
        <v>2</v>
      </c>
      <c r="U350">
        <f t="shared" ca="1" si="101"/>
        <v>15477</v>
      </c>
      <c r="V350">
        <f t="shared" ca="1" si="102"/>
        <v>2.9019375000000003</v>
      </c>
      <c r="X350">
        <f t="shared" ca="1" si="103"/>
        <v>2.8987334654732324</v>
      </c>
    </row>
    <row r="351" spans="5:24" x14ac:dyDescent="0.25">
      <c r="E351">
        <v>349</v>
      </c>
      <c r="F351">
        <f t="shared" si="87"/>
        <v>54.9</v>
      </c>
      <c r="G351">
        <f t="shared" ca="1" si="88"/>
        <v>54.893000000000001</v>
      </c>
      <c r="H351" s="5">
        <f t="shared" ca="1" si="89"/>
        <v>6.9999999999978968E-3</v>
      </c>
      <c r="I351" s="5">
        <f t="shared" ca="1" si="90"/>
        <v>1.2750455373402363E-4</v>
      </c>
      <c r="J351" s="10">
        <f t="shared" si="91"/>
        <v>2.9083333333333323</v>
      </c>
      <c r="K351" s="12">
        <f t="shared" ca="1" si="92"/>
        <v>2.9077499999999992</v>
      </c>
      <c r="L351" s="5">
        <f t="shared" ca="1" si="93"/>
        <v>2.0057306590251861E-4</v>
      </c>
      <c r="N351">
        <f t="shared" ca="1" si="94"/>
        <v>29.893000000000001</v>
      </c>
      <c r="O351">
        <f t="shared" ca="1" si="95"/>
        <v>1.0448395000000001E-3</v>
      </c>
      <c r="P351">
        <f t="shared" ca="1" si="96"/>
        <v>1.0007473250000001</v>
      </c>
      <c r="Q351">
        <f t="shared" ca="1" si="97"/>
        <v>2.9088774139340701</v>
      </c>
      <c r="R351">
        <f t="shared" ca="1" si="98"/>
        <v>15514.01287431504</v>
      </c>
      <c r="S351">
        <f t="shared" ca="1" si="99"/>
        <v>3.9860939520047749</v>
      </c>
      <c r="T351">
        <f t="shared" ca="1" si="100"/>
        <v>2</v>
      </c>
      <c r="U351">
        <f t="shared" ca="1" si="101"/>
        <v>15520</v>
      </c>
      <c r="V351">
        <f t="shared" ca="1" si="102"/>
        <v>2.91</v>
      </c>
      <c r="X351">
        <f t="shared" ca="1" si="103"/>
        <v>2.9067828490073655</v>
      </c>
    </row>
    <row r="352" spans="5:24" x14ac:dyDescent="0.25">
      <c r="E352">
        <v>350</v>
      </c>
      <c r="F352">
        <f t="shared" si="87"/>
        <v>55</v>
      </c>
      <c r="G352">
        <f t="shared" ca="1" si="88"/>
        <v>54.997999999999998</v>
      </c>
      <c r="H352" s="5">
        <f t="shared" ca="1" si="89"/>
        <v>2.0000000000024443E-3</v>
      </c>
      <c r="I352" s="5">
        <f t="shared" ca="1" si="90"/>
        <v>3.6363636363680803E-5</v>
      </c>
      <c r="J352" s="10">
        <f t="shared" si="91"/>
        <v>2.9166666666666661</v>
      </c>
      <c r="K352" s="12">
        <f t="shared" ca="1" si="92"/>
        <v>2.9164999999999992</v>
      </c>
      <c r="L352" s="5">
        <f t="shared" ca="1" si="93"/>
        <v>5.7142857142926991E-5</v>
      </c>
      <c r="N352">
        <f t="shared" ca="1" si="94"/>
        <v>29.997999999999998</v>
      </c>
      <c r="O352">
        <f t="shared" ca="1" si="95"/>
        <v>1.044997E-3</v>
      </c>
      <c r="P352">
        <f t="shared" ca="1" si="96"/>
        <v>1.0007499500000001</v>
      </c>
      <c r="Q352">
        <f t="shared" ca="1" si="97"/>
        <v>2.917641448479499</v>
      </c>
      <c r="R352">
        <f t="shared" ca="1" si="98"/>
        <v>15560.754391890661</v>
      </c>
      <c r="S352">
        <f t="shared" ca="1" si="99"/>
        <v>3.987547307946619</v>
      </c>
      <c r="T352">
        <f t="shared" ca="1" si="100"/>
        <v>0</v>
      </c>
      <c r="U352">
        <f t="shared" ca="1" si="101"/>
        <v>15565</v>
      </c>
      <c r="V352">
        <f t="shared" ca="1" si="102"/>
        <v>2.9184375</v>
      </c>
      <c r="X352">
        <f t="shared" ca="1" si="103"/>
        <v>2.9152062440772539</v>
      </c>
    </row>
    <row r="353" spans="5:24" x14ac:dyDescent="0.25">
      <c r="E353">
        <v>351</v>
      </c>
      <c r="F353">
        <f t="shared" si="87"/>
        <v>55.1</v>
      </c>
      <c r="G353">
        <f t="shared" ca="1" si="88"/>
        <v>55.097000000000001</v>
      </c>
      <c r="H353" s="5">
        <f t="shared" ca="1" si="89"/>
        <v>3.0000000000001137E-3</v>
      </c>
      <c r="I353" s="5">
        <f t="shared" ca="1" si="90"/>
        <v>5.4446460980038362E-5</v>
      </c>
      <c r="J353" s="10">
        <f t="shared" si="91"/>
        <v>2.9249999999999998</v>
      </c>
      <c r="K353" s="12">
        <f t="shared" ca="1" si="92"/>
        <v>2.9247499999999995</v>
      </c>
      <c r="L353" s="5">
        <f t="shared" ca="1" si="93"/>
        <v>8.5470085470189933E-5</v>
      </c>
      <c r="N353">
        <f t="shared" ca="1" si="94"/>
        <v>30.097000000000001</v>
      </c>
      <c r="O353">
        <f t="shared" ca="1" si="95"/>
        <v>1.0451455000000001E-3</v>
      </c>
      <c r="P353">
        <f t="shared" ca="1" si="96"/>
        <v>1.0007524249999999</v>
      </c>
      <c r="Q353">
        <f t="shared" ca="1" si="97"/>
        <v>2.9259047231251465</v>
      </c>
      <c r="R353">
        <f t="shared" ca="1" si="98"/>
        <v>15604.825190000782</v>
      </c>
      <c r="S353">
        <f t="shared" ca="1" si="99"/>
        <v>3.9888442774171873</v>
      </c>
      <c r="T353">
        <f t="shared" ca="1" si="100"/>
        <v>2</v>
      </c>
      <c r="U353">
        <f t="shared" ca="1" si="101"/>
        <v>15611</v>
      </c>
      <c r="V353">
        <f t="shared" ca="1" si="102"/>
        <v>2.9270624999999999</v>
      </c>
      <c r="X353">
        <f t="shared" ca="1" si="103"/>
        <v>2.9238174011919082</v>
      </c>
    </row>
    <row r="354" spans="5:24" x14ac:dyDescent="0.25">
      <c r="E354">
        <v>352</v>
      </c>
      <c r="F354">
        <f t="shared" si="87"/>
        <v>55.2</v>
      </c>
      <c r="G354">
        <f t="shared" ca="1" si="88"/>
        <v>55.204000000000001</v>
      </c>
      <c r="H354" s="5">
        <f t="shared" ca="1" si="89"/>
        <v>3.9999999999977831E-3</v>
      </c>
      <c r="I354" s="5">
        <f t="shared" ca="1" si="90"/>
        <v>7.2463768115901857E-5</v>
      </c>
      <c r="J354" s="10">
        <f t="shared" si="91"/>
        <v>2.9333333333333327</v>
      </c>
      <c r="K354" s="12">
        <f t="shared" ca="1" si="92"/>
        <v>2.9336666666666664</v>
      </c>
      <c r="L354" s="5">
        <f t="shared" ca="1" si="93"/>
        <v>1.1363636363650254E-4</v>
      </c>
      <c r="N354">
        <f t="shared" ca="1" si="94"/>
        <v>30.204000000000001</v>
      </c>
      <c r="O354">
        <f t="shared" ca="1" si="95"/>
        <v>1.045306E-3</v>
      </c>
      <c r="P354">
        <f t="shared" ca="1" si="96"/>
        <v>1.0007550999999999</v>
      </c>
      <c r="Q354">
        <f t="shared" ca="1" si="97"/>
        <v>2.9348357830561054</v>
      </c>
      <c r="R354">
        <f t="shared" ca="1" si="98"/>
        <v>15652.457509632563</v>
      </c>
      <c r="S354">
        <f t="shared" ca="1" si="99"/>
        <v>3.9901659830782568</v>
      </c>
      <c r="T354">
        <f t="shared" ca="1" si="100"/>
        <v>2</v>
      </c>
      <c r="U354">
        <f t="shared" ca="1" si="101"/>
        <v>15658</v>
      </c>
      <c r="V354">
        <f t="shared" ca="1" si="102"/>
        <v>2.9358750000000002</v>
      </c>
      <c r="X354">
        <f t="shared" ca="1" si="103"/>
        <v>2.9326152762049382</v>
      </c>
    </row>
    <row r="355" spans="5:24" x14ac:dyDescent="0.25">
      <c r="E355">
        <v>353</v>
      </c>
      <c r="F355">
        <f t="shared" si="87"/>
        <v>55.300000000000004</v>
      </c>
      <c r="G355">
        <f t="shared" ca="1" si="88"/>
        <v>55.305000000000007</v>
      </c>
      <c r="H355" s="5">
        <f t="shared" ca="1" si="89"/>
        <v>5.000000000002558E-3</v>
      </c>
      <c r="I355" s="5">
        <f t="shared" ca="1" si="90"/>
        <v>9.0415913200769582E-5</v>
      </c>
      <c r="J355" s="10">
        <f t="shared" si="91"/>
        <v>2.9416666666666664</v>
      </c>
      <c r="K355" s="12">
        <f t="shared" ca="1" si="92"/>
        <v>2.9420833333333336</v>
      </c>
      <c r="L355" s="5">
        <f t="shared" ca="1" si="93"/>
        <v>1.416430594902581E-4</v>
      </c>
      <c r="N355">
        <f t="shared" ca="1" si="94"/>
        <v>30.305000000000007</v>
      </c>
      <c r="O355">
        <f t="shared" ca="1" si="95"/>
        <v>1.0454575E-3</v>
      </c>
      <c r="P355">
        <f t="shared" ca="1" si="96"/>
        <v>1.0007576250000001</v>
      </c>
      <c r="Q355">
        <f t="shared" ca="1" si="97"/>
        <v>2.9432660796540122</v>
      </c>
      <c r="R355">
        <f t="shared" ca="1" si="98"/>
        <v>15697.419091488066</v>
      </c>
      <c r="S355">
        <f t="shared" ca="1" si="99"/>
        <v>3.9913372357237447</v>
      </c>
      <c r="T355">
        <f t="shared" ca="1" si="100"/>
        <v>-2</v>
      </c>
      <c r="U355">
        <f t="shared" ca="1" si="101"/>
        <v>15699</v>
      </c>
      <c r="V355">
        <f t="shared" ca="1" si="102"/>
        <v>2.9435625000000001</v>
      </c>
      <c r="X355">
        <f t="shared" ca="1" si="103"/>
        <v>2.9402894057389766</v>
      </c>
    </row>
    <row r="356" spans="5:24" x14ac:dyDescent="0.25">
      <c r="E356">
        <v>354</v>
      </c>
      <c r="F356">
        <f t="shared" si="87"/>
        <v>55.4</v>
      </c>
      <c r="G356">
        <f t="shared" ca="1" si="88"/>
        <v>55.402999999999999</v>
      </c>
      <c r="H356" s="5">
        <f t="shared" ca="1" si="89"/>
        <v>3.0000000000001137E-3</v>
      </c>
      <c r="I356" s="5">
        <f t="shared" ca="1" si="90"/>
        <v>5.4151624548738515E-5</v>
      </c>
      <c r="J356" s="10">
        <f t="shared" si="91"/>
        <v>2.9499999999999993</v>
      </c>
      <c r="K356" s="12">
        <f t="shared" ca="1" si="92"/>
        <v>2.9502499999999996</v>
      </c>
      <c r="L356" s="5">
        <f t="shared" ca="1" si="93"/>
        <v>8.4745762711967994E-5</v>
      </c>
      <c r="N356">
        <f t="shared" ca="1" si="94"/>
        <v>30.402999999999999</v>
      </c>
      <c r="O356">
        <f t="shared" ca="1" si="95"/>
        <v>1.0456045000000001E-3</v>
      </c>
      <c r="P356">
        <f t="shared" ca="1" si="96"/>
        <v>1.0007600750000001</v>
      </c>
      <c r="Q356">
        <f t="shared" ca="1" si="97"/>
        <v>2.9514460120309098</v>
      </c>
      <c r="R356">
        <f t="shared" ca="1" si="98"/>
        <v>15741.045397498185</v>
      </c>
      <c r="S356">
        <f t="shared" ca="1" si="99"/>
        <v>3.9924028103743847</v>
      </c>
      <c r="T356">
        <f t="shared" ca="1" si="100"/>
        <v>2</v>
      </c>
      <c r="U356">
        <f t="shared" ca="1" si="101"/>
        <v>15747</v>
      </c>
      <c r="V356">
        <f t="shared" ca="1" si="102"/>
        <v>2.9525625</v>
      </c>
      <c r="X356">
        <f t="shared" ca="1" si="103"/>
        <v>2.9492752251332566</v>
      </c>
    </row>
    <row r="357" spans="5:24" x14ac:dyDescent="0.25">
      <c r="E357">
        <v>355</v>
      </c>
      <c r="F357">
        <f t="shared" si="87"/>
        <v>55.5</v>
      </c>
      <c r="G357">
        <f t="shared" ca="1" si="88"/>
        <v>55.494</v>
      </c>
      <c r="H357" s="5">
        <f t="shared" ca="1" si="89"/>
        <v>6.0000000000002274E-3</v>
      </c>
      <c r="I357" s="5">
        <f t="shared" ca="1" si="90"/>
        <v>1.081081081081122E-4</v>
      </c>
      <c r="J357" s="10">
        <f t="shared" si="91"/>
        <v>2.958333333333333</v>
      </c>
      <c r="K357" s="12">
        <f t="shared" ca="1" si="92"/>
        <v>2.9578333333333324</v>
      </c>
      <c r="L357" s="5">
        <f t="shared" ca="1" si="93"/>
        <v>1.6901408450724882E-4</v>
      </c>
      <c r="N357">
        <f t="shared" ca="1" si="94"/>
        <v>30.494</v>
      </c>
      <c r="O357">
        <f t="shared" ca="1" si="95"/>
        <v>1.045741E-3</v>
      </c>
      <c r="P357">
        <f t="shared" ca="1" si="96"/>
        <v>1.00076235</v>
      </c>
      <c r="Q357">
        <f t="shared" ca="1" si="97"/>
        <v>2.9590416993543478</v>
      </c>
      <c r="R357">
        <f t="shared" ca="1" si="98"/>
        <v>15781.555729889855</v>
      </c>
      <c r="S357">
        <f t="shared" ca="1" si="99"/>
        <v>3.9933297380731898</v>
      </c>
      <c r="T357">
        <f t="shared" ca="1" si="100"/>
        <v>2</v>
      </c>
      <c r="U357">
        <f t="shared" ca="1" si="101"/>
        <v>15788</v>
      </c>
      <c r="V357">
        <f t="shared" ca="1" si="102"/>
        <v>2.9602500000000003</v>
      </c>
      <c r="X357">
        <f t="shared" ca="1" si="103"/>
        <v>2.9569500281460432</v>
      </c>
    </row>
    <row r="358" spans="5:24" x14ac:dyDescent="0.25">
      <c r="E358">
        <v>356</v>
      </c>
      <c r="F358">
        <f t="shared" si="87"/>
        <v>55.6</v>
      </c>
      <c r="G358">
        <f t="shared" ca="1" si="88"/>
        <v>55.609000000000002</v>
      </c>
      <c r="H358" s="5">
        <f t="shared" ca="1" si="89"/>
        <v>9.0000000000003411E-3</v>
      </c>
      <c r="I358" s="5">
        <f t="shared" ca="1" si="90"/>
        <v>1.6187050359712843E-4</v>
      </c>
      <c r="J358" s="10">
        <f t="shared" si="91"/>
        <v>2.9666666666666659</v>
      </c>
      <c r="K358" s="12">
        <f t="shared" ca="1" si="92"/>
        <v>2.9674166666666659</v>
      </c>
      <c r="L358" s="5">
        <f t="shared" ca="1" si="93"/>
        <v>2.5280898876405461E-4</v>
      </c>
      <c r="N358">
        <f t="shared" ca="1" si="94"/>
        <v>30.609000000000002</v>
      </c>
      <c r="O358">
        <f t="shared" ca="1" si="95"/>
        <v>1.0459135E-3</v>
      </c>
      <c r="P358">
        <f t="shared" ca="1" si="96"/>
        <v>1.0007652250000001</v>
      </c>
      <c r="Q358">
        <f t="shared" ca="1" si="97"/>
        <v>2.968640694226258</v>
      </c>
      <c r="R358">
        <f t="shared" ca="1" si="98"/>
        <v>15832.750369206709</v>
      </c>
      <c r="S358">
        <f t="shared" ca="1" si="99"/>
        <v>3.9944149713667536</v>
      </c>
      <c r="T358">
        <f t="shared" ca="1" si="100"/>
        <v>-3</v>
      </c>
      <c r="U358">
        <f t="shared" ca="1" si="101"/>
        <v>15834</v>
      </c>
      <c r="V358">
        <f t="shared" ca="1" si="102"/>
        <v>2.9688750000000002</v>
      </c>
      <c r="X358">
        <f t="shared" ca="1" si="103"/>
        <v>2.9655597660280408</v>
      </c>
    </row>
    <row r="359" spans="5:24" x14ac:dyDescent="0.25">
      <c r="E359">
        <v>357</v>
      </c>
      <c r="F359">
        <f t="shared" si="87"/>
        <v>55.7</v>
      </c>
      <c r="G359">
        <f t="shared" ca="1" si="88"/>
        <v>55.706000000000003</v>
      </c>
      <c r="H359" s="5">
        <f t="shared" ca="1" si="89"/>
        <v>6.0000000000002274E-3</v>
      </c>
      <c r="I359" s="5">
        <f t="shared" ca="1" si="90"/>
        <v>1.0771992818671862E-4</v>
      </c>
      <c r="J359" s="10">
        <f t="shared" si="91"/>
        <v>2.9749999999999996</v>
      </c>
      <c r="K359" s="12">
        <f t="shared" ca="1" si="92"/>
        <v>2.9754999999999994</v>
      </c>
      <c r="L359" s="5">
        <f t="shared" ca="1" si="93"/>
        <v>1.6806722689066317E-4</v>
      </c>
      <c r="N359">
        <f t="shared" ca="1" si="94"/>
        <v>30.706000000000003</v>
      </c>
      <c r="O359">
        <f t="shared" ca="1" si="95"/>
        <v>1.046059E-3</v>
      </c>
      <c r="P359">
        <f t="shared" ca="1" si="96"/>
        <v>1.00076765</v>
      </c>
      <c r="Q359">
        <f t="shared" ca="1" si="97"/>
        <v>2.9767372805678081</v>
      </c>
      <c r="R359">
        <f t="shared" ca="1" si="98"/>
        <v>15875.93216302831</v>
      </c>
      <c r="S359">
        <f t="shared" ca="1" si="99"/>
        <v>3.9952555332829598</v>
      </c>
      <c r="T359">
        <f t="shared" ca="1" si="100"/>
        <v>3</v>
      </c>
      <c r="U359">
        <f t="shared" ca="1" si="101"/>
        <v>15883</v>
      </c>
      <c r="V359">
        <f t="shared" ca="1" si="102"/>
        <v>2.9780625000000001</v>
      </c>
      <c r="X359">
        <f t="shared" ca="1" si="103"/>
        <v>2.9747328872990648</v>
      </c>
    </row>
    <row r="360" spans="5:24" x14ac:dyDescent="0.25">
      <c r="E360">
        <v>358</v>
      </c>
      <c r="F360">
        <f t="shared" si="87"/>
        <v>55.800000000000004</v>
      </c>
      <c r="G360">
        <f t="shared" ca="1" si="88"/>
        <v>55.790000000000006</v>
      </c>
      <c r="H360" s="5">
        <f t="shared" ca="1" si="89"/>
        <v>9.9999999999980105E-3</v>
      </c>
      <c r="I360" s="5">
        <f t="shared" ca="1" si="90"/>
        <v>1.7921146953401451E-4</v>
      </c>
      <c r="J360" s="10">
        <f t="shared" si="91"/>
        <v>2.9833333333333334</v>
      </c>
      <c r="K360" s="12">
        <f t="shared" ca="1" si="92"/>
        <v>2.9824999999999999</v>
      </c>
      <c r="L360" s="5">
        <f t="shared" ca="1" si="93"/>
        <v>2.7932960893859116E-4</v>
      </c>
      <c r="N360">
        <f t="shared" ca="1" si="94"/>
        <v>30.790000000000006</v>
      </c>
      <c r="O360">
        <f t="shared" ca="1" si="95"/>
        <v>1.046185E-3</v>
      </c>
      <c r="P360">
        <f t="shared" ca="1" si="96"/>
        <v>1.0007697499999999</v>
      </c>
      <c r="Q360">
        <f t="shared" ca="1" si="97"/>
        <v>2.9837487890740961</v>
      </c>
      <c r="R360">
        <f t="shared" ca="1" si="98"/>
        <v>15913.326875061846</v>
      </c>
      <c r="S360">
        <f t="shared" ca="1" si="99"/>
        <v>3.9959281199450416</v>
      </c>
      <c r="T360">
        <f t="shared" ca="1" si="100"/>
        <v>0</v>
      </c>
      <c r="U360">
        <f t="shared" ca="1" si="101"/>
        <v>15917</v>
      </c>
      <c r="V360">
        <f t="shared" ca="1" si="102"/>
        <v>2.9844374999999999</v>
      </c>
      <c r="X360">
        <f t="shared" ca="1" si="103"/>
        <v>2.9810966158799266</v>
      </c>
    </row>
    <row r="361" spans="5:24" x14ac:dyDescent="0.25">
      <c r="E361">
        <v>359</v>
      </c>
      <c r="F361">
        <f t="shared" si="87"/>
        <v>55.9</v>
      </c>
      <c r="G361">
        <f t="shared" ca="1" si="88"/>
        <v>55.893000000000001</v>
      </c>
      <c r="H361" s="5">
        <f t="shared" ca="1" si="89"/>
        <v>6.9999999999978968E-3</v>
      </c>
      <c r="I361" s="5">
        <f t="shared" ca="1" si="90"/>
        <v>1.25223613595669E-4</v>
      </c>
      <c r="J361" s="10">
        <f t="shared" si="91"/>
        <v>2.9916666666666663</v>
      </c>
      <c r="K361" s="12">
        <f t="shared" ca="1" si="92"/>
        <v>2.9910833333333331</v>
      </c>
      <c r="L361" s="5">
        <f t="shared" ca="1" si="93"/>
        <v>1.9498607242333978E-4</v>
      </c>
      <c r="N361">
        <f t="shared" ca="1" si="94"/>
        <v>30.893000000000001</v>
      </c>
      <c r="O361">
        <f t="shared" ca="1" si="95"/>
        <v>1.0463395E-3</v>
      </c>
      <c r="P361">
        <f t="shared" ca="1" si="96"/>
        <v>1.000772325</v>
      </c>
      <c r="Q361">
        <f t="shared" ca="1" si="97"/>
        <v>2.9923462741545954</v>
      </c>
      <c r="R361">
        <f t="shared" ca="1" si="98"/>
        <v>15959.180128824508</v>
      </c>
      <c r="S361">
        <f t="shared" ca="1" si="99"/>
        <v>3.9966827402441547</v>
      </c>
      <c r="T361">
        <f t="shared" ca="1" si="100"/>
        <v>0</v>
      </c>
      <c r="U361">
        <f t="shared" ca="1" si="101"/>
        <v>15963</v>
      </c>
      <c r="V361">
        <f t="shared" ca="1" si="102"/>
        <v>2.9930625000000002</v>
      </c>
      <c r="X361">
        <f t="shared" ca="1" si="103"/>
        <v>2.9897071349370097</v>
      </c>
    </row>
    <row r="362" spans="5:24" x14ac:dyDescent="0.25">
      <c r="E362">
        <v>360</v>
      </c>
      <c r="F362">
        <f t="shared" si="87"/>
        <v>56</v>
      </c>
      <c r="G362">
        <f t="shared" ca="1" si="88"/>
        <v>56.005000000000003</v>
      </c>
      <c r="H362" s="5">
        <f t="shared" ca="1" si="89"/>
        <v>5.000000000002558E-3</v>
      </c>
      <c r="I362" s="5">
        <f t="shared" ca="1" si="90"/>
        <v>8.9285714285759958E-5</v>
      </c>
      <c r="J362" s="10">
        <f t="shared" si="91"/>
        <v>2.9999999999999991</v>
      </c>
      <c r="K362" s="12">
        <f t="shared" ca="1" si="92"/>
        <v>3.0004166666666663</v>
      </c>
      <c r="L362" s="5">
        <f t="shared" ca="1" si="93"/>
        <v>1.3888888888905867E-4</v>
      </c>
      <c r="N362">
        <f t="shared" ca="1" si="94"/>
        <v>31.005000000000003</v>
      </c>
      <c r="O362">
        <f t="shared" ca="1" si="95"/>
        <v>1.0465075000000001E-3</v>
      </c>
      <c r="P362">
        <f t="shared" ca="1" si="96"/>
        <v>1.0007751250000001</v>
      </c>
      <c r="Q362">
        <f t="shared" ca="1" si="97"/>
        <v>3.0016950459612906</v>
      </c>
      <c r="R362">
        <f t="shared" ca="1" si="98"/>
        <v>16009.040245126882</v>
      </c>
      <c r="S362">
        <f t="shared" ca="1" si="99"/>
        <v>3.9974156435539818</v>
      </c>
      <c r="T362">
        <f t="shared" ca="1" si="100"/>
        <v>1</v>
      </c>
      <c r="U362">
        <f t="shared" ca="1" si="101"/>
        <v>16014</v>
      </c>
      <c r="V362">
        <f t="shared" ca="1" si="102"/>
        <v>3.0026250000000001</v>
      </c>
      <c r="X362">
        <f t="shared" ca="1" si="103"/>
        <v>2.9992536959789042</v>
      </c>
    </row>
    <row r="363" spans="5:24" x14ac:dyDescent="0.25">
      <c r="E363">
        <v>361</v>
      </c>
      <c r="F363">
        <f t="shared" si="87"/>
        <v>56.1</v>
      </c>
      <c r="G363">
        <f t="shared" ca="1" si="88"/>
        <v>56.097999999999999</v>
      </c>
      <c r="H363" s="5">
        <f t="shared" ca="1" si="89"/>
        <v>2.0000000000024443E-3</v>
      </c>
      <c r="I363" s="5">
        <f t="shared" ca="1" si="90"/>
        <v>3.5650623885961575E-5</v>
      </c>
      <c r="J363" s="10">
        <f t="shared" si="91"/>
        <v>3.0083333333333329</v>
      </c>
      <c r="K363" s="12">
        <f t="shared" ca="1" si="92"/>
        <v>3.008166666666666</v>
      </c>
      <c r="L363" s="5">
        <f t="shared" ca="1" si="93"/>
        <v>5.5401662049929216E-5</v>
      </c>
      <c r="N363">
        <f t="shared" ca="1" si="94"/>
        <v>31.097999999999999</v>
      </c>
      <c r="O363">
        <f t="shared" ca="1" si="95"/>
        <v>1.0466469999999999E-3</v>
      </c>
      <c r="P363">
        <f t="shared" ca="1" si="96"/>
        <v>1.00077745</v>
      </c>
      <c r="Q363">
        <f t="shared" ca="1" si="97"/>
        <v>3.0094579051259558</v>
      </c>
      <c r="R363">
        <f t="shared" ca="1" si="98"/>
        <v>16050.442160671764</v>
      </c>
      <c r="S363">
        <f t="shared" ca="1" si="99"/>
        <v>3.9979548029269663</v>
      </c>
      <c r="T363">
        <f t="shared" ca="1" si="100"/>
        <v>-2</v>
      </c>
      <c r="U363">
        <f t="shared" ca="1" si="101"/>
        <v>16052</v>
      </c>
      <c r="V363">
        <f t="shared" ca="1" si="102"/>
        <v>3.0097499999999999</v>
      </c>
      <c r="X363">
        <f t="shared" ca="1" si="103"/>
        <v>3.0063660537115422</v>
      </c>
    </row>
    <row r="364" spans="5:24" x14ac:dyDescent="0.25">
      <c r="E364">
        <v>362</v>
      </c>
      <c r="F364">
        <f t="shared" si="87"/>
        <v>56.2</v>
      </c>
      <c r="G364">
        <f t="shared" ca="1" si="88"/>
        <v>56.202000000000005</v>
      </c>
      <c r="H364" s="5">
        <f t="shared" ca="1" si="89"/>
        <v>2.0000000000024443E-3</v>
      </c>
      <c r="I364" s="5">
        <f t="shared" ca="1" si="90"/>
        <v>3.5587188612143133E-5</v>
      </c>
      <c r="J364" s="10">
        <f t="shared" si="91"/>
        <v>3.0166666666666666</v>
      </c>
      <c r="K364" s="12">
        <f t="shared" ca="1" si="92"/>
        <v>3.0168333333333335</v>
      </c>
      <c r="L364" s="5">
        <f t="shared" ca="1" si="93"/>
        <v>5.5248618784597912E-5</v>
      </c>
      <c r="N364">
        <f t="shared" ca="1" si="94"/>
        <v>31.202000000000005</v>
      </c>
      <c r="O364">
        <f t="shared" ca="1" si="95"/>
        <v>1.046803E-3</v>
      </c>
      <c r="P364">
        <f t="shared" ca="1" si="96"/>
        <v>1.0007800499999999</v>
      </c>
      <c r="Q364">
        <f t="shared" ca="1" si="97"/>
        <v>3.01813899461632</v>
      </c>
      <c r="R364">
        <f t="shared" ca="1" si="98"/>
        <v>16096.741304620373</v>
      </c>
      <c r="S364">
        <f t="shared" ca="1" si="99"/>
        <v>3.99848312851254</v>
      </c>
      <c r="T364">
        <f t="shared" ca="1" si="100"/>
        <v>3</v>
      </c>
      <c r="U364">
        <f t="shared" ca="1" si="101"/>
        <v>16104</v>
      </c>
      <c r="V364">
        <f t="shared" ca="1" si="102"/>
        <v>3.0194999999999999</v>
      </c>
      <c r="X364">
        <f t="shared" ca="1" si="103"/>
        <v>3.0161004878144806</v>
      </c>
    </row>
    <row r="365" spans="5:24" x14ac:dyDescent="0.25">
      <c r="E365">
        <v>363</v>
      </c>
      <c r="F365">
        <f t="shared" si="87"/>
        <v>56.300000000000004</v>
      </c>
      <c r="G365">
        <f t="shared" ca="1" si="88"/>
        <v>56.290000000000006</v>
      </c>
      <c r="H365" s="5">
        <f t="shared" ca="1" si="89"/>
        <v>9.9999999999980105E-3</v>
      </c>
      <c r="I365" s="5">
        <f t="shared" ca="1" si="90"/>
        <v>1.7761989342802859E-4</v>
      </c>
      <c r="J365" s="10">
        <f t="shared" si="91"/>
        <v>3.0249999999999995</v>
      </c>
      <c r="K365" s="12">
        <f t="shared" ca="1" si="92"/>
        <v>3.0241666666666669</v>
      </c>
      <c r="L365" s="5">
        <f t="shared" ca="1" si="93"/>
        <v>2.7548209366366137E-4</v>
      </c>
      <c r="N365">
        <f t="shared" ca="1" si="94"/>
        <v>31.290000000000006</v>
      </c>
      <c r="O365">
        <f t="shared" ca="1" si="95"/>
        <v>1.0469350000000001E-3</v>
      </c>
      <c r="P365">
        <f t="shared" ca="1" si="96"/>
        <v>1.0007822500000001</v>
      </c>
      <c r="Q365">
        <f t="shared" ca="1" si="97"/>
        <v>3.0254845670767634</v>
      </c>
      <c r="R365">
        <f t="shared" ca="1" si="98"/>
        <v>16135.917691076071</v>
      </c>
      <c r="S365">
        <f t="shared" ca="1" si="99"/>
        <v>3.9988686395622164</v>
      </c>
      <c r="T365">
        <f t="shared" ca="1" si="100"/>
        <v>-1</v>
      </c>
      <c r="U365">
        <f t="shared" ca="1" si="101"/>
        <v>16139</v>
      </c>
      <c r="V365">
        <f t="shared" ca="1" si="102"/>
        <v>3.0260625000000001</v>
      </c>
      <c r="X365">
        <f t="shared" ca="1" si="103"/>
        <v>3.0226510961800126</v>
      </c>
    </row>
    <row r="366" spans="5:24" x14ac:dyDescent="0.25">
      <c r="E366">
        <v>364</v>
      </c>
      <c r="F366">
        <f t="shared" si="87"/>
        <v>56.4</v>
      </c>
      <c r="G366">
        <f t="shared" ca="1" si="88"/>
        <v>56.391999999999996</v>
      </c>
      <c r="H366" s="5">
        <f t="shared" ca="1" si="89"/>
        <v>8.0000000000026716E-3</v>
      </c>
      <c r="I366" s="5">
        <f t="shared" ca="1" si="90"/>
        <v>1.4184397163125305E-4</v>
      </c>
      <c r="J366" s="10">
        <f t="shared" si="91"/>
        <v>3.0333333333333323</v>
      </c>
      <c r="K366" s="12">
        <f t="shared" ca="1" si="92"/>
        <v>3.0326666666666657</v>
      </c>
      <c r="L366" s="5">
        <f t="shared" ca="1" si="93"/>
        <v>2.1978021978019566E-4</v>
      </c>
      <c r="N366">
        <f t="shared" ca="1" si="94"/>
        <v>31.391999999999996</v>
      </c>
      <c r="O366">
        <f t="shared" ca="1" si="95"/>
        <v>1.0470880000000001E-3</v>
      </c>
      <c r="P366">
        <f t="shared" ca="1" si="96"/>
        <v>1.0007847999999999</v>
      </c>
      <c r="Q366">
        <f t="shared" ca="1" si="97"/>
        <v>3.0339987937120032</v>
      </c>
      <c r="R366">
        <f t="shared" ca="1" si="98"/>
        <v>16181.32689979735</v>
      </c>
      <c r="S366">
        <f t="shared" ca="1" si="99"/>
        <v>3.9992448931186142</v>
      </c>
      <c r="T366">
        <f t="shared" ca="1" si="100"/>
        <v>-3</v>
      </c>
      <c r="U366">
        <f t="shared" ca="1" si="101"/>
        <v>16182</v>
      </c>
      <c r="V366">
        <f t="shared" ca="1" si="102"/>
        <v>3.034125</v>
      </c>
      <c r="X366">
        <f t="shared" ca="1" si="103"/>
        <v>3.0306994190958938</v>
      </c>
    </row>
    <row r="367" spans="5:24" x14ac:dyDescent="0.25">
      <c r="E367">
        <v>365</v>
      </c>
      <c r="F367">
        <f t="shared" si="87"/>
        <v>56.5</v>
      </c>
      <c r="G367">
        <f t="shared" ca="1" si="88"/>
        <v>56.494</v>
      </c>
      <c r="H367" s="5">
        <f t="shared" ca="1" si="89"/>
        <v>6.0000000000002274E-3</v>
      </c>
      <c r="I367" s="5">
        <f t="shared" ca="1" si="90"/>
        <v>1.0619469026549076E-4</v>
      </c>
      <c r="J367" s="10">
        <f t="shared" si="91"/>
        <v>3.0416666666666661</v>
      </c>
      <c r="K367" s="12">
        <f t="shared" ca="1" si="92"/>
        <v>3.0411666666666664</v>
      </c>
      <c r="L367" s="5">
        <f t="shared" ca="1" si="93"/>
        <v>1.6438356164374455E-4</v>
      </c>
      <c r="N367">
        <f t="shared" ca="1" si="94"/>
        <v>31.494</v>
      </c>
      <c r="O367">
        <f t="shared" ca="1" si="95"/>
        <v>1.047241E-3</v>
      </c>
      <c r="P367">
        <f t="shared" ca="1" si="96"/>
        <v>1.00078735</v>
      </c>
      <c r="Q367">
        <f t="shared" ca="1" si="97"/>
        <v>3.0425130636964646</v>
      </c>
      <c r="R367">
        <f t="shared" ca="1" si="98"/>
        <v>16226.736339714478</v>
      </c>
      <c r="S367">
        <f t="shared" ca="1" si="99"/>
        <v>3.9995453487358934</v>
      </c>
      <c r="T367">
        <f t="shared" ca="1" si="100"/>
        <v>-1</v>
      </c>
      <c r="U367">
        <f t="shared" ca="1" si="101"/>
        <v>16230</v>
      </c>
      <c r="V367">
        <f t="shared" ca="1" si="102"/>
        <v>3.0431249999999999</v>
      </c>
      <c r="X367">
        <f t="shared" ca="1" si="103"/>
        <v>3.039684463437712</v>
      </c>
    </row>
    <row r="368" spans="5:24" x14ac:dyDescent="0.25">
      <c r="E368">
        <v>366</v>
      </c>
      <c r="F368">
        <f t="shared" si="87"/>
        <v>56.6</v>
      </c>
      <c r="G368">
        <f t="shared" ca="1" si="88"/>
        <v>56.61</v>
      </c>
      <c r="H368" s="5">
        <f t="shared" ca="1" si="89"/>
        <v>9.9999999999980105E-3</v>
      </c>
      <c r="I368" s="5">
        <f t="shared" ca="1" si="90"/>
        <v>1.7667844522964682E-4</v>
      </c>
      <c r="J368" s="10">
        <f t="shared" si="91"/>
        <v>3.05</v>
      </c>
      <c r="K368" s="12">
        <f t="shared" ca="1" si="92"/>
        <v>3.0508333333333324</v>
      </c>
      <c r="L368" s="5">
        <f t="shared" ca="1" si="93"/>
        <v>2.732240437155985E-4</v>
      </c>
      <c r="N368">
        <f t="shared" ca="1" si="94"/>
        <v>31.61</v>
      </c>
      <c r="O368">
        <f t="shared" ca="1" si="95"/>
        <v>1.0474150000000001E-3</v>
      </c>
      <c r="P368">
        <f t="shared" ca="1" si="96"/>
        <v>1.0007902500000001</v>
      </c>
      <c r="Q368">
        <f t="shared" ca="1" si="97"/>
        <v>3.0521960116552957</v>
      </c>
      <c r="R368">
        <f t="shared" ca="1" si="98"/>
        <v>16278.378728828244</v>
      </c>
      <c r="S368">
        <f t="shared" ca="1" si="99"/>
        <v>3.9997949173408345</v>
      </c>
      <c r="T368">
        <f t="shared" ca="1" si="100"/>
        <v>-2</v>
      </c>
      <c r="U368">
        <f t="shared" ca="1" si="101"/>
        <v>16280</v>
      </c>
      <c r="V368">
        <f t="shared" ca="1" si="102"/>
        <v>3.0525000000000002</v>
      </c>
      <c r="X368">
        <f t="shared" ca="1" si="103"/>
        <v>3.0490430787070517</v>
      </c>
    </row>
    <row r="369" spans="5:24" x14ac:dyDescent="0.25">
      <c r="E369">
        <v>367</v>
      </c>
      <c r="F369">
        <f t="shared" si="87"/>
        <v>56.7</v>
      </c>
      <c r="G369">
        <f t="shared" ca="1" si="88"/>
        <v>56.71</v>
      </c>
      <c r="H369" s="5">
        <f t="shared" ca="1" si="89"/>
        <v>9.9999999999980105E-3</v>
      </c>
      <c r="I369" s="5">
        <f t="shared" ca="1" si="90"/>
        <v>1.7636684303347461E-4</v>
      </c>
      <c r="J369" s="10">
        <f t="shared" si="91"/>
        <v>3.0583333333333327</v>
      </c>
      <c r="K369" s="12">
        <f t="shared" ca="1" si="92"/>
        <v>3.0591666666666661</v>
      </c>
      <c r="L369" s="5">
        <f t="shared" ca="1" si="93"/>
        <v>2.7247956403274022E-4</v>
      </c>
      <c r="N369">
        <f t="shared" ca="1" si="94"/>
        <v>31.71</v>
      </c>
      <c r="O369">
        <f t="shared" ca="1" si="95"/>
        <v>1.0475650000000001E-3</v>
      </c>
      <c r="P369">
        <f t="shared" ca="1" si="96"/>
        <v>1.00079275</v>
      </c>
      <c r="Q369">
        <f t="shared" ca="1" si="97"/>
        <v>3.0605434255845125</v>
      </c>
      <c r="R369">
        <f t="shared" ca="1" si="98"/>
        <v>16322.898269784066</v>
      </c>
      <c r="S369">
        <f t="shared" ca="1" si="99"/>
        <v>3.9999313665791298</v>
      </c>
      <c r="T369">
        <f t="shared" ca="1" si="100"/>
        <v>-1</v>
      </c>
      <c r="U369">
        <f t="shared" ca="1" si="101"/>
        <v>16326</v>
      </c>
      <c r="V369">
        <f t="shared" ca="1" si="102"/>
        <v>3.0611250000000001</v>
      </c>
      <c r="X369">
        <f t="shared" ca="1" si="103"/>
        <v>3.0576534802035686</v>
      </c>
    </row>
    <row r="370" spans="5:24" x14ac:dyDescent="0.25">
      <c r="E370">
        <v>368</v>
      </c>
      <c r="F370">
        <f t="shared" si="87"/>
        <v>56.800000000000004</v>
      </c>
      <c r="G370">
        <f t="shared" ca="1" si="88"/>
        <v>56.809000000000005</v>
      </c>
      <c r="H370" s="5">
        <f t="shared" ca="1" si="89"/>
        <v>9.0000000000003411E-3</v>
      </c>
      <c r="I370" s="5">
        <f t="shared" ca="1" si="90"/>
        <v>1.584507042253581E-4</v>
      </c>
      <c r="J370" s="10">
        <f t="shared" si="91"/>
        <v>3.0666666666666664</v>
      </c>
      <c r="K370" s="12">
        <f t="shared" ca="1" si="92"/>
        <v>3.0674166666666665</v>
      </c>
      <c r="L370" s="5">
        <f t="shared" ca="1" si="93"/>
        <v>2.4456521739131364E-4</v>
      </c>
      <c r="N370">
        <f t="shared" ca="1" si="94"/>
        <v>31.809000000000005</v>
      </c>
      <c r="O370">
        <f t="shared" ca="1" si="95"/>
        <v>1.0477135E-3</v>
      </c>
      <c r="P370">
        <f t="shared" ca="1" si="96"/>
        <v>1.0007952250000001</v>
      </c>
      <c r="Q370">
        <f t="shared" ca="1" si="97"/>
        <v>3.0688074064174482</v>
      </c>
      <c r="R370">
        <f t="shared" ca="1" si="98"/>
        <v>16366.97283422639</v>
      </c>
      <c r="S370">
        <f t="shared" ca="1" si="99"/>
        <v>3.9999946701559335</v>
      </c>
      <c r="T370">
        <f t="shared" ca="1" si="100"/>
        <v>-3</v>
      </c>
      <c r="U370">
        <f t="shared" ca="1" si="101"/>
        <v>16368</v>
      </c>
      <c r="V370">
        <f t="shared" ca="1" si="102"/>
        <v>3.069</v>
      </c>
      <c r="X370">
        <f t="shared" ca="1" si="103"/>
        <v>3.0655145127216206</v>
      </c>
    </row>
    <row r="371" spans="5:24" x14ac:dyDescent="0.25">
      <c r="E371">
        <v>369</v>
      </c>
      <c r="F371">
        <f t="shared" si="87"/>
        <v>56.9</v>
      </c>
      <c r="G371">
        <f t="shared" ca="1" si="88"/>
        <v>56.908000000000001</v>
      </c>
      <c r="H371" s="5">
        <f t="shared" ca="1" si="89"/>
        <v>8.0000000000026716E-3</v>
      </c>
      <c r="I371" s="5">
        <f t="shared" ca="1" si="90"/>
        <v>1.4059753954310495E-4</v>
      </c>
      <c r="J371" s="10">
        <f t="shared" si="91"/>
        <v>3.0749999999999993</v>
      </c>
      <c r="K371" s="12">
        <f t="shared" ca="1" si="92"/>
        <v>3.0756666666666659</v>
      </c>
      <c r="L371" s="5">
        <f t="shared" ca="1" si="93"/>
        <v>2.1680216802165639E-4</v>
      </c>
      <c r="N371">
        <f t="shared" ca="1" si="94"/>
        <v>31.908000000000001</v>
      </c>
      <c r="O371">
        <f t="shared" ca="1" si="95"/>
        <v>1.0478620000000001E-3</v>
      </c>
      <c r="P371">
        <f t="shared" ca="1" si="96"/>
        <v>1.0007976999999999</v>
      </c>
      <c r="Q371">
        <f t="shared" ca="1" si="97"/>
        <v>3.0770714280871481</v>
      </c>
      <c r="R371">
        <f t="shared" ca="1" si="98"/>
        <v>16411.047616464788</v>
      </c>
      <c r="S371">
        <f t="shared" ca="1" si="99"/>
        <v>3.9999865510732939</v>
      </c>
      <c r="T371">
        <f t="shared" ca="1" si="100"/>
        <v>-1</v>
      </c>
      <c r="U371">
        <f t="shared" ca="1" si="101"/>
        <v>16414</v>
      </c>
      <c r="V371">
        <f t="shared" ca="1" si="102"/>
        <v>3.0776250000000003</v>
      </c>
      <c r="X371">
        <f t="shared" ca="1" si="103"/>
        <v>3.0741249085604418</v>
      </c>
    </row>
    <row r="372" spans="5:24" x14ac:dyDescent="0.25">
      <c r="E372">
        <v>370</v>
      </c>
      <c r="F372">
        <f t="shared" si="87"/>
        <v>57</v>
      </c>
      <c r="G372">
        <f t="shared" ca="1" si="88"/>
        <v>56.997</v>
      </c>
      <c r="H372" s="5">
        <f t="shared" ca="1" si="89"/>
        <v>3.0000000000001137E-3</v>
      </c>
      <c r="I372" s="5">
        <f t="shared" ca="1" si="90"/>
        <v>5.2631578947370416E-5</v>
      </c>
      <c r="J372" s="10">
        <f t="shared" si="91"/>
        <v>3.083333333333333</v>
      </c>
      <c r="K372" s="12">
        <f t="shared" ca="1" si="92"/>
        <v>3.0830833333333327</v>
      </c>
      <c r="L372" s="5">
        <f t="shared" ca="1" si="93"/>
        <v>8.1081081081180187E-5</v>
      </c>
      <c r="N372">
        <f t="shared" ca="1" si="94"/>
        <v>31.997</v>
      </c>
      <c r="O372">
        <f t="shared" ca="1" si="95"/>
        <v>1.0479955000000001E-3</v>
      </c>
      <c r="P372">
        <f t="shared" ca="1" si="96"/>
        <v>1.0007999249999999</v>
      </c>
      <c r="Q372">
        <f t="shared" ca="1" si="97"/>
        <v>3.0845007349509488</v>
      </c>
      <c r="R372">
        <f t="shared" ca="1" si="98"/>
        <v>16450.67058640506</v>
      </c>
      <c r="S372">
        <f t="shared" ca="1" si="99"/>
        <v>3.9999182859111526</v>
      </c>
      <c r="T372">
        <f t="shared" ca="1" si="100"/>
        <v>1</v>
      </c>
      <c r="U372">
        <f t="shared" ca="1" si="101"/>
        <v>16456</v>
      </c>
      <c r="V372">
        <f t="shared" ca="1" si="102"/>
        <v>3.0855000000000001</v>
      </c>
      <c r="X372">
        <f t="shared" ca="1" si="103"/>
        <v>3.0819866463319334</v>
      </c>
    </row>
    <row r="373" spans="5:24" x14ac:dyDescent="0.25">
      <c r="E373">
        <v>371</v>
      </c>
      <c r="F373">
        <f t="shared" si="87"/>
        <v>57.1</v>
      </c>
      <c r="G373">
        <f t="shared" ca="1" si="88"/>
        <v>57.099000000000004</v>
      </c>
      <c r="H373" s="5">
        <f t="shared" ca="1" si="89"/>
        <v>9.9999999999766942E-4</v>
      </c>
      <c r="I373" s="5">
        <f t="shared" ca="1" si="90"/>
        <v>1.7513134851097536E-5</v>
      </c>
      <c r="J373" s="10">
        <f t="shared" si="91"/>
        <v>3.0916666666666659</v>
      </c>
      <c r="K373" s="12">
        <f t="shared" ca="1" si="92"/>
        <v>3.0915833333333333</v>
      </c>
      <c r="L373" s="5">
        <f t="shared" ca="1" si="93"/>
        <v>2.695417789731979E-5</v>
      </c>
      <c r="N373">
        <f t="shared" ca="1" si="94"/>
        <v>32.099000000000004</v>
      </c>
      <c r="O373">
        <f t="shared" ca="1" si="95"/>
        <v>1.0481485E-3</v>
      </c>
      <c r="P373">
        <f t="shared" ca="1" si="96"/>
        <v>1.000802475</v>
      </c>
      <c r="Q373">
        <f t="shared" ca="1" si="97"/>
        <v>3.0930152620557827</v>
      </c>
      <c r="R373">
        <f t="shared" ca="1" si="98"/>
        <v>16496.081397630842</v>
      </c>
      <c r="S373">
        <f t="shared" ca="1" si="99"/>
        <v>3.9997690633998224</v>
      </c>
      <c r="T373">
        <f t="shared" ca="1" si="100"/>
        <v>0</v>
      </c>
      <c r="U373">
        <f t="shared" ca="1" si="101"/>
        <v>16500</v>
      </c>
      <c r="V373">
        <f t="shared" ca="1" si="102"/>
        <v>3.09375</v>
      </c>
      <c r="X373">
        <f t="shared" ca="1" si="103"/>
        <v>3.0902220255800228</v>
      </c>
    </row>
    <row r="374" spans="5:24" x14ac:dyDescent="0.25">
      <c r="E374">
        <v>372</v>
      </c>
      <c r="F374">
        <f t="shared" si="87"/>
        <v>57.2</v>
      </c>
      <c r="G374">
        <f t="shared" ca="1" si="88"/>
        <v>57.207000000000001</v>
      </c>
      <c r="H374" s="5">
        <f t="shared" ca="1" si="89"/>
        <v>6.9999999999978968E-3</v>
      </c>
      <c r="I374" s="5">
        <f t="shared" ca="1" si="90"/>
        <v>1.223776223775856E-4</v>
      </c>
      <c r="J374" s="10">
        <f t="shared" si="91"/>
        <v>3.0999999999999996</v>
      </c>
      <c r="K374" s="12">
        <f t="shared" ca="1" si="92"/>
        <v>3.1005833333333328</v>
      </c>
      <c r="L374" s="5">
        <f t="shared" ca="1" si="93"/>
        <v>1.8817204301069617E-4</v>
      </c>
      <c r="N374">
        <f t="shared" ca="1" si="94"/>
        <v>32.207000000000001</v>
      </c>
      <c r="O374">
        <f t="shared" ca="1" si="95"/>
        <v>1.0483105E-3</v>
      </c>
      <c r="P374">
        <f t="shared" ca="1" si="96"/>
        <v>1.000805175</v>
      </c>
      <c r="Q374">
        <f t="shared" ca="1" si="97"/>
        <v>3.1020306909453428</v>
      </c>
      <c r="R374">
        <f t="shared" ca="1" si="98"/>
        <v>16544.163685041829</v>
      </c>
      <c r="S374">
        <f t="shared" ca="1" si="99"/>
        <v>3.9995284264451487</v>
      </c>
      <c r="T374">
        <f t="shared" ca="1" si="100"/>
        <v>3</v>
      </c>
      <c r="U374">
        <f t="shared" ca="1" si="101"/>
        <v>16551</v>
      </c>
      <c r="V374">
        <f t="shared" ca="1" si="102"/>
        <v>3.1033124999999999</v>
      </c>
      <c r="X374">
        <f t="shared" ca="1" si="103"/>
        <v>3.0997683335320483</v>
      </c>
    </row>
    <row r="375" spans="5:24" x14ac:dyDescent="0.25">
      <c r="E375">
        <v>373</v>
      </c>
      <c r="F375">
        <f t="shared" si="87"/>
        <v>57.300000000000004</v>
      </c>
      <c r="G375">
        <f t="shared" ca="1" si="88"/>
        <v>57.294000000000004</v>
      </c>
      <c r="H375" s="5">
        <f t="shared" ca="1" si="89"/>
        <v>6.0000000000002274E-3</v>
      </c>
      <c r="I375" s="5">
        <f t="shared" ca="1" si="90"/>
        <v>1.0471204188482071E-4</v>
      </c>
      <c r="J375" s="10">
        <f t="shared" si="91"/>
        <v>3.1083333333333334</v>
      </c>
      <c r="K375" s="12">
        <f t="shared" ca="1" si="92"/>
        <v>3.1078333333333328</v>
      </c>
      <c r="L375" s="5">
        <f t="shared" ca="1" si="93"/>
        <v>1.6085790884738158E-4</v>
      </c>
      <c r="N375">
        <f t="shared" ca="1" si="94"/>
        <v>32.294000000000004</v>
      </c>
      <c r="O375">
        <f t="shared" ca="1" si="95"/>
        <v>1.048441E-3</v>
      </c>
      <c r="P375">
        <f t="shared" ca="1" si="96"/>
        <v>1.0008073500000001</v>
      </c>
      <c r="Q375">
        <f t="shared" ca="1" si="97"/>
        <v>3.1092931551161582</v>
      </c>
      <c r="R375">
        <f t="shared" ca="1" si="98"/>
        <v>16582.896827286178</v>
      </c>
      <c r="S375">
        <f t="shared" ca="1" si="99"/>
        <v>3.9992727689354468</v>
      </c>
      <c r="T375">
        <f t="shared" ca="1" si="100"/>
        <v>2</v>
      </c>
      <c r="U375">
        <f t="shared" ca="1" si="101"/>
        <v>16589</v>
      </c>
      <c r="V375">
        <f t="shared" ca="1" si="102"/>
        <v>3.1104375000000002</v>
      </c>
      <c r="X375">
        <f t="shared" ca="1" si="103"/>
        <v>3.106880718851635</v>
      </c>
    </row>
    <row r="376" spans="5:24" x14ac:dyDescent="0.25">
      <c r="E376">
        <v>374</v>
      </c>
      <c r="F376">
        <f t="shared" si="87"/>
        <v>57.4</v>
      </c>
      <c r="G376">
        <f t="shared" ca="1" si="88"/>
        <v>57.408000000000001</v>
      </c>
      <c r="H376" s="5">
        <f t="shared" ca="1" si="89"/>
        <v>8.0000000000026716E-3</v>
      </c>
      <c r="I376" s="5">
        <f t="shared" ca="1" si="90"/>
        <v>1.3937282229969811E-4</v>
      </c>
      <c r="J376" s="10">
        <f t="shared" si="91"/>
        <v>3.1166666666666663</v>
      </c>
      <c r="K376" s="12">
        <f t="shared" ca="1" si="92"/>
        <v>3.1173333333333328</v>
      </c>
      <c r="L376" s="5">
        <f t="shared" ca="1" si="93"/>
        <v>2.1390374331548448E-4</v>
      </c>
      <c r="N376">
        <f t="shared" ca="1" si="94"/>
        <v>32.408000000000001</v>
      </c>
      <c r="O376">
        <f t="shared" ca="1" si="95"/>
        <v>1.048612E-3</v>
      </c>
      <c r="P376">
        <f t="shared" ca="1" si="96"/>
        <v>1.0008102000000001</v>
      </c>
      <c r="Q376">
        <f t="shared" ca="1" si="97"/>
        <v>3.1188095352145573</v>
      </c>
      <c r="R376">
        <f t="shared" ca="1" si="98"/>
        <v>16633.650854477637</v>
      </c>
      <c r="S376">
        <f t="shared" ca="1" si="99"/>
        <v>3.9988542885551706</v>
      </c>
      <c r="T376">
        <f t="shared" ca="1" si="100"/>
        <v>0</v>
      </c>
      <c r="U376">
        <f t="shared" ca="1" si="101"/>
        <v>16638</v>
      </c>
      <c r="V376">
        <f t="shared" ca="1" si="102"/>
        <v>3.1196250000000001</v>
      </c>
      <c r="X376">
        <f t="shared" ca="1" si="103"/>
        <v>3.1160517628617295</v>
      </c>
    </row>
    <row r="377" spans="5:24" x14ac:dyDescent="0.25">
      <c r="E377">
        <v>375</v>
      </c>
      <c r="F377">
        <f t="shared" si="87"/>
        <v>57.5</v>
      </c>
      <c r="G377">
        <f t="shared" ca="1" si="88"/>
        <v>57.499000000000002</v>
      </c>
      <c r="H377" s="5">
        <f t="shared" ca="1" si="89"/>
        <v>9.9999999999766942E-4</v>
      </c>
      <c r="I377" s="5">
        <f t="shared" ca="1" si="90"/>
        <v>1.7391304347785557E-5</v>
      </c>
      <c r="J377" s="10">
        <f t="shared" si="91"/>
        <v>3.1249999999999991</v>
      </c>
      <c r="K377" s="12">
        <f t="shared" ca="1" si="92"/>
        <v>3.1249166666666666</v>
      </c>
      <c r="L377" s="5">
        <f t="shared" ca="1" si="93"/>
        <v>2.6666666666415047E-5</v>
      </c>
      <c r="N377">
        <f t="shared" ca="1" si="94"/>
        <v>32.499000000000002</v>
      </c>
      <c r="O377">
        <f t="shared" ca="1" si="95"/>
        <v>1.0487485000000001E-3</v>
      </c>
      <c r="P377">
        <f t="shared" ca="1" si="96"/>
        <v>1.000812475</v>
      </c>
      <c r="Q377">
        <f t="shared" ca="1" si="97"/>
        <v>3.1264059827534791</v>
      </c>
      <c r="R377">
        <f t="shared" ca="1" si="98"/>
        <v>16674.16524135189</v>
      </c>
      <c r="S377">
        <f t="shared" ca="1" si="99"/>
        <v>3.9984522791360795</v>
      </c>
      <c r="T377">
        <f t="shared" ca="1" si="100"/>
        <v>-3</v>
      </c>
      <c r="U377">
        <f t="shared" ca="1" si="101"/>
        <v>16675</v>
      </c>
      <c r="V377">
        <f t="shared" ca="1" si="102"/>
        <v>3.1265624999999999</v>
      </c>
      <c r="X377">
        <f t="shared" ca="1" si="103"/>
        <v>3.1229764112402774</v>
      </c>
    </row>
    <row r="378" spans="5:24" x14ac:dyDescent="0.25">
      <c r="E378">
        <v>376</v>
      </c>
      <c r="F378">
        <f t="shared" si="87"/>
        <v>57.6</v>
      </c>
      <c r="G378">
        <f t="shared" ca="1" si="88"/>
        <v>57.606999999999999</v>
      </c>
      <c r="H378" s="5">
        <f t="shared" ca="1" si="89"/>
        <v>6.9999999999978968E-3</v>
      </c>
      <c r="I378" s="5">
        <f t="shared" ca="1" si="90"/>
        <v>1.2152777777774126E-4</v>
      </c>
      <c r="J378" s="10">
        <f t="shared" si="91"/>
        <v>3.1333333333333329</v>
      </c>
      <c r="K378" s="12">
        <f t="shared" ca="1" si="92"/>
        <v>3.133916666666666</v>
      </c>
      <c r="L378" s="5">
        <f t="shared" ca="1" si="93"/>
        <v>1.8617021276590154E-4</v>
      </c>
      <c r="N378">
        <f t="shared" ca="1" si="94"/>
        <v>32.606999999999999</v>
      </c>
      <c r="O378">
        <f t="shared" ca="1" si="95"/>
        <v>1.0489105000000001E-3</v>
      </c>
      <c r="P378">
        <f t="shared" ca="1" si="96"/>
        <v>1.0008151750000001</v>
      </c>
      <c r="Q378">
        <f t="shared" ca="1" si="97"/>
        <v>3.1354215916397989</v>
      </c>
      <c r="R378">
        <f t="shared" ca="1" si="98"/>
        <v>16722.248488745594</v>
      </c>
      <c r="S378">
        <f t="shared" ca="1" si="99"/>
        <v>3.9978968824858407</v>
      </c>
      <c r="T378">
        <f t="shared" ca="1" si="100"/>
        <v>2</v>
      </c>
      <c r="U378">
        <f t="shared" ca="1" si="101"/>
        <v>16728</v>
      </c>
      <c r="V378">
        <f t="shared" ca="1" si="102"/>
        <v>3.1364999999999998</v>
      </c>
      <c r="X378">
        <f t="shared" ca="1" si="103"/>
        <v>3.1328972300005336</v>
      </c>
    </row>
    <row r="379" spans="5:24" x14ac:dyDescent="0.25">
      <c r="E379">
        <v>377</v>
      </c>
      <c r="F379">
        <f t="shared" si="87"/>
        <v>57.7</v>
      </c>
      <c r="G379">
        <f t="shared" ca="1" si="88"/>
        <v>57.707000000000001</v>
      </c>
      <c r="H379" s="5">
        <f t="shared" ca="1" si="89"/>
        <v>6.9999999999978968E-3</v>
      </c>
      <c r="I379" s="5">
        <f t="shared" ca="1" si="90"/>
        <v>1.2131715771226857E-4</v>
      </c>
      <c r="J379" s="10">
        <f t="shared" si="91"/>
        <v>3.1416666666666666</v>
      </c>
      <c r="K379" s="12">
        <f t="shared" ca="1" si="92"/>
        <v>3.1422499999999998</v>
      </c>
      <c r="L379" s="5">
        <f t="shared" ca="1" si="93"/>
        <v>1.8567639257288852E-4</v>
      </c>
      <c r="N379">
        <f t="shared" ca="1" si="94"/>
        <v>32.707000000000001</v>
      </c>
      <c r="O379">
        <f t="shared" ca="1" si="95"/>
        <v>1.0490605000000001E-3</v>
      </c>
      <c r="P379">
        <f t="shared" ca="1" si="96"/>
        <v>1.000817675</v>
      </c>
      <c r="Q379">
        <f t="shared" ca="1" si="97"/>
        <v>3.143769420978205</v>
      </c>
      <c r="R379">
        <f t="shared" ca="1" si="98"/>
        <v>16766.770245217092</v>
      </c>
      <c r="S379">
        <f t="shared" ca="1" si="99"/>
        <v>3.9973068690430957</v>
      </c>
      <c r="T379">
        <f t="shared" ca="1" si="100"/>
        <v>-3</v>
      </c>
      <c r="U379">
        <f t="shared" ca="1" si="101"/>
        <v>16768</v>
      </c>
      <c r="V379">
        <f t="shared" ca="1" si="102"/>
        <v>3.1440000000000001</v>
      </c>
      <c r="X379">
        <f t="shared" ca="1" si="103"/>
        <v>3.1403831267268538</v>
      </c>
    </row>
    <row r="380" spans="5:24" x14ac:dyDescent="0.25">
      <c r="E380">
        <v>378</v>
      </c>
      <c r="F380">
        <f t="shared" si="87"/>
        <v>57.800000000000004</v>
      </c>
      <c r="G380">
        <f t="shared" ca="1" si="88"/>
        <v>57.800000000000004</v>
      </c>
      <c r="H380" s="5">
        <f t="shared" ca="1" si="89"/>
        <v>0</v>
      </c>
      <c r="I380" s="5">
        <f t="shared" ca="1" si="90"/>
        <v>0</v>
      </c>
      <c r="J380" s="10">
        <f t="shared" si="91"/>
        <v>3.1499999999999995</v>
      </c>
      <c r="K380" s="12">
        <f t="shared" ca="1" si="92"/>
        <v>3.1499999999999995</v>
      </c>
      <c r="L380" s="5">
        <f t="shared" ca="1" si="93"/>
        <v>0</v>
      </c>
      <c r="N380">
        <f t="shared" ca="1" si="94"/>
        <v>32.800000000000004</v>
      </c>
      <c r="O380">
        <f t="shared" ca="1" si="95"/>
        <v>1.0492000000000001E-3</v>
      </c>
      <c r="P380">
        <f t="shared" ca="1" si="96"/>
        <v>1.00082</v>
      </c>
      <c r="Q380">
        <f t="shared" ca="1" si="97"/>
        <v>3.1515329396559992</v>
      </c>
      <c r="R380">
        <f t="shared" ca="1" si="98"/>
        <v>16808.175678165328</v>
      </c>
      <c r="S380">
        <f t="shared" ca="1" si="99"/>
        <v>3.9966927917561659</v>
      </c>
      <c r="T380">
        <f t="shared" ca="1" si="100"/>
        <v>2</v>
      </c>
      <c r="U380">
        <f t="shared" ca="1" si="101"/>
        <v>16814</v>
      </c>
      <c r="V380">
        <f t="shared" ca="1" si="102"/>
        <v>3.152625</v>
      </c>
      <c r="X380">
        <f t="shared" ca="1" si="103"/>
        <v>3.1489936252273134</v>
      </c>
    </row>
    <row r="381" spans="5:24" x14ac:dyDescent="0.25">
      <c r="E381">
        <v>379</v>
      </c>
      <c r="F381">
        <f t="shared" si="87"/>
        <v>57.9</v>
      </c>
      <c r="G381">
        <f t="shared" ca="1" si="88"/>
        <v>57.902000000000001</v>
      </c>
      <c r="H381" s="5">
        <f t="shared" ca="1" si="89"/>
        <v>2.0000000000024443E-3</v>
      </c>
      <c r="I381" s="5">
        <f t="shared" ca="1" si="90"/>
        <v>3.4542314335102668E-5</v>
      </c>
      <c r="J381" s="10">
        <f t="shared" si="91"/>
        <v>3.1583333333333323</v>
      </c>
      <c r="K381" s="12">
        <f t="shared" ca="1" si="92"/>
        <v>3.1584999999999992</v>
      </c>
      <c r="L381" s="5">
        <f t="shared" ca="1" si="93"/>
        <v>5.2770448548877177E-5</v>
      </c>
      <c r="N381">
        <f t="shared" ca="1" si="94"/>
        <v>32.902000000000001</v>
      </c>
      <c r="O381">
        <f t="shared" ca="1" si="95"/>
        <v>1.049353E-3</v>
      </c>
      <c r="P381">
        <f t="shared" ca="1" si="96"/>
        <v>1.0008225500000001</v>
      </c>
      <c r="Q381">
        <f t="shared" ca="1" si="97"/>
        <v>3.1600478080296894</v>
      </c>
      <c r="R381">
        <f t="shared" ca="1" si="98"/>
        <v>16853.588309491675</v>
      </c>
      <c r="S381">
        <f t="shared" ca="1" si="99"/>
        <v>3.9959468650248229</v>
      </c>
      <c r="T381">
        <f t="shared" ca="1" si="100"/>
        <v>2</v>
      </c>
      <c r="U381">
        <f t="shared" ca="1" si="101"/>
        <v>16860</v>
      </c>
      <c r="V381">
        <f t="shared" ca="1" si="102"/>
        <v>3.1612499999999999</v>
      </c>
      <c r="X381">
        <f t="shared" ca="1" si="103"/>
        <v>3.1576033603559388</v>
      </c>
    </row>
    <row r="382" spans="5:24" x14ac:dyDescent="0.25">
      <c r="E382">
        <v>380</v>
      </c>
      <c r="F382">
        <f t="shared" si="87"/>
        <v>58</v>
      </c>
      <c r="G382">
        <f t="shared" ca="1" si="88"/>
        <v>57.994999999999997</v>
      </c>
      <c r="H382" s="5">
        <f t="shared" ca="1" si="89"/>
        <v>5.000000000002558E-3</v>
      </c>
      <c r="I382" s="5">
        <f t="shared" ca="1" si="90"/>
        <v>8.6206896551768245E-5</v>
      </c>
      <c r="J382" s="10">
        <f t="shared" si="91"/>
        <v>3.1666666666666661</v>
      </c>
      <c r="K382" s="12">
        <f t="shared" ca="1" si="92"/>
        <v>3.1662499999999989</v>
      </c>
      <c r="L382" s="5">
        <f t="shared" ca="1" si="93"/>
        <v>1.3157894736858189E-4</v>
      </c>
      <c r="N382">
        <f t="shared" ca="1" si="94"/>
        <v>32.994999999999997</v>
      </c>
      <c r="O382">
        <f t="shared" ca="1" si="95"/>
        <v>1.0494924999999999E-3</v>
      </c>
      <c r="P382">
        <f t="shared" ca="1" si="96"/>
        <v>1.0008248749999999</v>
      </c>
      <c r="Q382">
        <f t="shared" ca="1" si="97"/>
        <v>3.1678114022686228</v>
      </c>
      <c r="R382">
        <f t="shared" ca="1" si="98"/>
        <v>16894.994145432654</v>
      </c>
      <c r="S382">
        <f t="shared" ca="1" si="99"/>
        <v>3.9952007336277053</v>
      </c>
      <c r="T382">
        <f t="shared" ca="1" si="100"/>
        <v>0</v>
      </c>
      <c r="U382">
        <f t="shared" ca="1" si="101"/>
        <v>16899</v>
      </c>
      <c r="V382">
        <f t="shared" ca="1" si="102"/>
        <v>3.1685625000000002</v>
      </c>
      <c r="X382">
        <f t="shared" ca="1" si="103"/>
        <v>3.164902358666895</v>
      </c>
    </row>
    <row r="383" spans="5:24" x14ac:dyDescent="0.25">
      <c r="E383">
        <v>381</v>
      </c>
      <c r="F383">
        <f t="shared" si="87"/>
        <v>58.1</v>
      </c>
      <c r="G383">
        <f t="shared" ca="1" si="88"/>
        <v>58.091000000000001</v>
      </c>
      <c r="H383" s="5">
        <f t="shared" ca="1" si="89"/>
        <v>9.0000000000003411E-3</v>
      </c>
      <c r="I383" s="5">
        <f t="shared" ca="1" si="90"/>
        <v>1.5490533562823307E-4</v>
      </c>
      <c r="J383" s="10">
        <f t="shared" si="91"/>
        <v>3.1749999999999998</v>
      </c>
      <c r="K383" s="12">
        <f t="shared" ca="1" si="92"/>
        <v>3.1742499999999998</v>
      </c>
      <c r="L383" s="5">
        <f t="shared" ca="1" si="93"/>
        <v>2.3622047244095386E-4</v>
      </c>
      <c r="N383">
        <f t="shared" ca="1" si="94"/>
        <v>33.091000000000001</v>
      </c>
      <c r="O383">
        <f t="shared" ca="1" si="95"/>
        <v>1.0496365E-3</v>
      </c>
      <c r="P383">
        <f t="shared" ca="1" si="96"/>
        <v>1.000827275</v>
      </c>
      <c r="Q383">
        <f t="shared" ca="1" si="97"/>
        <v>3.1758254728307143</v>
      </c>
      <c r="R383">
        <f t="shared" ca="1" si="98"/>
        <v>16937.735855097144</v>
      </c>
      <c r="S383">
        <f t="shared" ca="1" si="99"/>
        <v>3.9943644908672784</v>
      </c>
      <c r="T383">
        <f t="shared" ca="1" si="100"/>
        <v>-1</v>
      </c>
      <c r="U383">
        <f t="shared" ca="1" si="101"/>
        <v>16941</v>
      </c>
      <c r="V383">
        <f t="shared" ca="1" si="102"/>
        <v>3.1764375</v>
      </c>
      <c r="X383">
        <f t="shared" ca="1" si="103"/>
        <v>3.1727631158932996</v>
      </c>
    </row>
    <row r="384" spans="5:24" x14ac:dyDescent="0.25">
      <c r="E384">
        <v>382</v>
      </c>
      <c r="F384">
        <f t="shared" si="87"/>
        <v>58.2</v>
      </c>
      <c r="G384">
        <f t="shared" ca="1" si="88"/>
        <v>58.203000000000003</v>
      </c>
      <c r="H384" s="5">
        <f t="shared" ca="1" si="89"/>
        <v>3.0000000000001137E-3</v>
      </c>
      <c r="I384" s="5">
        <f t="shared" ca="1" si="90"/>
        <v>5.1546391752579274E-5</v>
      </c>
      <c r="J384" s="10">
        <f t="shared" si="91"/>
        <v>3.1833333333333327</v>
      </c>
      <c r="K384" s="12">
        <f t="shared" ca="1" si="92"/>
        <v>3.183583333333333</v>
      </c>
      <c r="L384" s="5">
        <f t="shared" ca="1" si="93"/>
        <v>7.8534031413708566E-5</v>
      </c>
      <c r="N384">
        <f t="shared" ca="1" si="94"/>
        <v>33.203000000000003</v>
      </c>
      <c r="O384">
        <f t="shared" ca="1" si="95"/>
        <v>1.0498045000000001E-3</v>
      </c>
      <c r="P384">
        <f t="shared" ca="1" si="96"/>
        <v>1.0008300750000001</v>
      </c>
      <c r="Q384">
        <f t="shared" ca="1" si="97"/>
        <v>3.1851752703522798</v>
      </c>
      <c r="R384">
        <f t="shared" ca="1" si="98"/>
        <v>16987.601441878825</v>
      </c>
      <c r="S384">
        <f t="shared" ca="1" si="99"/>
        <v>3.9933040962142603</v>
      </c>
      <c r="T384">
        <f t="shared" ca="1" si="100"/>
        <v>0</v>
      </c>
      <c r="U384">
        <f t="shared" ca="1" si="101"/>
        <v>16992</v>
      </c>
      <c r="V384">
        <f t="shared" ca="1" si="102"/>
        <v>3.1859999999999999</v>
      </c>
      <c r="X384">
        <f t="shared" ca="1" si="103"/>
        <v>3.182308640655108</v>
      </c>
    </row>
    <row r="385" spans="5:24" x14ac:dyDescent="0.25">
      <c r="E385">
        <v>383</v>
      </c>
      <c r="F385">
        <f t="shared" si="87"/>
        <v>58.300000000000004</v>
      </c>
      <c r="G385">
        <f t="shared" ca="1" si="88"/>
        <v>58.303000000000004</v>
      </c>
      <c r="H385" s="5">
        <f t="shared" ca="1" si="89"/>
        <v>3.0000000000001137E-3</v>
      </c>
      <c r="I385" s="5">
        <f t="shared" ca="1" si="90"/>
        <v>5.1457975986279817E-5</v>
      </c>
      <c r="J385" s="10">
        <f t="shared" si="91"/>
        <v>3.1916666666666664</v>
      </c>
      <c r="K385" s="12">
        <f t="shared" ca="1" si="92"/>
        <v>3.1919166666666667</v>
      </c>
      <c r="L385" s="5">
        <f t="shared" ca="1" si="93"/>
        <v>7.8328981723333336E-5</v>
      </c>
      <c r="N385">
        <f t="shared" ca="1" si="94"/>
        <v>33.303000000000004</v>
      </c>
      <c r="O385">
        <f t="shared" ca="1" si="95"/>
        <v>1.0499545E-3</v>
      </c>
      <c r="P385">
        <f t="shared" ca="1" si="96"/>
        <v>1.000832575</v>
      </c>
      <c r="Q385">
        <f t="shared" ca="1" si="97"/>
        <v>3.1935233480195491</v>
      </c>
      <c r="R385">
        <f t="shared" ca="1" si="98"/>
        <v>17032.12452277093</v>
      </c>
      <c r="S385">
        <f t="shared" ca="1" si="99"/>
        <v>3.9922801824770837</v>
      </c>
      <c r="T385">
        <f t="shared" ca="1" si="100"/>
        <v>1</v>
      </c>
      <c r="U385">
        <f t="shared" ca="1" si="101"/>
        <v>17037</v>
      </c>
      <c r="V385">
        <f t="shared" ca="1" si="102"/>
        <v>3.1944375000000003</v>
      </c>
      <c r="X385">
        <f t="shared" ca="1" si="103"/>
        <v>3.1907310226188432</v>
      </c>
    </row>
    <row r="386" spans="5:24" x14ac:dyDescent="0.25">
      <c r="E386">
        <v>384</v>
      </c>
      <c r="F386">
        <f t="shared" si="87"/>
        <v>58.400000000000006</v>
      </c>
      <c r="G386">
        <f t="shared" ca="1" si="88"/>
        <v>58.409000000000006</v>
      </c>
      <c r="H386" s="5">
        <f t="shared" ca="1" si="89"/>
        <v>9.0000000000003411E-3</v>
      </c>
      <c r="I386" s="5">
        <f t="shared" ca="1" si="90"/>
        <v>1.5410958904110171E-4</v>
      </c>
      <c r="J386" s="10">
        <f t="shared" si="91"/>
        <v>3.2</v>
      </c>
      <c r="K386" s="12">
        <f t="shared" ca="1" si="92"/>
        <v>3.2007500000000002</v>
      </c>
      <c r="L386" s="5">
        <f t="shared" ca="1" si="93"/>
        <v>2.3437500000000888E-4</v>
      </c>
      <c r="N386">
        <f t="shared" ca="1" si="94"/>
        <v>33.409000000000006</v>
      </c>
      <c r="O386">
        <f t="shared" ca="1" si="95"/>
        <v>1.0501135E-3</v>
      </c>
      <c r="P386">
        <f t="shared" ca="1" si="96"/>
        <v>1.0008352250000001</v>
      </c>
      <c r="Q386">
        <f t="shared" ca="1" si="97"/>
        <v>3.2023723558377029</v>
      </c>
      <c r="R386">
        <f t="shared" ca="1" si="98"/>
        <v>17079.319231134414</v>
      </c>
      <c r="S386">
        <f t="shared" ca="1" si="99"/>
        <v>3.991115407442523</v>
      </c>
      <c r="T386">
        <f t="shared" ca="1" si="100"/>
        <v>-2</v>
      </c>
      <c r="U386">
        <f t="shared" ca="1" si="101"/>
        <v>17081</v>
      </c>
      <c r="V386">
        <f t="shared" ca="1" si="102"/>
        <v>3.2026875000000001</v>
      </c>
      <c r="X386">
        <f t="shared" ca="1" si="103"/>
        <v>3.1989655305147759</v>
      </c>
    </row>
    <row r="387" spans="5:24" x14ac:dyDescent="0.25">
      <c r="E387">
        <v>385</v>
      </c>
      <c r="F387">
        <f t="shared" ref="F387:F450" si="104">0.1*E387+20</f>
        <v>58.5</v>
      </c>
      <c r="G387">
        <f t="shared" ref="G387:G450" ca="1" si="105">F387+(RANDBETWEEN(-10,10)/100)*0.1</f>
        <v>58.491999999999997</v>
      </c>
      <c r="H387" s="5">
        <f t="shared" ref="H387:H450" ca="1" si="106">ABS(F387-G387)</f>
        <v>8.0000000000026716E-3</v>
      </c>
      <c r="I387" s="5">
        <f t="shared" ref="I387:I450" ca="1" si="107">ABS(F387-G387)/F387</f>
        <v>1.3675213675218241E-4</v>
      </c>
      <c r="J387" s="10">
        <f t="shared" ref="J387:J450" si="108">1/12*F387-5/3</f>
        <v>3.208333333333333</v>
      </c>
      <c r="K387" s="12">
        <f t="shared" ref="K387:K450" ca="1" si="109">(1/12*G387-5/3) + J387*RANDBETWEEN($B$2,$C$2)</f>
        <v>3.2076666666666656</v>
      </c>
      <c r="L387" s="5">
        <f t="shared" ref="L387:L450" ca="1" si="110">IF(J387=0, ABS(J387-K387), ABS(J387-K387)/J387)</f>
        <v>2.0779220779246175E-4</v>
      </c>
      <c r="N387">
        <f t="shared" ref="N387:N450" ca="1" si="111">G387-$B$29</f>
        <v>33.491999999999997</v>
      </c>
      <c r="O387">
        <f t="shared" ref="O387:O450" ca="1" si="112">0.001 + 0.0000015*N387</f>
        <v>1.050238E-3</v>
      </c>
      <c r="P387">
        <f t="shared" ref="P387:P450" ca="1" si="113">1 + 0.000025*N387</f>
        <v>1.0008372999999999</v>
      </c>
      <c r="Q387">
        <f t="shared" ref="Q387:Q450" ca="1" si="114">(K387-O387)*P387</f>
        <v>3.2093013286023879</v>
      </c>
      <c r="R387">
        <f t="shared" ref="R387:R450" ca="1" si="115">Q387*32768/6.144</f>
        <v>17116.273752546069</v>
      </c>
      <c r="S387">
        <f t="shared" ref="S387:S450" ca="1" si="116">4*SIN(PI()*R387/32768)</f>
        <v>3.9901463208343313</v>
      </c>
      <c r="T387">
        <f t="shared" ref="T387:T450" ca="1" si="117">RANDBETWEEN(-1*$B$15,1*$B$15)</f>
        <v>2</v>
      </c>
      <c r="U387">
        <f t="shared" ref="U387:U450" ca="1" si="118">ROUND(R387+S387+T387,0)</f>
        <v>17122</v>
      </c>
      <c r="V387">
        <f t="shared" ref="V387:V450" ca="1" si="119">U387*6.144/32768</f>
        <v>3.210375</v>
      </c>
      <c r="X387">
        <f t="shared" ref="X387:X450" ca="1" si="120">(U387*6.144/32768 -O387)/P387</f>
        <v>3.2066398424599085</v>
      </c>
    </row>
    <row r="388" spans="5:24" x14ac:dyDescent="0.25">
      <c r="E388">
        <v>386</v>
      </c>
      <c r="F388">
        <f t="shared" si="104"/>
        <v>58.6</v>
      </c>
      <c r="G388">
        <f t="shared" ca="1" si="105"/>
        <v>58.596000000000004</v>
      </c>
      <c r="H388" s="5">
        <f t="shared" ca="1" si="106"/>
        <v>3.9999999999977831E-3</v>
      </c>
      <c r="I388" s="5">
        <f t="shared" ca="1" si="107"/>
        <v>6.8259385665491172E-5</v>
      </c>
      <c r="J388" s="10">
        <f t="shared" si="108"/>
        <v>3.2166666666666659</v>
      </c>
      <c r="K388" s="12">
        <f t="shared" ca="1" si="109"/>
        <v>3.216333333333333</v>
      </c>
      <c r="L388" s="5">
        <f t="shared" ca="1" si="110"/>
        <v>1.036269430050319E-4</v>
      </c>
      <c r="N388">
        <f t="shared" ca="1" si="111"/>
        <v>33.596000000000004</v>
      </c>
      <c r="O388">
        <f t="shared" ca="1" si="112"/>
        <v>1.0503940000000001E-3</v>
      </c>
      <c r="P388">
        <f t="shared" ca="1" si="113"/>
        <v>1.0008398999999999</v>
      </c>
      <c r="Q388">
        <f t="shared" ca="1" si="114"/>
        <v>3.2179834554740787</v>
      </c>
      <c r="R388">
        <f t="shared" ca="1" si="115"/>
        <v>17162.578429195088</v>
      </c>
      <c r="S388">
        <f t="shared" ca="1" si="116"/>
        <v>3.9888613401463604</v>
      </c>
      <c r="T388">
        <f t="shared" ca="1" si="117"/>
        <v>0</v>
      </c>
      <c r="U388">
        <f t="shared" ca="1" si="118"/>
        <v>17167</v>
      </c>
      <c r="V388">
        <f t="shared" ca="1" si="119"/>
        <v>3.2188124999999999</v>
      </c>
      <c r="X388">
        <f t="shared" ca="1" si="120"/>
        <v>3.2150617756146613</v>
      </c>
    </row>
    <row r="389" spans="5:24" x14ac:dyDescent="0.25">
      <c r="E389">
        <v>387</v>
      </c>
      <c r="F389">
        <f t="shared" si="104"/>
        <v>58.7</v>
      </c>
      <c r="G389">
        <f t="shared" ca="1" si="105"/>
        <v>58.694000000000003</v>
      </c>
      <c r="H389" s="5">
        <f t="shared" ca="1" si="106"/>
        <v>6.0000000000002274E-3</v>
      </c>
      <c r="I389" s="5">
        <f t="shared" ca="1" si="107"/>
        <v>1.0221465076661375E-4</v>
      </c>
      <c r="J389" s="10">
        <f t="shared" si="108"/>
        <v>3.2249999999999996</v>
      </c>
      <c r="K389" s="12">
        <f t="shared" ca="1" si="109"/>
        <v>3.2244999999999999</v>
      </c>
      <c r="L389" s="5">
        <f t="shared" ca="1" si="110"/>
        <v>1.5503875968983657E-4</v>
      </c>
      <c r="N389">
        <f t="shared" ca="1" si="111"/>
        <v>33.694000000000003</v>
      </c>
      <c r="O389">
        <f t="shared" ca="1" si="112"/>
        <v>1.0505410000000001E-3</v>
      </c>
      <c r="P389">
        <f t="shared" ca="1" si="113"/>
        <v>1.0008423500000001</v>
      </c>
      <c r="Q389">
        <f t="shared" ca="1" si="114"/>
        <v>3.2261647316517887</v>
      </c>
      <c r="R389">
        <f t="shared" ca="1" si="115"/>
        <v>17206.211902142873</v>
      </c>
      <c r="S389">
        <f t="shared" ca="1" si="116"/>
        <v>3.9875785445013419</v>
      </c>
      <c r="T389">
        <f t="shared" ca="1" si="117"/>
        <v>2</v>
      </c>
      <c r="U389">
        <f t="shared" ca="1" si="118"/>
        <v>17212</v>
      </c>
      <c r="V389">
        <f t="shared" ca="1" si="119"/>
        <v>3.2272500000000002</v>
      </c>
      <c r="X389">
        <f t="shared" ca="1" si="120"/>
        <v>3.2234841571202493</v>
      </c>
    </row>
    <row r="390" spans="5:24" x14ac:dyDescent="0.25">
      <c r="E390">
        <v>388</v>
      </c>
      <c r="F390">
        <f t="shared" si="104"/>
        <v>58.800000000000004</v>
      </c>
      <c r="G390">
        <f t="shared" ca="1" si="105"/>
        <v>58.795000000000002</v>
      </c>
      <c r="H390" s="5">
        <f t="shared" ca="1" si="106"/>
        <v>5.000000000002558E-3</v>
      </c>
      <c r="I390" s="5">
        <f t="shared" ca="1" si="107"/>
        <v>8.5034013605485675E-5</v>
      </c>
      <c r="J390" s="10">
        <f t="shared" si="108"/>
        <v>3.2333333333333334</v>
      </c>
      <c r="K390" s="12">
        <f t="shared" ca="1" si="109"/>
        <v>3.2329166666666662</v>
      </c>
      <c r="L390" s="5">
        <f t="shared" ca="1" si="110"/>
        <v>1.2886597938160078E-4</v>
      </c>
      <c r="N390">
        <f t="shared" ca="1" si="111"/>
        <v>33.795000000000002</v>
      </c>
      <c r="O390">
        <f t="shared" ca="1" si="112"/>
        <v>1.0506924999999999E-3</v>
      </c>
      <c r="P390">
        <f t="shared" ca="1" si="113"/>
        <v>1.0008448750000001</v>
      </c>
      <c r="Q390">
        <f t="shared" ca="1" si="114"/>
        <v>3.2345964969315908</v>
      </c>
      <c r="R390">
        <f t="shared" ca="1" si="115"/>
        <v>17251.181316968483</v>
      </c>
      <c r="S390">
        <f t="shared" ca="1" si="116"/>
        <v>3.9861834529865705</v>
      </c>
      <c r="T390">
        <f t="shared" ca="1" si="117"/>
        <v>1</v>
      </c>
      <c r="U390">
        <f t="shared" ca="1" si="118"/>
        <v>17256</v>
      </c>
      <c r="V390">
        <f t="shared" ca="1" si="119"/>
        <v>3.2355</v>
      </c>
      <c r="X390">
        <f t="shared" ca="1" si="120"/>
        <v>3.2317189089867697</v>
      </c>
    </row>
    <row r="391" spans="5:24" x14ac:dyDescent="0.25">
      <c r="E391">
        <v>389</v>
      </c>
      <c r="F391">
        <f t="shared" si="104"/>
        <v>58.900000000000006</v>
      </c>
      <c r="G391">
        <f t="shared" ca="1" si="105"/>
        <v>58.906000000000006</v>
      </c>
      <c r="H391" s="5">
        <f t="shared" ca="1" si="106"/>
        <v>6.0000000000002274E-3</v>
      </c>
      <c r="I391" s="5">
        <f t="shared" ca="1" si="107"/>
        <v>1.018675721562008E-4</v>
      </c>
      <c r="J391" s="10">
        <f t="shared" si="108"/>
        <v>3.2416666666666663</v>
      </c>
      <c r="K391" s="12">
        <f t="shared" ca="1" si="109"/>
        <v>3.2421666666666669</v>
      </c>
      <c r="L391" s="5">
        <f t="shared" ca="1" si="110"/>
        <v>1.5424164524440446E-4</v>
      </c>
      <c r="N391">
        <f t="shared" ca="1" si="111"/>
        <v>33.906000000000006</v>
      </c>
      <c r="O391">
        <f t="shared" ca="1" si="112"/>
        <v>1.0508590000000001E-3</v>
      </c>
      <c r="P391">
        <f t="shared" ca="1" si="113"/>
        <v>1.0008476500000001</v>
      </c>
      <c r="Q391">
        <f t="shared" ca="1" si="114"/>
        <v>3.2438631394810362</v>
      </c>
      <c r="R391">
        <f t="shared" ca="1" si="115"/>
        <v>17300.603410565527</v>
      </c>
      <c r="S391">
        <f t="shared" ca="1" si="116"/>
        <v>3.9845647630391796</v>
      </c>
      <c r="T391">
        <f t="shared" ca="1" si="117"/>
        <v>-1</v>
      </c>
      <c r="U391">
        <f t="shared" ca="1" si="118"/>
        <v>17304</v>
      </c>
      <c r="V391">
        <f t="shared" ca="1" si="119"/>
        <v>3.2444999999999999</v>
      </c>
      <c r="X391">
        <f t="shared" ca="1" si="120"/>
        <v>3.2407021598142332</v>
      </c>
    </row>
    <row r="392" spans="5:24" x14ac:dyDescent="0.25">
      <c r="E392">
        <v>390</v>
      </c>
      <c r="F392">
        <f t="shared" si="104"/>
        <v>59</v>
      </c>
      <c r="G392">
        <f t="shared" ca="1" si="105"/>
        <v>59.002000000000002</v>
      </c>
      <c r="H392" s="5">
        <f t="shared" ca="1" si="106"/>
        <v>2.0000000000024443E-3</v>
      </c>
      <c r="I392" s="5">
        <f t="shared" ca="1" si="107"/>
        <v>3.3898305084787192E-5</v>
      </c>
      <c r="J392" s="10">
        <f t="shared" si="108"/>
        <v>3.2499999999999991</v>
      </c>
      <c r="K392" s="12">
        <f t="shared" ca="1" si="109"/>
        <v>3.250166666666666</v>
      </c>
      <c r="L392" s="5">
        <f t="shared" ca="1" si="110"/>
        <v>5.1282051282113967E-5</v>
      </c>
      <c r="N392">
        <f t="shared" ca="1" si="111"/>
        <v>34.002000000000002</v>
      </c>
      <c r="O392">
        <f t="shared" ca="1" si="112"/>
        <v>1.051003E-3</v>
      </c>
      <c r="P392">
        <f t="shared" ca="1" si="113"/>
        <v>1.0008500499999999</v>
      </c>
      <c r="Q392">
        <f t="shared" ca="1" si="114"/>
        <v>3.2518775744365653</v>
      </c>
      <c r="R392">
        <f t="shared" ca="1" si="115"/>
        <v>17343.34706366168</v>
      </c>
      <c r="S392">
        <f t="shared" ca="1" si="116"/>
        <v>3.9830926638806683</v>
      </c>
      <c r="T392">
        <f t="shared" ca="1" si="117"/>
        <v>-3</v>
      </c>
      <c r="U392">
        <f t="shared" ca="1" si="118"/>
        <v>17344</v>
      </c>
      <c r="V392">
        <f t="shared" ca="1" si="119"/>
        <v>3.2520000000000002</v>
      </c>
      <c r="X392">
        <f t="shared" ca="1" si="120"/>
        <v>3.2481878748969439</v>
      </c>
    </row>
    <row r="393" spans="5:24" x14ac:dyDescent="0.25">
      <c r="E393">
        <v>391</v>
      </c>
      <c r="F393">
        <f t="shared" si="104"/>
        <v>59.1</v>
      </c>
      <c r="G393">
        <f t="shared" ca="1" si="105"/>
        <v>59.106000000000002</v>
      </c>
      <c r="H393" s="5">
        <f t="shared" ca="1" si="106"/>
        <v>6.0000000000002274E-3</v>
      </c>
      <c r="I393" s="5">
        <f t="shared" ca="1" si="107"/>
        <v>1.0152284263959775E-4</v>
      </c>
      <c r="J393" s="10">
        <f t="shared" si="108"/>
        <v>3.2583333333333329</v>
      </c>
      <c r="K393" s="12">
        <f t="shared" ca="1" si="109"/>
        <v>3.2588333333333326</v>
      </c>
      <c r="L393" s="5">
        <f t="shared" ca="1" si="110"/>
        <v>1.5345268542190987E-4</v>
      </c>
      <c r="N393">
        <f t="shared" ca="1" si="111"/>
        <v>34.106000000000002</v>
      </c>
      <c r="O393">
        <f t="shared" ca="1" si="112"/>
        <v>1.0511590000000001E-3</v>
      </c>
      <c r="P393">
        <f t="shared" ca="1" si="113"/>
        <v>1.0008526499999999</v>
      </c>
      <c r="Q393">
        <f t="shared" ca="1" si="114"/>
        <v>3.2605599223042772</v>
      </c>
      <c r="R393">
        <f t="shared" ca="1" si="115"/>
        <v>17389.652918956144</v>
      </c>
      <c r="S393">
        <f t="shared" ca="1" si="116"/>
        <v>3.9814223982504808</v>
      </c>
      <c r="T393">
        <f t="shared" ca="1" si="117"/>
        <v>1</v>
      </c>
      <c r="U393">
        <f t="shared" ca="1" si="118"/>
        <v>17395</v>
      </c>
      <c r="V393">
        <f t="shared" ca="1" si="119"/>
        <v>3.2615625000000001</v>
      </c>
      <c r="X393">
        <f t="shared" ca="1" si="120"/>
        <v>3.2577336344166148</v>
      </c>
    </row>
    <row r="394" spans="5:24" x14ac:dyDescent="0.25">
      <c r="E394">
        <v>392</v>
      </c>
      <c r="F394">
        <f t="shared" si="104"/>
        <v>59.2</v>
      </c>
      <c r="G394">
        <f t="shared" ca="1" si="105"/>
        <v>59.201000000000001</v>
      </c>
      <c r="H394" s="5">
        <f t="shared" ca="1" si="106"/>
        <v>9.9999999999766942E-4</v>
      </c>
      <c r="I394" s="5">
        <f t="shared" ca="1" si="107"/>
        <v>1.6891891891852522E-5</v>
      </c>
      <c r="J394" s="10">
        <f t="shared" si="108"/>
        <v>3.2666666666666666</v>
      </c>
      <c r="K394" s="12">
        <f t="shared" ca="1" si="109"/>
        <v>3.2667499999999992</v>
      </c>
      <c r="L394" s="5">
        <f t="shared" ca="1" si="110"/>
        <v>2.5510204081391937E-5</v>
      </c>
      <c r="N394">
        <f t="shared" ca="1" si="111"/>
        <v>34.201000000000001</v>
      </c>
      <c r="O394">
        <f t="shared" ca="1" si="112"/>
        <v>1.0513015000000001E-3</v>
      </c>
      <c r="P394">
        <f t="shared" ca="1" si="113"/>
        <v>1.0008550249999999</v>
      </c>
      <c r="Q394">
        <f t="shared" ca="1" si="114"/>
        <v>3.2684909525296839</v>
      </c>
      <c r="R394">
        <f t="shared" ca="1" si="115"/>
        <v>17431.95174682498</v>
      </c>
      <c r="S394">
        <f t="shared" ca="1" si="116"/>
        <v>3.9798280872007035</v>
      </c>
      <c r="T394">
        <f t="shared" ca="1" si="117"/>
        <v>0</v>
      </c>
      <c r="U394">
        <f t="shared" ca="1" si="118"/>
        <v>17436</v>
      </c>
      <c r="V394">
        <f t="shared" ca="1" si="119"/>
        <v>3.26925</v>
      </c>
      <c r="X394">
        <f t="shared" ca="1" si="120"/>
        <v>3.2654066941413422</v>
      </c>
    </row>
    <row r="395" spans="5:24" x14ac:dyDescent="0.25">
      <c r="E395">
        <v>393</v>
      </c>
      <c r="F395">
        <f t="shared" si="104"/>
        <v>59.300000000000004</v>
      </c>
      <c r="G395">
        <f t="shared" ca="1" si="105"/>
        <v>59.304000000000002</v>
      </c>
      <c r="H395" s="5">
        <f t="shared" ca="1" si="106"/>
        <v>3.9999999999977831E-3</v>
      </c>
      <c r="I395" s="5">
        <f t="shared" ca="1" si="107"/>
        <v>6.7453625632340347E-5</v>
      </c>
      <c r="J395" s="10">
        <f t="shared" si="108"/>
        <v>3.2749999999999995</v>
      </c>
      <c r="K395" s="12">
        <f t="shared" ca="1" si="109"/>
        <v>3.2753333333333332</v>
      </c>
      <c r="L395" s="5">
        <f t="shared" ca="1" si="110"/>
        <v>1.0178117048358497E-4</v>
      </c>
      <c r="N395">
        <f t="shared" ca="1" si="111"/>
        <v>34.304000000000002</v>
      </c>
      <c r="O395">
        <f t="shared" ca="1" si="112"/>
        <v>1.0514560000000001E-3</v>
      </c>
      <c r="P395">
        <f t="shared" ca="1" si="113"/>
        <v>1.0008576</v>
      </c>
      <c r="Q395">
        <f t="shared" ca="1" si="114"/>
        <v>3.2770899014713346</v>
      </c>
      <c r="R395">
        <f t="shared" ca="1" si="115"/>
        <v>17477.812807847116</v>
      </c>
      <c r="S395">
        <f t="shared" ca="1" si="116"/>
        <v>3.9780255588988505</v>
      </c>
      <c r="T395">
        <f t="shared" ca="1" si="117"/>
        <v>-3</v>
      </c>
      <c r="U395">
        <f t="shared" ca="1" si="118"/>
        <v>17479</v>
      </c>
      <c r="V395">
        <f t="shared" ca="1" si="119"/>
        <v>3.2773124999999999</v>
      </c>
      <c r="X395">
        <f t="shared" ca="1" si="120"/>
        <v>3.2734537300810822</v>
      </c>
    </row>
    <row r="396" spans="5:24" x14ac:dyDescent="0.25">
      <c r="E396">
        <v>394</v>
      </c>
      <c r="F396">
        <f t="shared" si="104"/>
        <v>59.400000000000006</v>
      </c>
      <c r="G396">
        <f t="shared" ca="1" si="105"/>
        <v>59.393000000000008</v>
      </c>
      <c r="H396" s="5">
        <f t="shared" ca="1" si="106"/>
        <v>6.9999999999978968E-3</v>
      </c>
      <c r="I396" s="5">
        <f t="shared" ca="1" si="107"/>
        <v>1.1784511784508243E-4</v>
      </c>
      <c r="J396" s="10">
        <f t="shared" si="108"/>
        <v>3.2833333333333332</v>
      </c>
      <c r="K396" s="12">
        <f t="shared" ca="1" si="109"/>
        <v>3.2827500000000001</v>
      </c>
      <c r="L396" s="5">
        <f t="shared" ca="1" si="110"/>
        <v>1.7766497461923597E-4</v>
      </c>
      <c r="N396">
        <f t="shared" ca="1" si="111"/>
        <v>34.393000000000008</v>
      </c>
      <c r="O396">
        <f t="shared" ca="1" si="112"/>
        <v>1.0515895000000001E-3</v>
      </c>
      <c r="P396">
        <f t="shared" ca="1" si="113"/>
        <v>1.000859825</v>
      </c>
      <c r="Q396">
        <f t="shared" ca="1" si="114"/>
        <v>3.2845200968358084</v>
      </c>
      <c r="R396">
        <f t="shared" ca="1" si="115"/>
        <v>17517.440516457646</v>
      </c>
      <c r="S396">
        <f t="shared" ca="1" si="116"/>
        <v>3.9764060894396538</v>
      </c>
      <c r="T396">
        <f t="shared" ca="1" si="117"/>
        <v>-1</v>
      </c>
      <c r="U396">
        <f t="shared" ca="1" si="118"/>
        <v>17520</v>
      </c>
      <c r="V396">
        <f t="shared" ca="1" si="119"/>
        <v>3.2850000000000001</v>
      </c>
      <c r="X396">
        <f t="shared" ca="1" si="120"/>
        <v>3.2811272152921118</v>
      </c>
    </row>
    <row r="397" spans="5:24" x14ac:dyDescent="0.25">
      <c r="E397">
        <v>395</v>
      </c>
      <c r="F397">
        <f t="shared" si="104"/>
        <v>59.5</v>
      </c>
      <c r="G397">
        <f t="shared" ca="1" si="105"/>
        <v>59.503</v>
      </c>
      <c r="H397" s="5">
        <f t="shared" ca="1" si="106"/>
        <v>3.0000000000001137E-3</v>
      </c>
      <c r="I397" s="5">
        <f t="shared" ca="1" si="107"/>
        <v>5.0420168067228803E-5</v>
      </c>
      <c r="J397" s="10">
        <f t="shared" si="108"/>
        <v>3.2916666666666661</v>
      </c>
      <c r="K397" s="12">
        <f t="shared" ca="1" si="109"/>
        <v>3.2919166666666664</v>
      </c>
      <c r="L397" s="5">
        <f t="shared" ca="1" si="110"/>
        <v>7.5949367088700434E-5</v>
      </c>
      <c r="N397">
        <f t="shared" ca="1" si="111"/>
        <v>34.503</v>
      </c>
      <c r="O397">
        <f t="shared" ca="1" si="112"/>
        <v>1.0517545E-3</v>
      </c>
      <c r="P397">
        <f t="shared" ca="1" si="113"/>
        <v>1.000862575</v>
      </c>
      <c r="Q397">
        <f t="shared" ca="1" si="114"/>
        <v>3.2937035299682784</v>
      </c>
      <c r="R397">
        <f t="shared" ca="1" si="115"/>
        <v>17566.418826497484</v>
      </c>
      <c r="S397">
        <f t="shared" ca="1" si="116"/>
        <v>3.9743251808010571</v>
      </c>
      <c r="T397">
        <f t="shared" ca="1" si="117"/>
        <v>-2</v>
      </c>
      <c r="U397">
        <f t="shared" ca="1" si="118"/>
        <v>17568</v>
      </c>
      <c r="V397">
        <f t="shared" ca="1" si="119"/>
        <v>3.294</v>
      </c>
      <c r="X397">
        <f t="shared" ca="1" si="120"/>
        <v>3.2901102786264138</v>
      </c>
    </row>
    <row r="398" spans="5:24" x14ac:dyDescent="0.25">
      <c r="E398">
        <v>396</v>
      </c>
      <c r="F398">
        <f t="shared" si="104"/>
        <v>59.6</v>
      </c>
      <c r="G398">
        <f t="shared" ca="1" si="105"/>
        <v>59.606999999999999</v>
      </c>
      <c r="H398" s="5">
        <f t="shared" ca="1" si="106"/>
        <v>6.9999999999978968E-3</v>
      </c>
      <c r="I398" s="5">
        <f t="shared" ca="1" si="107"/>
        <v>1.1744966442949491E-4</v>
      </c>
      <c r="J398" s="10">
        <f t="shared" si="108"/>
        <v>3.3</v>
      </c>
      <c r="K398" s="12">
        <f t="shared" ca="1" si="109"/>
        <v>3.300583333333333</v>
      </c>
      <c r="L398" s="5">
        <f t="shared" ca="1" si="110"/>
        <v>1.7676767676762367E-4</v>
      </c>
      <c r="N398">
        <f t="shared" ca="1" si="111"/>
        <v>34.606999999999999</v>
      </c>
      <c r="O398">
        <f t="shared" ca="1" si="112"/>
        <v>1.0519105E-3</v>
      </c>
      <c r="P398">
        <f t="shared" ca="1" si="113"/>
        <v>1.0008651749999999</v>
      </c>
      <c r="Q398">
        <f t="shared" ca="1" si="114"/>
        <v>3.3023860949320825</v>
      </c>
      <c r="R398">
        <f t="shared" ca="1" si="115"/>
        <v>17612.725839637773</v>
      </c>
      <c r="S398">
        <f t="shared" ca="1" si="116"/>
        <v>3.9722771704996593</v>
      </c>
      <c r="T398">
        <f t="shared" ca="1" si="117"/>
        <v>3</v>
      </c>
      <c r="U398">
        <f t="shared" ca="1" si="118"/>
        <v>17620</v>
      </c>
      <c r="V398">
        <f t="shared" ca="1" si="119"/>
        <v>3.30375</v>
      </c>
      <c r="X398">
        <f t="shared" ca="1" si="120"/>
        <v>3.2998431477046846</v>
      </c>
    </row>
    <row r="399" spans="5:24" x14ac:dyDescent="0.25">
      <c r="E399">
        <v>397</v>
      </c>
      <c r="F399">
        <f t="shared" si="104"/>
        <v>59.7</v>
      </c>
      <c r="G399">
        <f t="shared" ca="1" si="105"/>
        <v>59.692</v>
      </c>
      <c r="H399" s="5">
        <f t="shared" ca="1" si="106"/>
        <v>8.0000000000026716E-3</v>
      </c>
      <c r="I399" s="5">
        <f t="shared" ca="1" si="107"/>
        <v>1.3400335008379683E-4</v>
      </c>
      <c r="J399" s="10">
        <f t="shared" si="108"/>
        <v>3.3083333333333327</v>
      </c>
      <c r="K399" s="12">
        <f t="shared" ca="1" si="109"/>
        <v>3.3076666666666661</v>
      </c>
      <c r="L399" s="5">
        <f t="shared" ca="1" si="110"/>
        <v>2.0151133501257229E-4</v>
      </c>
      <c r="N399">
        <f t="shared" ca="1" si="111"/>
        <v>34.692</v>
      </c>
      <c r="O399">
        <f t="shared" ca="1" si="112"/>
        <v>1.0520379999999999E-3</v>
      </c>
      <c r="P399">
        <f t="shared" ca="1" si="113"/>
        <v>1.0008672999999999</v>
      </c>
      <c r="Q399">
        <f t="shared" ca="1" si="114"/>
        <v>3.3094824555341082</v>
      </c>
      <c r="R399">
        <f t="shared" ca="1" si="115"/>
        <v>17650.57309618191</v>
      </c>
      <c r="S399">
        <f t="shared" ca="1" si="116"/>
        <v>3.970545160234134</v>
      </c>
      <c r="T399">
        <f t="shared" ca="1" si="117"/>
        <v>2</v>
      </c>
      <c r="U399">
        <f t="shared" ca="1" si="118"/>
        <v>17657</v>
      </c>
      <c r="V399">
        <f t="shared" ca="1" si="119"/>
        <v>3.3106875000000002</v>
      </c>
      <c r="X399">
        <f t="shared" ca="1" si="120"/>
        <v>3.3067675025450431</v>
      </c>
    </row>
    <row r="400" spans="5:24" x14ac:dyDescent="0.25">
      <c r="E400">
        <v>398</v>
      </c>
      <c r="F400">
        <f t="shared" si="104"/>
        <v>59.800000000000004</v>
      </c>
      <c r="G400">
        <f t="shared" ca="1" si="105"/>
        <v>59.804000000000002</v>
      </c>
      <c r="H400" s="5">
        <f t="shared" ca="1" si="106"/>
        <v>3.9999999999977831E-3</v>
      </c>
      <c r="I400" s="5">
        <f t="shared" ca="1" si="107"/>
        <v>6.6889632106986331E-5</v>
      </c>
      <c r="J400" s="10">
        <f t="shared" si="108"/>
        <v>3.3166666666666664</v>
      </c>
      <c r="K400" s="12">
        <f t="shared" ca="1" si="109"/>
        <v>3.3169999999999993</v>
      </c>
      <c r="L400" s="5">
        <f t="shared" ca="1" si="110"/>
        <v>1.0050251256266911E-4</v>
      </c>
      <c r="N400">
        <f t="shared" ca="1" si="111"/>
        <v>34.804000000000002</v>
      </c>
      <c r="O400">
        <f t="shared" ca="1" si="112"/>
        <v>1.052206E-3</v>
      </c>
      <c r="P400">
        <f t="shared" ca="1" si="113"/>
        <v>1.0008701</v>
      </c>
      <c r="Q400">
        <f t="shared" ca="1" si="114"/>
        <v>3.3188330001755588</v>
      </c>
      <c r="R400">
        <f t="shared" ca="1" si="115"/>
        <v>17700.44266760298</v>
      </c>
      <c r="S400">
        <f t="shared" ca="1" si="116"/>
        <v>3.9681831497148283</v>
      </c>
      <c r="T400">
        <f t="shared" ca="1" si="117"/>
        <v>2</v>
      </c>
      <c r="U400">
        <f t="shared" ca="1" si="118"/>
        <v>17706</v>
      </c>
      <c r="V400">
        <f t="shared" ca="1" si="119"/>
        <v>3.3198750000000001</v>
      </c>
      <c r="X400">
        <f t="shared" ca="1" si="120"/>
        <v>3.3159375966971139</v>
      </c>
    </row>
    <row r="401" spans="5:24" x14ac:dyDescent="0.25">
      <c r="E401">
        <v>399</v>
      </c>
      <c r="F401">
        <f t="shared" si="104"/>
        <v>59.900000000000006</v>
      </c>
      <c r="G401">
        <f t="shared" ca="1" si="105"/>
        <v>59.892000000000003</v>
      </c>
      <c r="H401" s="5">
        <f t="shared" ca="1" si="106"/>
        <v>8.0000000000026716E-3</v>
      </c>
      <c r="I401" s="5">
        <f t="shared" ca="1" si="107"/>
        <v>1.33555926544285E-4</v>
      </c>
      <c r="J401" s="10">
        <f t="shared" si="108"/>
        <v>3.3250000000000002</v>
      </c>
      <c r="K401" s="12">
        <f t="shared" ca="1" si="109"/>
        <v>3.3243333333333327</v>
      </c>
      <c r="L401" s="5">
        <f t="shared" ca="1" si="110"/>
        <v>2.0050125313307712E-4</v>
      </c>
      <c r="N401">
        <f t="shared" ca="1" si="111"/>
        <v>34.892000000000003</v>
      </c>
      <c r="O401">
        <f t="shared" ca="1" si="112"/>
        <v>1.0523380000000001E-3</v>
      </c>
      <c r="P401">
        <f t="shared" ca="1" si="113"/>
        <v>1.0008722999999999</v>
      </c>
      <c r="Q401">
        <f t="shared" ca="1" si="114"/>
        <v>3.3261798933455617</v>
      </c>
      <c r="R401">
        <f t="shared" ca="1" si="115"/>
        <v>17739.626097842996</v>
      </c>
      <c r="S401">
        <f t="shared" ca="1" si="116"/>
        <v>3.9662636349621394</v>
      </c>
      <c r="T401">
        <f t="shared" ca="1" si="117"/>
        <v>3</v>
      </c>
      <c r="U401">
        <f t="shared" ca="1" si="118"/>
        <v>17747</v>
      </c>
      <c r="V401">
        <f t="shared" ca="1" si="119"/>
        <v>3.3275625</v>
      </c>
      <c r="X401">
        <f t="shared" ca="1" si="120"/>
        <v>3.3236109761455084</v>
      </c>
    </row>
    <row r="402" spans="5:24" x14ac:dyDescent="0.25">
      <c r="E402">
        <v>400</v>
      </c>
      <c r="F402">
        <f t="shared" si="104"/>
        <v>60</v>
      </c>
      <c r="G402">
        <f t="shared" ca="1" si="105"/>
        <v>59.994</v>
      </c>
      <c r="H402" s="5">
        <f t="shared" ca="1" si="106"/>
        <v>6.0000000000002274E-3</v>
      </c>
      <c r="I402" s="5">
        <f t="shared" ca="1" si="107"/>
        <v>1.0000000000000379E-4</v>
      </c>
      <c r="J402" s="10">
        <f t="shared" si="108"/>
        <v>3.333333333333333</v>
      </c>
      <c r="K402" s="12">
        <f t="shared" ca="1" si="109"/>
        <v>3.3328333333333324</v>
      </c>
      <c r="L402" s="5">
        <f t="shared" ca="1" si="110"/>
        <v>1.5000000000018333E-4</v>
      </c>
      <c r="N402">
        <f t="shared" ca="1" si="111"/>
        <v>34.994</v>
      </c>
      <c r="O402">
        <f t="shared" ca="1" si="112"/>
        <v>1.052491E-3</v>
      </c>
      <c r="P402">
        <f t="shared" ca="1" si="113"/>
        <v>1.00087485</v>
      </c>
      <c r="Q402">
        <f t="shared" ca="1" si="114"/>
        <v>3.3346956508032477</v>
      </c>
      <c r="R402">
        <f t="shared" ca="1" si="115"/>
        <v>17785.043470950655</v>
      </c>
      <c r="S402">
        <f t="shared" ca="1" si="116"/>
        <v>3.9639686939419234</v>
      </c>
      <c r="T402">
        <f t="shared" ca="1" si="117"/>
        <v>-3</v>
      </c>
      <c r="U402">
        <f t="shared" ca="1" si="118"/>
        <v>17786</v>
      </c>
      <c r="V402">
        <f t="shared" ca="1" si="119"/>
        <v>3.3348750000000003</v>
      </c>
      <c r="X402">
        <f t="shared" ca="1" si="120"/>
        <v>3.330908463730506</v>
      </c>
    </row>
    <row r="403" spans="5:24" x14ac:dyDescent="0.25">
      <c r="E403">
        <v>401</v>
      </c>
      <c r="F403">
        <f t="shared" si="104"/>
        <v>60.1</v>
      </c>
      <c r="G403">
        <f t="shared" ca="1" si="105"/>
        <v>60.103000000000002</v>
      </c>
      <c r="H403" s="5">
        <f t="shared" ca="1" si="106"/>
        <v>3.0000000000001137E-3</v>
      </c>
      <c r="I403" s="5">
        <f t="shared" ca="1" si="107"/>
        <v>4.9916805324461124E-5</v>
      </c>
      <c r="J403" s="10">
        <f t="shared" si="108"/>
        <v>3.3416666666666659</v>
      </c>
      <c r="K403" s="12">
        <f t="shared" ca="1" si="109"/>
        <v>3.3419166666666662</v>
      </c>
      <c r="L403" s="5">
        <f t="shared" ca="1" si="110"/>
        <v>7.4812967581138829E-5</v>
      </c>
      <c r="N403">
        <f t="shared" ca="1" si="111"/>
        <v>35.103000000000002</v>
      </c>
      <c r="O403">
        <f t="shared" ca="1" si="112"/>
        <v>1.0526545E-3</v>
      </c>
      <c r="P403">
        <f t="shared" ca="1" si="113"/>
        <v>1.0008775750000001</v>
      </c>
      <c r="Q403">
        <f t="shared" ca="1" si="114"/>
        <v>3.3437958709021438</v>
      </c>
      <c r="R403">
        <f t="shared" ca="1" si="115"/>
        <v>17833.577978144767</v>
      </c>
      <c r="S403">
        <f t="shared" ca="1" si="116"/>
        <v>3.9614331730234791</v>
      </c>
      <c r="T403">
        <f t="shared" ca="1" si="117"/>
        <v>3</v>
      </c>
      <c r="U403">
        <f t="shared" ca="1" si="118"/>
        <v>17841</v>
      </c>
      <c r="V403">
        <f t="shared" ca="1" si="119"/>
        <v>3.3451875000000002</v>
      </c>
      <c r="X403">
        <f t="shared" ca="1" si="120"/>
        <v>3.3412026895497182</v>
      </c>
    </row>
    <row r="404" spans="5:24" x14ac:dyDescent="0.25">
      <c r="E404">
        <v>402</v>
      </c>
      <c r="F404">
        <f t="shared" si="104"/>
        <v>60.2</v>
      </c>
      <c r="G404">
        <f t="shared" ca="1" si="105"/>
        <v>60.206000000000003</v>
      </c>
      <c r="H404" s="5">
        <f t="shared" ca="1" si="106"/>
        <v>6.0000000000002274E-3</v>
      </c>
      <c r="I404" s="5">
        <f t="shared" ca="1" si="107"/>
        <v>9.9667774086382511E-5</v>
      </c>
      <c r="J404" s="10">
        <f t="shared" si="108"/>
        <v>3.3499999999999996</v>
      </c>
      <c r="K404" s="12">
        <f t="shared" ca="1" si="109"/>
        <v>3.3504999999999994</v>
      </c>
      <c r="L404" s="5">
        <f t="shared" ca="1" si="110"/>
        <v>1.4925373134320089E-4</v>
      </c>
      <c r="N404">
        <f t="shared" ca="1" si="111"/>
        <v>35.206000000000003</v>
      </c>
      <c r="O404">
        <f t="shared" ca="1" si="112"/>
        <v>1.052809E-3</v>
      </c>
      <c r="P404">
        <f t="shared" ca="1" si="113"/>
        <v>1.00088015</v>
      </c>
      <c r="Q404">
        <f t="shared" ca="1" si="114"/>
        <v>3.3523952069451579</v>
      </c>
      <c r="R404">
        <f t="shared" ca="1" si="115"/>
        <v>17879.441103707508</v>
      </c>
      <c r="S404">
        <f t="shared" ca="1" si="116"/>
        <v>3.9589583866705942</v>
      </c>
      <c r="T404">
        <f t="shared" ca="1" si="117"/>
        <v>-3</v>
      </c>
      <c r="U404">
        <f t="shared" ca="1" si="118"/>
        <v>17880</v>
      </c>
      <c r="V404">
        <f t="shared" ca="1" si="119"/>
        <v>3.3525</v>
      </c>
      <c r="X404">
        <f t="shared" ca="1" si="120"/>
        <v>3.3485000087173278</v>
      </c>
    </row>
    <row r="405" spans="5:24" x14ac:dyDescent="0.25">
      <c r="E405">
        <v>403</v>
      </c>
      <c r="F405">
        <f t="shared" si="104"/>
        <v>60.300000000000004</v>
      </c>
      <c r="G405">
        <f t="shared" ca="1" si="105"/>
        <v>60.304000000000002</v>
      </c>
      <c r="H405" s="5">
        <f t="shared" ca="1" si="106"/>
        <v>3.9999999999977831E-3</v>
      </c>
      <c r="I405" s="5">
        <f t="shared" ca="1" si="107"/>
        <v>6.6334991708089271E-5</v>
      </c>
      <c r="J405" s="10">
        <f t="shared" si="108"/>
        <v>3.3583333333333334</v>
      </c>
      <c r="K405" s="12">
        <f t="shared" ca="1" si="109"/>
        <v>3.3586666666666662</v>
      </c>
      <c r="L405" s="5">
        <f t="shared" ca="1" si="110"/>
        <v>9.92555831264077E-5</v>
      </c>
      <c r="N405">
        <f t="shared" ca="1" si="111"/>
        <v>35.304000000000002</v>
      </c>
      <c r="O405">
        <f t="shared" ca="1" si="112"/>
        <v>1.0529560000000001E-3</v>
      </c>
      <c r="P405">
        <f t="shared" ca="1" si="113"/>
        <v>1.0008826</v>
      </c>
      <c r="Q405">
        <f t="shared" ca="1" si="114"/>
        <v>3.3605771405277003</v>
      </c>
      <c r="R405">
        <f t="shared" ca="1" si="115"/>
        <v>17923.078082814402</v>
      </c>
      <c r="S405">
        <f t="shared" ca="1" si="116"/>
        <v>3.9565326625196522</v>
      </c>
      <c r="T405">
        <f t="shared" ca="1" si="117"/>
        <v>-3</v>
      </c>
      <c r="U405">
        <f t="shared" ca="1" si="118"/>
        <v>17924</v>
      </c>
      <c r="V405">
        <f t="shared" ca="1" si="119"/>
        <v>3.3607499999999999</v>
      </c>
      <c r="X405">
        <f t="shared" ca="1" si="120"/>
        <v>3.3567343902271856</v>
      </c>
    </row>
    <row r="406" spans="5:24" x14ac:dyDescent="0.25">
      <c r="E406">
        <v>404</v>
      </c>
      <c r="F406">
        <f t="shared" si="104"/>
        <v>60.400000000000006</v>
      </c>
      <c r="G406">
        <f t="shared" ca="1" si="105"/>
        <v>60.402000000000008</v>
      </c>
      <c r="H406" s="5">
        <f t="shared" ca="1" si="106"/>
        <v>2.0000000000024443E-3</v>
      </c>
      <c r="I406" s="5">
        <f t="shared" ca="1" si="107"/>
        <v>3.3112582781497421E-5</v>
      </c>
      <c r="J406" s="10">
        <f t="shared" si="108"/>
        <v>3.3666666666666663</v>
      </c>
      <c r="K406" s="12">
        <f t="shared" ca="1" si="109"/>
        <v>3.3668333333333331</v>
      </c>
      <c r="L406" s="5">
        <f t="shared" ca="1" si="110"/>
        <v>4.9504950495110014E-5</v>
      </c>
      <c r="N406">
        <f t="shared" ca="1" si="111"/>
        <v>35.402000000000008</v>
      </c>
      <c r="O406">
        <f t="shared" ca="1" si="112"/>
        <v>1.0531030000000001E-3</v>
      </c>
      <c r="P406">
        <f t="shared" ca="1" si="113"/>
        <v>1.0008850499999999</v>
      </c>
      <c r="Q406">
        <f t="shared" ca="1" si="114"/>
        <v>3.3687591141261897</v>
      </c>
      <c r="R406">
        <f t="shared" ca="1" si="115"/>
        <v>17966.715275339677</v>
      </c>
      <c r="S406">
        <f t="shared" ca="1" si="116"/>
        <v>3.9540376754270401</v>
      </c>
      <c r="T406">
        <f t="shared" ca="1" si="117"/>
        <v>-2</v>
      </c>
      <c r="U406">
        <f t="shared" ca="1" si="118"/>
        <v>17969</v>
      </c>
      <c r="V406">
        <f t="shared" ca="1" si="119"/>
        <v>3.3691875000000002</v>
      </c>
      <c r="X406">
        <f t="shared" ca="1" si="120"/>
        <v>3.3651560656241202</v>
      </c>
    </row>
    <row r="407" spans="5:24" x14ac:dyDescent="0.25">
      <c r="E407">
        <v>405</v>
      </c>
      <c r="F407">
        <f t="shared" si="104"/>
        <v>60.5</v>
      </c>
      <c r="G407">
        <f t="shared" ca="1" si="105"/>
        <v>60.496000000000002</v>
      </c>
      <c r="H407" s="5">
        <f t="shared" ca="1" si="106"/>
        <v>3.9999999999977831E-3</v>
      </c>
      <c r="I407" s="5">
        <f t="shared" ca="1" si="107"/>
        <v>6.6115702479302199E-5</v>
      </c>
      <c r="J407" s="10">
        <f t="shared" si="108"/>
        <v>3.3749999999999991</v>
      </c>
      <c r="K407" s="12">
        <f t="shared" ca="1" si="109"/>
        <v>3.3746666666666663</v>
      </c>
      <c r="L407" s="5">
        <f t="shared" ca="1" si="110"/>
        <v>9.8765432098623003E-5</v>
      </c>
      <c r="N407">
        <f t="shared" ca="1" si="111"/>
        <v>35.496000000000002</v>
      </c>
      <c r="O407">
        <f t="shared" ca="1" si="112"/>
        <v>1.0532440000000001E-3</v>
      </c>
      <c r="P407">
        <f t="shared" ca="1" si="113"/>
        <v>1.0008874000000001</v>
      </c>
      <c r="Q407">
        <f t="shared" ca="1" si="114"/>
        <v>3.3766071672179412</v>
      </c>
      <c r="R407">
        <f t="shared" ca="1" si="115"/>
        <v>18008.571558495685</v>
      </c>
      <c r="S407">
        <f t="shared" ca="1" si="116"/>
        <v>3.9515794840151628</v>
      </c>
      <c r="T407">
        <f t="shared" ca="1" si="117"/>
        <v>-1</v>
      </c>
      <c r="U407">
        <f t="shared" ca="1" si="118"/>
        <v>18012</v>
      </c>
      <c r="V407">
        <f t="shared" ca="1" si="119"/>
        <v>3.3772500000000001</v>
      </c>
      <c r="X407">
        <f t="shared" ca="1" si="120"/>
        <v>3.3732033753247368</v>
      </c>
    </row>
    <row r="408" spans="5:24" x14ac:dyDescent="0.25">
      <c r="E408">
        <v>406</v>
      </c>
      <c r="F408">
        <f t="shared" si="104"/>
        <v>60.6</v>
      </c>
      <c r="G408">
        <f t="shared" ca="1" si="105"/>
        <v>60.606999999999999</v>
      </c>
      <c r="H408" s="5">
        <f t="shared" ca="1" si="106"/>
        <v>6.9999999999978968E-3</v>
      </c>
      <c r="I408" s="5">
        <f t="shared" ca="1" si="107"/>
        <v>1.155115511550808E-4</v>
      </c>
      <c r="J408" s="10">
        <f t="shared" si="108"/>
        <v>3.3833333333333329</v>
      </c>
      <c r="K408" s="12">
        <f t="shared" ca="1" si="109"/>
        <v>3.383916666666666</v>
      </c>
      <c r="L408" s="5">
        <f t="shared" ca="1" si="110"/>
        <v>1.7241379310339649E-4</v>
      </c>
      <c r="N408">
        <f t="shared" ca="1" si="111"/>
        <v>35.606999999999999</v>
      </c>
      <c r="O408">
        <f t="shared" ca="1" si="112"/>
        <v>1.0534105E-3</v>
      </c>
      <c r="P408">
        <f t="shared" ca="1" si="113"/>
        <v>1.0008901750000001</v>
      </c>
      <c r="Q408">
        <f t="shared" ca="1" si="114"/>
        <v>3.3858745964657246</v>
      </c>
      <c r="R408">
        <f t="shared" ca="1" si="115"/>
        <v>18057.997847817198</v>
      </c>
      <c r="S408">
        <f t="shared" ca="1" si="116"/>
        <v>3.948594776257623</v>
      </c>
      <c r="T408">
        <f t="shared" ca="1" si="117"/>
        <v>-1</v>
      </c>
      <c r="U408">
        <f t="shared" ca="1" si="118"/>
        <v>18061</v>
      </c>
      <c r="V408">
        <f t="shared" ca="1" si="119"/>
        <v>3.3864375</v>
      </c>
      <c r="X408">
        <f t="shared" ca="1" si="120"/>
        <v>3.3823731854496422</v>
      </c>
    </row>
    <row r="409" spans="5:24" x14ac:dyDescent="0.25">
      <c r="E409">
        <v>407</v>
      </c>
      <c r="F409">
        <f t="shared" si="104"/>
        <v>60.7</v>
      </c>
      <c r="G409">
        <f t="shared" ca="1" si="105"/>
        <v>60.693000000000005</v>
      </c>
      <c r="H409" s="5">
        <f t="shared" ca="1" si="106"/>
        <v>6.9999999999978968E-3</v>
      </c>
      <c r="I409" s="5">
        <f t="shared" ca="1" si="107"/>
        <v>1.1532125205927341E-4</v>
      </c>
      <c r="J409" s="10">
        <f t="shared" si="108"/>
        <v>3.3916666666666666</v>
      </c>
      <c r="K409" s="12">
        <f t="shared" ca="1" si="109"/>
        <v>3.3910833333333334</v>
      </c>
      <c r="L409" s="5">
        <f t="shared" ca="1" si="110"/>
        <v>1.7199017199012032E-4</v>
      </c>
      <c r="N409">
        <f t="shared" ca="1" si="111"/>
        <v>35.693000000000005</v>
      </c>
      <c r="O409">
        <f t="shared" ca="1" si="112"/>
        <v>1.0535395E-3</v>
      </c>
      <c r="P409">
        <f t="shared" ca="1" si="113"/>
        <v>1.0008923249999999</v>
      </c>
      <c r="Q409">
        <f t="shared" ca="1" si="114"/>
        <v>3.3930548021691154</v>
      </c>
      <c r="R409">
        <f t="shared" ca="1" si="115"/>
        <v>18096.29227823528</v>
      </c>
      <c r="S409">
        <f t="shared" ca="1" si="116"/>
        <v>3.9462213244507161</v>
      </c>
      <c r="T409">
        <f t="shared" ca="1" si="117"/>
        <v>-1</v>
      </c>
      <c r="U409">
        <f t="shared" ca="1" si="118"/>
        <v>18099</v>
      </c>
      <c r="V409">
        <f t="shared" ca="1" si="119"/>
        <v>3.3935625000000003</v>
      </c>
      <c r="X409">
        <f t="shared" ca="1" si="120"/>
        <v>3.3894844387981502</v>
      </c>
    </row>
    <row r="410" spans="5:24" x14ac:dyDescent="0.25">
      <c r="E410">
        <v>408</v>
      </c>
      <c r="F410">
        <f t="shared" si="104"/>
        <v>60.800000000000004</v>
      </c>
      <c r="G410">
        <f t="shared" ca="1" si="105"/>
        <v>60.798000000000002</v>
      </c>
      <c r="H410" s="5">
        <f t="shared" ca="1" si="106"/>
        <v>2.0000000000024443E-3</v>
      </c>
      <c r="I410" s="5">
        <f t="shared" ca="1" si="107"/>
        <v>3.2894736842145466E-5</v>
      </c>
      <c r="J410" s="10">
        <f t="shared" si="108"/>
        <v>3.3999999999999995</v>
      </c>
      <c r="K410" s="12">
        <f t="shared" ca="1" si="109"/>
        <v>3.3998333333333326</v>
      </c>
      <c r="L410" s="5">
        <f t="shared" ca="1" si="110"/>
        <v>4.9019607843197169E-5</v>
      </c>
      <c r="N410">
        <f t="shared" ca="1" si="111"/>
        <v>35.798000000000002</v>
      </c>
      <c r="O410">
        <f t="shared" ca="1" si="112"/>
        <v>1.0536969999999999E-3</v>
      </c>
      <c r="P410">
        <f t="shared" ca="1" si="113"/>
        <v>1.0008949499999999</v>
      </c>
      <c r="Q410">
        <f t="shared" ca="1" si="114"/>
        <v>3.4018213741688688</v>
      </c>
      <c r="R410">
        <f t="shared" ca="1" si="115"/>
        <v>18143.047328900633</v>
      </c>
      <c r="S410">
        <f t="shared" ca="1" si="116"/>
        <v>3.9432513756038072</v>
      </c>
      <c r="T410">
        <f t="shared" ca="1" si="117"/>
        <v>-3</v>
      </c>
      <c r="U410">
        <f t="shared" ca="1" si="118"/>
        <v>18144</v>
      </c>
      <c r="V410">
        <f t="shared" ca="1" si="119"/>
        <v>3.4020000000000001</v>
      </c>
      <c r="X410">
        <f t="shared" ca="1" si="120"/>
        <v>3.3979053476091572</v>
      </c>
    </row>
    <row r="411" spans="5:24" x14ac:dyDescent="0.25">
      <c r="E411">
        <v>409</v>
      </c>
      <c r="F411">
        <f t="shared" si="104"/>
        <v>60.900000000000006</v>
      </c>
      <c r="G411">
        <f t="shared" ca="1" si="105"/>
        <v>60.907000000000004</v>
      </c>
      <c r="H411" s="5">
        <f t="shared" ca="1" si="106"/>
        <v>6.9999999999978968E-3</v>
      </c>
      <c r="I411" s="5">
        <f t="shared" ca="1" si="107"/>
        <v>1.1494252873559763E-4</v>
      </c>
      <c r="J411" s="10">
        <f t="shared" si="108"/>
        <v>3.4083333333333332</v>
      </c>
      <c r="K411" s="12">
        <f t="shared" ca="1" si="109"/>
        <v>3.4089166666666664</v>
      </c>
      <c r="L411" s="5">
        <f t="shared" ca="1" si="110"/>
        <v>1.7114914425422732E-4</v>
      </c>
      <c r="N411">
        <f t="shared" ca="1" si="111"/>
        <v>35.907000000000004</v>
      </c>
      <c r="O411">
        <f t="shared" ca="1" si="112"/>
        <v>1.0538605E-3</v>
      </c>
      <c r="P411">
        <f t="shared" ca="1" si="113"/>
        <v>1.000897675</v>
      </c>
      <c r="Q411">
        <f t="shared" ca="1" si="114"/>
        <v>3.4109219594111924</v>
      </c>
      <c r="R411">
        <f t="shared" ca="1" si="115"/>
        <v>18191.583783526359</v>
      </c>
      <c r="S411">
        <f t="shared" ca="1" si="116"/>
        <v>3.9400844505514243</v>
      </c>
      <c r="T411">
        <f t="shared" ca="1" si="117"/>
        <v>2</v>
      </c>
      <c r="U411">
        <f t="shared" ca="1" si="118"/>
        <v>18198</v>
      </c>
      <c r="V411">
        <f t="shared" ca="1" si="119"/>
        <v>3.4121250000000001</v>
      </c>
      <c r="X411">
        <f t="shared" ca="1" si="120"/>
        <v>3.4080118524603429</v>
      </c>
    </row>
    <row r="412" spans="5:24" x14ac:dyDescent="0.25">
      <c r="E412">
        <v>410</v>
      </c>
      <c r="F412">
        <f t="shared" si="104"/>
        <v>61</v>
      </c>
      <c r="G412">
        <f t="shared" ca="1" si="105"/>
        <v>60.99</v>
      </c>
      <c r="H412" s="5">
        <f t="shared" ca="1" si="106"/>
        <v>9.9999999999980105E-3</v>
      </c>
      <c r="I412" s="5">
        <f t="shared" ca="1" si="107"/>
        <v>1.6393442622947559E-4</v>
      </c>
      <c r="J412" s="10">
        <f t="shared" si="108"/>
        <v>3.4166666666666661</v>
      </c>
      <c r="K412" s="12">
        <f t="shared" ca="1" si="109"/>
        <v>3.4158333333333326</v>
      </c>
      <c r="L412" s="5">
        <f t="shared" ca="1" si="110"/>
        <v>2.4390243902442841E-4</v>
      </c>
      <c r="N412">
        <f t="shared" ca="1" si="111"/>
        <v>35.99</v>
      </c>
      <c r="O412">
        <f t="shared" ca="1" si="112"/>
        <v>1.0539850000000001E-3</v>
      </c>
      <c r="P412">
        <f t="shared" ca="1" si="113"/>
        <v>1.0008997500000001</v>
      </c>
      <c r="Q412">
        <f t="shared" ca="1" si="114"/>
        <v>3.4178517960519956</v>
      </c>
      <c r="R412">
        <f t="shared" ca="1" si="115"/>
        <v>18228.542912277309</v>
      </c>
      <c r="S412">
        <f t="shared" ca="1" si="116"/>
        <v>3.9376157045670039</v>
      </c>
      <c r="T412">
        <f t="shared" ca="1" si="117"/>
        <v>1</v>
      </c>
      <c r="U412">
        <f t="shared" ca="1" si="118"/>
        <v>18233</v>
      </c>
      <c r="V412">
        <f t="shared" ca="1" si="119"/>
        <v>3.4186874999999999</v>
      </c>
      <c r="X412">
        <f t="shared" ca="1" si="120"/>
        <v>3.4145612635031628</v>
      </c>
    </row>
    <row r="413" spans="5:24" x14ac:dyDescent="0.25">
      <c r="E413">
        <v>411</v>
      </c>
      <c r="F413">
        <f t="shared" si="104"/>
        <v>61.1</v>
      </c>
      <c r="G413">
        <f t="shared" ca="1" si="105"/>
        <v>61.103999999999999</v>
      </c>
      <c r="H413" s="5">
        <f t="shared" ca="1" si="106"/>
        <v>3.9999999999977831E-3</v>
      </c>
      <c r="I413" s="5">
        <f t="shared" ca="1" si="107"/>
        <v>6.5466448445135558E-5</v>
      </c>
      <c r="J413" s="10">
        <f t="shared" si="108"/>
        <v>3.4249999999999998</v>
      </c>
      <c r="K413" s="12">
        <f t="shared" ca="1" si="109"/>
        <v>3.4253333333333327</v>
      </c>
      <c r="L413" s="5">
        <f t="shared" ca="1" si="110"/>
        <v>9.7323600973095632E-5</v>
      </c>
      <c r="N413">
        <f t="shared" ca="1" si="111"/>
        <v>36.103999999999999</v>
      </c>
      <c r="O413">
        <f t="shared" ca="1" si="112"/>
        <v>1.0541560000000001E-3</v>
      </c>
      <c r="P413">
        <f t="shared" ca="1" si="113"/>
        <v>1.0009026000000001</v>
      </c>
      <c r="Q413">
        <f t="shared" ca="1" si="114"/>
        <v>3.4273699317187942</v>
      </c>
      <c r="R413">
        <f t="shared" ca="1" si="115"/>
        <v>18279.306302500234</v>
      </c>
      <c r="S413">
        <f t="shared" ca="1" si="116"/>
        <v>3.9341442996551916</v>
      </c>
      <c r="T413">
        <f t="shared" ca="1" si="117"/>
        <v>1</v>
      </c>
      <c r="U413">
        <f t="shared" ca="1" si="118"/>
        <v>18284</v>
      </c>
      <c r="V413">
        <f t="shared" ca="1" si="119"/>
        <v>3.4282500000000002</v>
      </c>
      <c r="X413">
        <f t="shared" ca="1" si="120"/>
        <v>3.4241052466044151</v>
      </c>
    </row>
    <row r="414" spans="5:24" x14ac:dyDescent="0.25">
      <c r="E414">
        <v>412</v>
      </c>
      <c r="F414">
        <f t="shared" si="104"/>
        <v>61.2</v>
      </c>
      <c r="G414">
        <f t="shared" ca="1" si="105"/>
        <v>61.191000000000003</v>
      </c>
      <c r="H414" s="5">
        <f t="shared" ca="1" si="106"/>
        <v>9.0000000000003411E-3</v>
      </c>
      <c r="I414" s="5">
        <f t="shared" ca="1" si="107"/>
        <v>1.4705882352941734E-4</v>
      </c>
      <c r="J414" s="10">
        <f t="shared" si="108"/>
        <v>3.4333333333333327</v>
      </c>
      <c r="K414" s="12">
        <f t="shared" ca="1" si="109"/>
        <v>3.4325833333333327</v>
      </c>
      <c r="L414" s="5">
        <f t="shared" ca="1" si="110"/>
        <v>2.184466019417559E-4</v>
      </c>
      <c r="N414">
        <f t="shared" ca="1" si="111"/>
        <v>36.191000000000003</v>
      </c>
      <c r="O414">
        <f t="shared" ca="1" si="112"/>
        <v>1.0542864999999999E-3</v>
      </c>
      <c r="P414">
        <f t="shared" ca="1" si="113"/>
        <v>1.000904775</v>
      </c>
      <c r="Q414">
        <f t="shared" ca="1" si="114"/>
        <v>3.434633808526681</v>
      </c>
      <c r="R414">
        <f t="shared" ca="1" si="115"/>
        <v>18318.046978808965</v>
      </c>
      <c r="S414">
        <f t="shared" ca="1" si="116"/>
        <v>3.9314323573803174</v>
      </c>
      <c r="T414">
        <f t="shared" ca="1" si="117"/>
        <v>3</v>
      </c>
      <c r="U414">
        <f t="shared" ca="1" si="118"/>
        <v>18325</v>
      </c>
      <c r="V414">
        <f t="shared" ca="1" si="119"/>
        <v>3.4359375000000001</v>
      </c>
      <c r="X414">
        <f t="shared" ca="1" si="120"/>
        <v>3.4317782263552497</v>
      </c>
    </row>
    <row r="415" spans="5:24" x14ac:dyDescent="0.25">
      <c r="E415">
        <v>413</v>
      </c>
      <c r="F415">
        <f t="shared" si="104"/>
        <v>61.300000000000004</v>
      </c>
      <c r="G415">
        <f t="shared" ca="1" si="105"/>
        <v>61.296000000000006</v>
      </c>
      <c r="H415" s="5">
        <f t="shared" ca="1" si="106"/>
        <v>3.9999999999977831E-3</v>
      </c>
      <c r="I415" s="5">
        <f t="shared" ca="1" si="107"/>
        <v>6.5252854812361877E-5</v>
      </c>
      <c r="J415" s="10">
        <f t="shared" si="108"/>
        <v>3.4416666666666664</v>
      </c>
      <c r="K415" s="12">
        <f t="shared" ca="1" si="109"/>
        <v>3.4413333333333336</v>
      </c>
      <c r="L415" s="5">
        <f t="shared" ca="1" si="110"/>
        <v>9.685230024199106E-5</v>
      </c>
      <c r="N415">
        <f t="shared" ca="1" si="111"/>
        <v>36.296000000000006</v>
      </c>
      <c r="O415">
        <f t="shared" ca="1" si="112"/>
        <v>1.0544440000000001E-3</v>
      </c>
      <c r="P415">
        <f t="shared" ca="1" si="113"/>
        <v>1.0009074</v>
      </c>
      <c r="Q415">
        <f t="shared" ca="1" si="114"/>
        <v>3.4434005983975142</v>
      </c>
      <c r="R415">
        <f t="shared" ca="1" si="115"/>
        <v>18364.803191453408</v>
      </c>
      <c r="S415">
        <f t="shared" ca="1" si="116"/>
        <v>3.9280870827068699</v>
      </c>
      <c r="T415">
        <f t="shared" ca="1" si="117"/>
        <v>3</v>
      </c>
      <c r="U415">
        <f t="shared" ca="1" si="118"/>
        <v>18372</v>
      </c>
      <c r="V415">
        <f t="shared" ca="1" si="119"/>
        <v>3.44475</v>
      </c>
      <c r="X415">
        <f t="shared" ca="1" si="120"/>
        <v>3.4405735795339307</v>
      </c>
    </row>
    <row r="416" spans="5:24" x14ac:dyDescent="0.25">
      <c r="E416">
        <v>414</v>
      </c>
      <c r="F416">
        <f t="shared" si="104"/>
        <v>61.400000000000006</v>
      </c>
      <c r="G416">
        <f t="shared" ca="1" si="105"/>
        <v>61.398000000000003</v>
      </c>
      <c r="H416" s="5">
        <f t="shared" ca="1" si="106"/>
        <v>2.0000000000024443E-3</v>
      </c>
      <c r="I416" s="5">
        <f t="shared" ca="1" si="107"/>
        <v>3.2573289902319938E-5</v>
      </c>
      <c r="J416" s="10">
        <f t="shared" si="108"/>
        <v>3.45</v>
      </c>
      <c r="K416" s="12">
        <f t="shared" ca="1" si="109"/>
        <v>3.4498333333333333</v>
      </c>
      <c r="L416" s="5">
        <f t="shared" ca="1" si="110"/>
        <v>4.8309178744020393E-5</v>
      </c>
      <c r="N416">
        <f t="shared" ca="1" si="111"/>
        <v>36.398000000000003</v>
      </c>
      <c r="O416">
        <f t="shared" ca="1" si="112"/>
        <v>1.054597E-3</v>
      </c>
      <c r="P416">
        <f t="shared" ca="1" si="113"/>
        <v>1.00090995</v>
      </c>
      <c r="Q416">
        <f t="shared" ca="1" si="114"/>
        <v>3.45191695254446</v>
      </c>
      <c r="R416">
        <f t="shared" ca="1" si="115"/>
        <v>18410.223746903786</v>
      </c>
      <c r="S416">
        <f t="shared" ca="1" si="116"/>
        <v>3.924761786892458</v>
      </c>
      <c r="T416">
        <f t="shared" ca="1" si="117"/>
        <v>3</v>
      </c>
      <c r="U416">
        <f t="shared" ca="1" si="118"/>
        <v>18417</v>
      </c>
      <c r="V416">
        <f t="shared" ca="1" si="119"/>
        <v>3.4531874999999999</v>
      </c>
      <c r="X416">
        <f t="shared" ca="1" si="120"/>
        <v>3.4489944904634027</v>
      </c>
    </row>
    <row r="417" spans="5:24" x14ac:dyDescent="0.25">
      <c r="E417">
        <v>415</v>
      </c>
      <c r="F417">
        <f t="shared" si="104"/>
        <v>61.5</v>
      </c>
      <c r="G417">
        <f t="shared" ca="1" si="105"/>
        <v>61.49</v>
      </c>
      <c r="H417" s="5">
        <f t="shared" ca="1" si="106"/>
        <v>9.9999999999980105E-3</v>
      </c>
      <c r="I417" s="5">
        <f t="shared" ca="1" si="107"/>
        <v>1.6260162601622783E-4</v>
      </c>
      <c r="J417" s="10">
        <f t="shared" si="108"/>
        <v>3.458333333333333</v>
      </c>
      <c r="K417" s="12">
        <f t="shared" ca="1" si="109"/>
        <v>3.4574999999999996</v>
      </c>
      <c r="L417" s="5">
        <f t="shared" ca="1" si="110"/>
        <v>2.4096385542172444E-4</v>
      </c>
      <c r="N417">
        <f t="shared" ca="1" si="111"/>
        <v>36.49</v>
      </c>
      <c r="O417">
        <f t="shared" ca="1" si="112"/>
        <v>1.054735E-3</v>
      </c>
      <c r="P417">
        <f t="shared" ca="1" si="113"/>
        <v>1.0009122500000001</v>
      </c>
      <c r="Q417">
        <f t="shared" ca="1" si="114"/>
        <v>3.4595984071929964</v>
      </c>
      <c r="R417">
        <f t="shared" ca="1" si="115"/>
        <v>18451.191505029314</v>
      </c>
      <c r="S417">
        <f t="shared" ca="1" si="116"/>
        <v>3.9216986460955945</v>
      </c>
      <c r="T417">
        <f t="shared" ca="1" si="117"/>
        <v>3</v>
      </c>
      <c r="U417">
        <f t="shared" ca="1" si="118"/>
        <v>18458</v>
      </c>
      <c r="V417">
        <f t="shared" ca="1" si="119"/>
        <v>3.4608750000000001</v>
      </c>
      <c r="X417">
        <f t="shared" ca="1" si="120"/>
        <v>3.4566669206016813</v>
      </c>
    </row>
    <row r="418" spans="5:24" x14ac:dyDescent="0.25">
      <c r="E418">
        <v>416</v>
      </c>
      <c r="F418">
        <f t="shared" si="104"/>
        <v>61.6</v>
      </c>
      <c r="G418">
        <f t="shared" ca="1" si="105"/>
        <v>61.59</v>
      </c>
      <c r="H418" s="5">
        <f t="shared" ca="1" si="106"/>
        <v>9.9999999999980105E-3</v>
      </c>
      <c r="I418" s="5">
        <f t="shared" ca="1" si="107"/>
        <v>1.6233766233763003E-4</v>
      </c>
      <c r="J418" s="10">
        <f t="shared" si="108"/>
        <v>3.4666666666666659</v>
      </c>
      <c r="K418" s="12">
        <f t="shared" ca="1" si="109"/>
        <v>3.4658333333333333</v>
      </c>
      <c r="L418" s="5">
        <f t="shared" ca="1" si="110"/>
        <v>2.4038461538439682E-4</v>
      </c>
      <c r="N418">
        <f t="shared" ca="1" si="111"/>
        <v>36.590000000000003</v>
      </c>
      <c r="O418">
        <f t="shared" ca="1" si="112"/>
        <v>1.054885E-3</v>
      </c>
      <c r="P418">
        <f t="shared" ca="1" si="113"/>
        <v>1.00091475</v>
      </c>
      <c r="Q418">
        <f t="shared" ca="1" si="114"/>
        <v>3.4679478544189464</v>
      </c>
      <c r="R418">
        <f t="shared" ca="1" si="115"/>
        <v>18495.721890234381</v>
      </c>
      <c r="S418">
        <f t="shared" ca="1" si="116"/>
        <v>3.9183005099142587</v>
      </c>
      <c r="T418">
        <f t="shared" ca="1" si="117"/>
        <v>2</v>
      </c>
      <c r="U418">
        <f t="shared" ca="1" si="118"/>
        <v>18502</v>
      </c>
      <c r="V418">
        <f t="shared" ca="1" si="119"/>
        <v>3.469125</v>
      </c>
      <c r="X418">
        <f t="shared" ca="1" si="120"/>
        <v>3.464900597178731</v>
      </c>
    </row>
    <row r="419" spans="5:24" x14ac:dyDescent="0.25">
      <c r="E419">
        <v>417</v>
      </c>
      <c r="F419">
        <f t="shared" si="104"/>
        <v>61.7</v>
      </c>
      <c r="G419">
        <f t="shared" ca="1" si="105"/>
        <v>61.696000000000005</v>
      </c>
      <c r="H419" s="5">
        <f t="shared" ca="1" si="106"/>
        <v>3.9999999999977831E-3</v>
      </c>
      <c r="I419" s="5">
        <f t="shared" ca="1" si="107"/>
        <v>6.482982171795434E-5</v>
      </c>
      <c r="J419" s="10">
        <f t="shared" si="108"/>
        <v>3.4749999999999996</v>
      </c>
      <c r="K419" s="12">
        <f t="shared" ca="1" si="109"/>
        <v>3.4746666666666668</v>
      </c>
      <c r="L419" s="5">
        <f t="shared" ca="1" si="110"/>
        <v>9.592326139074894E-5</v>
      </c>
      <c r="N419">
        <f t="shared" ca="1" si="111"/>
        <v>36.696000000000005</v>
      </c>
      <c r="O419">
        <f t="shared" ca="1" si="112"/>
        <v>1.055044E-3</v>
      </c>
      <c r="P419">
        <f t="shared" ca="1" si="113"/>
        <v>1.0009174000000001</v>
      </c>
      <c r="Q419">
        <f t="shared" ca="1" si="114"/>
        <v>3.4767983139693013</v>
      </c>
      <c r="R419">
        <f t="shared" ca="1" si="115"/>
        <v>18542.924341169608</v>
      </c>
      <c r="S419">
        <f t="shared" ca="1" si="116"/>
        <v>3.9146204932519164</v>
      </c>
      <c r="T419">
        <f t="shared" ca="1" si="117"/>
        <v>-3</v>
      </c>
      <c r="U419">
        <f t="shared" ca="1" si="118"/>
        <v>18544</v>
      </c>
      <c r="V419">
        <f t="shared" ca="1" si="119"/>
        <v>3.4769999999999999</v>
      </c>
      <c r="X419">
        <f t="shared" ca="1" si="120"/>
        <v>3.472759046850419</v>
      </c>
    </row>
    <row r="420" spans="5:24" x14ac:dyDescent="0.25">
      <c r="E420">
        <v>418</v>
      </c>
      <c r="F420">
        <f t="shared" si="104"/>
        <v>61.800000000000004</v>
      </c>
      <c r="G420">
        <f t="shared" ca="1" si="105"/>
        <v>61.796000000000006</v>
      </c>
      <c r="H420" s="5">
        <f t="shared" ca="1" si="106"/>
        <v>3.9999999999977831E-3</v>
      </c>
      <c r="I420" s="5">
        <f t="shared" ca="1" si="107"/>
        <v>6.4724919093815255E-5</v>
      </c>
      <c r="J420" s="10">
        <f t="shared" si="108"/>
        <v>3.4833333333333334</v>
      </c>
      <c r="K420" s="12">
        <f t="shared" ca="1" si="109"/>
        <v>3.4829999999999997</v>
      </c>
      <c r="L420" s="5">
        <f t="shared" ca="1" si="110"/>
        <v>9.5693779904423168E-5</v>
      </c>
      <c r="N420">
        <f t="shared" ca="1" si="111"/>
        <v>36.796000000000006</v>
      </c>
      <c r="O420">
        <f t="shared" ca="1" si="112"/>
        <v>1.055194E-3</v>
      </c>
      <c r="P420">
        <f t="shared" ca="1" si="113"/>
        <v>1.0009199</v>
      </c>
      <c r="Q420">
        <f t="shared" ca="1" si="114"/>
        <v>3.4851478470270387</v>
      </c>
      <c r="R420">
        <f t="shared" ca="1" si="115"/>
        <v>18587.455184144204</v>
      </c>
      <c r="S420">
        <f t="shared" ca="1" si="116"/>
        <v>3.9110752671267459</v>
      </c>
      <c r="T420">
        <f t="shared" ca="1" si="117"/>
        <v>2</v>
      </c>
      <c r="U420">
        <f t="shared" ca="1" si="118"/>
        <v>18593</v>
      </c>
      <c r="V420">
        <f t="shared" ca="1" si="119"/>
        <v>3.4861875000000002</v>
      </c>
      <c r="X420">
        <f t="shared" ca="1" si="120"/>
        <v>3.4819292792560126</v>
      </c>
    </row>
    <row r="421" spans="5:24" x14ac:dyDescent="0.25">
      <c r="E421">
        <v>419</v>
      </c>
      <c r="F421">
        <f t="shared" si="104"/>
        <v>61.900000000000006</v>
      </c>
      <c r="G421">
        <f t="shared" ca="1" si="105"/>
        <v>61.891000000000005</v>
      </c>
      <c r="H421" s="5">
        <f t="shared" ca="1" si="106"/>
        <v>9.0000000000003411E-3</v>
      </c>
      <c r="I421" s="5">
        <f t="shared" ca="1" si="107"/>
        <v>1.4539579967690373E-4</v>
      </c>
      <c r="J421" s="10">
        <f t="shared" si="108"/>
        <v>3.4916666666666663</v>
      </c>
      <c r="K421" s="12">
        <f t="shared" ca="1" si="109"/>
        <v>3.4909166666666662</v>
      </c>
      <c r="L421" s="5">
        <f t="shared" ca="1" si="110"/>
        <v>2.1479713603819432E-4</v>
      </c>
      <c r="N421">
        <f t="shared" ca="1" si="111"/>
        <v>36.891000000000005</v>
      </c>
      <c r="O421">
        <f t="shared" ca="1" si="112"/>
        <v>1.0553365E-3</v>
      </c>
      <c r="P421">
        <f t="shared" ca="1" si="113"/>
        <v>1.000922275</v>
      </c>
      <c r="Q421">
        <f t="shared" ca="1" si="114"/>
        <v>3.4930799420249459</v>
      </c>
      <c r="R421">
        <f t="shared" ca="1" si="115"/>
        <v>18629.75969079971</v>
      </c>
      <c r="S421">
        <f t="shared" ca="1" si="116"/>
        <v>3.9076412538006879</v>
      </c>
      <c r="T421">
        <f t="shared" ca="1" si="117"/>
        <v>-1</v>
      </c>
      <c r="U421">
        <f t="shared" ca="1" si="118"/>
        <v>18633</v>
      </c>
      <c r="V421">
        <f t="shared" ca="1" si="119"/>
        <v>3.4936875000000001</v>
      </c>
      <c r="X421">
        <f t="shared" ca="1" si="120"/>
        <v>3.4894139642361344</v>
      </c>
    </row>
    <row r="422" spans="5:24" x14ac:dyDescent="0.25">
      <c r="E422">
        <v>420</v>
      </c>
      <c r="F422">
        <f t="shared" si="104"/>
        <v>62</v>
      </c>
      <c r="G422">
        <f t="shared" ca="1" si="105"/>
        <v>62.009</v>
      </c>
      <c r="H422" s="5">
        <f t="shared" ca="1" si="106"/>
        <v>9.0000000000003411E-3</v>
      </c>
      <c r="I422" s="5">
        <f t="shared" ca="1" si="107"/>
        <v>1.4516129032258614E-4</v>
      </c>
      <c r="J422" s="10">
        <f t="shared" si="108"/>
        <v>3.4999999999999991</v>
      </c>
      <c r="K422" s="12">
        <f t="shared" ca="1" si="109"/>
        <v>3.5007499999999991</v>
      </c>
      <c r="L422" s="5">
        <f t="shared" ca="1" si="110"/>
        <v>2.1428571428572246E-4</v>
      </c>
      <c r="N422">
        <f t="shared" ca="1" si="111"/>
        <v>37.009</v>
      </c>
      <c r="O422">
        <f t="shared" ca="1" si="112"/>
        <v>1.0555135000000001E-3</v>
      </c>
      <c r="P422">
        <f t="shared" ca="1" si="113"/>
        <v>1.000925225</v>
      </c>
      <c r="Q422">
        <f t="shared" ca="1" si="114"/>
        <v>3.5029324913312712</v>
      </c>
      <c r="R422">
        <f t="shared" ca="1" si="115"/>
        <v>18682.306620433446</v>
      </c>
      <c r="S422">
        <f t="shared" ca="1" si="116"/>
        <v>3.9032863207942281</v>
      </c>
      <c r="T422">
        <f t="shared" ca="1" si="117"/>
        <v>-2</v>
      </c>
      <c r="U422">
        <f t="shared" ca="1" si="118"/>
        <v>18684</v>
      </c>
      <c r="V422">
        <f t="shared" ca="1" si="119"/>
        <v>3.50325</v>
      </c>
      <c r="X422">
        <f t="shared" ca="1" si="120"/>
        <v>3.4989571638580692</v>
      </c>
    </row>
    <row r="423" spans="5:24" x14ac:dyDescent="0.25">
      <c r="E423">
        <v>421</v>
      </c>
      <c r="F423">
        <f t="shared" si="104"/>
        <v>62.1</v>
      </c>
      <c r="G423">
        <f t="shared" ca="1" si="105"/>
        <v>62.097999999999999</v>
      </c>
      <c r="H423" s="5">
        <f t="shared" ca="1" si="106"/>
        <v>2.0000000000024443E-3</v>
      </c>
      <c r="I423" s="5">
        <f t="shared" ca="1" si="107"/>
        <v>3.2206119162680262E-5</v>
      </c>
      <c r="J423" s="10">
        <f t="shared" si="108"/>
        <v>3.5083333333333329</v>
      </c>
      <c r="K423" s="12">
        <f t="shared" ca="1" si="109"/>
        <v>3.508166666666666</v>
      </c>
      <c r="L423" s="5">
        <f t="shared" ca="1" si="110"/>
        <v>4.7505938242338348E-5</v>
      </c>
      <c r="N423">
        <f t="shared" ca="1" si="111"/>
        <v>37.097999999999999</v>
      </c>
      <c r="O423">
        <f t="shared" ca="1" si="112"/>
        <v>1.0556470000000001E-3</v>
      </c>
      <c r="P423">
        <f t="shared" ca="1" si="113"/>
        <v>1.0009274500000001</v>
      </c>
      <c r="Q423">
        <f t="shared" ca="1" si="114"/>
        <v>3.510363689781856</v>
      </c>
      <c r="R423">
        <f t="shared" ca="1" si="115"/>
        <v>18721.939678836567</v>
      </c>
      <c r="S423">
        <f t="shared" ca="1" si="116"/>
        <v>3.899936106821265</v>
      </c>
      <c r="T423">
        <f t="shared" ca="1" si="117"/>
        <v>-2</v>
      </c>
      <c r="U423">
        <f t="shared" ca="1" si="118"/>
        <v>18724</v>
      </c>
      <c r="V423">
        <f t="shared" ca="1" si="119"/>
        <v>3.5107500000000003</v>
      </c>
      <c r="X423">
        <f t="shared" ca="1" si="120"/>
        <v>3.5064423030860032</v>
      </c>
    </row>
    <row r="424" spans="5:24" x14ac:dyDescent="0.25">
      <c r="E424">
        <v>422</v>
      </c>
      <c r="F424">
        <f t="shared" si="104"/>
        <v>62.2</v>
      </c>
      <c r="G424">
        <f t="shared" ca="1" si="105"/>
        <v>62.195</v>
      </c>
      <c r="H424" s="5">
        <f t="shared" ca="1" si="106"/>
        <v>5.000000000002558E-3</v>
      </c>
      <c r="I424" s="5">
        <f t="shared" ca="1" si="107"/>
        <v>8.0385852090073275E-5</v>
      </c>
      <c r="J424" s="10">
        <f t="shared" si="108"/>
        <v>3.5166666666666666</v>
      </c>
      <c r="K424" s="12">
        <f t="shared" ca="1" si="109"/>
        <v>3.5162499999999994</v>
      </c>
      <c r="L424" s="5">
        <f t="shared" ca="1" si="110"/>
        <v>1.1848341232241968E-4</v>
      </c>
      <c r="N424">
        <f t="shared" ca="1" si="111"/>
        <v>37.195</v>
      </c>
      <c r="O424">
        <f t="shared" ca="1" si="112"/>
        <v>1.0557925E-3</v>
      </c>
      <c r="P424">
        <f t="shared" ca="1" si="113"/>
        <v>1.000929875</v>
      </c>
      <c r="Q424">
        <f t="shared" ca="1" si="114"/>
        <v>3.5184628987136986</v>
      </c>
      <c r="R424">
        <f t="shared" ca="1" si="115"/>
        <v>18765.135459806392</v>
      </c>
      <c r="S424">
        <f t="shared" ca="1" si="116"/>
        <v>3.8962206064419238</v>
      </c>
      <c r="T424">
        <f t="shared" ca="1" si="117"/>
        <v>0</v>
      </c>
      <c r="U424">
        <f t="shared" ca="1" si="118"/>
        <v>18769</v>
      </c>
      <c r="V424">
        <f t="shared" ca="1" si="119"/>
        <v>3.5191875000000001</v>
      </c>
      <c r="X424">
        <f t="shared" ca="1" si="120"/>
        <v>3.5148633239666269</v>
      </c>
    </row>
    <row r="425" spans="5:24" x14ac:dyDescent="0.25">
      <c r="E425">
        <v>423</v>
      </c>
      <c r="F425">
        <f t="shared" si="104"/>
        <v>62.300000000000004</v>
      </c>
      <c r="G425">
        <f t="shared" ca="1" si="105"/>
        <v>62.303000000000004</v>
      </c>
      <c r="H425" s="5">
        <f t="shared" ca="1" si="106"/>
        <v>3.0000000000001137E-3</v>
      </c>
      <c r="I425" s="5">
        <f t="shared" ca="1" si="107"/>
        <v>4.8154093097915146E-5</v>
      </c>
      <c r="J425" s="10">
        <f t="shared" si="108"/>
        <v>3.5249999999999995</v>
      </c>
      <c r="K425" s="12">
        <f t="shared" ca="1" si="109"/>
        <v>3.5252499999999998</v>
      </c>
      <c r="L425" s="5">
        <f t="shared" ca="1" si="110"/>
        <v>7.0921985815689518E-5</v>
      </c>
      <c r="N425">
        <f t="shared" ca="1" si="111"/>
        <v>37.303000000000004</v>
      </c>
      <c r="O425">
        <f t="shared" ca="1" si="112"/>
        <v>1.0559545E-3</v>
      </c>
      <c r="P425">
        <f t="shared" ca="1" si="113"/>
        <v>1.000932575</v>
      </c>
      <c r="Q425">
        <f t="shared" ca="1" si="114"/>
        <v>3.527480620761982</v>
      </c>
      <c r="R425">
        <f t="shared" ca="1" si="115"/>
        <v>18813.229977397237</v>
      </c>
      <c r="S425">
        <f t="shared" ca="1" si="116"/>
        <v>3.892005122380652</v>
      </c>
      <c r="T425">
        <f t="shared" ca="1" si="117"/>
        <v>0</v>
      </c>
      <c r="U425">
        <f t="shared" ca="1" si="118"/>
        <v>18817</v>
      </c>
      <c r="V425">
        <f t="shared" ca="1" si="119"/>
        <v>3.5281875</v>
      </c>
      <c r="X425">
        <f t="shared" ca="1" si="120"/>
        <v>3.5238452954735737</v>
      </c>
    </row>
    <row r="426" spans="5:24" x14ac:dyDescent="0.25">
      <c r="E426">
        <v>424</v>
      </c>
      <c r="F426">
        <f t="shared" si="104"/>
        <v>62.400000000000006</v>
      </c>
      <c r="G426">
        <f t="shared" ca="1" si="105"/>
        <v>62.399000000000008</v>
      </c>
      <c r="H426" s="5">
        <f t="shared" ca="1" si="106"/>
        <v>9.9999999999766942E-4</v>
      </c>
      <c r="I426" s="5">
        <f t="shared" ca="1" si="107"/>
        <v>1.6025641025603675E-5</v>
      </c>
      <c r="J426" s="10">
        <f t="shared" si="108"/>
        <v>3.5333333333333332</v>
      </c>
      <c r="K426" s="12">
        <f t="shared" ca="1" si="109"/>
        <v>3.5332499999999998</v>
      </c>
      <c r="L426" s="5">
        <f t="shared" ca="1" si="110"/>
        <v>2.3584905660406184E-5</v>
      </c>
      <c r="N426">
        <f t="shared" ca="1" si="111"/>
        <v>37.399000000000008</v>
      </c>
      <c r="O426">
        <f t="shared" ca="1" si="112"/>
        <v>1.0560985000000001E-3</v>
      </c>
      <c r="P426">
        <f t="shared" ca="1" si="113"/>
        <v>1.0009349750000001</v>
      </c>
      <c r="Q426">
        <f t="shared" ca="1" si="114"/>
        <v>3.5354964144930552</v>
      </c>
      <c r="R426">
        <f t="shared" ca="1" si="115"/>
        <v>18855.980877296293</v>
      </c>
      <c r="S426">
        <f t="shared" ca="1" si="116"/>
        <v>3.8881885345784513</v>
      </c>
      <c r="T426">
        <f t="shared" ca="1" si="117"/>
        <v>-3</v>
      </c>
      <c r="U426">
        <f t="shared" ca="1" si="118"/>
        <v>18857</v>
      </c>
      <c r="V426">
        <f t="shared" ca="1" si="119"/>
        <v>3.5356874999999999</v>
      </c>
      <c r="X426">
        <f t="shared" ca="1" si="120"/>
        <v>3.5313296965169987</v>
      </c>
    </row>
    <row r="427" spans="5:24" x14ac:dyDescent="0.25">
      <c r="E427">
        <v>425</v>
      </c>
      <c r="F427">
        <f t="shared" si="104"/>
        <v>62.5</v>
      </c>
      <c r="G427">
        <f t="shared" ca="1" si="105"/>
        <v>62.506999999999998</v>
      </c>
      <c r="H427" s="5">
        <f t="shared" ca="1" si="106"/>
        <v>6.9999999999978968E-3</v>
      </c>
      <c r="I427" s="5">
        <f t="shared" ca="1" si="107"/>
        <v>1.1199999999996635E-4</v>
      </c>
      <c r="J427" s="10">
        <f t="shared" si="108"/>
        <v>3.5416666666666661</v>
      </c>
      <c r="K427" s="12">
        <f t="shared" ca="1" si="109"/>
        <v>3.5422499999999992</v>
      </c>
      <c r="L427" s="5">
        <f t="shared" ca="1" si="110"/>
        <v>1.6470588235289172E-4</v>
      </c>
      <c r="N427">
        <f t="shared" ca="1" si="111"/>
        <v>37.506999999999998</v>
      </c>
      <c r="O427">
        <f t="shared" ca="1" si="112"/>
        <v>1.0562605E-3</v>
      </c>
      <c r="P427">
        <f t="shared" ca="1" si="113"/>
        <v>1.0009376750000001</v>
      </c>
      <c r="Q427">
        <f t="shared" ca="1" si="114"/>
        <v>3.5445142283396853</v>
      </c>
      <c r="R427">
        <f t="shared" ca="1" si="115"/>
        <v>18904.075884478323</v>
      </c>
      <c r="S427">
        <f t="shared" ca="1" si="116"/>
        <v>3.883816777893534</v>
      </c>
      <c r="T427">
        <f t="shared" ca="1" si="117"/>
        <v>-2</v>
      </c>
      <c r="U427">
        <f t="shared" ca="1" si="118"/>
        <v>18906</v>
      </c>
      <c r="V427">
        <f t="shared" ca="1" si="119"/>
        <v>3.5448750000000002</v>
      </c>
      <c r="X427">
        <f t="shared" ca="1" si="120"/>
        <v>3.5404989021918873</v>
      </c>
    </row>
    <row r="428" spans="5:24" x14ac:dyDescent="0.25">
      <c r="E428">
        <v>426</v>
      </c>
      <c r="F428">
        <f t="shared" si="104"/>
        <v>62.6</v>
      </c>
      <c r="G428">
        <f t="shared" ca="1" si="105"/>
        <v>62.6</v>
      </c>
      <c r="H428" s="5">
        <f t="shared" ca="1" si="106"/>
        <v>0</v>
      </c>
      <c r="I428" s="5">
        <f t="shared" ca="1" si="107"/>
        <v>0</v>
      </c>
      <c r="J428" s="10">
        <f t="shared" si="108"/>
        <v>3.55</v>
      </c>
      <c r="K428" s="12">
        <f t="shared" ca="1" si="109"/>
        <v>3.55</v>
      </c>
      <c r="L428" s="5">
        <f t="shared" ca="1" si="110"/>
        <v>0</v>
      </c>
      <c r="N428">
        <f t="shared" ca="1" si="111"/>
        <v>37.6</v>
      </c>
      <c r="O428">
        <f t="shared" ca="1" si="112"/>
        <v>1.0564000000000001E-3</v>
      </c>
      <c r="P428">
        <f t="shared" ca="1" si="113"/>
        <v>1.0009399999999999</v>
      </c>
      <c r="Q428">
        <f t="shared" ca="1" si="114"/>
        <v>3.5522796069839995</v>
      </c>
      <c r="R428">
        <f t="shared" ca="1" si="115"/>
        <v>18945.491237247996</v>
      </c>
      <c r="S428">
        <f t="shared" ca="1" si="116"/>
        <v>3.8799860170531133</v>
      </c>
      <c r="T428">
        <f t="shared" ca="1" si="117"/>
        <v>1</v>
      </c>
      <c r="U428">
        <f t="shared" ca="1" si="118"/>
        <v>18950</v>
      </c>
      <c r="V428">
        <f t="shared" ca="1" si="119"/>
        <v>3.5531250000000001</v>
      </c>
      <c r="X428">
        <f t="shared" ca="1" si="120"/>
        <v>3.5487327911762945</v>
      </c>
    </row>
    <row r="429" spans="5:24" x14ac:dyDescent="0.25">
      <c r="E429">
        <v>427</v>
      </c>
      <c r="F429">
        <f t="shared" si="104"/>
        <v>62.7</v>
      </c>
      <c r="G429">
        <f t="shared" ca="1" si="105"/>
        <v>62.691000000000003</v>
      </c>
      <c r="H429" s="5">
        <f t="shared" ca="1" si="106"/>
        <v>9.0000000000003411E-3</v>
      </c>
      <c r="I429" s="5">
        <f t="shared" ca="1" si="107"/>
        <v>1.4354066985646476E-4</v>
      </c>
      <c r="J429" s="10">
        <f t="shared" si="108"/>
        <v>3.5583333333333327</v>
      </c>
      <c r="K429" s="12">
        <f t="shared" ca="1" si="109"/>
        <v>3.5575833333333327</v>
      </c>
      <c r="L429" s="5">
        <f t="shared" ca="1" si="110"/>
        <v>2.1077283372366142E-4</v>
      </c>
      <c r="N429">
        <f t="shared" ca="1" si="111"/>
        <v>37.691000000000003</v>
      </c>
      <c r="O429">
        <f t="shared" ca="1" si="112"/>
        <v>1.0565365E-3</v>
      </c>
      <c r="P429">
        <f t="shared" ca="1" si="113"/>
        <v>1.0009422750000001</v>
      </c>
      <c r="Q429">
        <f t="shared" ca="1" si="114"/>
        <v>3.5598780231208189</v>
      </c>
      <c r="R429">
        <f t="shared" ca="1" si="115"/>
        <v>18986.016123311034</v>
      </c>
      <c r="S429">
        <f t="shared" ca="1" si="116"/>
        <v>3.8761784073388541</v>
      </c>
      <c r="T429">
        <f t="shared" ca="1" si="117"/>
        <v>-1</v>
      </c>
      <c r="U429">
        <f t="shared" ca="1" si="118"/>
        <v>18989</v>
      </c>
      <c r="V429">
        <f t="shared" ca="1" si="119"/>
        <v>3.5604374999999999</v>
      </c>
      <c r="X429">
        <f t="shared" ca="1" si="120"/>
        <v>3.5560302051384527</v>
      </c>
    </row>
    <row r="430" spans="5:24" x14ac:dyDescent="0.25">
      <c r="E430">
        <v>428</v>
      </c>
      <c r="F430">
        <f t="shared" si="104"/>
        <v>62.800000000000004</v>
      </c>
      <c r="G430">
        <f t="shared" ca="1" si="105"/>
        <v>62.808000000000007</v>
      </c>
      <c r="H430" s="5">
        <f t="shared" ca="1" si="106"/>
        <v>8.0000000000026716E-3</v>
      </c>
      <c r="I430" s="5">
        <f t="shared" ca="1" si="107"/>
        <v>1.2738853503188968E-4</v>
      </c>
      <c r="J430" s="10">
        <f t="shared" si="108"/>
        <v>3.5666666666666664</v>
      </c>
      <c r="K430" s="12">
        <f t="shared" ca="1" si="109"/>
        <v>3.567333333333333</v>
      </c>
      <c r="L430" s="5">
        <f t="shared" ca="1" si="110"/>
        <v>1.8691588785044671E-4</v>
      </c>
      <c r="N430">
        <f t="shared" ca="1" si="111"/>
        <v>37.808000000000007</v>
      </c>
      <c r="O430">
        <f t="shared" ca="1" si="112"/>
        <v>1.056712E-3</v>
      </c>
      <c r="P430">
        <f t="shared" ca="1" si="113"/>
        <v>1.0009452000000001</v>
      </c>
      <c r="Q430">
        <f t="shared" ca="1" si="114"/>
        <v>3.5696474659958177</v>
      </c>
      <c r="R430">
        <f t="shared" ca="1" si="115"/>
        <v>19038.119818644362</v>
      </c>
      <c r="S430">
        <f t="shared" ca="1" si="116"/>
        <v>3.8711969140147029</v>
      </c>
      <c r="T430">
        <f t="shared" ca="1" si="117"/>
        <v>2</v>
      </c>
      <c r="U430">
        <f t="shared" ca="1" si="118"/>
        <v>19044</v>
      </c>
      <c r="V430">
        <f t="shared" ca="1" si="119"/>
        <v>3.5707499999999999</v>
      </c>
      <c r="X430">
        <f t="shared" ca="1" si="120"/>
        <v>3.5663224000674556</v>
      </c>
    </row>
    <row r="431" spans="5:24" x14ac:dyDescent="0.25">
      <c r="E431">
        <v>429</v>
      </c>
      <c r="F431">
        <f t="shared" si="104"/>
        <v>62.900000000000006</v>
      </c>
      <c r="G431">
        <f t="shared" ca="1" si="105"/>
        <v>62.906000000000006</v>
      </c>
      <c r="H431" s="5">
        <f t="shared" ca="1" si="106"/>
        <v>6.0000000000002274E-3</v>
      </c>
      <c r="I431" s="5">
        <f t="shared" ca="1" si="107"/>
        <v>9.5389507154216644E-5</v>
      </c>
      <c r="J431" s="10">
        <f t="shared" si="108"/>
        <v>3.5750000000000002</v>
      </c>
      <c r="K431" s="12">
        <f t="shared" ca="1" si="109"/>
        <v>3.5754999999999999</v>
      </c>
      <c r="L431" s="5">
        <f t="shared" ca="1" si="110"/>
        <v>1.3986013986006234E-4</v>
      </c>
      <c r="N431">
        <f t="shared" ca="1" si="111"/>
        <v>37.906000000000006</v>
      </c>
      <c r="O431">
        <f t="shared" ca="1" si="112"/>
        <v>1.0568590000000001E-3</v>
      </c>
      <c r="P431">
        <f t="shared" ca="1" si="113"/>
        <v>1.0009476500000001</v>
      </c>
      <c r="Q431">
        <f t="shared" ca="1" si="114"/>
        <v>3.5778304620425687</v>
      </c>
      <c r="R431">
        <f t="shared" ca="1" si="115"/>
        <v>19081.762464227031</v>
      </c>
      <c r="S431">
        <f t="shared" ca="1" si="116"/>
        <v>3.8669500092440598</v>
      </c>
      <c r="T431">
        <f t="shared" ca="1" si="117"/>
        <v>-3</v>
      </c>
      <c r="U431">
        <f t="shared" ca="1" si="118"/>
        <v>19083</v>
      </c>
      <c r="V431">
        <f t="shared" ca="1" si="119"/>
        <v>3.5780625000000001</v>
      </c>
      <c r="X431">
        <f t="shared" ca="1" si="120"/>
        <v>3.5736191008590708</v>
      </c>
    </row>
    <row r="432" spans="5:24" x14ac:dyDescent="0.25">
      <c r="E432">
        <v>430</v>
      </c>
      <c r="F432">
        <f t="shared" si="104"/>
        <v>63</v>
      </c>
      <c r="G432">
        <f t="shared" ca="1" si="105"/>
        <v>62.994999999999997</v>
      </c>
      <c r="H432" s="5">
        <f t="shared" ca="1" si="106"/>
        <v>5.000000000002558E-3</v>
      </c>
      <c r="I432" s="5">
        <f t="shared" ca="1" si="107"/>
        <v>7.9365079365119968E-5</v>
      </c>
      <c r="J432" s="10">
        <f t="shared" si="108"/>
        <v>3.583333333333333</v>
      </c>
      <c r="K432" s="12">
        <f t="shared" ca="1" si="109"/>
        <v>3.5829166666666659</v>
      </c>
      <c r="L432" s="5">
        <f t="shared" ca="1" si="110"/>
        <v>1.1627906976758398E-4</v>
      </c>
      <c r="N432">
        <f t="shared" ca="1" si="111"/>
        <v>37.994999999999997</v>
      </c>
      <c r="O432">
        <f t="shared" ca="1" si="112"/>
        <v>1.0569925E-3</v>
      </c>
      <c r="P432">
        <f t="shared" ca="1" si="113"/>
        <v>1.0009498750000001</v>
      </c>
      <c r="Q432">
        <f t="shared" ca="1" si="114"/>
        <v>3.5852619931246652</v>
      </c>
      <c r="R432">
        <f t="shared" ca="1" si="115"/>
        <v>19121.39729666488</v>
      </c>
      <c r="S432">
        <f t="shared" ca="1" si="116"/>
        <v>3.8630344463051447</v>
      </c>
      <c r="T432">
        <f t="shared" ca="1" si="117"/>
        <v>-1</v>
      </c>
      <c r="U432">
        <f t="shared" ca="1" si="118"/>
        <v>19124</v>
      </c>
      <c r="V432">
        <f t="shared" ca="1" si="119"/>
        <v>3.58575</v>
      </c>
      <c r="X432">
        <f t="shared" ca="1" si="120"/>
        <v>3.5812912284943335</v>
      </c>
    </row>
    <row r="433" spans="5:24" x14ac:dyDescent="0.25">
      <c r="E433">
        <v>431</v>
      </c>
      <c r="F433">
        <f t="shared" si="104"/>
        <v>63.1</v>
      </c>
      <c r="G433">
        <f t="shared" ca="1" si="105"/>
        <v>63.106999999999999</v>
      </c>
      <c r="H433" s="5">
        <f t="shared" ca="1" si="106"/>
        <v>6.9999999999978968E-3</v>
      </c>
      <c r="I433" s="5">
        <f t="shared" ca="1" si="107"/>
        <v>1.1093502377175748E-4</v>
      </c>
      <c r="J433" s="10">
        <f t="shared" si="108"/>
        <v>3.5916666666666659</v>
      </c>
      <c r="K433" s="12">
        <f t="shared" ca="1" si="109"/>
        <v>3.5922499999999991</v>
      </c>
      <c r="L433" s="5">
        <f t="shared" ca="1" si="110"/>
        <v>1.6241299303939438E-4</v>
      </c>
      <c r="N433">
        <f t="shared" ca="1" si="111"/>
        <v>38.106999999999999</v>
      </c>
      <c r="O433">
        <f t="shared" ca="1" si="112"/>
        <v>1.0571605000000001E-3</v>
      </c>
      <c r="P433">
        <f t="shared" ca="1" si="113"/>
        <v>1.000952675</v>
      </c>
      <c r="Q433">
        <f t="shared" ca="1" si="114"/>
        <v>3.5946140791383696</v>
      </c>
      <c r="R433">
        <f t="shared" ca="1" si="115"/>
        <v>19171.27508873797</v>
      </c>
      <c r="S433">
        <f t="shared" ca="1" si="116"/>
        <v>3.8580277121482425</v>
      </c>
      <c r="T433">
        <f t="shared" ca="1" si="117"/>
        <v>3</v>
      </c>
      <c r="U433">
        <f t="shared" ca="1" si="118"/>
        <v>19178</v>
      </c>
      <c r="V433">
        <f t="shared" ca="1" si="119"/>
        <v>3.5958749999999999</v>
      </c>
      <c r="X433">
        <f t="shared" ca="1" si="120"/>
        <v>3.591396405928982</v>
      </c>
    </row>
    <row r="434" spans="5:24" x14ac:dyDescent="0.25">
      <c r="E434">
        <v>432</v>
      </c>
      <c r="F434">
        <f t="shared" si="104"/>
        <v>63.2</v>
      </c>
      <c r="G434">
        <f t="shared" ca="1" si="105"/>
        <v>63.208000000000006</v>
      </c>
      <c r="H434" s="5">
        <f t="shared" ca="1" si="106"/>
        <v>8.0000000000026716E-3</v>
      </c>
      <c r="I434" s="5">
        <f t="shared" ca="1" si="107"/>
        <v>1.2658227848105492E-4</v>
      </c>
      <c r="J434" s="10">
        <f t="shared" si="108"/>
        <v>3.5999999999999996</v>
      </c>
      <c r="K434" s="12">
        <f t="shared" ca="1" si="109"/>
        <v>3.6006666666666662</v>
      </c>
      <c r="L434" s="5">
        <f t="shared" ca="1" si="110"/>
        <v>1.8518518518516482E-4</v>
      </c>
      <c r="N434">
        <f t="shared" ca="1" si="111"/>
        <v>38.208000000000006</v>
      </c>
      <c r="O434">
        <f t="shared" ca="1" si="112"/>
        <v>1.0573119999999999E-3</v>
      </c>
      <c r="P434">
        <f t="shared" ca="1" si="113"/>
        <v>1.0009551999999999</v>
      </c>
      <c r="Q434">
        <f t="shared" ca="1" si="114"/>
        <v>3.6030477015222435</v>
      </c>
      <c r="R434">
        <f t="shared" ca="1" si="115"/>
        <v>19216.254408118632</v>
      </c>
      <c r="S434">
        <f t="shared" ca="1" si="116"/>
        <v>3.8534370321265854</v>
      </c>
      <c r="T434">
        <f t="shared" ca="1" si="117"/>
        <v>-2</v>
      </c>
      <c r="U434">
        <f t="shared" ca="1" si="118"/>
        <v>19218</v>
      </c>
      <c r="V434">
        <f t="shared" ca="1" si="119"/>
        <v>3.6033750000000002</v>
      </c>
      <c r="X434">
        <f t="shared" ca="1" si="120"/>
        <v>3.5988800377879056</v>
      </c>
    </row>
    <row r="435" spans="5:24" x14ac:dyDescent="0.25">
      <c r="E435">
        <v>433</v>
      </c>
      <c r="F435">
        <f t="shared" si="104"/>
        <v>63.300000000000004</v>
      </c>
      <c r="G435">
        <f t="shared" ca="1" si="105"/>
        <v>63.291000000000004</v>
      </c>
      <c r="H435" s="5">
        <f t="shared" ca="1" si="106"/>
        <v>9.0000000000003411E-3</v>
      </c>
      <c r="I435" s="5">
        <f t="shared" ca="1" si="107"/>
        <v>1.4218009478673523E-4</v>
      </c>
      <c r="J435" s="10">
        <f t="shared" si="108"/>
        <v>3.6083333333333334</v>
      </c>
      <c r="K435" s="12">
        <f t="shared" ca="1" si="109"/>
        <v>3.6075833333333334</v>
      </c>
      <c r="L435" s="5">
        <f t="shared" ca="1" si="110"/>
        <v>2.0785219399538894E-4</v>
      </c>
      <c r="N435">
        <f t="shared" ca="1" si="111"/>
        <v>38.291000000000004</v>
      </c>
      <c r="O435">
        <f t="shared" ca="1" si="112"/>
        <v>1.0574365000000001E-3</v>
      </c>
      <c r="P435">
        <f t="shared" ca="1" si="113"/>
        <v>1.000957275</v>
      </c>
      <c r="Q435">
        <f t="shared" ca="1" si="114"/>
        <v>3.6099783339112244</v>
      </c>
      <c r="R435">
        <f t="shared" ca="1" si="115"/>
        <v>19253.217780859864</v>
      </c>
      <c r="S435">
        <f t="shared" ca="1" si="116"/>
        <v>3.8496108306425403</v>
      </c>
      <c r="T435">
        <f t="shared" ca="1" si="117"/>
        <v>0</v>
      </c>
      <c r="U435">
        <f t="shared" ca="1" si="118"/>
        <v>19257</v>
      </c>
      <c r="V435">
        <f t="shared" ca="1" si="119"/>
        <v>3.6106875</v>
      </c>
      <c r="X435">
        <f t="shared" ca="1" si="120"/>
        <v>3.6061779594938255</v>
      </c>
    </row>
    <row r="436" spans="5:24" x14ac:dyDescent="0.25">
      <c r="E436">
        <v>434</v>
      </c>
      <c r="F436">
        <f t="shared" si="104"/>
        <v>63.400000000000006</v>
      </c>
      <c r="G436">
        <f t="shared" ca="1" si="105"/>
        <v>63.405000000000008</v>
      </c>
      <c r="H436" s="5">
        <f t="shared" ca="1" si="106"/>
        <v>5.000000000002558E-3</v>
      </c>
      <c r="I436" s="5">
        <f t="shared" ca="1" si="107"/>
        <v>7.8864353312343177E-5</v>
      </c>
      <c r="J436" s="10">
        <f t="shared" si="108"/>
        <v>3.6166666666666663</v>
      </c>
      <c r="K436" s="12">
        <f t="shared" ca="1" si="109"/>
        <v>3.6170833333333334</v>
      </c>
      <c r="L436" s="5">
        <f t="shared" ca="1" si="110"/>
        <v>1.1520737327203021E-4</v>
      </c>
      <c r="N436">
        <f t="shared" ca="1" si="111"/>
        <v>38.405000000000008</v>
      </c>
      <c r="O436">
        <f t="shared" ca="1" si="112"/>
        <v>1.0576075000000001E-3</v>
      </c>
      <c r="P436">
        <f t="shared" ca="1" si="113"/>
        <v>1.000960125</v>
      </c>
      <c r="Q436">
        <f t="shared" ca="1" si="114"/>
        <v>3.6194975625333492</v>
      </c>
      <c r="R436">
        <f t="shared" ca="1" si="115"/>
        <v>19303.987000177862</v>
      </c>
      <c r="S436">
        <f t="shared" ca="1" si="116"/>
        <v>3.8442767460816669</v>
      </c>
      <c r="T436">
        <f t="shared" ca="1" si="117"/>
        <v>-1</v>
      </c>
      <c r="U436">
        <f t="shared" ca="1" si="118"/>
        <v>19307</v>
      </c>
      <c r="V436">
        <f t="shared" ca="1" si="119"/>
        <v>3.6200625</v>
      </c>
      <c r="X436">
        <f t="shared" ca="1" si="120"/>
        <v>3.6155335283710728</v>
      </c>
    </row>
    <row r="437" spans="5:24" x14ac:dyDescent="0.25">
      <c r="E437">
        <v>435</v>
      </c>
      <c r="F437">
        <f t="shared" si="104"/>
        <v>63.5</v>
      </c>
      <c r="G437">
        <f t="shared" ca="1" si="105"/>
        <v>63.491999999999997</v>
      </c>
      <c r="H437" s="5">
        <f t="shared" ca="1" si="106"/>
        <v>8.0000000000026716E-3</v>
      </c>
      <c r="I437" s="5">
        <f t="shared" ca="1" si="107"/>
        <v>1.2598425196854601E-4</v>
      </c>
      <c r="J437" s="10">
        <f t="shared" si="108"/>
        <v>3.6249999999999991</v>
      </c>
      <c r="K437" s="12">
        <f t="shared" ca="1" si="109"/>
        <v>3.6243333333333325</v>
      </c>
      <c r="L437" s="5">
        <f t="shared" ca="1" si="110"/>
        <v>1.8390804597699127E-4</v>
      </c>
      <c r="N437">
        <f t="shared" ca="1" si="111"/>
        <v>38.491999999999997</v>
      </c>
      <c r="O437">
        <f t="shared" ca="1" si="112"/>
        <v>1.0577379999999999E-3</v>
      </c>
      <c r="P437">
        <f t="shared" ca="1" si="113"/>
        <v>1.0009623000000001</v>
      </c>
      <c r="Q437">
        <f t="shared" ca="1" si="114"/>
        <v>3.6267622734387222</v>
      </c>
      <c r="R437">
        <f t="shared" ca="1" si="115"/>
        <v>19342.732125006518</v>
      </c>
      <c r="S437">
        <f t="shared" ca="1" si="116"/>
        <v>3.8401446937152053</v>
      </c>
      <c r="T437">
        <f t="shared" ca="1" si="117"/>
        <v>0</v>
      </c>
      <c r="U437">
        <f t="shared" ca="1" si="118"/>
        <v>19347</v>
      </c>
      <c r="V437">
        <f t="shared" ca="1" si="119"/>
        <v>3.6275625000000002</v>
      </c>
      <c r="X437">
        <f t="shared" ca="1" si="120"/>
        <v>3.6230183314596363</v>
      </c>
    </row>
    <row r="438" spans="5:24" x14ac:dyDescent="0.25">
      <c r="E438">
        <v>436</v>
      </c>
      <c r="F438">
        <f t="shared" si="104"/>
        <v>63.6</v>
      </c>
      <c r="G438">
        <f t="shared" ca="1" si="105"/>
        <v>63.594000000000001</v>
      </c>
      <c r="H438" s="5">
        <f t="shared" ca="1" si="106"/>
        <v>6.0000000000002274E-3</v>
      </c>
      <c r="I438" s="5">
        <f t="shared" ca="1" si="107"/>
        <v>9.4339622641513007E-5</v>
      </c>
      <c r="J438" s="10">
        <f t="shared" si="108"/>
        <v>3.6333333333333329</v>
      </c>
      <c r="K438" s="12">
        <f t="shared" ca="1" si="109"/>
        <v>3.6328333333333331</v>
      </c>
      <c r="L438" s="5">
        <f t="shared" ca="1" si="110"/>
        <v>1.3761467889900631E-4</v>
      </c>
      <c r="N438">
        <f t="shared" ca="1" si="111"/>
        <v>38.594000000000001</v>
      </c>
      <c r="O438">
        <f t="shared" ca="1" si="112"/>
        <v>1.057891E-3</v>
      </c>
      <c r="P438">
        <f t="shared" ca="1" si="113"/>
        <v>1.0009648499999999</v>
      </c>
      <c r="Q438">
        <f t="shared" ca="1" si="114"/>
        <v>3.6352795608688684</v>
      </c>
      <c r="R438">
        <f t="shared" ca="1" si="115"/>
        <v>19388.157657967298</v>
      </c>
      <c r="S438">
        <f t="shared" ca="1" si="116"/>
        <v>3.8352327194877351</v>
      </c>
      <c r="T438">
        <f t="shared" ca="1" si="117"/>
        <v>-1</v>
      </c>
      <c r="U438">
        <f t="shared" ca="1" si="118"/>
        <v>19391</v>
      </c>
      <c r="V438">
        <f t="shared" ca="1" si="119"/>
        <v>3.6358125000000001</v>
      </c>
      <c r="X438">
        <f t="shared" ca="1" si="120"/>
        <v>3.6312509964760507</v>
      </c>
    </row>
    <row r="439" spans="5:24" x14ac:dyDescent="0.25">
      <c r="E439">
        <v>437</v>
      </c>
      <c r="F439">
        <f t="shared" si="104"/>
        <v>63.7</v>
      </c>
      <c r="G439">
        <f t="shared" ca="1" si="105"/>
        <v>63.709000000000003</v>
      </c>
      <c r="H439" s="5">
        <f t="shared" ca="1" si="106"/>
        <v>9.0000000000003411E-3</v>
      </c>
      <c r="I439" s="5">
        <f t="shared" ca="1" si="107"/>
        <v>1.4128728414443235E-4</v>
      </c>
      <c r="J439" s="10">
        <f t="shared" si="108"/>
        <v>3.6416666666666666</v>
      </c>
      <c r="K439" s="12">
        <f t="shared" ca="1" si="109"/>
        <v>3.6424166666666666</v>
      </c>
      <c r="L439" s="5">
        <f t="shared" ca="1" si="110"/>
        <v>2.0594965675057989E-4</v>
      </c>
      <c r="N439">
        <f t="shared" ca="1" si="111"/>
        <v>38.709000000000003</v>
      </c>
      <c r="O439">
        <f t="shared" ca="1" si="112"/>
        <v>1.0580635000000001E-3</v>
      </c>
      <c r="P439">
        <f t="shared" ca="1" si="113"/>
        <v>1.000967725</v>
      </c>
      <c r="Q439">
        <f t="shared" ca="1" si="114"/>
        <v>3.6448824369209163</v>
      </c>
      <c r="R439">
        <f t="shared" ca="1" si="115"/>
        <v>19439.372996911552</v>
      </c>
      <c r="S439">
        <f t="shared" ca="1" si="116"/>
        <v>3.8296074429139981</v>
      </c>
      <c r="T439">
        <f t="shared" ca="1" si="117"/>
        <v>2</v>
      </c>
      <c r="U439">
        <f t="shared" ca="1" si="118"/>
        <v>19445</v>
      </c>
      <c r="V439">
        <f t="shared" ca="1" si="119"/>
        <v>3.6459375000000001</v>
      </c>
      <c r="X439">
        <f t="shared" ca="1" si="120"/>
        <v>3.6413556056465257</v>
      </c>
    </row>
    <row r="440" spans="5:24" x14ac:dyDescent="0.25">
      <c r="E440">
        <v>438</v>
      </c>
      <c r="F440">
        <f t="shared" si="104"/>
        <v>63.800000000000004</v>
      </c>
      <c r="G440">
        <f t="shared" ca="1" si="105"/>
        <v>63.807000000000002</v>
      </c>
      <c r="H440" s="5">
        <f t="shared" ca="1" si="106"/>
        <v>6.9999999999978968E-3</v>
      </c>
      <c r="I440" s="5">
        <f t="shared" ca="1" si="107"/>
        <v>1.0971786833852502E-4</v>
      </c>
      <c r="J440" s="10">
        <f t="shared" si="108"/>
        <v>3.6499999999999995</v>
      </c>
      <c r="K440" s="12">
        <f t="shared" ca="1" si="109"/>
        <v>3.6505833333333326</v>
      </c>
      <c r="L440" s="5">
        <f t="shared" ca="1" si="110"/>
        <v>1.5981735159812551E-4</v>
      </c>
      <c r="N440">
        <f t="shared" ca="1" si="111"/>
        <v>38.807000000000002</v>
      </c>
      <c r="O440">
        <f t="shared" ca="1" si="112"/>
        <v>1.0582105000000001E-3</v>
      </c>
      <c r="P440">
        <f t="shared" ca="1" si="113"/>
        <v>1.000970175</v>
      </c>
      <c r="Q440">
        <f t="shared" ca="1" si="114"/>
        <v>3.6530658008693773</v>
      </c>
      <c r="R440">
        <f t="shared" ca="1" si="115"/>
        <v>19483.01760463668</v>
      </c>
      <c r="S440">
        <f t="shared" ca="1" si="116"/>
        <v>3.8247408301733161</v>
      </c>
      <c r="T440">
        <f t="shared" ca="1" si="117"/>
        <v>3</v>
      </c>
      <c r="U440">
        <f t="shared" ca="1" si="118"/>
        <v>19490</v>
      </c>
      <c r="V440">
        <f t="shared" ca="1" si="119"/>
        <v>3.6543749999999999</v>
      </c>
      <c r="X440">
        <f t="shared" ca="1" si="120"/>
        <v>3.649775868197072</v>
      </c>
    </row>
    <row r="441" spans="5:24" x14ac:dyDescent="0.25">
      <c r="E441">
        <v>439</v>
      </c>
      <c r="F441">
        <f t="shared" si="104"/>
        <v>63.900000000000006</v>
      </c>
      <c r="G441">
        <f t="shared" ca="1" si="105"/>
        <v>63.890000000000008</v>
      </c>
      <c r="H441" s="5">
        <f t="shared" ca="1" si="106"/>
        <v>9.9999999999980105E-3</v>
      </c>
      <c r="I441" s="5">
        <f t="shared" ca="1" si="107"/>
        <v>1.5649452269167463E-4</v>
      </c>
      <c r="J441" s="10">
        <f t="shared" si="108"/>
        <v>3.6583333333333332</v>
      </c>
      <c r="K441" s="12">
        <f t="shared" ca="1" si="109"/>
        <v>3.6574999999999998</v>
      </c>
      <c r="L441" s="5">
        <f t="shared" ca="1" si="110"/>
        <v>2.2779043280185795E-4</v>
      </c>
      <c r="N441">
        <f t="shared" ca="1" si="111"/>
        <v>38.890000000000008</v>
      </c>
      <c r="O441">
        <f t="shared" ca="1" si="112"/>
        <v>1.0583350000000001E-3</v>
      </c>
      <c r="P441">
        <f t="shared" ca="1" si="113"/>
        <v>1.00097225</v>
      </c>
      <c r="Q441">
        <f t="shared" ca="1" si="114"/>
        <v>3.6599966404087958</v>
      </c>
      <c r="R441">
        <f t="shared" ca="1" si="115"/>
        <v>19519.982082180242</v>
      </c>
      <c r="S441">
        <f t="shared" ca="1" si="116"/>
        <v>3.820566708188013</v>
      </c>
      <c r="T441">
        <f t="shared" ca="1" si="117"/>
        <v>0</v>
      </c>
      <c r="U441">
        <f t="shared" ca="1" si="118"/>
        <v>19524</v>
      </c>
      <c r="V441">
        <f t="shared" ca="1" si="119"/>
        <v>3.6607500000000002</v>
      </c>
      <c r="X441">
        <f t="shared" ca="1" si="120"/>
        <v>3.6561369858155408</v>
      </c>
    </row>
    <row r="442" spans="5:24" x14ac:dyDescent="0.25">
      <c r="E442">
        <v>440</v>
      </c>
      <c r="F442">
        <f t="shared" si="104"/>
        <v>64</v>
      </c>
      <c r="G442">
        <f t="shared" ca="1" si="105"/>
        <v>64.003</v>
      </c>
      <c r="H442" s="5">
        <f t="shared" ca="1" si="106"/>
        <v>3.0000000000001137E-3</v>
      </c>
      <c r="I442" s="5">
        <f t="shared" ca="1" si="107"/>
        <v>4.6875000000001776E-5</v>
      </c>
      <c r="J442" s="10">
        <f t="shared" si="108"/>
        <v>3.6666666666666661</v>
      </c>
      <c r="K442" s="12">
        <f t="shared" ca="1" si="109"/>
        <v>3.6669166666666664</v>
      </c>
      <c r="L442" s="5">
        <f t="shared" ca="1" si="110"/>
        <v>6.8181818181901519E-5</v>
      </c>
      <c r="N442">
        <f t="shared" ca="1" si="111"/>
        <v>39.003</v>
      </c>
      <c r="O442">
        <f t="shared" ca="1" si="112"/>
        <v>1.0585045E-3</v>
      </c>
      <c r="P442">
        <f t="shared" ca="1" si="113"/>
        <v>1.0009750749999999</v>
      </c>
      <c r="Q442">
        <f t="shared" ca="1" si="114"/>
        <v>3.6694326488141407</v>
      </c>
      <c r="R442">
        <f t="shared" ca="1" si="115"/>
        <v>19570.307460342083</v>
      </c>
      <c r="S442">
        <f t="shared" ca="1" si="116"/>
        <v>3.8148067154885297</v>
      </c>
      <c r="T442">
        <f t="shared" ca="1" si="117"/>
        <v>1</v>
      </c>
      <c r="U442">
        <f t="shared" ca="1" si="118"/>
        <v>19575</v>
      </c>
      <c r="V442">
        <f t="shared" ca="1" si="119"/>
        <v>3.6703125000000001</v>
      </c>
      <c r="X442">
        <f t="shared" ca="1" si="120"/>
        <v>3.665679682883213</v>
      </c>
    </row>
    <row r="443" spans="5:24" x14ac:dyDescent="0.25">
      <c r="E443">
        <v>441</v>
      </c>
      <c r="F443">
        <f t="shared" si="104"/>
        <v>64.099999999999994</v>
      </c>
      <c r="G443">
        <f t="shared" ca="1" si="105"/>
        <v>64.102999999999994</v>
      </c>
      <c r="H443" s="5">
        <f t="shared" ca="1" si="106"/>
        <v>3.0000000000001137E-3</v>
      </c>
      <c r="I443" s="5">
        <f t="shared" ca="1" si="107"/>
        <v>4.6801872074884773E-5</v>
      </c>
      <c r="J443" s="10">
        <f t="shared" si="108"/>
        <v>3.6749999999999989</v>
      </c>
      <c r="K443" s="12">
        <f t="shared" ca="1" si="109"/>
        <v>3.6752499999999992</v>
      </c>
      <c r="L443" s="5">
        <f t="shared" ca="1" si="110"/>
        <v>6.8027210884436898E-5</v>
      </c>
      <c r="N443">
        <f t="shared" ca="1" si="111"/>
        <v>39.102999999999994</v>
      </c>
      <c r="O443">
        <f t="shared" ca="1" si="112"/>
        <v>1.0586545E-3</v>
      </c>
      <c r="P443">
        <f t="shared" ca="1" si="113"/>
        <v>1.0009775750000001</v>
      </c>
      <c r="Q443">
        <f t="shared" ca="1" si="114"/>
        <v>3.6777831431045769</v>
      </c>
      <c r="R443">
        <f t="shared" ca="1" si="115"/>
        <v>19614.843429891076</v>
      </c>
      <c r="S443">
        <f t="shared" ca="1" si="116"/>
        <v>3.8096352754896117</v>
      </c>
      <c r="T443">
        <f t="shared" ca="1" si="117"/>
        <v>-3</v>
      </c>
      <c r="U443">
        <f t="shared" ca="1" si="118"/>
        <v>19616</v>
      </c>
      <c r="V443">
        <f t="shared" ca="1" si="119"/>
        <v>3.6779999999999999</v>
      </c>
      <c r="X443">
        <f t="shared" ca="1" si="120"/>
        <v>3.6733503700120353</v>
      </c>
    </row>
    <row r="444" spans="5:24" x14ac:dyDescent="0.25">
      <c r="E444">
        <v>442</v>
      </c>
      <c r="F444">
        <f t="shared" si="104"/>
        <v>64.2</v>
      </c>
      <c r="G444">
        <f t="shared" ca="1" si="105"/>
        <v>64.195999999999998</v>
      </c>
      <c r="H444" s="5">
        <f t="shared" ca="1" si="106"/>
        <v>4.0000000000048885E-3</v>
      </c>
      <c r="I444" s="5">
        <f t="shared" ca="1" si="107"/>
        <v>6.2305295950231912E-5</v>
      </c>
      <c r="J444" s="10">
        <f t="shared" si="108"/>
        <v>3.6833333333333327</v>
      </c>
      <c r="K444" s="12">
        <f t="shared" ca="1" si="109"/>
        <v>3.6829999999999989</v>
      </c>
      <c r="L444" s="5">
        <f t="shared" ca="1" si="110"/>
        <v>9.04977375566717E-5</v>
      </c>
      <c r="N444">
        <f t="shared" ca="1" si="111"/>
        <v>39.195999999999998</v>
      </c>
      <c r="O444">
        <f t="shared" ca="1" si="112"/>
        <v>1.0587940000000001E-3</v>
      </c>
      <c r="P444">
        <f t="shared" ca="1" si="113"/>
        <v>1.0009798999999999</v>
      </c>
      <c r="Q444">
        <f t="shared" ca="1" si="114"/>
        <v>3.6855491401877583</v>
      </c>
      <c r="R444">
        <f t="shared" ca="1" si="115"/>
        <v>19656.262081001376</v>
      </c>
      <c r="S444">
        <f t="shared" ca="1" si="116"/>
        <v>3.8047634781726782</v>
      </c>
      <c r="T444">
        <f t="shared" ca="1" si="117"/>
        <v>-2</v>
      </c>
      <c r="U444">
        <f t="shared" ca="1" si="118"/>
        <v>19658</v>
      </c>
      <c r="V444">
        <f t="shared" ca="1" si="119"/>
        <v>3.6858750000000002</v>
      </c>
      <c r="X444">
        <f t="shared" ca="1" si="120"/>
        <v>3.6812089893113744</v>
      </c>
    </row>
    <row r="445" spans="5:24" x14ac:dyDescent="0.25">
      <c r="E445">
        <v>443</v>
      </c>
      <c r="F445">
        <f t="shared" si="104"/>
        <v>64.300000000000011</v>
      </c>
      <c r="G445">
        <f t="shared" ca="1" si="105"/>
        <v>64.304000000000016</v>
      </c>
      <c r="H445" s="5">
        <f t="shared" ca="1" si="106"/>
        <v>4.0000000000048885E-3</v>
      </c>
      <c r="I445" s="5">
        <f t="shared" ca="1" si="107"/>
        <v>6.220839813382407E-5</v>
      </c>
      <c r="J445" s="10">
        <f t="shared" si="108"/>
        <v>3.6916666666666673</v>
      </c>
      <c r="K445" s="12">
        <f t="shared" ca="1" si="109"/>
        <v>3.6920000000000011</v>
      </c>
      <c r="L445" s="5">
        <f t="shared" ca="1" si="110"/>
        <v>9.0293453724715295E-5</v>
      </c>
      <c r="N445">
        <f t="shared" ca="1" si="111"/>
        <v>39.304000000000016</v>
      </c>
      <c r="O445">
        <f t="shared" ca="1" si="112"/>
        <v>1.058956E-3</v>
      </c>
      <c r="P445">
        <f t="shared" ca="1" si="113"/>
        <v>1.0009825999999999</v>
      </c>
      <c r="Q445">
        <f t="shared" ca="1" si="114"/>
        <v>3.694567762669835</v>
      </c>
      <c r="R445">
        <f t="shared" ca="1" si="115"/>
        <v>19704.361400905786</v>
      </c>
      <c r="S445">
        <f t="shared" ca="1" si="116"/>
        <v>3.7990305924256593</v>
      </c>
      <c r="T445">
        <f t="shared" ca="1" si="117"/>
        <v>0</v>
      </c>
      <c r="U445">
        <f t="shared" ca="1" si="118"/>
        <v>19708</v>
      </c>
      <c r="V445">
        <f t="shared" ca="1" si="119"/>
        <v>3.6952500000000001</v>
      </c>
      <c r="X445">
        <f t="shared" ca="1" si="120"/>
        <v>3.6905646951305648</v>
      </c>
    </row>
    <row r="446" spans="5:24" x14ac:dyDescent="0.25">
      <c r="E446">
        <v>444</v>
      </c>
      <c r="F446">
        <f t="shared" si="104"/>
        <v>64.400000000000006</v>
      </c>
      <c r="G446">
        <f t="shared" ca="1" si="105"/>
        <v>64.39800000000001</v>
      </c>
      <c r="H446" s="5">
        <f t="shared" ca="1" si="106"/>
        <v>1.9999999999953388E-3</v>
      </c>
      <c r="I446" s="5">
        <f t="shared" ca="1" si="107"/>
        <v>3.105590062104563E-5</v>
      </c>
      <c r="J446" s="10">
        <f t="shared" si="108"/>
        <v>3.7</v>
      </c>
      <c r="K446" s="12">
        <f t="shared" ca="1" si="109"/>
        <v>3.6998333333333333</v>
      </c>
      <c r="L446" s="5">
        <f t="shared" ca="1" si="110"/>
        <v>4.5045045045100096E-5</v>
      </c>
      <c r="N446">
        <f t="shared" ca="1" si="111"/>
        <v>39.39800000000001</v>
      </c>
      <c r="O446">
        <f t="shared" ca="1" si="112"/>
        <v>1.0590969999999999E-3</v>
      </c>
      <c r="P446">
        <f t="shared" ca="1" si="113"/>
        <v>1.0009849500000001</v>
      </c>
      <c r="Q446">
        <f t="shared" ca="1" si="114"/>
        <v>3.7024173440174102</v>
      </c>
      <c r="R446">
        <f t="shared" ca="1" si="115"/>
        <v>19746.22583475952</v>
      </c>
      <c r="S446">
        <f t="shared" ca="1" si="116"/>
        <v>3.7939750701350095</v>
      </c>
      <c r="T446">
        <f t="shared" ca="1" si="117"/>
        <v>-1</v>
      </c>
      <c r="U446">
        <f t="shared" ca="1" si="118"/>
        <v>19749</v>
      </c>
      <c r="V446">
        <f t="shared" ca="1" si="119"/>
        <v>3.7029375</v>
      </c>
      <c r="X446">
        <f t="shared" ca="1" si="120"/>
        <v>3.6982358256235517</v>
      </c>
    </row>
    <row r="447" spans="5:24" x14ac:dyDescent="0.25">
      <c r="E447">
        <v>445</v>
      </c>
      <c r="F447">
        <f t="shared" si="104"/>
        <v>64.5</v>
      </c>
      <c r="G447">
        <f t="shared" ca="1" si="105"/>
        <v>64.504999999999995</v>
      </c>
      <c r="H447" s="5">
        <f t="shared" ca="1" si="106"/>
        <v>4.9999999999954525E-3</v>
      </c>
      <c r="I447" s="5">
        <f t="shared" ca="1" si="107"/>
        <v>7.7519379844890731E-5</v>
      </c>
      <c r="J447" s="10">
        <f t="shared" si="108"/>
        <v>3.708333333333333</v>
      </c>
      <c r="K447" s="12">
        <f t="shared" ca="1" si="109"/>
        <v>3.7087499999999993</v>
      </c>
      <c r="L447" s="5">
        <f t="shared" ca="1" si="110"/>
        <v>1.1235955056169557E-4</v>
      </c>
      <c r="N447">
        <f t="shared" ca="1" si="111"/>
        <v>39.504999999999995</v>
      </c>
      <c r="O447">
        <f t="shared" ca="1" si="112"/>
        <v>1.0592575E-3</v>
      </c>
      <c r="P447">
        <f t="shared" ca="1" si="113"/>
        <v>1.000987625</v>
      </c>
      <c r="Q447">
        <f t="shared" ca="1" si="114"/>
        <v>3.7113525505695608</v>
      </c>
      <c r="R447">
        <f t="shared" ca="1" si="115"/>
        <v>19793.880269704325</v>
      </c>
      <c r="S447">
        <f t="shared" ca="1" si="116"/>
        <v>3.7881459712555019</v>
      </c>
      <c r="T447">
        <f t="shared" ca="1" si="117"/>
        <v>1</v>
      </c>
      <c r="U447">
        <f t="shared" ca="1" si="118"/>
        <v>19799</v>
      </c>
      <c r="V447">
        <f t="shared" ca="1" si="119"/>
        <v>3.7123124999999999</v>
      </c>
      <c r="X447">
        <f t="shared" ca="1" si="120"/>
        <v>3.7075915324128004</v>
      </c>
    </row>
    <row r="448" spans="5:24" x14ac:dyDescent="0.25">
      <c r="E448">
        <v>446</v>
      </c>
      <c r="F448">
        <f t="shared" si="104"/>
        <v>64.599999999999994</v>
      </c>
      <c r="G448">
        <f t="shared" ca="1" si="105"/>
        <v>64.605999999999995</v>
      </c>
      <c r="H448" s="5">
        <f t="shared" ca="1" si="106"/>
        <v>6.0000000000002274E-3</v>
      </c>
      <c r="I448" s="5">
        <f t="shared" ca="1" si="107"/>
        <v>9.2879256965947804E-5</v>
      </c>
      <c r="J448" s="10">
        <f t="shared" si="108"/>
        <v>3.7166666666666659</v>
      </c>
      <c r="K448" s="12">
        <f t="shared" ca="1" si="109"/>
        <v>3.7171666666666656</v>
      </c>
      <c r="L448" s="5">
        <f t="shared" ca="1" si="110"/>
        <v>1.3452914798198825E-4</v>
      </c>
      <c r="N448">
        <f t="shared" ca="1" si="111"/>
        <v>39.605999999999995</v>
      </c>
      <c r="O448">
        <f t="shared" ca="1" si="112"/>
        <v>1.0594090000000001E-3</v>
      </c>
      <c r="P448">
        <f t="shared" ca="1" si="113"/>
        <v>1.00099015</v>
      </c>
      <c r="Q448">
        <f t="shared" ca="1" si="114"/>
        <v>3.7197867612678444</v>
      </c>
      <c r="R448">
        <f t="shared" ca="1" si="115"/>
        <v>19838.862726761836</v>
      </c>
      <c r="S448">
        <f t="shared" ca="1" si="116"/>
        <v>3.7825711594863871</v>
      </c>
      <c r="T448">
        <f t="shared" ca="1" si="117"/>
        <v>2</v>
      </c>
      <c r="U448">
        <f t="shared" ca="1" si="118"/>
        <v>19845</v>
      </c>
      <c r="V448">
        <f t="shared" ca="1" si="119"/>
        <v>3.7209375000000002</v>
      </c>
      <c r="X448">
        <f t="shared" ca="1" si="120"/>
        <v>3.7161984970581381</v>
      </c>
    </row>
    <row r="449" spans="5:24" x14ac:dyDescent="0.25">
      <c r="E449">
        <v>447</v>
      </c>
      <c r="F449">
        <f t="shared" si="104"/>
        <v>64.7</v>
      </c>
      <c r="G449">
        <f t="shared" ca="1" si="105"/>
        <v>64.691000000000003</v>
      </c>
      <c r="H449" s="5">
        <f t="shared" ca="1" si="106"/>
        <v>9.0000000000003411E-3</v>
      </c>
      <c r="I449" s="5">
        <f t="shared" ca="1" si="107"/>
        <v>1.3910355486862968E-4</v>
      </c>
      <c r="J449" s="10">
        <f t="shared" si="108"/>
        <v>3.7249999999999996</v>
      </c>
      <c r="K449" s="12">
        <f t="shared" ca="1" si="109"/>
        <v>3.7242499999999996</v>
      </c>
      <c r="L449" s="5">
        <f t="shared" ca="1" si="110"/>
        <v>2.0134228187920227E-4</v>
      </c>
      <c r="N449">
        <f t="shared" ca="1" si="111"/>
        <v>39.691000000000003</v>
      </c>
      <c r="O449">
        <f t="shared" ca="1" si="112"/>
        <v>1.0595365E-3</v>
      </c>
      <c r="P449">
        <f t="shared" ca="1" si="113"/>
        <v>1.000992275</v>
      </c>
      <c r="Q449">
        <f t="shared" ca="1" si="114"/>
        <v>3.7268848923171687</v>
      </c>
      <c r="R449">
        <f t="shared" ca="1" si="115"/>
        <v>19876.719425691565</v>
      </c>
      <c r="S449">
        <f t="shared" ca="1" si="116"/>
        <v>3.7778249428162205</v>
      </c>
      <c r="T449">
        <f t="shared" ca="1" si="117"/>
        <v>3</v>
      </c>
      <c r="U449">
        <f t="shared" ca="1" si="118"/>
        <v>19883</v>
      </c>
      <c r="V449">
        <f t="shared" ca="1" si="119"/>
        <v>3.7280625000000001</v>
      </c>
      <c r="X449">
        <f t="shared" ca="1" si="120"/>
        <v>3.7233084176398865</v>
      </c>
    </row>
    <row r="450" spans="5:24" x14ac:dyDescent="0.25">
      <c r="E450">
        <v>448</v>
      </c>
      <c r="F450">
        <f t="shared" si="104"/>
        <v>64.800000000000011</v>
      </c>
      <c r="G450">
        <f t="shared" ca="1" si="105"/>
        <v>64.800000000000011</v>
      </c>
      <c r="H450" s="5">
        <f t="shared" ca="1" si="106"/>
        <v>0</v>
      </c>
      <c r="I450" s="5">
        <f t="shared" ca="1" si="107"/>
        <v>0</v>
      </c>
      <c r="J450" s="10">
        <f t="shared" si="108"/>
        <v>3.7333333333333334</v>
      </c>
      <c r="K450" s="12">
        <f t="shared" ca="1" si="109"/>
        <v>3.7333333333333334</v>
      </c>
      <c r="L450" s="5">
        <f t="shared" ca="1" si="110"/>
        <v>0</v>
      </c>
      <c r="N450">
        <f t="shared" ca="1" si="111"/>
        <v>39.800000000000011</v>
      </c>
      <c r="O450">
        <f t="shared" ca="1" si="112"/>
        <v>1.0597E-3</v>
      </c>
      <c r="P450">
        <f t="shared" ca="1" si="113"/>
        <v>1.0009950000000001</v>
      </c>
      <c r="Q450">
        <f t="shared" ca="1" si="114"/>
        <v>3.7359872455985004</v>
      </c>
      <c r="R450">
        <f t="shared" ca="1" si="115"/>
        <v>19925.265309858667</v>
      </c>
      <c r="S450">
        <f t="shared" ca="1" si="116"/>
        <v>3.7716657704817895</v>
      </c>
      <c r="T450">
        <f t="shared" ca="1" si="117"/>
        <v>-1</v>
      </c>
      <c r="U450">
        <f t="shared" ca="1" si="118"/>
        <v>19928</v>
      </c>
      <c r="V450">
        <f t="shared" ca="1" si="119"/>
        <v>3.7364999999999999</v>
      </c>
      <c r="X450">
        <f t="shared" ca="1" si="120"/>
        <v>3.731727231404752</v>
      </c>
    </row>
    <row r="451" spans="5:24" x14ac:dyDescent="0.25">
      <c r="E451">
        <v>449</v>
      </c>
      <c r="F451">
        <f t="shared" ref="F451:F514" si="121">0.1*E451+20</f>
        <v>64.900000000000006</v>
      </c>
      <c r="G451">
        <f t="shared" ref="G451:G514" ca="1" si="122">F451+(RANDBETWEEN(-10,10)/100)*0.1</f>
        <v>64.891000000000005</v>
      </c>
      <c r="H451" s="5">
        <f t="shared" ref="H451:H514" ca="1" si="123">ABS(F451-G451)</f>
        <v>9.0000000000003411E-3</v>
      </c>
      <c r="I451" s="5">
        <f t="shared" ref="I451:I514" ca="1" si="124">ABS(F451-G451)/F451</f>
        <v>1.3867488443760153E-4</v>
      </c>
      <c r="J451" s="10">
        <f t="shared" ref="J451:J514" si="125">1/12*F451-5/3</f>
        <v>3.7416666666666663</v>
      </c>
      <c r="K451" s="12">
        <f t="shared" ref="K451:K514" ca="1" si="126">(1/12*G451-5/3) + J451*RANDBETWEEN($B$2,$C$2)</f>
        <v>3.7409166666666662</v>
      </c>
      <c r="L451" s="5">
        <f t="shared" ref="L451:L514" ca="1" si="127">IF(J451=0, ABS(J451-K451), ABS(J451-K451)/J451)</f>
        <v>2.004454342984486E-4</v>
      </c>
      <c r="N451">
        <f t="shared" ref="N451:N514" ca="1" si="128">G451-$B$29</f>
        <v>39.891000000000005</v>
      </c>
      <c r="O451">
        <f t="shared" ref="O451:O514" ca="1" si="129">0.001 + 0.0000015*N451</f>
        <v>1.0598364999999999E-3</v>
      </c>
      <c r="P451">
        <f t="shared" ref="P451:P514" ca="1" si="130">1 + 0.000025*N451</f>
        <v>1.000997275</v>
      </c>
      <c r="Q451">
        <f t="shared" ref="Q451:Q514" ca="1" si="131">(K451-O451)*P451</f>
        <v>3.7435864958869707</v>
      </c>
      <c r="R451">
        <f t="shared" ref="R451:R514" ca="1" si="132">Q451*32768/6.144</f>
        <v>19965.794644730511</v>
      </c>
      <c r="S451">
        <f t="shared" ref="S451:S514" ca="1" si="133">4*SIN(PI()*R451/32768)</f>
        <v>3.7664610988333096</v>
      </c>
      <c r="T451">
        <f t="shared" ref="T451:T514" ca="1" si="134">RANDBETWEEN(-1*$B$15,1*$B$15)</f>
        <v>3</v>
      </c>
      <c r="U451">
        <f t="shared" ref="U451:U514" ca="1" si="135">ROUND(R451+S451+T451,0)</f>
        <v>19973</v>
      </c>
      <c r="V451">
        <f t="shared" ref="V451:V514" ca="1" si="136">U451*6.144/32768</f>
        <v>3.7449375000000003</v>
      </c>
      <c r="X451">
        <f t="shared" ref="X451:X514" ca="1" si="137">(U451*6.144/32768 -O451)/P451</f>
        <v>3.7401477076948089</v>
      </c>
    </row>
    <row r="452" spans="5:24" x14ac:dyDescent="0.25">
      <c r="E452">
        <v>450</v>
      </c>
      <c r="F452">
        <f t="shared" si="121"/>
        <v>65</v>
      </c>
      <c r="G452">
        <f t="shared" ca="1" si="122"/>
        <v>64.998999999999995</v>
      </c>
      <c r="H452" s="5">
        <f t="shared" ca="1" si="123"/>
        <v>1.0000000000047748E-3</v>
      </c>
      <c r="I452" s="5">
        <f t="shared" ca="1" si="124"/>
        <v>1.5384615384688845E-5</v>
      </c>
      <c r="J452" s="10">
        <f t="shared" si="125"/>
        <v>3.7499999999999991</v>
      </c>
      <c r="K452" s="12">
        <f t="shared" ca="1" si="126"/>
        <v>3.7499166666666657</v>
      </c>
      <c r="L452" s="5">
        <f t="shared" ca="1" si="127"/>
        <v>2.2222222222249386E-5</v>
      </c>
      <c r="N452">
        <f t="shared" ca="1" si="128"/>
        <v>39.998999999999995</v>
      </c>
      <c r="O452">
        <f t="shared" ca="1" si="129"/>
        <v>1.0599985000000001E-3</v>
      </c>
      <c r="P452">
        <f t="shared" ca="1" si="130"/>
        <v>1.000999975</v>
      </c>
      <c r="Q452">
        <f t="shared" ca="1" si="131"/>
        <v>3.7526054311134156</v>
      </c>
      <c r="R452">
        <f t="shared" ca="1" si="132"/>
        <v>20013.895632604883</v>
      </c>
      <c r="S452">
        <f t="shared" ca="1" si="133"/>
        <v>3.7602103045534063</v>
      </c>
      <c r="T452">
        <f t="shared" ca="1" si="134"/>
        <v>1</v>
      </c>
      <c r="U452">
        <f t="shared" ca="1" si="135"/>
        <v>20019</v>
      </c>
      <c r="V452">
        <f t="shared" ca="1" si="136"/>
        <v>3.7535625000000001</v>
      </c>
      <c r="X452">
        <f t="shared" ca="1" si="137"/>
        <v>3.7487538413774684</v>
      </c>
    </row>
    <row r="453" spans="5:24" x14ac:dyDescent="0.25">
      <c r="E453">
        <v>451</v>
      </c>
      <c r="F453">
        <f t="shared" si="121"/>
        <v>65.099999999999994</v>
      </c>
      <c r="G453">
        <f t="shared" ca="1" si="122"/>
        <v>65.10499999999999</v>
      </c>
      <c r="H453" s="5">
        <f t="shared" ca="1" si="123"/>
        <v>4.9999999999954525E-3</v>
      </c>
      <c r="I453" s="5">
        <f t="shared" ca="1" si="124"/>
        <v>7.6804915514523084E-5</v>
      </c>
      <c r="J453" s="10">
        <f t="shared" si="125"/>
        <v>3.758333333333332</v>
      </c>
      <c r="K453" s="12">
        <f t="shared" ca="1" si="126"/>
        <v>3.7587499999999983</v>
      </c>
      <c r="L453" s="5">
        <f t="shared" ca="1" si="127"/>
        <v>1.1086474501098568E-4</v>
      </c>
      <c r="N453">
        <f t="shared" ca="1" si="128"/>
        <v>40.10499999999999</v>
      </c>
      <c r="O453">
        <f t="shared" ca="1" si="129"/>
        <v>1.0601575000000001E-3</v>
      </c>
      <c r="P453">
        <f t="shared" ca="1" si="130"/>
        <v>1.0010026249999999</v>
      </c>
      <c r="Q453">
        <f t="shared" ca="1" si="131"/>
        <v>3.7614573962783346</v>
      </c>
      <c r="R453">
        <f t="shared" ca="1" si="132"/>
        <v>20061.106113484449</v>
      </c>
      <c r="S453">
        <f t="shared" ca="1" si="133"/>
        <v>3.7539974706286516</v>
      </c>
      <c r="T453">
        <f t="shared" ca="1" si="134"/>
        <v>-3</v>
      </c>
      <c r="U453">
        <f t="shared" ca="1" si="135"/>
        <v>20062</v>
      </c>
      <c r="V453">
        <f t="shared" ca="1" si="136"/>
        <v>3.761625</v>
      </c>
      <c r="X453">
        <f t="shared" ca="1" si="137"/>
        <v>3.7567981827220485</v>
      </c>
    </row>
    <row r="454" spans="5:24" x14ac:dyDescent="0.25">
      <c r="E454">
        <v>452</v>
      </c>
      <c r="F454">
        <f t="shared" si="121"/>
        <v>65.2</v>
      </c>
      <c r="G454">
        <f t="shared" ca="1" si="122"/>
        <v>65.191000000000003</v>
      </c>
      <c r="H454" s="5">
        <f t="shared" ca="1" si="123"/>
        <v>9.0000000000003411E-3</v>
      </c>
      <c r="I454" s="5">
        <f t="shared" ca="1" si="124"/>
        <v>1.3803680981595615E-4</v>
      </c>
      <c r="J454" s="10">
        <f t="shared" si="125"/>
        <v>3.7666666666666666</v>
      </c>
      <c r="K454" s="12">
        <f t="shared" ca="1" si="126"/>
        <v>3.7659166666666666</v>
      </c>
      <c r="L454" s="5">
        <f t="shared" ca="1" si="127"/>
        <v>1.9911504424779516E-4</v>
      </c>
      <c r="N454">
        <f t="shared" ca="1" si="128"/>
        <v>40.191000000000003</v>
      </c>
      <c r="O454">
        <f t="shared" ca="1" si="129"/>
        <v>1.0602865000000001E-3</v>
      </c>
      <c r="P454">
        <f t="shared" ca="1" si="130"/>
        <v>1.001004775</v>
      </c>
      <c r="Q454">
        <f t="shared" ca="1" si="131"/>
        <v>3.7686392137360483</v>
      </c>
      <c r="R454">
        <f t="shared" ca="1" si="132"/>
        <v>20099.409139925589</v>
      </c>
      <c r="S454">
        <f t="shared" ca="1" si="133"/>
        <v>3.7489003287124323</v>
      </c>
      <c r="T454">
        <f t="shared" ca="1" si="134"/>
        <v>-3</v>
      </c>
      <c r="U454">
        <f t="shared" ca="1" si="135"/>
        <v>20100</v>
      </c>
      <c r="V454">
        <f t="shared" ca="1" si="136"/>
        <v>3.7687500000000003</v>
      </c>
      <c r="X454">
        <f t="shared" ca="1" si="137"/>
        <v>3.7639078330070905</v>
      </c>
    </row>
    <row r="455" spans="5:24" x14ac:dyDescent="0.25">
      <c r="E455">
        <v>453</v>
      </c>
      <c r="F455">
        <f t="shared" si="121"/>
        <v>65.300000000000011</v>
      </c>
      <c r="G455">
        <f t="shared" ca="1" si="122"/>
        <v>65.291000000000011</v>
      </c>
      <c r="H455" s="5">
        <f t="shared" ca="1" si="123"/>
        <v>9.0000000000003411E-3</v>
      </c>
      <c r="I455" s="5">
        <f t="shared" ca="1" si="124"/>
        <v>1.3782542113323644E-4</v>
      </c>
      <c r="J455" s="10">
        <f t="shared" si="125"/>
        <v>3.7750000000000004</v>
      </c>
      <c r="K455" s="12">
        <f t="shared" ca="1" si="126"/>
        <v>3.7742500000000003</v>
      </c>
      <c r="L455" s="5">
        <f t="shared" ca="1" si="127"/>
        <v>1.9867549668874923E-4</v>
      </c>
      <c r="N455">
        <f t="shared" ca="1" si="128"/>
        <v>40.291000000000011</v>
      </c>
      <c r="O455">
        <f t="shared" ca="1" si="129"/>
        <v>1.0604365000000001E-3</v>
      </c>
      <c r="P455">
        <f t="shared" ca="1" si="130"/>
        <v>1.0010072750000001</v>
      </c>
      <c r="Q455">
        <f t="shared" ca="1" si="131"/>
        <v>3.7769902030175753</v>
      </c>
      <c r="R455">
        <f t="shared" ca="1" si="132"/>
        <v>20143.947749427069</v>
      </c>
      <c r="S455">
        <f t="shared" ca="1" si="133"/>
        <v>3.7429098257970472</v>
      </c>
      <c r="T455">
        <f t="shared" ca="1" si="134"/>
        <v>2</v>
      </c>
      <c r="U455">
        <f t="shared" ca="1" si="135"/>
        <v>20150</v>
      </c>
      <c r="V455">
        <f t="shared" ca="1" si="136"/>
        <v>3.7781250000000002</v>
      </c>
      <c r="X455">
        <f t="shared" ca="1" si="137"/>
        <v>3.7732638491563408</v>
      </c>
    </row>
    <row r="456" spans="5:24" x14ac:dyDescent="0.25">
      <c r="E456">
        <v>454</v>
      </c>
      <c r="F456">
        <f t="shared" si="121"/>
        <v>65.400000000000006</v>
      </c>
      <c r="G456">
        <f t="shared" ca="1" si="122"/>
        <v>65.407000000000011</v>
      </c>
      <c r="H456" s="5">
        <f t="shared" ca="1" si="123"/>
        <v>7.0000000000050022E-3</v>
      </c>
      <c r="I456" s="5">
        <f t="shared" ca="1" si="124"/>
        <v>1.0703363914380737E-4</v>
      </c>
      <c r="J456" s="10">
        <f t="shared" si="125"/>
        <v>3.7833333333333332</v>
      </c>
      <c r="K456" s="12">
        <f t="shared" ca="1" si="126"/>
        <v>3.7839166666666673</v>
      </c>
      <c r="L456" s="5">
        <f t="shared" ca="1" si="127"/>
        <v>1.5418502202662015E-4</v>
      </c>
      <c r="N456">
        <f t="shared" ca="1" si="128"/>
        <v>40.407000000000011</v>
      </c>
      <c r="O456">
        <f t="shared" ca="1" si="129"/>
        <v>1.0606105E-3</v>
      </c>
      <c r="P456">
        <f t="shared" ca="1" si="130"/>
        <v>1.001010175</v>
      </c>
      <c r="Q456">
        <f t="shared" ca="1" si="131"/>
        <v>3.7866774027832051</v>
      </c>
      <c r="R456">
        <f t="shared" ca="1" si="132"/>
        <v>20195.61281484376</v>
      </c>
      <c r="S456">
        <f t="shared" ca="1" si="133"/>
        <v>3.7358753121154238</v>
      </c>
      <c r="T456">
        <f t="shared" ca="1" si="134"/>
        <v>-2</v>
      </c>
      <c r="U456">
        <f t="shared" ca="1" si="135"/>
        <v>20197</v>
      </c>
      <c r="V456">
        <f t="shared" ca="1" si="136"/>
        <v>3.7869375000000001</v>
      </c>
      <c r="X456">
        <f t="shared" ca="1" si="137"/>
        <v>3.7820563507259055</v>
      </c>
    </row>
    <row r="457" spans="5:24" x14ac:dyDescent="0.25">
      <c r="E457">
        <v>455</v>
      </c>
      <c r="F457">
        <f t="shared" si="121"/>
        <v>65.5</v>
      </c>
      <c r="G457">
        <f t="shared" ca="1" si="122"/>
        <v>65.509</v>
      </c>
      <c r="H457" s="5">
        <f t="shared" ca="1" si="123"/>
        <v>9.0000000000003411E-3</v>
      </c>
      <c r="I457" s="5">
        <f t="shared" ca="1" si="124"/>
        <v>1.3740458015267697E-4</v>
      </c>
      <c r="J457" s="10">
        <f t="shared" si="125"/>
        <v>3.7916666666666661</v>
      </c>
      <c r="K457" s="12">
        <f t="shared" ca="1" si="126"/>
        <v>3.7924166666666661</v>
      </c>
      <c r="L457" s="5">
        <f t="shared" ca="1" si="127"/>
        <v>1.9780219780220532E-4</v>
      </c>
      <c r="N457">
        <f t="shared" ca="1" si="128"/>
        <v>40.509</v>
      </c>
      <c r="O457">
        <f t="shared" ca="1" si="129"/>
        <v>1.0607635000000001E-3</v>
      </c>
      <c r="P457">
        <f t="shared" ca="1" si="130"/>
        <v>1.001012725</v>
      </c>
      <c r="Q457">
        <f t="shared" ca="1" si="131"/>
        <v>3.7951955040737007</v>
      </c>
      <c r="R457">
        <f t="shared" ca="1" si="132"/>
        <v>20241.04268839307</v>
      </c>
      <c r="S457">
        <f t="shared" ca="1" si="133"/>
        <v>3.7296140165365892</v>
      </c>
      <c r="T457">
        <f t="shared" ca="1" si="134"/>
        <v>1</v>
      </c>
      <c r="U457">
        <f t="shared" ca="1" si="135"/>
        <v>20246</v>
      </c>
      <c r="V457">
        <f t="shared" ca="1" si="136"/>
        <v>3.796125</v>
      </c>
      <c r="X457">
        <f t="shared" ca="1" si="137"/>
        <v>3.7912247683964257</v>
      </c>
    </row>
    <row r="458" spans="5:24" x14ac:dyDescent="0.25">
      <c r="E458">
        <v>456</v>
      </c>
      <c r="F458">
        <f t="shared" si="121"/>
        <v>65.599999999999994</v>
      </c>
      <c r="G458">
        <f t="shared" ca="1" si="122"/>
        <v>65.597999999999999</v>
      </c>
      <c r="H458" s="5">
        <f t="shared" ca="1" si="123"/>
        <v>1.9999999999953388E-3</v>
      </c>
      <c r="I458" s="5">
        <f t="shared" ca="1" si="124"/>
        <v>3.0487804877977728E-5</v>
      </c>
      <c r="J458" s="10">
        <f t="shared" si="125"/>
        <v>3.7999999999999989</v>
      </c>
      <c r="K458" s="12">
        <f t="shared" ca="1" si="126"/>
        <v>3.799833333333333</v>
      </c>
      <c r="L458" s="5">
        <f t="shared" ca="1" si="127"/>
        <v>4.3859649122626901E-5</v>
      </c>
      <c r="N458">
        <f t="shared" ca="1" si="128"/>
        <v>40.597999999999999</v>
      </c>
      <c r="O458">
        <f t="shared" ca="1" si="129"/>
        <v>1.0608970000000001E-3</v>
      </c>
      <c r="P458">
        <f t="shared" ca="1" si="130"/>
        <v>1.0010149500000001</v>
      </c>
      <c r="Q458">
        <f t="shared" ca="1" si="131"/>
        <v>3.8026280004175899</v>
      </c>
      <c r="R458">
        <f t="shared" ca="1" si="132"/>
        <v>20280.682668893813</v>
      </c>
      <c r="S458">
        <f t="shared" ca="1" si="133"/>
        <v>3.7240928971190423</v>
      </c>
      <c r="T458">
        <f t="shared" ca="1" si="134"/>
        <v>-1</v>
      </c>
      <c r="U458">
        <f t="shared" ca="1" si="135"/>
        <v>20283</v>
      </c>
      <c r="V458">
        <f t="shared" ca="1" si="136"/>
        <v>3.8030625000000002</v>
      </c>
      <c r="X458">
        <f t="shared" ca="1" si="137"/>
        <v>3.7981466740331902</v>
      </c>
    </row>
    <row r="459" spans="5:24" x14ac:dyDescent="0.25">
      <c r="E459">
        <v>457</v>
      </c>
      <c r="F459">
        <f t="shared" si="121"/>
        <v>65.7</v>
      </c>
      <c r="G459">
        <f t="shared" ca="1" si="122"/>
        <v>65.707999999999998</v>
      </c>
      <c r="H459" s="5">
        <f t="shared" ca="1" si="123"/>
        <v>7.9999999999955662E-3</v>
      </c>
      <c r="I459" s="5">
        <f t="shared" ca="1" si="124"/>
        <v>1.2176560121758851E-4</v>
      </c>
      <c r="J459" s="10">
        <f t="shared" si="125"/>
        <v>3.8083333333333327</v>
      </c>
      <c r="K459" s="12">
        <f t="shared" ca="1" si="126"/>
        <v>3.8089999999999993</v>
      </c>
      <c r="L459" s="5">
        <f t="shared" ca="1" si="127"/>
        <v>1.7505470459516675E-4</v>
      </c>
      <c r="N459">
        <f t="shared" ca="1" si="128"/>
        <v>40.707999999999998</v>
      </c>
      <c r="O459">
        <f t="shared" ca="1" si="129"/>
        <v>1.061062E-3</v>
      </c>
      <c r="P459">
        <f t="shared" ca="1" si="130"/>
        <v>1.0010177</v>
      </c>
      <c r="Q459">
        <f t="shared" ca="1" si="131"/>
        <v>3.8118142774572021</v>
      </c>
      <c r="R459">
        <f t="shared" ca="1" si="132"/>
        <v>20329.676146438411</v>
      </c>
      <c r="S459">
        <f t="shared" ca="1" si="133"/>
        <v>3.7171946930747919</v>
      </c>
      <c r="T459">
        <f t="shared" ca="1" si="134"/>
        <v>-1</v>
      </c>
      <c r="U459">
        <f t="shared" ca="1" si="135"/>
        <v>20332</v>
      </c>
      <c r="V459">
        <f t="shared" ca="1" si="136"/>
        <v>3.8122500000000001</v>
      </c>
      <c r="X459">
        <f t="shared" ca="1" si="137"/>
        <v>3.8073142343037496</v>
      </c>
    </row>
    <row r="460" spans="5:24" x14ac:dyDescent="0.25">
      <c r="E460">
        <v>458</v>
      </c>
      <c r="F460">
        <f t="shared" si="121"/>
        <v>65.800000000000011</v>
      </c>
      <c r="G460">
        <f t="shared" ca="1" si="122"/>
        <v>65.797000000000011</v>
      </c>
      <c r="H460" s="5">
        <f t="shared" ca="1" si="123"/>
        <v>3.0000000000001137E-3</v>
      </c>
      <c r="I460" s="5">
        <f t="shared" ca="1" si="124"/>
        <v>4.5592705167174971E-5</v>
      </c>
      <c r="J460" s="10">
        <f t="shared" si="125"/>
        <v>3.8166666666666673</v>
      </c>
      <c r="K460" s="12">
        <f t="shared" ca="1" si="126"/>
        <v>3.816416666666667</v>
      </c>
      <c r="L460" s="5">
        <f t="shared" ca="1" si="127"/>
        <v>6.5502183406193577E-5</v>
      </c>
      <c r="N460">
        <f t="shared" ca="1" si="128"/>
        <v>40.797000000000011</v>
      </c>
      <c r="O460">
        <f t="shared" ca="1" si="129"/>
        <v>1.0611955E-3</v>
      </c>
      <c r="P460">
        <f t="shared" ca="1" si="130"/>
        <v>1.001019925</v>
      </c>
      <c r="Q460">
        <f t="shared" ca="1" si="131"/>
        <v>3.8192468475955965</v>
      </c>
      <c r="R460">
        <f t="shared" ca="1" si="132"/>
        <v>20369.316520509848</v>
      </c>
      <c r="S460">
        <f t="shared" ca="1" si="133"/>
        <v>3.7115533604781694</v>
      </c>
      <c r="T460">
        <f t="shared" ca="1" si="134"/>
        <v>0</v>
      </c>
      <c r="U460">
        <f t="shared" ca="1" si="135"/>
        <v>20373</v>
      </c>
      <c r="V460">
        <f t="shared" ca="1" si="136"/>
        <v>3.8199375</v>
      </c>
      <c r="X460">
        <f t="shared" ca="1" si="137"/>
        <v>3.8149853056121734</v>
      </c>
    </row>
    <row r="461" spans="5:24" x14ac:dyDescent="0.25">
      <c r="E461">
        <v>459</v>
      </c>
      <c r="F461">
        <f t="shared" si="121"/>
        <v>65.900000000000006</v>
      </c>
      <c r="G461">
        <f t="shared" ca="1" si="122"/>
        <v>65.891000000000005</v>
      </c>
      <c r="H461" s="5">
        <f t="shared" ca="1" si="123"/>
        <v>9.0000000000003411E-3</v>
      </c>
      <c r="I461" s="5">
        <f t="shared" ca="1" si="124"/>
        <v>1.3657056145675782E-4</v>
      </c>
      <c r="J461" s="10">
        <f t="shared" si="125"/>
        <v>3.8250000000000002</v>
      </c>
      <c r="K461" s="12">
        <f t="shared" ca="1" si="126"/>
        <v>3.8242500000000001</v>
      </c>
      <c r="L461" s="5">
        <f t="shared" ca="1" si="127"/>
        <v>1.9607843137255644E-4</v>
      </c>
      <c r="N461">
        <f t="shared" ca="1" si="128"/>
        <v>40.891000000000005</v>
      </c>
      <c r="O461">
        <f t="shared" ca="1" si="129"/>
        <v>1.0613365000000001E-3</v>
      </c>
      <c r="P461">
        <f t="shared" ca="1" si="130"/>
        <v>1.001022275</v>
      </c>
      <c r="Q461">
        <f t="shared" ca="1" si="131"/>
        <v>3.8270970136909797</v>
      </c>
      <c r="R461">
        <f t="shared" ca="1" si="132"/>
        <v>20411.184073018558</v>
      </c>
      <c r="S461">
        <f t="shared" ca="1" si="133"/>
        <v>3.7055368628979366</v>
      </c>
      <c r="T461">
        <f t="shared" ca="1" si="134"/>
        <v>-1</v>
      </c>
      <c r="U461">
        <f t="shared" ca="1" si="135"/>
        <v>20414</v>
      </c>
      <c r="V461">
        <f t="shared" ca="1" si="136"/>
        <v>3.8276250000000003</v>
      </c>
      <c r="X461">
        <f t="shared" ca="1" si="137"/>
        <v>3.8226558579827814</v>
      </c>
    </row>
    <row r="462" spans="5:24" x14ac:dyDescent="0.25">
      <c r="E462">
        <v>460</v>
      </c>
      <c r="F462">
        <f t="shared" si="121"/>
        <v>66</v>
      </c>
      <c r="G462">
        <f t="shared" ca="1" si="122"/>
        <v>65.997</v>
      </c>
      <c r="H462" s="5">
        <f t="shared" ca="1" si="123"/>
        <v>3.0000000000001137E-3</v>
      </c>
      <c r="I462" s="5">
        <f t="shared" ca="1" si="124"/>
        <v>4.545454545454718E-5</v>
      </c>
      <c r="J462" s="10">
        <f t="shared" si="125"/>
        <v>3.833333333333333</v>
      </c>
      <c r="K462" s="12">
        <f t="shared" ca="1" si="126"/>
        <v>3.8330833333333327</v>
      </c>
      <c r="L462" s="5">
        <f t="shared" ca="1" si="127"/>
        <v>6.5217391304427536E-5</v>
      </c>
      <c r="N462">
        <f t="shared" ca="1" si="128"/>
        <v>40.997</v>
      </c>
      <c r="O462">
        <f t="shared" ca="1" si="129"/>
        <v>1.0614954999999999E-3</v>
      </c>
      <c r="P462">
        <f t="shared" ca="1" si="130"/>
        <v>1.0010249250000001</v>
      </c>
      <c r="Q462">
        <f t="shared" ca="1" si="131"/>
        <v>3.8359493728154743</v>
      </c>
      <c r="R462">
        <f t="shared" ca="1" si="132"/>
        <v>20458.396655015862</v>
      </c>
      <c r="S462">
        <f t="shared" ca="1" si="133"/>
        <v>3.6986806488555422</v>
      </c>
      <c r="T462">
        <f t="shared" ca="1" si="134"/>
        <v>3</v>
      </c>
      <c r="U462">
        <f t="shared" ca="1" si="135"/>
        <v>20465</v>
      </c>
      <c r="V462">
        <f t="shared" ca="1" si="136"/>
        <v>3.8371875000000002</v>
      </c>
      <c r="X462">
        <f t="shared" ca="1" si="137"/>
        <v>3.8321982886689856</v>
      </c>
    </row>
    <row r="463" spans="5:24" x14ac:dyDescent="0.25">
      <c r="E463">
        <v>461</v>
      </c>
      <c r="F463">
        <f t="shared" si="121"/>
        <v>66.099999999999994</v>
      </c>
      <c r="G463">
        <f t="shared" ca="1" si="122"/>
        <v>66.102999999999994</v>
      </c>
      <c r="H463" s="5">
        <f t="shared" ca="1" si="123"/>
        <v>3.0000000000001137E-3</v>
      </c>
      <c r="I463" s="5">
        <f t="shared" ca="1" si="124"/>
        <v>4.538577912254333E-5</v>
      </c>
      <c r="J463" s="10">
        <f t="shared" si="125"/>
        <v>3.8416666666666659</v>
      </c>
      <c r="K463" s="12">
        <f t="shared" ca="1" si="126"/>
        <v>3.8419166666666653</v>
      </c>
      <c r="L463" s="5">
        <f t="shared" ca="1" si="127"/>
        <v>6.5075921908742064E-5</v>
      </c>
      <c r="N463">
        <f t="shared" ca="1" si="128"/>
        <v>41.102999999999994</v>
      </c>
      <c r="O463">
        <f t="shared" ca="1" si="129"/>
        <v>1.0616544999999999E-3</v>
      </c>
      <c r="P463">
        <f t="shared" ca="1" si="130"/>
        <v>1.0010275749999999</v>
      </c>
      <c r="Q463">
        <f t="shared" ca="1" si="131"/>
        <v>3.8448017787557922</v>
      </c>
      <c r="R463">
        <f t="shared" ca="1" si="132"/>
        <v>20505.609486697558</v>
      </c>
      <c r="S463">
        <f t="shared" ca="1" si="133"/>
        <v>3.6917486167538942</v>
      </c>
      <c r="T463">
        <f t="shared" ca="1" si="134"/>
        <v>3</v>
      </c>
      <c r="U463">
        <f t="shared" ca="1" si="135"/>
        <v>20512</v>
      </c>
      <c r="V463">
        <f t="shared" ca="1" si="136"/>
        <v>3.8460000000000001</v>
      </c>
      <c r="X463">
        <f t="shared" ca="1" si="137"/>
        <v>3.8409914387223552</v>
      </c>
    </row>
    <row r="464" spans="5:24" x14ac:dyDescent="0.25">
      <c r="E464">
        <v>462</v>
      </c>
      <c r="F464">
        <f t="shared" si="121"/>
        <v>66.2</v>
      </c>
      <c r="G464">
        <f t="shared" ca="1" si="122"/>
        <v>66.201999999999998</v>
      </c>
      <c r="H464" s="5">
        <f t="shared" ca="1" si="123"/>
        <v>1.9999999999953388E-3</v>
      </c>
      <c r="I464" s="5">
        <f t="shared" ca="1" si="124"/>
        <v>3.0211480362467352E-5</v>
      </c>
      <c r="J464" s="10">
        <f t="shared" si="125"/>
        <v>3.8499999999999996</v>
      </c>
      <c r="K464" s="12">
        <f t="shared" ca="1" si="126"/>
        <v>3.8501666666666656</v>
      </c>
      <c r="L464" s="5">
        <f t="shared" ca="1" si="127"/>
        <v>4.3290043289865501E-5</v>
      </c>
      <c r="N464">
        <f t="shared" ca="1" si="128"/>
        <v>41.201999999999998</v>
      </c>
      <c r="O464">
        <f t="shared" ca="1" si="129"/>
        <v>1.0618030000000001E-3</v>
      </c>
      <c r="P464">
        <f t="shared" ca="1" si="130"/>
        <v>1.00103005</v>
      </c>
      <c r="Q464">
        <f t="shared" ca="1" si="131"/>
        <v>3.8530696341314856</v>
      </c>
      <c r="R464">
        <f t="shared" ca="1" si="132"/>
        <v>20549.704715367923</v>
      </c>
      <c r="S464">
        <f t="shared" ca="1" si="133"/>
        <v>3.6852060116200738</v>
      </c>
      <c r="T464">
        <f t="shared" ca="1" si="134"/>
        <v>2</v>
      </c>
      <c r="U464">
        <f t="shared" ca="1" si="135"/>
        <v>20555</v>
      </c>
      <c r="V464">
        <f t="shared" ca="1" si="136"/>
        <v>3.8540624999999999</v>
      </c>
      <c r="X464">
        <f t="shared" ca="1" si="137"/>
        <v>3.8490359974708053</v>
      </c>
    </row>
    <row r="465" spans="5:24" x14ac:dyDescent="0.25">
      <c r="E465">
        <v>463</v>
      </c>
      <c r="F465">
        <f t="shared" si="121"/>
        <v>66.300000000000011</v>
      </c>
      <c r="G465">
        <f t="shared" ca="1" si="122"/>
        <v>66.307000000000016</v>
      </c>
      <c r="H465" s="5">
        <f t="shared" ca="1" si="123"/>
        <v>7.0000000000050022E-3</v>
      </c>
      <c r="I465" s="5">
        <f t="shared" ca="1" si="124"/>
        <v>1.0558069381606336E-4</v>
      </c>
      <c r="J465" s="10">
        <f t="shared" si="125"/>
        <v>3.8583333333333334</v>
      </c>
      <c r="K465" s="12">
        <f t="shared" ca="1" si="126"/>
        <v>3.8589166666666674</v>
      </c>
      <c r="L465" s="5">
        <f t="shared" ca="1" si="127"/>
        <v>1.5118790496778737E-4</v>
      </c>
      <c r="N465">
        <f t="shared" ca="1" si="128"/>
        <v>41.307000000000016</v>
      </c>
      <c r="O465">
        <f t="shared" ca="1" si="129"/>
        <v>1.0619605E-3</v>
      </c>
      <c r="P465">
        <f t="shared" ca="1" si="130"/>
        <v>1.001032675</v>
      </c>
      <c r="Q465">
        <f t="shared" ca="1" si="131"/>
        <v>3.8618386162753584</v>
      </c>
      <c r="R465">
        <f t="shared" ca="1" si="132"/>
        <v>20596.472620135246</v>
      </c>
      <c r="S465">
        <f t="shared" ca="1" si="133"/>
        <v>3.6781948797455866</v>
      </c>
      <c r="T465">
        <f t="shared" ca="1" si="134"/>
        <v>2</v>
      </c>
      <c r="U465">
        <f t="shared" ca="1" si="135"/>
        <v>20602</v>
      </c>
      <c r="V465">
        <f t="shared" ca="1" si="136"/>
        <v>3.8628750000000003</v>
      </c>
      <c r="X465">
        <f t="shared" ca="1" si="137"/>
        <v>3.8578291557765585</v>
      </c>
    </row>
    <row r="466" spans="5:24" x14ac:dyDescent="0.25">
      <c r="E466">
        <v>464</v>
      </c>
      <c r="F466">
        <f t="shared" si="121"/>
        <v>66.400000000000006</v>
      </c>
      <c r="G466">
        <f t="shared" ca="1" si="122"/>
        <v>66.405000000000001</v>
      </c>
      <c r="H466" s="5">
        <f t="shared" ca="1" si="123"/>
        <v>4.9999999999954525E-3</v>
      </c>
      <c r="I466" s="5">
        <f t="shared" ca="1" si="124"/>
        <v>7.5301204819208621E-5</v>
      </c>
      <c r="J466" s="10">
        <f t="shared" si="125"/>
        <v>3.8666666666666663</v>
      </c>
      <c r="K466" s="12">
        <f t="shared" ca="1" si="126"/>
        <v>3.8670833333333325</v>
      </c>
      <c r="L466" s="5">
        <f t="shared" ca="1" si="127"/>
        <v>1.0775862068955717E-4</v>
      </c>
      <c r="N466">
        <f t="shared" ca="1" si="128"/>
        <v>41.405000000000001</v>
      </c>
      <c r="O466">
        <f t="shared" ca="1" si="129"/>
        <v>1.0621075E-3</v>
      </c>
      <c r="P466">
        <f t="shared" ca="1" si="130"/>
        <v>1.001035125</v>
      </c>
      <c r="Q466">
        <f t="shared" ca="1" si="131"/>
        <v>3.8700230410547234</v>
      </c>
      <c r="R466">
        <f t="shared" ca="1" si="132"/>
        <v>20640.122885625191</v>
      </c>
      <c r="S466">
        <f t="shared" ca="1" si="133"/>
        <v>3.6715844021446138</v>
      </c>
      <c r="T466">
        <f t="shared" ca="1" si="134"/>
        <v>2</v>
      </c>
      <c r="U466">
        <f t="shared" ca="1" si="135"/>
        <v>20646</v>
      </c>
      <c r="V466">
        <f t="shared" ca="1" si="136"/>
        <v>3.8711250000000001</v>
      </c>
      <c r="X466">
        <f t="shared" ca="1" si="137"/>
        <v>3.8660610360700378</v>
      </c>
    </row>
    <row r="467" spans="5:24" x14ac:dyDescent="0.25">
      <c r="E467">
        <v>465</v>
      </c>
      <c r="F467">
        <f t="shared" si="121"/>
        <v>66.5</v>
      </c>
      <c r="G467">
        <f t="shared" ca="1" si="122"/>
        <v>66.501000000000005</v>
      </c>
      <c r="H467" s="5">
        <f t="shared" ca="1" si="123"/>
        <v>1.0000000000047748E-3</v>
      </c>
      <c r="I467" s="5">
        <f t="shared" ca="1" si="124"/>
        <v>1.5037593985034209E-5</v>
      </c>
      <c r="J467" s="10">
        <f t="shared" si="125"/>
        <v>3.8749999999999991</v>
      </c>
      <c r="K467" s="12">
        <f t="shared" ca="1" si="126"/>
        <v>3.8750833333333334</v>
      </c>
      <c r="L467" s="5">
        <f t="shared" ca="1" si="127"/>
        <v>2.1505376344341516E-5</v>
      </c>
      <c r="N467">
        <f t="shared" ca="1" si="128"/>
        <v>41.501000000000005</v>
      </c>
      <c r="O467">
        <f t="shared" ca="1" si="129"/>
        <v>1.0622515000000001E-3</v>
      </c>
      <c r="P467">
        <f t="shared" ca="1" si="130"/>
        <v>1.0010375250000001</v>
      </c>
      <c r="Q467">
        <f t="shared" ca="1" si="131"/>
        <v>3.8780404755562627</v>
      </c>
      <c r="R467">
        <f t="shared" ca="1" si="132"/>
        <v>20682.882536300069</v>
      </c>
      <c r="S467">
        <f t="shared" ca="1" si="133"/>
        <v>3.6650464524347361</v>
      </c>
      <c r="T467">
        <f t="shared" ca="1" si="134"/>
        <v>-1</v>
      </c>
      <c r="U467">
        <f t="shared" ca="1" si="135"/>
        <v>20686</v>
      </c>
      <c r="V467">
        <f t="shared" ca="1" si="136"/>
        <v>3.878625</v>
      </c>
      <c r="X467">
        <f t="shared" ca="1" si="137"/>
        <v>3.8735438499171142</v>
      </c>
    </row>
    <row r="468" spans="5:24" x14ac:dyDescent="0.25">
      <c r="E468">
        <v>466</v>
      </c>
      <c r="F468">
        <f t="shared" si="121"/>
        <v>66.599999999999994</v>
      </c>
      <c r="G468">
        <f t="shared" ca="1" si="122"/>
        <v>66.593999999999994</v>
      </c>
      <c r="H468" s="5">
        <f t="shared" ca="1" si="123"/>
        <v>6.0000000000002274E-3</v>
      </c>
      <c r="I468" s="5">
        <f t="shared" ca="1" si="124"/>
        <v>9.0090090090093507E-5</v>
      </c>
      <c r="J468" s="10">
        <f t="shared" si="125"/>
        <v>3.883333333333332</v>
      </c>
      <c r="K468" s="12">
        <f t="shared" ca="1" si="126"/>
        <v>3.8828333333333322</v>
      </c>
      <c r="L468" s="5">
        <f t="shared" ca="1" si="127"/>
        <v>1.2875536480679565E-4</v>
      </c>
      <c r="N468">
        <f t="shared" ca="1" si="128"/>
        <v>41.593999999999994</v>
      </c>
      <c r="O468">
        <f t="shared" ca="1" si="129"/>
        <v>1.062391E-3</v>
      </c>
      <c r="P468">
        <f t="shared" ca="1" si="130"/>
        <v>1.00103985</v>
      </c>
      <c r="Q468">
        <f t="shared" ca="1" si="131"/>
        <v>3.8858074018477171</v>
      </c>
      <c r="R468">
        <f t="shared" ca="1" si="132"/>
        <v>20724.306143187823</v>
      </c>
      <c r="S468">
        <f t="shared" ca="1" si="133"/>
        <v>3.6586540442554489</v>
      </c>
      <c r="T468">
        <f t="shared" ca="1" si="134"/>
        <v>3</v>
      </c>
      <c r="U468">
        <f t="shared" ca="1" si="135"/>
        <v>20731</v>
      </c>
      <c r="V468">
        <f t="shared" ca="1" si="136"/>
        <v>3.8870624999999999</v>
      </c>
      <c r="X468">
        <f t="shared" ca="1" si="137"/>
        <v>3.8819634493072379</v>
      </c>
    </row>
    <row r="469" spans="5:24" x14ac:dyDescent="0.25">
      <c r="E469">
        <v>467</v>
      </c>
      <c r="F469">
        <f t="shared" si="121"/>
        <v>66.7</v>
      </c>
      <c r="G469">
        <f t="shared" ca="1" si="122"/>
        <v>66.706000000000003</v>
      </c>
      <c r="H469" s="5">
        <f t="shared" ca="1" si="123"/>
        <v>6.0000000000002274E-3</v>
      </c>
      <c r="I469" s="5">
        <f t="shared" ca="1" si="124"/>
        <v>8.9955022488759026E-5</v>
      </c>
      <c r="J469" s="10">
        <f t="shared" si="125"/>
        <v>3.8916666666666666</v>
      </c>
      <c r="K469" s="12">
        <f t="shared" ca="1" si="126"/>
        <v>3.8921666666666663</v>
      </c>
      <c r="L469" s="5">
        <f t="shared" ca="1" si="127"/>
        <v>1.2847965738750909E-4</v>
      </c>
      <c r="N469">
        <f t="shared" ca="1" si="128"/>
        <v>41.706000000000003</v>
      </c>
      <c r="O469">
        <f t="shared" ca="1" si="129"/>
        <v>1.062559E-3</v>
      </c>
      <c r="P469">
        <f t="shared" ca="1" si="130"/>
        <v>1.00104265</v>
      </c>
      <c r="Q469">
        <f t="shared" ca="1" si="131"/>
        <v>3.8951611673645248</v>
      </c>
      <c r="R469">
        <f t="shared" ca="1" si="132"/>
        <v>20774.192892610798</v>
      </c>
      <c r="S469">
        <f t="shared" ca="1" si="133"/>
        <v>3.6508790358213559</v>
      </c>
      <c r="T469">
        <f t="shared" ca="1" si="134"/>
        <v>-2</v>
      </c>
      <c r="U469">
        <f t="shared" ca="1" si="135"/>
        <v>20776</v>
      </c>
      <c r="V469">
        <f t="shared" ca="1" si="136"/>
        <v>3.8955000000000002</v>
      </c>
      <c r="X469">
        <f t="shared" ca="1" si="137"/>
        <v>3.8903811351094779</v>
      </c>
    </row>
    <row r="470" spans="5:24" x14ac:dyDescent="0.25">
      <c r="E470">
        <v>468</v>
      </c>
      <c r="F470">
        <f t="shared" si="121"/>
        <v>66.800000000000011</v>
      </c>
      <c r="G470">
        <f t="shared" ca="1" si="122"/>
        <v>66.802000000000007</v>
      </c>
      <c r="H470" s="5">
        <f t="shared" ca="1" si="123"/>
        <v>1.9999999999953388E-3</v>
      </c>
      <c r="I470" s="5">
        <f t="shared" ca="1" si="124"/>
        <v>2.994011976040926E-5</v>
      </c>
      <c r="J470" s="10">
        <f t="shared" si="125"/>
        <v>3.9000000000000004</v>
      </c>
      <c r="K470" s="12">
        <f t="shared" ca="1" si="126"/>
        <v>3.9001666666666663</v>
      </c>
      <c r="L470" s="5">
        <f t="shared" ca="1" si="127"/>
        <v>4.2735042734867223E-5</v>
      </c>
      <c r="N470">
        <f t="shared" ca="1" si="128"/>
        <v>41.802000000000007</v>
      </c>
      <c r="O470">
        <f t="shared" ca="1" si="129"/>
        <v>1.0627030000000001E-3</v>
      </c>
      <c r="P470">
        <f t="shared" ca="1" si="130"/>
        <v>1.0010450500000001</v>
      </c>
      <c r="Q470">
        <f t="shared" ca="1" si="131"/>
        <v>3.9031787222638963</v>
      </c>
      <c r="R470">
        <f t="shared" ca="1" si="132"/>
        <v>20816.953185407445</v>
      </c>
      <c r="S470">
        <f t="shared" ca="1" si="133"/>
        <v>3.6441482295105549</v>
      </c>
      <c r="T470">
        <f t="shared" ca="1" si="134"/>
        <v>-3</v>
      </c>
      <c r="U470">
        <f t="shared" ca="1" si="135"/>
        <v>20818</v>
      </c>
      <c r="V470">
        <f t="shared" ca="1" si="136"/>
        <v>3.903375</v>
      </c>
      <c r="X470">
        <f t="shared" ca="1" si="137"/>
        <v>3.8982384429152308</v>
      </c>
    </row>
    <row r="471" spans="5:24" x14ac:dyDescent="0.25">
      <c r="E471">
        <v>469</v>
      </c>
      <c r="F471">
        <f t="shared" si="121"/>
        <v>66.900000000000006</v>
      </c>
      <c r="G471">
        <f t="shared" ca="1" si="122"/>
        <v>66.900000000000006</v>
      </c>
      <c r="H471" s="5">
        <f t="shared" ca="1" si="123"/>
        <v>0</v>
      </c>
      <c r="I471" s="5">
        <f t="shared" ca="1" si="124"/>
        <v>0</v>
      </c>
      <c r="J471" s="10">
        <f t="shared" si="125"/>
        <v>3.9083333333333332</v>
      </c>
      <c r="K471" s="12">
        <f t="shared" ca="1" si="126"/>
        <v>3.9083333333333332</v>
      </c>
      <c r="L471" s="5">
        <f t="shared" ca="1" si="127"/>
        <v>0</v>
      </c>
      <c r="N471">
        <f t="shared" ca="1" si="128"/>
        <v>41.900000000000006</v>
      </c>
      <c r="O471">
        <f t="shared" ca="1" si="129"/>
        <v>1.0628499999999999E-3</v>
      </c>
      <c r="P471">
        <f t="shared" ca="1" si="130"/>
        <v>1.0010475000000001</v>
      </c>
      <c r="Q471">
        <f t="shared" ca="1" si="131"/>
        <v>3.9113633491646254</v>
      </c>
      <c r="R471">
        <f t="shared" ca="1" si="132"/>
        <v>20860.604528878001</v>
      </c>
      <c r="S471">
        <f t="shared" ca="1" si="133"/>
        <v>3.6372139921027982</v>
      </c>
      <c r="T471">
        <f t="shared" ca="1" si="134"/>
        <v>-2</v>
      </c>
      <c r="U471">
        <f t="shared" ca="1" si="135"/>
        <v>20862</v>
      </c>
      <c r="V471">
        <f t="shared" ca="1" si="136"/>
        <v>3.9116249999999999</v>
      </c>
      <c r="X471">
        <f t="shared" ca="1" si="137"/>
        <v>3.9064701225466321</v>
      </c>
    </row>
    <row r="472" spans="5:24" x14ac:dyDescent="0.25">
      <c r="E472">
        <v>470</v>
      </c>
      <c r="F472">
        <f t="shared" si="121"/>
        <v>67</v>
      </c>
      <c r="G472">
        <f t="shared" ca="1" si="122"/>
        <v>66.992000000000004</v>
      </c>
      <c r="H472" s="5">
        <f t="shared" ca="1" si="123"/>
        <v>7.9999999999955662E-3</v>
      </c>
      <c r="I472" s="5">
        <f t="shared" ca="1" si="124"/>
        <v>1.1940298507456069E-4</v>
      </c>
      <c r="J472" s="10">
        <f t="shared" si="125"/>
        <v>3.9166666666666661</v>
      </c>
      <c r="K472" s="12">
        <f t="shared" ca="1" si="126"/>
        <v>3.9159999999999995</v>
      </c>
      <c r="L472" s="5">
        <f t="shared" ca="1" si="127"/>
        <v>1.7021276595742809E-4</v>
      </c>
      <c r="N472">
        <f t="shared" ca="1" si="128"/>
        <v>41.992000000000004</v>
      </c>
      <c r="O472">
        <f t="shared" ca="1" si="129"/>
        <v>1.062988E-3</v>
      </c>
      <c r="P472">
        <f t="shared" ca="1" si="130"/>
        <v>1.0010498000000001</v>
      </c>
      <c r="Q472">
        <f t="shared" ca="1" si="131"/>
        <v>3.9190469128751975</v>
      </c>
      <c r="R472">
        <f t="shared" ca="1" si="132"/>
        <v>20901.583535334386</v>
      </c>
      <c r="S472">
        <f t="shared" ca="1" si="133"/>
        <v>3.6306462937344772</v>
      </c>
      <c r="T472">
        <f t="shared" ca="1" si="134"/>
        <v>1</v>
      </c>
      <c r="U472">
        <f t="shared" ca="1" si="135"/>
        <v>20906</v>
      </c>
      <c r="V472">
        <f t="shared" ca="1" si="136"/>
        <v>3.9198750000000002</v>
      </c>
      <c r="X472">
        <f t="shared" ca="1" si="137"/>
        <v>3.9147023574651327</v>
      </c>
    </row>
    <row r="473" spans="5:24" x14ac:dyDescent="0.25">
      <c r="E473">
        <v>471</v>
      </c>
      <c r="F473">
        <f t="shared" si="121"/>
        <v>67.099999999999994</v>
      </c>
      <c r="G473">
        <f t="shared" ca="1" si="122"/>
        <v>67.093999999999994</v>
      </c>
      <c r="H473" s="5">
        <f t="shared" ca="1" si="123"/>
        <v>6.0000000000002274E-3</v>
      </c>
      <c r="I473" s="5">
        <f t="shared" ca="1" si="124"/>
        <v>8.9418777943371509E-5</v>
      </c>
      <c r="J473" s="10">
        <f t="shared" si="125"/>
        <v>3.9249999999999989</v>
      </c>
      <c r="K473" s="12">
        <f t="shared" ca="1" si="126"/>
        <v>3.9244999999999992</v>
      </c>
      <c r="L473" s="5">
        <f t="shared" ca="1" si="127"/>
        <v>1.2738853503177657E-4</v>
      </c>
      <c r="N473">
        <f t="shared" ca="1" si="128"/>
        <v>42.093999999999994</v>
      </c>
      <c r="O473">
        <f t="shared" ca="1" si="129"/>
        <v>1.0631410000000001E-3</v>
      </c>
      <c r="P473">
        <f t="shared" ca="1" si="130"/>
        <v>1.0010523499999999</v>
      </c>
      <c r="Q473">
        <f t="shared" ca="1" si="131"/>
        <v>3.9275656877785678</v>
      </c>
      <c r="R473">
        <f t="shared" ca="1" si="132"/>
        <v>20947.017001485696</v>
      </c>
      <c r="S473">
        <f t="shared" ca="1" si="133"/>
        <v>3.6232991745005751</v>
      </c>
      <c r="T473">
        <f t="shared" ca="1" si="134"/>
        <v>-3</v>
      </c>
      <c r="U473">
        <f t="shared" ca="1" si="135"/>
        <v>20948</v>
      </c>
      <c r="V473">
        <f t="shared" ca="1" si="136"/>
        <v>3.9277500000000001</v>
      </c>
      <c r="X473">
        <f t="shared" ca="1" si="137"/>
        <v>3.9225589540846695</v>
      </c>
    </row>
    <row r="474" spans="5:24" x14ac:dyDescent="0.25">
      <c r="E474">
        <v>472</v>
      </c>
      <c r="F474">
        <f t="shared" si="121"/>
        <v>67.2</v>
      </c>
      <c r="G474">
        <f t="shared" ca="1" si="122"/>
        <v>67.210000000000008</v>
      </c>
      <c r="H474" s="5">
        <f t="shared" ca="1" si="123"/>
        <v>1.0000000000005116E-2</v>
      </c>
      <c r="I474" s="5">
        <f t="shared" ca="1" si="124"/>
        <v>1.4880952380959993E-4</v>
      </c>
      <c r="J474" s="10">
        <f t="shared" si="125"/>
        <v>3.9333333333333327</v>
      </c>
      <c r="K474" s="12">
        <f t="shared" ca="1" si="126"/>
        <v>3.934166666666667</v>
      </c>
      <c r="L474" s="5">
        <f t="shared" ca="1" si="127"/>
        <v>2.1186440677991997E-4</v>
      </c>
      <c r="N474">
        <f t="shared" ca="1" si="128"/>
        <v>42.210000000000008</v>
      </c>
      <c r="O474">
        <f t="shared" ca="1" si="129"/>
        <v>1.063315E-3</v>
      </c>
      <c r="P474">
        <f t="shared" ca="1" si="130"/>
        <v>1.0010552500000001</v>
      </c>
      <c r="Q474">
        <f t="shared" ca="1" si="131"/>
        <v>3.9372537589785135</v>
      </c>
      <c r="R474">
        <f t="shared" ca="1" si="132"/>
        <v>20998.68671455207</v>
      </c>
      <c r="S474">
        <f t="shared" ca="1" si="133"/>
        <v>3.6148600401945399</v>
      </c>
      <c r="T474">
        <f t="shared" ca="1" si="134"/>
        <v>-3</v>
      </c>
      <c r="U474">
        <f t="shared" ca="1" si="135"/>
        <v>20999</v>
      </c>
      <c r="V474">
        <f t="shared" ca="1" si="136"/>
        <v>3.9373125</v>
      </c>
      <c r="X474">
        <f t="shared" ca="1" si="137"/>
        <v>3.9320998366473776</v>
      </c>
    </row>
    <row r="475" spans="5:24" x14ac:dyDescent="0.25">
      <c r="E475">
        <v>473</v>
      </c>
      <c r="F475">
        <f t="shared" si="121"/>
        <v>67.300000000000011</v>
      </c>
      <c r="G475">
        <f t="shared" ca="1" si="122"/>
        <v>67.290000000000006</v>
      </c>
      <c r="H475" s="5">
        <f t="shared" ca="1" si="123"/>
        <v>1.0000000000005116E-2</v>
      </c>
      <c r="I475" s="5">
        <f t="shared" ca="1" si="124"/>
        <v>1.4858841010408788E-4</v>
      </c>
      <c r="J475" s="10">
        <f t="shared" si="125"/>
        <v>3.9416666666666673</v>
      </c>
      <c r="K475" s="12">
        <f t="shared" ca="1" si="126"/>
        <v>3.940833333333333</v>
      </c>
      <c r="L475" s="5">
        <f t="shared" ca="1" si="127"/>
        <v>2.1141649048651628E-4</v>
      </c>
      <c r="N475">
        <f t="shared" ca="1" si="128"/>
        <v>42.290000000000006</v>
      </c>
      <c r="O475">
        <f t="shared" ca="1" si="129"/>
        <v>1.0634349999999999E-3</v>
      </c>
      <c r="P475">
        <f t="shared" ca="1" si="130"/>
        <v>1.0010572499999999</v>
      </c>
      <c r="Q475">
        <f t="shared" ca="1" si="131"/>
        <v>3.9439352200583455</v>
      </c>
      <c r="R475">
        <f t="shared" ca="1" si="132"/>
        <v>21034.321173644508</v>
      </c>
      <c r="S475">
        <f t="shared" ca="1" si="133"/>
        <v>3.6089882214101054</v>
      </c>
      <c r="T475">
        <f t="shared" ca="1" si="134"/>
        <v>-3</v>
      </c>
      <c r="U475">
        <f t="shared" ca="1" si="135"/>
        <v>21035</v>
      </c>
      <c r="V475">
        <f t="shared" ca="1" si="136"/>
        <v>3.9440625000000002</v>
      </c>
      <c r="X475">
        <f t="shared" ca="1" si="137"/>
        <v>3.9388347319796155</v>
      </c>
    </row>
    <row r="476" spans="5:24" x14ac:dyDescent="0.25">
      <c r="E476">
        <v>474</v>
      </c>
      <c r="F476">
        <f t="shared" si="121"/>
        <v>67.400000000000006</v>
      </c>
      <c r="G476">
        <f t="shared" ca="1" si="122"/>
        <v>67.407000000000011</v>
      </c>
      <c r="H476" s="5">
        <f t="shared" ca="1" si="123"/>
        <v>7.0000000000050022E-3</v>
      </c>
      <c r="I476" s="5">
        <f t="shared" ca="1" si="124"/>
        <v>1.0385756676565285E-4</v>
      </c>
      <c r="J476" s="10">
        <f t="shared" si="125"/>
        <v>3.95</v>
      </c>
      <c r="K476" s="12">
        <f t="shared" ca="1" si="126"/>
        <v>3.9505833333333333</v>
      </c>
      <c r="L476" s="5">
        <f t="shared" ca="1" si="127"/>
        <v>1.4767932489447038E-4</v>
      </c>
      <c r="N476">
        <f t="shared" ca="1" si="128"/>
        <v>42.407000000000011</v>
      </c>
      <c r="O476">
        <f t="shared" ca="1" si="129"/>
        <v>1.0636104999999999E-3</v>
      </c>
      <c r="P476">
        <f t="shared" ca="1" si="130"/>
        <v>1.0010601750000001</v>
      </c>
      <c r="Q476">
        <f t="shared" ca="1" si="131"/>
        <v>3.9537069049054883</v>
      </c>
      <c r="R476">
        <f t="shared" ca="1" si="132"/>
        <v>21086.436826162604</v>
      </c>
      <c r="S476">
        <f t="shared" ca="1" si="133"/>
        <v>3.6003248107294445</v>
      </c>
      <c r="T476">
        <f t="shared" ca="1" si="134"/>
        <v>-3</v>
      </c>
      <c r="U476">
        <f t="shared" ca="1" si="135"/>
        <v>21087</v>
      </c>
      <c r="V476">
        <f t="shared" ca="1" si="136"/>
        <v>3.9538125000000002</v>
      </c>
      <c r="X476">
        <f t="shared" ca="1" si="137"/>
        <v>3.9485627220161863</v>
      </c>
    </row>
    <row r="477" spans="5:24" x14ac:dyDescent="0.25">
      <c r="E477">
        <v>475</v>
      </c>
      <c r="F477">
        <f t="shared" si="121"/>
        <v>67.5</v>
      </c>
      <c r="G477">
        <f t="shared" ca="1" si="122"/>
        <v>67.504000000000005</v>
      </c>
      <c r="H477" s="5">
        <f t="shared" ca="1" si="123"/>
        <v>4.0000000000048885E-3</v>
      </c>
      <c r="I477" s="5">
        <f t="shared" ca="1" si="124"/>
        <v>5.9259259259331685E-5</v>
      </c>
      <c r="J477" s="10">
        <f t="shared" si="125"/>
        <v>3.958333333333333</v>
      </c>
      <c r="K477" s="12">
        <f t="shared" ca="1" si="126"/>
        <v>3.9586666666666668</v>
      </c>
      <c r="L477" s="5">
        <f t="shared" ca="1" si="127"/>
        <v>8.4210526315892393E-5</v>
      </c>
      <c r="N477">
        <f t="shared" ca="1" si="128"/>
        <v>42.504000000000005</v>
      </c>
      <c r="O477">
        <f t="shared" ca="1" si="129"/>
        <v>1.0637560000000001E-3</v>
      </c>
      <c r="P477">
        <f t="shared" ca="1" si="130"/>
        <v>1.0010626</v>
      </c>
      <c r="Q477">
        <f t="shared" ca="1" si="131"/>
        <v>3.961808259519541</v>
      </c>
      <c r="R477">
        <f t="shared" ca="1" si="132"/>
        <v>21129.644050770883</v>
      </c>
      <c r="S477">
        <f t="shared" ca="1" si="133"/>
        <v>3.593074127463598</v>
      </c>
      <c r="T477">
        <f t="shared" ca="1" si="134"/>
        <v>-1</v>
      </c>
      <c r="U477">
        <f t="shared" ca="1" si="135"/>
        <v>21132</v>
      </c>
      <c r="V477">
        <f t="shared" ca="1" si="136"/>
        <v>3.96225</v>
      </c>
      <c r="X477">
        <f t="shared" ca="1" si="137"/>
        <v>3.9569815553992327</v>
      </c>
    </row>
    <row r="478" spans="5:24" x14ac:dyDescent="0.25">
      <c r="E478">
        <v>476</v>
      </c>
      <c r="F478">
        <f t="shared" si="121"/>
        <v>67.599999999999994</v>
      </c>
      <c r="G478">
        <f t="shared" ca="1" si="122"/>
        <v>67.590999999999994</v>
      </c>
      <c r="H478" s="5">
        <f t="shared" ca="1" si="123"/>
        <v>9.0000000000003411E-3</v>
      </c>
      <c r="I478" s="5">
        <f t="shared" ca="1" si="124"/>
        <v>1.3313609467456128E-4</v>
      </c>
      <c r="J478" s="10">
        <f t="shared" si="125"/>
        <v>3.9666666666666659</v>
      </c>
      <c r="K478" s="12">
        <f t="shared" ca="1" si="126"/>
        <v>3.9659166666666659</v>
      </c>
      <c r="L478" s="5">
        <f t="shared" ca="1" si="127"/>
        <v>1.8907563025210805E-4</v>
      </c>
      <c r="N478">
        <f t="shared" ca="1" si="128"/>
        <v>42.590999999999994</v>
      </c>
      <c r="O478">
        <f t="shared" ca="1" si="129"/>
        <v>1.0638865E-3</v>
      </c>
      <c r="P478">
        <f t="shared" ca="1" si="130"/>
        <v>1.0010647749999999</v>
      </c>
      <c r="Q478">
        <f t="shared" ca="1" si="131"/>
        <v>3.9690744562856675</v>
      </c>
      <c r="R478">
        <f t="shared" ca="1" si="132"/>
        <v>21168.397100190225</v>
      </c>
      <c r="S478">
        <f t="shared" ca="1" si="133"/>
        <v>3.5865184539042341</v>
      </c>
      <c r="T478">
        <f t="shared" ca="1" si="134"/>
        <v>0</v>
      </c>
      <c r="U478">
        <f t="shared" ca="1" si="135"/>
        <v>21172</v>
      </c>
      <c r="V478">
        <f t="shared" ca="1" si="136"/>
        <v>3.9697499999999999</v>
      </c>
      <c r="X478">
        <f t="shared" ca="1" si="137"/>
        <v>3.9644648504388744</v>
      </c>
    </row>
    <row r="479" spans="5:24" x14ac:dyDescent="0.25">
      <c r="E479">
        <v>477</v>
      </c>
      <c r="F479">
        <f t="shared" si="121"/>
        <v>67.7</v>
      </c>
      <c r="G479">
        <f t="shared" ca="1" si="122"/>
        <v>67.703000000000003</v>
      </c>
      <c r="H479" s="5">
        <f t="shared" ca="1" si="123"/>
        <v>3.0000000000001137E-3</v>
      </c>
      <c r="I479" s="5">
        <f t="shared" ca="1" si="124"/>
        <v>4.4313146233384248E-5</v>
      </c>
      <c r="J479" s="10">
        <f t="shared" si="125"/>
        <v>3.9749999999999996</v>
      </c>
      <c r="K479" s="12">
        <f t="shared" ca="1" si="126"/>
        <v>3.97525</v>
      </c>
      <c r="L479" s="5">
        <f t="shared" ca="1" si="127"/>
        <v>6.2893081761083156E-5</v>
      </c>
      <c r="N479">
        <f t="shared" ca="1" si="128"/>
        <v>42.703000000000003</v>
      </c>
      <c r="O479">
        <f t="shared" ca="1" si="129"/>
        <v>1.0640545E-3</v>
      </c>
      <c r="P479">
        <f t="shared" ca="1" si="130"/>
        <v>1.001067575</v>
      </c>
      <c r="Q479">
        <f t="shared" ca="1" si="131"/>
        <v>3.978428687060767</v>
      </c>
      <c r="R479">
        <f t="shared" ca="1" si="132"/>
        <v>21218.286330990755</v>
      </c>
      <c r="S479">
        <f t="shared" ca="1" si="133"/>
        <v>3.578006043322957</v>
      </c>
      <c r="T479">
        <f t="shared" ca="1" si="134"/>
        <v>-1</v>
      </c>
      <c r="U479">
        <f t="shared" ca="1" si="135"/>
        <v>21221</v>
      </c>
      <c r="V479">
        <f t="shared" ca="1" si="136"/>
        <v>3.9789375000000002</v>
      </c>
      <c r="X479">
        <f t="shared" ca="1" si="137"/>
        <v>3.9736312960690992</v>
      </c>
    </row>
    <row r="480" spans="5:24" x14ac:dyDescent="0.25">
      <c r="E480">
        <v>478</v>
      </c>
      <c r="F480">
        <f t="shared" si="121"/>
        <v>67.800000000000011</v>
      </c>
      <c r="G480">
        <f t="shared" ca="1" si="122"/>
        <v>67.797000000000011</v>
      </c>
      <c r="H480" s="5">
        <f t="shared" ca="1" si="123"/>
        <v>3.0000000000001137E-3</v>
      </c>
      <c r="I480" s="5">
        <f t="shared" ca="1" si="124"/>
        <v>4.4247787610621137E-5</v>
      </c>
      <c r="J480" s="10">
        <f t="shared" si="125"/>
        <v>3.9833333333333334</v>
      </c>
      <c r="K480" s="12">
        <f t="shared" ca="1" si="126"/>
        <v>3.983083333333334</v>
      </c>
      <c r="L480" s="5">
        <f t="shared" ca="1" si="127"/>
        <v>6.276150627600436E-5</v>
      </c>
      <c r="N480">
        <f t="shared" ca="1" si="128"/>
        <v>42.797000000000011</v>
      </c>
      <c r="O480">
        <f t="shared" ca="1" si="129"/>
        <v>1.0641954999999999E-3</v>
      </c>
      <c r="P480">
        <f t="shared" ca="1" si="130"/>
        <v>1.0010699249999999</v>
      </c>
      <c r="Q480">
        <f t="shared" ca="1" si="131"/>
        <v>3.9862795996593796</v>
      </c>
      <c r="R480">
        <f t="shared" ca="1" si="132"/>
        <v>21260.157864850025</v>
      </c>
      <c r="S480">
        <f t="shared" ca="1" si="133"/>
        <v>3.5707984729799049</v>
      </c>
      <c r="T480">
        <f t="shared" ca="1" si="134"/>
        <v>0</v>
      </c>
      <c r="U480">
        <f t="shared" ca="1" si="135"/>
        <v>21264</v>
      </c>
      <c r="V480">
        <f t="shared" ca="1" si="136"/>
        <v>3.9870000000000001</v>
      </c>
      <c r="X480">
        <f t="shared" ca="1" si="137"/>
        <v>3.9816757101158546</v>
      </c>
    </row>
    <row r="481" spans="5:24" x14ac:dyDescent="0.25">
      <c r="E481">
        <v>479</v>
      </c>
      <c r="F481">
        <f t="shared" si="121"/>
        <v>67.900000000000006</v>
      </c>
      <c r="G481">
        <f t="shared" ca="1" si="122"/>
        <v>67.910000000000011</v>
      </c>
      <c r="H481" s="5">
        <f t="shared" ca="1" si="123"/>
        <v>1.0000000000005116E-2</v>
      </c>
      <c r="I481" s="5">
        <f t="shared" ca="1" si="124"/>
        <v>1.4727540500743911E-4</v>
      </c>
      <c r="J481" s="10">
        <f t="shared" si="125"/>
        <v>3.9916666666666663</v>
      </c>
      <c r="K481" s="12">
        <f t="shared" ca="1" si="126"/>
        <v>3.9925000000000006</v>
      </c>
      <c r="L481" s="5">
        <f t="shared" ca="1" si="127"/>
        <v>2.087682672236372E-4</v>
      </c>
      <c r="N481">
        <f t="shared" ca="1" si="128"/>
        <v>42.910000000000011</v>
      </c>
      <c r="O481">
        <f t="shared" ca="1" si="129"/>
        <v>1.0643650000000001E-3</v>
      </c>
      <c r="P481">
        <f t="shared" ca="1" si="130"/>
        <v>1.0010727500000001</v>
      </c>
      <c r="Q481">
        <f t="shared" ca="1" si="131"/>
        <v>3.9957174475774471</v>
      </c>
      <c r="R481">
        <f t="shared" ca="1" si="132"/>
        <v>21310.493053746384</v>
      </c>
      <c r="S481">
        <f t="shared" ca="1" si="133"/>
        <v>3.5620578516360109</v>
      </c>
      <c r="T481">
        <f t="shared" ca="1" si="134"/>
        <v>2</v>
      </c>
      <c r="U481">
        <f t="shared" ca="1" si="135"/>
        <v>21316</v>
      </c>
      <c r="V481">
        <f t="shared" ca="1" si="136"/>
        <v>3.99675</v>
      </c>
      <c r="X481">
        <f t="shared" ca="1" si="137"/>
        <v>3.9914038565129255</v>
      </c>
    </row>
    <row r="482" spans="5:24" x14ac:dyDescent="0.25">
      <c r="E482">
        <v>480</v>
      </c>
      <c r="F482">
        <f t="shared" si="121"/>
        <v>68</v>
      </c>
      <c r="G482">
        <f t="shared" ca="1" si="122"/>
        <v>67.992000000000004</v>
      </c>
      <c r="H482" s="5">
        <f t="shared" ca="1" si="123"/>
        <v>7.9999999999955662E-3</v>
      </c>
      <c r="I482" s="5">
        <f t="shared" ca="1" si="124"/>
        <v>1.1764705882346421E-4</v>
      </c>
      <c r="J482" s="10">
        <f t="shared" si="125"/>
        <v>3.9999999999999991</v>
      </c>
      <c r="K482" s="12">
        <f t="shared" ca="1" si="126"/>
        <v>3.9993333333333334</v>
      </c>
      <c r="L482" s="5">
        <f t="shared" ca="1" si="127"/>
        <v>1.6666666666642629E-4</v>
      </c>
      <c r="N482">
        <f t="shared" ca="1" si="128"/>
        <v>42.992000000000004</v>
      </c>
      <c r="O482">
        <f t="shared" ca="1" si="129"/>
        <v>1.0644879999999999E-3</v>
      </c>
      <c r="P482">
        <f t="shared" ca="1" si="130"/>
        <v>1.0010748</v>
      </c>
      <c r="Q482">
        <f t="shared" ca="1" si="131"/>
        <v>4.0025661846882983</v>
      </c>
      <c r="R482">
        <f t="shared" ca="1" si="132"/>
        <v>21347.019651670922</v>
      </c>
      <c r="S482">
        <f t="shared" ca="1" si="133"/>
        <v>3.5556631165603738</v>
      </c>
      <c r="T482">
        <f t="shared" ca="1" si="134"/>
        <v>0</v>
      </c>
      <c r="U482">
        <f t="shared" ca="1" si="135"/>
        <v>21351</v>
      </c>
      <c r="V482">
        <f t="shared" ca="1" si="136"/>
        <v>4.0033124999999998</v>
      </c>
      <c r="X482">
        <f t="shared" ca="1" si="137"/>
        <v>3.997951014249884</v>
      </c>
    </row>
    <row r="483" spans="5:24" x14ac:dyDescent="0.25">
      <c r="E483">
        <v>481</v>
      </c>
      <c r="F483">
        <f t="shared" si="121"/>
        <v>68.099999999999994</v>
      </c>
      <c r="G483">
        <f t="shared" ca="1" si="122"/>
        <v>68.105999999999995</v>
      </c>
      <c r="H483" s="5">
        <f t="shared" ca="1" si="123"/>
        <v>6.0000000000002274E-3</v>
      </c>
      <c r="I483" s="5">
        <f t="shared" ca="1" si="124"/>
        <v>8.8105726872250037E-5</v>
      </c>
      <c r="J483" s="10">
        <f t="shared" si="125"/>
        <v>4.008333333333332</v>
      </c>
      <c r="K483" s="12">
        <f t="shared" ca="1" si="126"/>
        <v>4.0088333333333326</v>
      </c>
      <c r="L483" s="5">
        <f t="shared" ca="1" si="127"/>
        <v>1.2474012474027722E-4</v>
      </c>
      <c r="N483">
        <f t="shared" ca="1" si="128"/>
        <v>43.105999999999995</v>
      </c>
      <c r="O483">
        <f t="shared" ca="1" si="129"/>
        <v>1.0646589999999999E-3</v>
      </c>
      <c r="P483">
        <f t="shared" ca="1" si="130"/>
        <v>1.00107765</v>
      </c>
      <c r="Q483">
        <f t="shared" ca="1" si="131"/>
        <v>4.0120876462452282</v>
      </c>
      <c r="R483">
        <f t="shared" ca="1" si="132"/>
        <v>21397.80077997455</v>
      </c>
      <c r="S483">
        <f t="shared" ca="1" si="133"/>
        <v>3.5467003975844116</v>
      </c>
      <c r="T483">
        <f t="shared" ca="1" si="134"/>
        <v>3</v>
      </c>
      <c r="U483">
        <f t="shared" ca="1" si="135"/>
        <v>21404</v>
      </c>
      <c r="V483">
        <f t="shared" ca="1" si="136"/>
        <v>4.0132500000000002</v>
      </c>
      <c r="X483">
        <f t="shared" ca="1" si="137"/>
        <v>4.0078662639206861</v>
      </c>
    </row>
    <row r="484" spans="5:24" x14ac:dyDescent="0.25">
      <c r="E484">
        <v>482</v>
      </c>
      <c r="F484">
        <f t="shared" si="121"/>
        <v>68.2</v>
      </c>
      <c r="G484">
        <f t="shared" ca="1" si="122"/>
        <v>68.198000000000008</v>
      </c>
      <c r="H484" s="5">
        <f t="shared" ca="1" si="123"/>
        <v>1.9999999999953388E-3</v>
      </c>
      <c r="I484" s="5">
        <f t="shared" ca="1" si="124"/>
        <v>2.9325513196412593E-5</v>
      </c>
      <c r="J484" s="10">
        <f t="shared" si="125"/>
        <v>4.0166666666666666</v>
      </c>
      <c r="K484" s="12">
        <f t="shared" ca="1" si="126"/>
        <v>4.0164999999999997</v>
      </c>
      <c r="L484" s="5">
        <f t="shared" ca="1" si="127"/>
        <v>4.1493775933660671E-5</v>
      </c>
      <c r="N484">
        <f t="shared" ca="1" si="128"/>
        <v>43.198000000000008</v>
      </c>
      <c r="O484">
        <f t="shared" ca="1" si="129"/>
        <v>1.0647970000000001E-3</v>
      </c>
      <c r="P484">
        <f t="shared" ca="1" si="130"/>
        <v>1.0010799500000001</v>
      </c>
      <c r="Q484">
        <f t="shared" ca="1" si="131"/>
        <v>4.0197716722474803</v>
      </c>
      <c r="R484">
        <f t="shared" ca="1" si="132"/>
        <v>21438.782251986562</v>
      </c>
      <c r="S484">
        <f t="shared" ca="1" si="133"/>
        <v>3.5394059808658036</v>
      </c>
      <c r="T484">
        <f t="shared" ca="1" si="134"/>
        <v>-2</v>
      </c>
      <c r="U484">
        <f t="shared" ca="1" si="135"/>
        <v>21440</v>
      </c>
      <c r="V484">
        <f t="shared" ca="1" si="136"/>
        <v>4.0200000000000005</v>
      </c>
      <c r="X484">
        <f t="shared" ca="1" si="137"/>
        <v>4.0145996361229699</v>
      </c>
    </row>
    <row r="485" spans="5:24" x14ac:dyDescent="0.25">
      <c r="E485">
        <v>483</v>
      </c>
      <c r="F485">
        <f t="shared" si="121"/>
        <v>68.300000000000011</v>
      </c>
      <c r="G485">
        <f t="shared" ca="1" si="122"/>
        <v>68.302000000000007</v>
      </c>
      <c r="H485" s="5">
        <f t="shared" ca="1" si="123"/>
        <v>1.9999999999953388E-3</v>
      </c>
      <c r="I485" s="5">
        <f t="shared" ca="1" si="124"/>
        <v>2.9282576866696025E-5</v>
      </c>
      <c r="J485" s="10">
        <f t="shared" si="125"/>
        <v>4.0250000000000004</v>
      </c>
      <c r="K485" s="12">
        <f t="shared" ca="1" si="126"/>
        <v>4.0251666666666663</v>
      </c>
      <c r="L485" s="5">
        <f t="shared" ca="1" si="127"/>
        <v>4.1407867494653956E-5</v>
      </c>
      <c r="N485">
        <f t="shared" ca="1" si="128"/>
        <v>43.302000000000007</v>
      </c>
      <c r="O485">
        <f t="shared" ca="1" si="129"/>
        <v>1.064953E-3</v>
      </c>
      <c r="P485">
        <f t="shared" ca="1" si="130"/>
        <v>1.00108255</v>
      </c>
      <c r="Q485">
        <f t="shared" ca="1" si="131"/>
        <v>4.0284580049767964</v>
      </c>
      <c r="R485">
        <f t="shared" ca="1" si="132"/>
        <v>21485.109359876245</v>
      </c>
      <c r="S485">
        <f t="shared" ca="1" si="133"/>
        <v>3.5310942892689852</v>
      </c>
      <c r="T485">
        <f t="shared" ca="1" si="134"/>
        <v>0</v>
      </c>
      <c r="U485">
        <f t="shared" ca="1" si="135"/>
        <v>21489</v>
      </c>
      <c r="V485">
        <f t="shared" ca="1" si="136"/>
        <v>4.0291874999999999</v>
      </c>
      <c r="X485">
        <f t="shared" ca="1" si="137"/>
        <v>4.0237666184471994</v>
      </c>
    </row>
    <row r="486" spans="5:24" x14ac:dyDescent="0.25">
      <c r="E486">
        <v>484</v>
      </c>
      <c r="F486">
        <f t="shared" si="121"/>
        <v>68.400000000000006</v>
      </c>
      <c r="G486">
        <f t="shared" ca="1" si="122"/>
        <v>68.409000000000006</v>
      </c>
      <c r="H486" s="5">
        <f t="shared" ca="1" si="123"/>
        <v>9.0000000000003411E-3</v>
      </c>
      <c r="I486" s="5">
        <f t="shared" ca="1" si="124"/>
        <v>1.3157894736842604E-4</v>
      </c>
      <c r="J486" s="10">
        <f t="shared" si="125"/>
        <v>4.0333333333333332</v>
      </c>
      <c r="K486" s="12">
        <f t="shared" ca="1" si="126"/>
        <v>4.0340833333333332</v>
      </c>
      <c r="L486" s="5">
        <f t="shared" ca="1" si="127"/>
        <v>1.8595041322314756E-4</v>
      </c>
      <c r="N486">
        <f t="shared" ca="1" si="128"/>
        <v>43.409000000000006</v>
      </c>
      <c r="O486">
        <f t="shared" ca="1" si="129"/>
        <v>1.0651135000000001E-3</v>
      </c>
      <c r="P486">
        <f t="shared" ca="1" si="130"/>
        <v>1.001085225</v>
      </c>
      <c r="Q486">
        <f t="shared" ca="1" si="131"/>
        <v>4.0373949520309518</v>
      </c>
      <c r="R486">
        <f t="shared" ca="1" si="132"/>
        <v>21532.773077498408</v>
      </c>
      <c r="S486">
        <f t="shared" ca="1" si="133"/>
        <v>3.5224700910673801</v>
      </c>
      <c r="T486">
        <f t="shared" ca="1" si="134"/>
        <v>3</v>
      </c>
      <c r="U486">
        <f t="shared" ca="1" si="135"/>
        <v>21539</v>
      </c>
      <c r="V486">
        <f t="shared" ca="1" si="136"/>
        <v>4.0385625000000003</v>
      </c>
      <c r="X486">
        <f t="shared" ca="1" si="137"/>
        <v>4.0331205432584429</v>
      </c>
    </row>
    <row r="487" spans="5:24" x14ac:dyDescent="0.25">
      <c r="E487">
        <v>485</v>
      </c>
      <c r="F487">
        <f t="shared" si="121"/>
        <v>68.5</v>
      </c>
      <c r="G487">
        <f t="shared" ca="1" si="122"/>
        <v>68.489999999999995</v>
      </c>
      <c r="H487" s="5">
        <f t="shared" ca="1" si="123"/>
        <v>1.0000000000005116E-2</v>
      </c>
      <c r="I487" s="5">
        <f t="shared" ca="1" si="124"/>
        <v>1.459854014599287E-4</v>
      </c>
      <c r="J487" s="10">
        <f t="shared" si="125"/>
        <v>4.0416666666666661</v>
      </c>
      <c r="K487" s="12">
        <f t="shared" ca="1" si="126"/>
        <v>4.0408333333333326</v>
      </c>
      <c r="L487" s="5">
        <f t="shared" ca="1" si="127"/>
        <v>2.0618556701034154E-4</v>
      </c>
      <c r="N487">
        <f t="shared" ca="1" si="128"/>
        <v>43.489999999999995</v>
      </c>
      <c r="O487">
        <f t="shared" ca="1" si="129"/>
        <v>1.0652350000000001E-3</v>
      </c>
      <c r="P487">
        <f t="shared" ca="1" si="130"/>
        <v>1.0010872500000001</v>
      </c>
      <c r="Q487">
        <f t="shared" ca="1" si="131"/>
        <v>4.0441603361982459</v>
      </c>
      <c r="R487">
        <f t="shared" ca="1" si="132"/>
        <v>21568.855126390645</v>
      </c>
      <c r="S487">
        <f t="shared" ca="1" si="133"/>
        <v>3.5158925338542217</v>
      </c>
      <c r="T487">
        <f t="shared" ca="1" si="134"/>
        <v>-2</v>
      </c>
      <c r="U487">
        <f t="shared" ca="1" si="135"/>
        <v>21570</v>
      </c>
      <c r="V487">
        <f t="shared" ca="1" si="136"/>
        <v>4.0443750000000005</v>
      </c>
      <c r="X487">
        <f t="shared" ca="1" si="137"/>
        <v>4.0389184509142435</v>
      </c>
    </row>
    <row r="488" spans="5:24" x14ac:dyDescent="0.25">
      <c r="E488">
        <v>486</v>
      </c>
      <c r="F488">
        <f t="shared" si="121"/>
        <v>68.599999999999994</v>
      </c>
      <c r="G488">
        <f t="shared" ca="1" si="122"/>
        <v>68.596999999999994</v>
      </c>
      <c r="H488" s="5">
        <f t="shared" ca="1" si="123"/>
        <v>3.0000000000001137E-3</v>
      </c>
      <c r="I488" s="5">
        <f t="shared" ca="1" si="124"/>
        <v>4.3731778425657638E-5</v>
      </c>
      <c r="J488" s="10">
        <f t="shared" si="125"/>
        <v>4.0499999999999989</v>
      </c>
      <c r="K488" s="12">
        <f t="shared" ca="1" si="126"/>
        <v>4.0497499999999986</v>
      </c>
      <c r="L488" s="5">
        <f t="shared" ca="1" si="127"/>
        <v>6.1728395061803857E-5</v>
      </c>
      <c r="N488">
        <f t="shared" ca="1" si="128"/>
        <v>43.596999999999994</v>
      </c>
      <c r="O488">
        <f t="shared" ca="1" si="129"/>
        <v>1.0653955E-3</v>
      </c>
      <c r="P488">
        <f t="shared" ca="1" si="130"/>
        <v>1.001089925</v>
      </c>
      <c r="Q488">
        <f t="shared" ca="1" si="131"/>
        <v>4.0530973670675579</v>
      </c>
      <c r="R488">
        <f t="shared" ca="1" si="132"/>
        <v>21616.519291026976</v>
      </c>
      <c r="S488">
        <f t="shared" ca="1" si="133"/>
        <v>3.5071391338459028</v>
      </c>
      <c r="T488">
        <f t="shared" ca="1" si="134"/>
        <v>-3</v>
      </c>
      <c r="U488">
        <f t="shared" ca="1" si="135"/>
        <v>21617</v>
      </c>
      <c r="V488">
        <f t="shared" ca="1" si="136"/>
        <v>4.0531874999999999</v>
      </c>
      <c r="X488">
        <f t="shared" ca="1" si="137"/>
        <v>4.047710403738205</v>
      </c>
    </row>
    <row r="489" spans="5:24" x14ac:dyDescent="0.25">
      <c r="E489">
        <v>487</v>
      </c>
      <c r="F489">
        <f t="shared" si="121"/>
        <v>68.7</v>
      </c>
      <c r="G489">
        <f t="shared" ca="1" si="122"/>
        <v>68.692999999999998</v>
      </c>
      <c r="H489" s="5">
        <f t="shared" ca="1" si="123"/>
        <v>7.0000000000050022E-3</v>
      </c>
      <c r="I489" s="5">
        <f t="shared" ca="1" si="124"/>
        <v>1.0189228529847165E-4</v>
      </c>
      <c r="J489" s="10">
        <f t="shared" si="125"/>
        <v>4.0583333333333327</v>
      </c>
      <c r="K489" s="12">
        <f t="shared" ca="1" si="126"/>
        <v>4.0577499999999995</v>
      </c>
      <c r="L489" s="5">
        <f t="shared" ca="1" si="127"/>
        <v>1.4373716632439215E-4</v>
      </c>
      <c r="N489">
        <f t="shared" ca="1" si="128"/>
        <v>43.692999999999998</v>
      </c>
      <c r="O489">
        <f t="shared" ca="1" si="129"/>
        <v>1.0655395000000001E-3</v>
      </c>
      <c r="P489">
        <f t="shared" ca="1" si="130"/>
        <v>1.0010923249999999</v>
      </c>
      <c r="Q489">
        <f t="shared" ca="1" si="131"/>
        <v>4.0611156783533149</v>
      </c>
      <c r="R489">
        <f t="shared" ca="1" si="132"/>
        <v>21659.283617884346</v>
      </c>
      <c r="S489">
        <f t="shared" ca="1" si="133"/>
        <v>3.4992232392424962</v>
      </c>
      <c r="T489">
        <f t="shared" ca="1" si="134"/>
        <v>-1</v>
      </c>
      <c r="U489">
        <f t="shared" ca="1" si="135"/>
        <v>21662</v>
      </c>
      <c r="V489">
        <f t="shared" ca="1" si="136"/>
        <v>4.0616250000000003</v>
      </c>
      <c r="X489">
        <f t="shared" ca="1" si="137"/>
        <v>4.056128849554411</v>
      </c>
    </row>
    <row r="490" spans="5:24" x14ac:dyDescent="0.25">
      <c r="E490">
        <v>488</v>
      </c>
      <c r="F490">
        <f t="shared" si="121"/>
        <v>68.800000000000011</v>
      </c>
      <c r="G490">
        <f t="shared" ca="1" si="122"/>
        <v>68.799000000000007</v>
      </c>
      <c r="H490" s="5">
        <f t="shared" ca="1" si="123"/>
        <v>1.0000000000047748E-3</v>
      </c>
      <c r="I490" s="5">
        <f t="shared" ca="1" si="124"/>
        <v>1.4534883720999632E-5</v>
      </c>
      <c r="J490" s="10">
        <f t="shared" si="125"/>
        <v>4.0666666666666673</v>
      </c>
      <c r="K490" s="12">
        <f t="shared" ca="1" si="126"/>
        <v>4.066583333333333</v>
      </c>
      <c r="L490" s="5">
        <f t="shared" ca="1" si="127"/>
        <v>2.0491803278931969E-5</v>
      </c>
      <c r="N490">
        <f t="shared" ca="1" si="128"/>
        <v>43.799000000000007</v>
      </c>
      <c r="O490">
        <f t="shared" ca="1" si="129"/>
        <v>1.0656985000000001E-3</v>
      </c>
      <c r="P490">
        <f t="shared" ca="1" si="130"/>
        <v>1.001094975</v>
      </c>
      <c r="Q490">
        <f t="shared" ca="1" si="131"/>
        <v>4.0699692750055352</v>
      </c>
      <c r="R490">
        <f t="shared" ca="1" si="132"/>
        <v>21706.502800029521</v>
      </c>
      <c r="S490">
        <f t="shared" ca="1" si="133"/>
        <v>3.490414401932564</v>
      </c>
      <c r="T490">
        <f t="shared" ca="1" si="134"/>
        <v>-1</v>
      </c>
      <c r="U490">
        <f t="shared" ca="1" si="135"/>
        <v>21709</v>
      </c>
      <c r="V490">
        <f t="shared" ca="1" si="136"/>
        <v>4.0704374999999997</v>
      </c>
      <c r="X490">
        <f t="shared" ca="1" si="137"/>
        <v>4.0649208148307805</v>
      </c>
    </row>
    <row r="491" spans="5:24" x14ac:dyDescent="0.25">
      <c r="E491">
        <v>489</v>
      </c>
      <c r="F491">
        <f t="shared" si="121"/>
        <v>68.900000000000006</v>
      </c>
      <c r="G491">
        <f t="shared" ca="1" si="122"/>
        <v>68.899000000000001</v>
      </c>
      <c r="H491" s="5">
        <f t="shared" ca="1" si="123"/>
        <v>1.0000000000047748E-3</v>
      </c>
      <c r="I491" s="5">
        <f t="shared" ca="1" si="124"/>
        <v>1.4513788098763059E-5</v>
      </c>
      <c r="J491" s="10">
        <f t="shared" si="125"/>
        <v>4.0750000000000002</v>
      </c>
      <c r="K491" s="12">
        <f t="shared" ca="1" si="126"/>
        <v>4.0749166666666659</v>
      </c>
      <c r="L491" s="5">
        <f t="shared" ca="1" si="127"/>
        <v>2.0449897750754196E-5</v>
      </c>
      <c r="N491">
        <f t="shared" ca="1" si="128"/>
        <v>43.899000000000001</v>
      </c>
      <c r="O491">
        <f t="shared" ca="1" si="129"/>
        <v>1.0658485000000001E-3</v>
      </c>
      <c r="P491">
        <f t="shared" ca="1" si="130"/>
        <v>1.0010974749999999</v>
      </c>
      <c r="Q491">
        <f t="shared" ca="1" si="131"/>
        <v>4.0783217675933336</v>
      </c>
      <c r="R491">
        <f t="shared" ca="1" si="132"/>
        <v>21751.049427164446</v>
      </c>
      <c r="S491">
        <f t="shared" ca="1" si="133"/>
        <v>3.4820385566783805</v>
      </c>
      <c r="T491">
        <f t="shared" ca="1" si="134"/>
        <v>2</v>
      </c>
      <c r="U491">
        <f t="shared" ca="1" si="135"/>
        <v>21757</v>
      </c>
      <c r="V491">
        <f t="shared" ca="1" si="136"/>
        <v>4.0794375</v>
      </c>
      <c r="X491">
        <f t="shared" ca="1" si="137"/>
        <v>4.0739006473870099</v>
      </c>
    </row>
    <row r="492" spans="5:24" x14ac:dyDescent="0.25">
      <c r="E492">
        <v>490</v>
      </c>
      <c r="F492">
        <f t="shared" si="121"/>
        <v>69</v>
      </c>
      <c r="G492">
        <f t="shared" ca="1" si="122"/>
        <v>69.004000000000005</v>
      </c>
      <c r="H492" s="5">
        <f t="shared" ca="1" si="123"/>
        <v>4.0000000000048885E-3</v>
      </c>
      <c r="I492" s="5">
        <f t="shared" ca="1" si="124"/>
        <v>5.7971014492824473E-5</v>
      </c>
      <c r="J492" s="10">
        <f t="shared" si="125"/>
        <v>4.083333333333333</v>
      </c>
      <c r="K492" s="12">
        <f t="shared" ca="1" si="126"/>
        <v>4.0836666666666668</v>
      </c>
      <c r="L492" s="5">
        <f t="shared" ca="1" si="127"/>
        <v>8.1632653061324264E-5</v>
      </c>
      <c r="N492">
        <f t="shared" ca="1" si="128"/>
        <v>44.004000000000005</v>
      </c>
      <c r="O492">
        <f t="shared" ca="1" si="129"/>
        <v>1.066006E-3</v>
      </c>
      <c r="P492">
        <f t="shared" ca="1" si="130"/>
        <v>1.0011000999999999</v>
      </c>
      <c r="Q492">
        <f t="shared" ca="1" si="131"/>
        <v>4.0870919296534653</v>
      </c>
      <c r="R492">
        <f t="shared" ca="1" si="132"/>
        <v>21797.82362481848</v>
      </c>
      <c r="S492">
        <f t="shared" ca="1" si="133"/>
        <v>3.4731755205836499</v>
      </c>
      <c r="T492">
        <f t="shared" ca="1" si="134"/>
        <v>0</v>
      </c>
      <c r="U492">
        <f t="shared" ca="1" si="135"/>
        <v>21801</v>
      </c>
      <c r="V492">
        <f t="shared" ca="1" si="136"/>
        <v>4.0876875000000004</v>
      </c>
      <c r="X492">
        <f t="shared" ca="1" si="137"/>
        <v>4.082130741970758</v>
      </c>
    </row>
    <row r="493" spans="5:24" x14ac:dyDescent="0.25">
      <c r="E493">
        <v>491</v>
      </c>
      <c r="F493">
        <f t="shared" si="121"/>
        <v>69.099999999999994</v>
      </c>
      <c r="G493">
        <f t="shared" ca="1" si="122"/>
        <v>69.092999999999989</v>
      </c>
      <c r="H493" s="5">
        <f t="shared" ca="1" si="123"/>
        <v>7.0000000000050022E-3</v>
      </c>
      <c r="I493" s="5">
        <f t="shared" ca="1" si="124"/>
        <v>1.0130246020267732E-4</v>
      </c>
      <c r="J493" s="10">
        <f t="shared" si="125"/>
        <v>4.0916666666666659</v>
      </c>
      <c r="K493" s="12">
        <f t="shared" ca="1" si="126"/>
        <v>4.0910833333333319</v>
      </c>
      <c r="L493" s="5">
        <f t="shared" ca="1" si="127"/>
        <v>1.4256619144620278E-4</v>
      </c>
      <c r="N493">
        <f t="shared" ca="1" si="128"/>
        <v>44.092999999999989</v>
      </c>
      <c r="O493">
        <f t="shared" ca="1" si="129"/>
        <v>1.0661395E-3</v>
      </c>
      <c r="P493">
        <f t="shared" ca="1" si="130"/>
        <v>1.001102325</v>
      </c>
      <c r="Q493">
        <f t="shared" ca="1" si="131"/>
        <v>4.0945257220365239</v>
      </c>
      <c r="R493">
        <f t="shared" ca="1" si="132"/>
        <v>21837.470517528127</v>
      </c>
      <c r="S493">
        <f t="shared" ca="1" si="133"/>
        <v>3.4656083067674177</v>
      </c>
      <c r="T493">
        <f t="shared" ca="1" si="134"/>
        <v>-2</v>
      </c>
      <c r="U493">
        <f t="shared" ca="1" si="135"/>
        <v>21839</v>
      </c>
      <c r="V493">
        <f t="shared" ca="1" si="136"/>
        <v>4.0948124999999997</v>
      </c>
      <c r="X493">
        <f t="shared" ca="1" si="137"/>
        <v>4.0892386904605385</v>
      </c>
    </row>
    <row r="494" spans="5:24" x14ac:dyDescent="0.25">
      <c r="E494">
        <v>492</v>
      </c>
      <c r="F494">
        <f t="shared" si="121"/>
        <v>69.2</v>
      </c>
      <c r="G494">
        <f t="shared" ca="1" si="122"/>
        <v>69.206000000000003</v>
      </c>
      <c r="H494" s="5">
        <f t="shared" ca="1" si="123"/>
        <v>6.0000000000002274E-3</v>
      </c>
      <c r="I494" s="5">
        <f t="shared" ca="1" si="124"/>
        <v>8.6705202312142005E-5</v>
      </c>
      <c r="J494" s="10">
        <f t="shared" si="125"/>
        <v>4.0999999999999996</v>
      </c>
      <c r="K494" s="12">
        <f t="shared" ca="1" si="126"/>
        <v>4.1004999999999994</v>
      </c>
      <c r="L494" s="5">
        <f t="shared" ca="1" si="127"/>
        <v>1.2195121951212755E-4</v>
      </c>
      <c r="N494">
        <f t="shared" ca="1" si="128"/>
        <v>44.206000000000003</v>
      </c>
      <c r="O494">
        <f t="shared" ca="1" si="129"/>
        <v>1.0663090000000001E-3</v>
      </c>
      <c r="P494">
        <f t="shared" ca="1" si="130"/>
        <v>1.0011051500000001</v>
      </c>
      <c r="Q494">
        <f t="shared" ca="1" si="131"/>
        <v>4.1039641801436089</v>
      </c>
      <c r="R494">
        <f t="shared" ca="1" si="132"/>
        <v>21887.808960765913</v>
      </c>
      <c r="S494">
        <f t="shared" ca="1" si="133"/>
        <v>3.4559283144523283</v>
      </c>
      <c r="T494">
        <f t="shared" ca="1" si="134"/>
        <v>2</v>
      </c>
      <c r="U494">
        <f t="shared" ca="1" si="135"/>
        <v>21893</v>
      </c>
      <c r="V494">
        <f t="shared" ca="1" si="136"/>
        <v>4.1049375000000001</v>
      </c>
      <c r="X494">
        <f t="shared" ca="1" si="137"/>
        <v>4.0993408045098958</v>
      </c>
    </row>
    <row r="495" spans="5:24" x14ac:dyDescent="0.25">
      <c r="E495">
        <v>493</v>
      </c>
      <c r="F495">
        <f t="shared" si="121"/>
        <v>69.300000000000011</v>
      </c>
      <c r="G495">
        <f t="shared" ca="1" si="122"/>
        <v>69.293000000000006</v>
      </c>
      <c r="H495" s="5">
        <f t="shared" ca="1" si="123"/>
        <v>7.0000000000050022E-3</v>
      </c>
      <c r="I495" s="5">
        <f t="shared" ca="1" si="124"/>
        <v>1.0101010101017318E-4</v>
      </c>
      <c r="J495" s="10">
        <f t="shared" si="125"/>
        <v>4.1083333333333334</v>
      </c>
      <c r="K495" s="12">
        <f t="shared" ca="1" si="126"/>
        <v>4.1077500000000002</v>
      </c>
      <c r="L495" s="5">
        <f t="shared" ca="1" si="127"/>
        <v>1.419878296145618E-4</v>
      </c>
      <c r="N495">
        <f t="shared" ca="1" si="128"/>
        <v>44.293000000000006</v>
      </c>
      <c r="O495">
        <f t="shared" ca="1" si="129"/>
        <v>1.0664394999999999E-3</v>
      </c>
      <c r="P495">
        <f t="shared" ca="1" si="130"/>
        <v>1.001107325</v>
      </c>
      <c r="Q495">
        <f t="shared" ca="1" si="131"/>
        <v>4.1112309938736313</v>
      </c>
      <c r="R495">
        <f t="shared" ca="1" si="132"/>
        <v>21926.565300659367</v>
      </c>
      <c r="S495">
        <f t="shared" ca="1" si="133"/>
        <v>3.4484206840212184</v>
      </c>
      <c r="T495">
        <f t="shared" ca="1" si="134"/>
        <v>-2</v>
      </c>
      <c r="U495">
        <f t="shared" ca="1" si="135"/>
        <v>21928</v>
      </c>
      <c r="V495">
        <f t="shared" ca="1" si="136"/>
        <v>4.1115000000000004</v>
      </c>
      <c r="X495">
        <f t="shared" ca="1" si="137"/>
        <v>4.1058870091675743</v>
      </c>
    </row>
    <row r="496" spans="5:24" x14ac:dyDescent="0.25">
      <c r="E496">
        <v>494</v>
      </c>
      <c r="F496">
        <f t="shared" si="121"/>
        <v>69.400000000000006</v>
      </c>
      <c r="G496">
        <f t="shared" ca="1" si="122"/>
        <v>69.402000000000001</v>
      </c>
      <c r="H496" s="5">
        <f t="shared" ca="1" si="123"/>
        <v>1.9999999999953388E-3</v>
      </c>
      <c r="I496" s="5">
        <f t="shared" ca="1" si="124"/>
        <v>2.8818443803967416E-5</v>
      </c>
      <c r="J496" s="10">
        <f t="shared" si="125"/>
        <v>4.1166666666666663</v>
      </c>
      <c r="K496" s="12">
        <f t="shared" ca="1" si="126"/>
        <v>4.1168333333333331</v>
      </c>
      <c r="L496" s="5">
        <f t="shared" ca="1" si="127"/>
        <v>4.048582995956365E-5</v>
      </c>
      <c r="N496">
        <f t="shared" ca="1" si="128"/>
        <v>44.402000000000001</v>
      </c>
      <c r="O496">
        <f t="shared" ca="1" si="129"/>
        <v>1.066603E-3</v>
      </c>
      <c r="P496">
        <f t="shared" ca="1" si="130"/>
        <v>1.0011100500000001</v>
      </c>
      <c r="Q496">
        <f t="shared" ca="1" si="131"/>
        <v>4.12033543719234</v>
      </c>
      <c r="R496">
        <f t="shared" ca="1" si="132"/>
        <v>21975.122331692481</v>
      </c>
      <c r="S496">
        <f t="shared" ca="1" si="133"/>
        <v>3.4389473459805573</v>
      </c>
      <c r="T496">
        <f t="shared" ca="1" si="134"/>
        <v>0</v>
      </c>
      <c r="U496">
        <f t="shared" ca="1" si="135"/>
        <v>21979</v>
      </c>
      <c r="V496">
        <f t="shared" ca="1" si="136"/>
        <v>4.1210624999999999</v>
      </c>
      <c r="X496">
        <f t="shared" ca="1" si="137"/>
        <v>4.1154275666296627</v>
      </c>
    </row>
    <row r="497" spans="5:24" x14ac:dyDescent="0.25">
      <c r="E497">
        <v>495</v>
      </c>
      <c r="F497">
        <f t="shared" si="121"/>
        <v>69.5</v>
      </c>
      <c r="G497">
        <f t="shared" ca="1" si="122"/>
        <v>69.491</v>
      </c>
      <c r="H497" s="5">
        <f t="shared" ca="1" si="123"/>
        <v>9.0000000000003411E-3</v>
      </c>
      <c r="I497" s="5">
        <f t="shared" ca="1" si="124"/>
        <v>1.2949640287770274E-4</v>
      </c>
      <c r="J497" s="10">
        <f t="shared" si="125"/>
        <v>4.1249999999999991</v>
      </c>
      <c r="K497" s="12">
        <f t="shared" ca="1" si="126"/>
        <v>4.1242499999999991</v>
      </c>
      <c r="L497" s="5">
        <f t="shared" ca="1" si="127"/>
        <v>1.8181818181818875E-4</v>
      </c>
      <c r="N497">
        <f t="shared" ca="1" si="128"/>
        <v>44.491</v>
      </c>
      <c r="O497">
        <f t="shared" ca="1" si="129"/>
        <v>1.0667364999999999E-3</v>
      </c>
      <c r="P497">
        <f t="shared" ca="1" si="130"/>
        <v>1.0011122750000001</v>
      </c>
      <c r="Q497">
        <f t="shared" ca="1" si="131"/>
        <v>4.1277693771644088</v>
      </c>
      <c r="R497">
        <f t="shared" ca="1" si="132"/>
        <v>22014.770011543515</v>
      </c>
      <c r="S497">
        <f t="shared" ca="1" si="133"/>
        <v>3.4311569156672936</v>
      </c>
      <c r="T497">
        <f t="shared" ca="1" si="134"/>
        <v>3</v>
      </c>
      <c r="U497">
        <f t="shared" ca="1" si="135"/>
        <v>22021</v>
      </c>
      <c r="V497">
        <f t="shared" ca="1" si="136"/>
        <v>4.1289375000000001</v>
      </c>
      <c r="X497">
        <f t="shared" ca="1" si="137"/>
        <v>4.1232845371913944</v>
      </c>
    </row>
    <row r="498" spans="5:24" x14ac:dyDescent="0.25">
      <c r="E498">
        <v>496</v>
      </c>
      <c r="F498">
        <f t="shared" si="121"/>
        <v>69.599999999999994</v>
      </c>
      <c r="G498">
        <f t="shared" ca="1" si="122"/>
        <v>69.606999999999999</v>
      </c>
      <c r="H498" s="5">
        <f t="shared" ca="1" si="123"/>
        <v>7.0000000000050022E-3</v>
      </c>
      <c r="I498" s="5">
        <f t="shared" ca="1" si="124"/>
        <v>1.0057471264375004E-4</v>
      </c>
      <c r="J498" s="10">
        <f t="shared" si="125"/>
        <v>4.133333333333332</v>
      </c>
      <c r="K498" s="12">
        <f t="shared" ca="1" si="126"/>
        <v>4.133916666666666</v>
      </c>
      <c r="L498" s="5">
        <f t="shared" ca="1" si="127"/>
        <v>1.4112903225823705E-4</v>
      </c>
      <c r="N498">
        <f t="shared" ca="1" si="128"/>
        <v>44.606999999999999</v>
      </c>
      <c r="O498">
        <f t="shared" ca="1" si="129"/>
        <v>1.0669105000000001E-3</v>
      </c>
      <c r="P498">
        <f t="shared" ca="1" si="130"/>
        <v>1.001115175</v>
      </c>
      <c r="Q498">
        <f t="shared" ca="1" si="131"/>
        <v>4.1374586068934995</v>
      </c>
      <c r="R498">
        <f t="shared" ca="1" si="132"/>
        <v>22066.445903431995</v>
      </c>
      <c r="S498">
        <f t="shared" ca="1" si="133"/>
        <v>3.4209286431609343</v>
      </c>
      <c r="T498">
        <f t="shared" ca="1" si="134"/>
        <v>2</v>
      </c>
      <c r="U498">
        <f t="shared" ca="1" si="135"/>
        <v>22072</v>
      </c>
      <c r="V498">
        <f t="shared" ca="1" si="136"/>
        <v>4.1385000000000005</v>
      </c>
      <c r="X498">
        <f t="shared" ca="1" si="137"/>
        <v>4.1328242671978286</v>
      </c>
    </row>
    <row r="499" spans="5:24" x14ac:dyDescent="0.25">
      <c r="E499">
        <v>497</v>
      </c>
      <c r="F499">
        <f t="shared" si="121"/>
        <v>69.7</v>
      </c>
      <c r="G499">
        <f t="shared" ca="1" si="122"/>
        <v>69.7</v>
      </c>
      <c r="H499" s="5">
        <f t="shared" ca="1" si="123"/>
        <v>0</v>
      </c>
      <c r="I499" s="5">
        <f t="shared" ca="1" si="124"/>
        <v>0</v>
      </c>
      <c r="J499" s="10">
        <f t="shared" si="125"/>
        <v>4.1416666666666666</v>
      </c>
      <c r="K499" s="12">
        <f t="shared" ca="1" si="126"/>
        <v>4.1416666666666666</v>
      </c>
      <c r="L499" s="5">
        <f t="shared" ca="1" si="127"/>
        <v>0</v>
      </c>
      <c r="N499">
        <f t="shared" ca="1" si="128"/>
        <v>44.7</v>
      </c>
      <c r="O499">
        <f t="shared" ca="1" si="129"/>
        <v>1.0670499999999999E-3</v>
      </c>
      <c r="P499">
        <f t="shared" ca="1" si="130"/>
        <v>1.0011175000000001</v>
      </c>
      <c r="Q499">
        <f t="shared" ca="1" si="131"/>
        <v>4.1452267367382927</v>
      </c>
      <c r="R499">
        <f t="shared" ca="1" si="132"/>
        <v>22107.875929270893</v>
      </c>
      <c r="S499">
        <f t="shared" ca="1" si="133"/>
        <v>3.4126676889388148</v>
      </c>
      <c r="T499">
        <f t="shared" ca="1" si="134"/>
        <v>-1</v>
      </c>
      <c r="U499">
        <f t="shared" ca="1" si="135"/>
        <v>22110</v>
      </c>
      <c r="V499">
        <f t="shared" ca="1" si="136"/>
        <v>4.1456249999999999</v>
      </c>
      <c r="X499">
        <f t="shared" ca="1" si="137"/>
        <v>4.1399315764633018</v>
      </c>
    </row>
    <row r="500" spans="5:24" x14ac:dyDescent="0.25">
      <c r="E500">
        <v>498</v>
      </c>
      <c r="F500">
        <f t="shared" si="121"/>
        <v>69.800000000000011</v>
      </c>
      <c r="G500">
        <f t="shared" ca="1" si="122"/>
        <v>69.804000000000016</v>
      </c>
      <c r="H500" s="5">
        <f t="shared" ca="1" si="123"/>
        <v>4.0000000000048885E-3</v>
      </c>
      <c r="I500" s="5">
        <f t="shared" ca="1" si="124"/>
        <v>5.7306590257949685E-5</v>
      </c>
      <c r="J500" s="10">
        <f t="shared" si="125"/>
        <v>4.1500000000000004</v>
      </c>
      <c r="K500" s="12">
        <f t="shared" ca="1" si="126"/>
        <v>4.1503333333333341</v>
      </c>
      <c r="L500" s="5">
        <f t="shared" ca="1" si="127"/>
        <v>8.0321285140660411E-5</v>
      </c>
      <c r="N500">
        <f t="shared" ca="1" si="128"/>
        <v>44.804000000000016</v>
      </c>
      <c r="O500">
        <f t="shared" ca="1" si="129"/>
        <v>1.067206E-3</v>
      </c>
      <c r="P500">
        <f t="shared" ca="1" si="130"/>
        <v>1.0011201000000001</v>
      </c>
      <c r="Q500">
        <f t="shared" ca="1" si="131"/>
        <v>4.15391372032256</v>
      </c>
      <c r="R500">
        <f t="shared" ca="1" si="132"/>
        <v>22154.206508386986</v>
      </c>
      <c r="S500">
        <f t="shared" ca="1" si="133"/>
        <v>3.4033658212421019</v>
      </c>
      <c r="T500">
        <f t="shared" ca="1" si="134"/>
        <v>-1</v>
      </c>
      <c r="U500">
        <f t="shared" ca="1" si="135"/>
        <v>22157</v>
      </c>
      <c r="V500">
        <f t="shared" ca="1" si="136"/>
        <v>4.1544375000000002</v>
      </c>
      <c r="X500">
        <f t="shared" ca="1" si="137"/>
        <v>4.1487233090215652</v>
      </c>
    </row>
    <row r="501" spans="5:24" x14ac:dyDescent="0.25">
      <c r="E501">
        <v>499</v>
      </c>
      <c r="F501">
        <f t="shared" si="121"/>
        <v>69.900000000000006</v>
      </c>
      <c r="G501">
        <f t="shared" ca="1" si="122"/>
        <v>69.910000000000011</v>
      </c>
      <c r="H501" s="5">
        <f t="shared" ca="1" si="123"/>
        <v>1.0000000000005116E-2</v>
      </c>
      <c r="I501" s="5">
        <f t="shared" ca="1" si="124"/>
        <v>1.4306151645214756E-4</v>
      </c>
      <c r="J501" s="10">
        <f t="shared" si="125"/>
        <v>4.1583333333333332</v>
      </c>
      <c r="K501" s="12">
        <f t="shared" ca="1" si="126"/>
        <v>4.1591666666666667</v>
      </c>
      <c r="L501" s="5">
        <f t="shared" ca="1" si="127"/>
        <v>2.0040080160323775E-4</v>
      </c>
      <c r="N501">
        <f t="shared" ca="1" si="128"/>
        <v>44.910000000000011</v>
      </c>
      <c r="O501">
        <f t="shared" ca="1" si="129"/>
        <v>1.067365E-3</v>
      </c>
      <c r="P501">
        <f t="shared" ca="1" si="130"/>
        <v>1.00112275</v>
      </c>
      <c r="Q501">
        <f t="shared" ca="1" si="131"/>
        <v>4.1627678076576125</v>
      </c>
      <c r="R501">
        <f t="shared" ca="1" si="132"/>
        <v>22201.428307507267</v>
      </c>
      <c r="S501">
        <f t="shared" ca="1" si="133"/>
        <v>3.3938159234945462</v>
      </c>
      <c r="T501">
        <f t="shared" ca="1" si="134"/>
        <v>1</v>
      </c>
      <c r="U501">
        <f t="shared" ca="1" si="135"/>
        <v>22206</v>
      </c>
      <c r="V501">
        <f t="shared" ca="1" si="136"/>
        <v>4.1636249999999997</v>
      </c>
      <c r="X501">
        <f t="shared" ca="1" si="137"/>
        <v>4.1578893647157651</v>
      </c>
    </row>
    <row r="502" spans="5:24" x14ac:dyDescent="0.25">
      <c r="E502">
        <v>500</v>
      </c>
      <c r="F502">
        <f t="shared" si="121"/>
        <v>70</v>
      </c>
      <c r="G502">
        <f t="shared" ca="1" si="122"/>
        <v>70.007999999999996</v>
      </c>
      <c r="H502" s="5">
        <f t="shared" ca="1" si="123"/>
        <v>7.9999999999955662E-3</v>
      </c>
      <c r="I502" s="5">
        <f t="shared" ca="1" si="124"/>
        <v>1.1428571428565095E-4</v>
      </c>
      <c r="J502" s="10">
        <f t="shared" si="125"/>
        <v>4.1666666666666661</v>
      </c>
      <c r="K502" s="12">
        <f t="shared" ca="1" si="126"/>
        <v>4.1673333333333327</v>
      </c>
      <c r="L502" s="5">
        <f t="shared" ca="1" si="127"/>
        <v>1.5999999999998239E-4</v>
      </c>
      <c r="N502">
        <f t="shared" ca="1" si="128"/>
        <v>45.007999999999996</v>
      </c>
      <c r="O502">
        <f t="shared" ca="1" si="129"/>
        <v>1.0675120000000001E-3</v>
      </c>
      <c r="P502">
        <f t="shared" ca="1" si="130"/>
        <v>1.0011251999999999</v>
      </c>
      <c r="Q502">
        <f t="shared" ca="1" si="131"/>
        <v>4.1709537036354973</v>
      </c>
      <c r="R502">
        <f t="shared" ca="1" si="132"/>
        <v>22245.086419389318</v>
      </c>
      <c r="S502">
        <f t="shared" ca="1" si="133"/>
        <v>3.3849248377268064</v>
      </c>
      <c r="T502">
        <f t="shared" ca="1" si="134"/>
        <v>2</v>
      </c>
      <c r="U502">
        <f t="shared" ca="1" si="135"/>
        <v>22250</v>
      </c>
      <c r="V502">
        <f t="shared" ca="1" si="136"/>
        <v>4.171875</v>
      </c>
      <c r="X502">
        <f t="shared" ca="1" si="137"/>
        <v>4.1661197700347579</v>
      </c>
    </row>
    <row r="503" spans="5:24" x14ac:dyDescent="0.25">
      <c r="E503">
        <v>501</v>
      </c>
      <c r="F503">
        <f t="shared" si="121"/>
        <v>70.099999999999994</v>
      </c>
      <c r="G503">
        <f t="shared" ca="1" si="122"/>
        <v>70.09899999999999</v>
      </c>
      <c r="H503" s="5">
        <f t="shared" ca="1" si="123"/>
        <v>1.0000000000047748E-3</v>
      </c>
      <c r="I503" s="5">
        <f t="shared" ca="1" si="124"/>
        <v>1.4265335235446148E-5</v>
      </c>
      <c r="J503" s="10">
        <f t="shared" si="125"/>
        <v>4.1749999999999989</v>
      </c>
      <c r="K503" s="12">
        <f t="shared" ca="1" si="126"/>
        <v>4.1749166666666655</v>
      </c>
      <c r="L503" s="5">
        <f t="shared" ca="1" si="127"/>
        <v>1.996007984034376E-5</v>
      </c>
      <c r="N503">
        <f t="shared" ca="1" si="128"/>
        <v>45.09899999999999</v>
      </c>
      <c r="O503">
        <f t="shared" ca="1" si="129"/>
        <v>1.0676485E-3</v>
      </c>
      <c r="P503">
        <f t="shared" ca="1" si="130"/>
        <v>1.0011274750000001</v>
      </c>
      <c r="Q503">
        <f t="shared" ca="1" si="131"/>
        <v>4.1785549285884231</v>
      </c>
      <c r="R503">
        <f t="shared" ca="1" si="132"/>
        <v>22285.626285804923</v>
      </c>
      <c r="S503">
        <f t="shared" ca="1" si="133"/>
        <v>3.3766156863143744</v>
      </c>
      <c r="T503">
        <f t="shared" ca="1" si="134"/>
        <v>1</v>
      </c>
      <c r="U503">
        <f t="shared" ca="1" si="135"/>
        <v>22290</v>
      </c>
      <c r="V503">
        <f t="shared" ca="1" si="136"/>
        <v>4.1793750000000003</v>
      </c>
      <c r="X503">
        <f t="shared" ca="1" si="137"/>
        <v>4.1736017199008542</v>
      </c>
    </row>
    <row r="504" spans="5:24" x14ac:dyDescent="0.25">
      <c r="E504">
        <v>502</v>
      </c>
      <c r="F504">
        <f t="shared" si="121"/>
        <v>70.2</v>
      </c>
      <c r="G504">
        <f t="shared" ca="1" si="122"/>
        <v>70.194000000000003</v>
      </c>
      <c r="H504" s="5">
        <f t="shared" ca="1" si="123"/>
        <v>6.0000000000002274E-3</v>
      </c>
      <c r="I504" s="5">
        <f t="shared" ca="1" si="124"/>
        <v>8.5470085470088709E-5</v>
      </c>
      <c r="J504" s="10">
        <f t="shared" si="125"/>
        <v>4.1833333333333327</v>
      </c>
      <c r="K504" s="12">
        <f t="shared" ca="1" si="126"/>
        <v>4.182833333333333</v>
      </c>
      <c r="L504" s="5">
        <f t="shared" ca="1" si="127"/>
        <v>1.1952191235053138E-4</v>
      </c>
      <c r="N504">
        <f t="shared" ca="1" si="128"/>
        <v>45.194000000000003</v>
      </c>
      <c r="O504">
        <f t="shared" ca="1" si="129"/>
        <v>1.067791E-3</v>
      </c>
      <c r="P504">
        <f t="shared" ca="1" si="130"/>
        <v>1.0011298500000001</v>
      </c>
      <c r="Q504">
        <f t="shared" ca="1" si="131"/>
        <v>4.1864903101313393</v>
      </c>
      <c r="R504">
        <f t="shared" ca="1" si="132"/>
        <v>22327.948320700474</v>
      </c>
      <c r="S504">
        <f t="shared" ca="1" si="133"/>
        <v>3.3678868374712341</v>
      </c>
      <c r="T504">
        <f t="shared" ca="1" si="134"/>
        <v>3</v>
      </c>
      <c r="U504">
        <f t="shared" ca="1" si="135"/>
        <v>22334</v>
      </c>
      <c r="V504">
        <f t="shared" ca="1" si="136"/>
        <v>4.1876249999999997</v>
      </c>
      <c r="X504">
        <f t="shared" ca="1" si="137"/>
        <v>4.1818323657016121</v>
      </c>
    </row>
    <row r="505" spans="5:24" x14ac:dyDescent="0.25">
      <c r="E505">
        <v>503</v>
      </c>
      <c r="F505">
        <f t="shared" si="121"/>
        <v>70.300000000000011</v>
      </c>
      <c r="G505">
        <f t="shared" ca="1" si="122"/>
        <v>70.295000000000016</v>
      </c>
      <c r="H505" s="5">
        <f t="shared" ca="1" si="123"/>
        <v>4.9999999999954525E-3</v>
      </c>
      <c r="I505" s="5">
        <f t="shared" ca="1" si="124"/>
        <v>7.1123755334216956E-5</v>
      </c>
      <c r="J505" s="10">
        <f t="shared" si="125"/>
        <v>4.1916666666666673</v>
      </c>
      <c r="K505" s="12">
        <f t="shared" ca="1" si="126"/>
        <v>4.191250000000001</v>
      </c>
      <c r="L505" s="5">
        <f t="shared" ca="1" si="127"/>
        <v>9.9403578528736619E-5</v>
      </c>
      <c r="N505">
        <f t="shared" ca="1" si="128"/>
        <v>45.295000000000016</v>
      </c>
      <c r="O505">
        <f t="shared" ca="1" si="129"/>
        <v>1.0679425000000001E-3</v>
      </c>
      <c r="P505">
        <f t="shared" ca="1" si="130"/>
        <v>1.0011323750000001</v>
      </c>
      <c r="Q505">
        <f t="shared" ca="1" si="131"/>
        <v>4.1949269149073629</v>
      </c>
      <c r="R505">
        <f t="shared" ca="1" si="132"/>
        <v>22372.943546172603</v>
      </c>
      <c r="S505">
        <f t="shared" ca="1" si="133"/>
        <v>3.3585458383185745</v>
      </c>
      <c r="T505">
        <f t="shared" ca="1" si="134"/>
        <v>-2</v>
      </c>
      <c r="U505">
        <f t="shared" ca="1" si="135"/>
        <v>22374</v>
      </c>
      <c r="V505">
        <f t="shared" ca="1" si="136"/>
        <v>4.195125</v>
      </c>
      <c r="X505">
        <f t="shared" ca="1" si="137"/>
        <v>4.1893131839832867</v>
      </c>
    </row>
    <row r="506" spans="5:24" x14ac:dyDescent="0.25">
      <c r="E506">
        <v>504</v>
      </c>
      <c r="F506">
        <f t="shared" si="121"/>
        <v>70.400000000000006</v>
      </c>
      <c r="G506">
        <f t="shared" ca="1" si="122"/>
        <v>70.402000000000001</v>
      </c>
      <c r="H506" s="5">
        <f t="shared" ca="1" si="123"/>
        <v>1.9999999999953388E-3</v>
      </c>
      <c r="I506" s="5">
        <f t="shared" ca="1" si="124"/>
        <v>2.8409090909024698E-5</v>
      </c>
      <c r="J506" s="10">
        <f t="shared" si="125"/>
        <v>4.2</v>
      </c>
      <c r="K506" s="12">
        <f t="shared" ca="1" si="126"/>
        <v>4.2001666666666662</v>
      </c>
      <c r="L506" s="5">
        <f t="shared" ca="1" si="127"/>
        <v>3.9682539682376707E-5</v>
      </c>
      <c r="N506">
        <f t="shared" ca="1" si="128"/>
        <v>45.402000000000001</v>
      </c>
      <c r="O506">
        <f t="shared" ca="1" si="129"/>
        <v>1.0681029999999999E-3</v>
      </c>
      <c r="P506">
        <f t="shared" ca="1" si="130"/>
        <v>1.00113505</v>
      </c>
      <c r="Q506">
        <f t="shared" ca="1" si="131"/>
        <v>4.2038647504913564</v>
      </c>
      <c r="R506">
        <f t="shared" ca="1" si="132"/>
        <v>22420.612002620568</v>
      </c>
      <c r="S506">
        <f t="shared" ca="1" si="133"/>
        <v>3.3485817001149871</v>
      </c>
      <c r="T506">
        <f t="shared" ca="1" si="134"/>
        <v>0</v>
      </c>
      <c r="U506">
        <f t="shared" ca="1" si="135"/>
        <v>22424</v>
      </c>
      <c r="V506">
        <f t="shared" ca="1" si="136"/>
        <v>4.2045000000000003</v>
      </c>
      <c r="X506">
        <f t="shared" ca="1" si="137"/>
        <v>4.1986662009286366</v>
      </c>
    </row>
    <row r="507" spans="5:24" x14ac:dyDescent="0.25">
      <c r="E507">
        <v>505</v>
      </c>
      <c r="F507">
        <f t="shared" si="121"/>
        <v>70.5</v>
      </c>
      <c r="G507">
        <f t="shared" ca="1" si="122"/>
        <v>70.503</v>
      </c>
      <c r="H507" s="5">
        <f t="shared" ca="1" si="123"/>
        <v>3.0000000000001137E-3</v>
      </c>
      <c r="I507" s="5">
        <f t="shared" ca="1" si="124"/>
        <v>4.2553191489363317E-5</v>
      </c>
      <c r="J507" s="10">
        <f t="shared" si="125"/>
        <v>4.208333333333333</v>
      </c>
      <c r="K507" s="12">
        <f t="shared" ca="1" si="126"/>
        <v>4.2085833333333325</v>
      </c>
      <c r="L507" s="5">
        <f t="shared" ca="1" si="127"/>
        <v>5.9405940593920959E-5</v>
      </c>
      <c r="N507">
        <f t="shared" ca="1" si="128"/>
        <v>45.503</v>
      </c>
      <c r="O507">
        <f t="shared" ca="1" si="129"/>
        <v>1.0682545E-3</v>
      </c>
      <c r="P507">
        <f t="shared" ca="1" si="130"/>
        <v>1.001137575</v>
      </c>
      <c r="Q507">
        <f t="shared" ca="1" si="131"/>
        <v>4.2123014427991361</v>
      </c>
      <c r="R507">
        <f t="shared" ca="1" si="132"/>
        <v>22465.607694928727</v>
      </c>
      <c r="S507">
        <f t="shared" ca="1" si="133"/>
        <v>3.3391120791117812</v>
      </c>
      <c r="T507">
        <f t="shared" ca="1" si="134"/>
        <v>3</v>
      </c>
      <c r="U507">
        <f t="shared" ca="1" si="135"/>
        <v>22472</v>
      </c>
      <c r="V507">
        <f t="shared" ca="1" si="136"/>
        <v>4.2134999999999998</v>
      </c>
      <c r="X507">
        <f t="shared" ca="1" si="137"/>
        <v>4.2076452334735315</v>
      </c>
    </row>
    <row r="508" spans="5:24" x14ac:dyDescent="0.25">
      <c r="E508">
        <v>506</v>
      </c>
      <c r="F508">
        <f t="shared" si="121"/>
        <v>70.599999999999994</v>
      </c>
      <c r="G508">
        <f t="shared" ca="1" si="122"/>
        <v>70.590999999999994</v>
      </c>
      <c r="H508" s="5">
        <f t="shared" ca="1" si="123"/>
        <v>9.0000000000003411E-3</v>
      </c>
      <c r="I508" s="5">
        <f t="shared" ca="1" si="124"/>
        <v>1.2747875354108133E-4</v>
      </c>
      <c r="J508" s="10">
        <f t="shared" si="125"/>
        <v>4.2166666666666659</v>
      </c>
      <c r="K508" s="12">
        <f t="shared" ca="1" si="126"/>
        <v>4.2159166666666659</v>
      </c>
      <c r="L508" s="5">
        <f t="shared" ca="1" si="127"/>
        <v>1.7786561264822811E-4</v>
      </c>
      <c r="N508">
        <f t="shared" ca="1" si="128"/>
        <v>45.590999999999994</v>
      </c>
      <c r="O508">
        <f t="shared" ca="1" si="129"/>
        <v>1.0683864999999999E-3</v>
      </c>
      <c r="P508">
        <f t="shared" ca="1" si="130"/>
        <v>1.001139775</v>
      </c>
      <c r="Q508">
        <f t="shared" ca="1" si="131"/>
        <v>4.2196522588651924</v>
      </c>
      <c r="R508">
        <f t="shared" ca="1" si="132"/>
        <v>22504.812047281026</v>
      </c>
      <c r="S508">
        <f t="shared" ca="1" si="133"/>
        <v>3.3308106172772334</v>
      </c>
      <c r="T508">
        <f t="shared" ca="1" si="134"/>
        <v>3</v>
      </c>
      <c r="U508">
        <f t="shared" ca="1" si="135"/>
        <v>22511</v>
      </c>
      <c r="V508">
        <f t="shared" ca="1" si="136"/>
        <v>4.2208125000000001</v>
      </c>
      <c r="X508">
        <f t="shared" ca="1" si="137"/>
        <v>4.2149400302270479</v>
      </c>
    </row>
    <row r="509" spans="5:24" x14ac:dyDescent="0.25">
      <c r="E509">
        <v>507</v>
      </c>
      <c r="F509">
        <f t="shared" si="121"/>
        <v>70.7</v>
      </c>
      <c r="G509">
        <f t="shared" ca="1" si="122"/>
        <v>70.7</v>
      </c>
      <c r="H509" s="5">
        <f t="shared" ca="1" si="123"/>
        <v>0</v>
      </c>
      <c r="I509" s="5">
        <f t="shared" ca="1" si="124"/>
        <v>0</v>
      </c>
      <c r="J509" s="10">
        <f t="shared" si="125"/>
        <v>4.2249999999999996</v>
      </c>
      <c r="K509" s="12">
        <f t="shared" ca="1" si="126"/>
        <v>4.2249999999999996</v>
      </c>
      <c r="L509" s="5">
        <f t="shared" ca="1" si="127"/>
        <v>0</v>
      </c>
      <c r="N509">
        <f t="shared" ca="1" si="128"/>
        <v>45.7</v>
      </c>
      <c r="O509">
        <f t="shared" ca="1" si="129"/>
        <v>1.0685499999999999E-3</v>
      </c>
      <c r="P509">
        <f t="shared" ca="1" si="130"/>
        <v>1.0011425</v>
      </c>
      <c r="Q509">
        <f t="shared" ca="1" si="131"/>
        <v>4.2287572916816245</v>
      </c>
      <c r="R509">
        <f t="shared" ca="1" si="132"/>
        <v>22553.372222301998</v>
      </c>
      <c r="S509">
        <f t="shared" ca="1" si="133"/>
        <v>3.3204628465578212</v>
      </c>
      <c r="T509">
        <f t="shared" ca="1" si="134"/>
        <v>-1</v>
      </c>
      <c r="U509">
        <f t="shared" ca="1" si="135"/>
        <v>22556</v>
      </c>
      <c r="V509">
        <f t="shared" ca="1" si="136"/>
        <v>4.2292500000000004</v>
      </c>
      <c r="X509">
        <f t="shared" ca="1" si="137"/>
        <v>4.2233562654667045</v>
      </c>
    </row>
    <row r="510" spans="5:24" x14ac:dyDescent="0.25">
      <c r="E510">
        <v>508</v>
      </c>
      <c r="F510">
        <f t="shared" si="121"/>
        <v>70.800000000000011</v>
      </c>
      <c r="G510">
        <f t="shared" ca="1" si="122"/>
        <v>70.804000000000016</v>
      </c>
      <c r="H510" s="5">
        <f t="shared" ca="1" si="123"/>
        <v>4.0000000000048885E-3</v>
      </c>
      <c r="I510" s="5">
        <f t="shared" ca="1" si="124"/>
        <v>5.6497175141311974E-5</v>
      </c>
      <c r="J510" s="10">
        <f t="shared" si="125"/>
        <v>4.2333333333333334</v>
      </c>
      <c r="K510" s="12">
        <f t="shared" ca="1" si="126"/>
        <v>4.2336666666666671</v>
      </c>
      <c r="L510" s="5">
        <f t="shared" ca="1" si="127"/>
        <v>7.8740157480411193E-5</v>
      </c>
      <c r="N510">
        <f t="shared" ca="1" si="128"/>
        <v>45.804000000000016</v>
      </c>
      <c r="O510">
        <f t="shared" ca="1" si="129"/>
        <v>1.068706E-3</v>
      </c>
      <c r="P510">
        <f t="shared" ca="1" si="130"/>
        <v>1.0011451</v>
      </c>
      <c r="Q510">
        <f t="shared" ca="1" si="131"/>
        <v>4.2374447085914264</v>
      </c>
      <c r="R510">
        <f t="shared" ca="1" si="132"/>
        <v>22599.705112487609</v>
      </c>
      <c r="S510">
        <f t="shared" ca="1" si="133"/>
        <v>3.3105225933377982</v>
      </c>
      <c r="T510">
        <f t="shared" ca="1" si="134"/>
        <v>1</v>
      </c>
      <c r="U510">
        <f t="shared" ca="1" si="135"/>
        <v>22604</v>
      </c>
      <c r="V510">
        <f t="shared" ca="1" si="136"/>
        <v>4.2382499999999999</v>
      </c>
      <c r="X510">
        <f t="shared" ca="1" si="137"/>
        <v>4.232334847366281</v>
      </c>
    </row>
    <row r="511" spans="5:24" x14ac:dyDescent="0.25">
      <c r="E511">
        <v>509</v>
      </c>
      <c r="F511">
        <f t="shared" si="121"/>
        <v>70.900000000000006</v>
      </c>
      <c r="G511">
        <f t="shared" ca="1" si="122"/>
        <v>70.899000000000001</v>
      </c>
      <c r="H511" s="5">
        <f t="shared" ca="1" si="123"/>
        <v>1.0000000000047748E-3</v>
      </c>
      <c r="I511" s="5">
        <f t="shared" ca="1" si="124"/>
        <v>1.4104372355497529E-5</v>
      </c>
      <c r="J511" s="10">
        <f t="shared" si="125"/>
        <v>4.2416666666666663</v>
      </c>
      <c r="K511" s="12">
        <f t="shared" ca="1" si="126"/>
        <v>4.2415833333333328</v>
      </c>
      <c r="L511" s="5">
        <f t="shared" ca="1" si="127"/>
        <v>1.964636542242087E-5</v>
      </c>
      <c r="N511">
        <f t="shared" ca="1" si="128"/>
        <v>45.899000000000001</v>
      </c>
      <c r="O511">
        <f t="shared" ca="1" si="129"/>
        <v>1.0688485E-3</v>
      </c>
      <c r="P511">
        <f t="shared" ca="1" si="130"/>
        <v>1.001147475</v>
      </c>
      <c r="Q511">
        <f t="shared" ca="1" si="131"/>
        <v>4.2453803691918166</v>
      </c>
      <c r="R511">
        <f t="shared" ca="1" si="132"/>
        <v>22642.028635689687</v>
      </c>
      <c r="S511">
        <f t="shared" ca="1" si="133"/>
        <v>3.3013854146149959</v>
      </c>
      <c r="T511">
        <f t="shared" ca="1" si="134"/>
        <v>1</v>
      </c>
      <c r="U511">
        <f t="shared" ca="1" si="135"/>
        <v>22646</v>
      </c>
      <c r="V511">
        <f t="shared" ca="1" si="136"/>
        <v>4.2461250000000001</v>
      </c>
      <c r="X511">
        <f t="shared" ca="1" si="137"/>
        <v>4.240190638746804</v>
      </c>
    </row>
    <row r="512" spans="5:24" x14ac:dyDescent="0.25">
      <c r="E512">
        <v>510</v>
      </c>
      <c r="F512">
        <f t="shared" si="121"/>
        <v>71</v>
      </c>
      <c r="G512">
        <f t="shared" ca="1" si="122"/>
        <v>70.994</v>
      </c>
      <c r="H512" s="5">
        <f t="shared" ca="1" si="123"/>
        <v>6.0000000000002274E-3</v>
      </c>
      <c r="I512" s="5">
        <f t="shared" ca="1" si="124"/>
        <v>8.4507042253524324E-5</v>
      </c>
      <c r="J512" s="10">
        <f t="shared" si="125"/>
        <v>4.2499999999999991</v>
      </c>
      <c r="K512" s="12">
        <f t="shared" ca="1" si="126"/>
        <v>4.2494999999999994</v>
      </c>
      <c r="L512" s="5">
        <f t="shared" ca="1" si="127"/>
        <v>1.1764705882346423E-4</v>
      </c>
      <c r="N512">
        <f t="shared" ca="1" si="128"/>
        <v>45.994</v>
      </c>
      <c r="O512">
        <f t="shared" ca="1" si="129"/>
        <v>1.068991E-3</v>
      </c>
      <c r="P512">
        <f t="shared" ca="1" si="130"/>
        <v>1.00114985</v>
      </c>
      <c r="Q512">
        <f t="shared" ca="1" si="131"/>
        <v>4.2533160673956978</v>
      </c>
      <c r="R512">
        <f t="shared" ca="1" si="132"/>
        <v>22684.352359443721</v>
      </c>
      <c r="S512">
        <f t="shared" ca="1" si="133"/>
        <v>3.2921938347517274</v>
      </c>
      <c r="T512">
        <f t="shared" ca="1" si="134"/>
        <v>2</v>
      </c>
      <c r="U512">
        <f t="shared" ca="1" si="135"/>
        <v>22690</v>
      </c>
      <c r="V512">
        <f t="shared" ca="1" si="136"/>
        <v>4.2543750000000005</v>
      </c>
      <c r="X512">
        <f t="shared" ca="1" si="137"/>
        <v>4.248420962156664</v>
      </c>
    </row>
    <row r="513" spans="5:24" x14ac:dyDescent="0.25">
      <c r="E513">
        <v>511</v>
      </c>
      <c r="F513">
        <f t="shared" si="121"/>
        <v>71.099999999999994</v>
      </c>
      <c r="G513">
        <f t="shared" ca="1" si="122"/>
        <v>71.095999999999989</v>
      </c>
      <c r="H513" s="5">
        <f t="shared" ca="1" si="123"/>
        <v>4.0000000000048885E-3</v>
      </c>
      <c r="I513" s="5">
        <f t="shared" ca="1" si="124"/>
        <v>5.6258790436074384E-5</v>
      </c>
      <c r="J513" s="10">
        <f t="shared" si="125"/>
        <v>4.258333333333332</v>
      </c>
      <c r="K513" s="12">
        <f t="shared" ca="1" si="126"/>
        <v>4.2579999999999982</v>
      </c>
      <c r="L513" s="5">
        <f t="shared" ca="1" si="127"/>
        <v>7.8277886497160276E-5</v>
      </c>
      <c r="N513">
        <f t="shared" ca="1" si="128"/>
        <v>46.095999999999989</v>
      </c>
      <c r="O513">
        <f t="shared" ca="1" si="129"/>
        <v>1.069144E-3</v>
      </c>
      <c r="P513">
        <f t="shared" ca="1" si="130"/>
        <v>1.0011524000000001</v>
      </c>
      <c r="Q513">
        <f t="shared" ca="1" si="131"/>
        <v>4.2618365431184531</v>
      </c>
      <c r="R513">
        <f t="shared" ca="1" si="132"/>
        <v>22729.794896631749</v>
      </c>
      <c r="S513">
        <f t="shared" ca="1" si="133"/>
        <v>3.2822645907589227</v>
      </c>
      <c r="T513">
        <f t="shared" ca="1" si="134"/>
        <v>-1</v>
      </c>
      <c r="U513">
        <f t="shared" ca="1" si="135"/>
        <v>22732</v>
      </c>
      <c r="V513">
        <f t="shared" ca="1" si="136"/>
        <v>4.2622499999999999</v>
      </c>
      <c r="X513">
        <f t="shared" ca="1" si="137"/>
        <v>4.2562759236256138</v>
      </c>
    </row>
    <row r="514" spans="5:24" x14ac:dyDescent="0.25">
      <c r="E514">
        <v>512</v>
      </c>
      <c r="F514">
        <f t="shared" si="121"/>
        <v>71.2</v>
      </c>
      <c r="G514">
        <f t="shared" ca="1" si="122"/>
        <v>71.204000000000008</v>
      </c>
      <c r="H514" s="5">
        <f t="shared" ca="1" si="123"/>
        <v>4.0000000000048885E-3</v>
      </c>
      <c r="I514" s="5">
        <f t="shared" ca="1" si="124"/>
        <v>5.6179775280967536E-5</v>
      </c>
      <c r="J514" s="10">
        <f t="shared" si="125"/>
        <v>4.2666666666666666</v>
      </c>
      <c r="K514" s="12">
        <f t="shared" ca="1" si="126"/>
        <v>4.2670000000000003</v>
      </c>
      <c r="L514" s="5">
        <f t="shared" ca="1" si="127"/>
        <v>7.8125000000095479E-5</v>
      </c>
      <c r="N514">
        <f t="shared" ca="1" si="128"/>
        <v>46.204000000000008</v>
      </c>
      <c r="O514">
        <f t="shared" ca="1" si="129"/>
        <v>1.0693060000000001E-3</v>
      </c>
      <c r="P514">
        <f t="shared" ca="1" si="130"/>
        <v>1.0011551000000001</v>
      </c>
      <c r="Q514">
        <f t="shared" ca="1" si="131"/>
        <v>4.2708582705446405</v>
      </c>
      <c r="R514">
        <f t="shared" ca="1" si="132"/>
        <v>22777.910776238081</v>
      </c>
      <c r="S514">
        <f t="shared" ca="1" si="133"/>
        <v>3.2716833156500593</v>
      </c>
      <c r="T514">
        <f t="shared" ca="1" si="134"/>
        <v>1</v>
      </c>
      <c r="U514">
        <f t="shared" ca="1" si="135"/>
        <v>22782</v>
      </c>
      <c r="V514">
        <f t="shared" ca="1" si="136"/>
        <v>4.2716250000000002</v>
      </c>
      <c r="X514">
        <f t="shared" ca="1" si="137"/>
        <v>4.2656284665582787</v>
      </c>
    </row>
    <row r="515" spans="5:24" x14ac:dyDescent="0.25">
      <c r="E515">
        <v>513</v>
      </c>
      <c r="F515">
        <f t="shared" ref="F515:F578" si="138">0.1*E515+20</f>
        <v>71.300000000000011</v>
      </c>
      <c r="G515">
        <f t="shared" ref="G515:G578" ca="1" si="139">F515+(RANDBETWEEN(-10,10)/100)*0.1</f>
        <v>71.295000000000016</v>
      </c>
      <c r="H515" s="5">
        <f t="shared" ref="H515:H578" ca="1" si="140">ABS(F515-G515)</f>
        <v>4.9999999999954525E-3</v>
      </c>
      <c r="I515" s="5">
        <f t="shared" ref="I515:I578" ca="1" si="141">ABS(F515-G515)/F515</f>
        <v>7.0126227208912369E-5</v>
      </c>
      <c r="J515" s="10">
        <f t="shared" ref="J515:J578" si="142">1/12*F515-5/3</f>
        <v>4.2750000000000004</v>
      </c>
      <c r="K515" s="12">
        <f t="shared" ref="K515:K578" ca="1" si="143">(1/12*G515-5/3) + J515*RANDBETWEEN($B$2,$C$2)</f>
        <v>4.2745833333333341</v>
      </c>
      <c r="L515" s="5">
        <f t="shared" ref="L515:L578" ca="1" si="144">IF(J515=0, ABS(J515-K515), ABS(J515-K515)/J515)</f>
        <v>9.74658869394825E-5</v>
      </c>
      <c r="N515">
        <f t="shared" ref="N515:N578" ca="1" si="145">G515-$B$29</f>
        <v>46.295000000000016</v>
      </c>
      <c r="O515">
        <f t="shared" ref="O515:O578" ca="1" si="146">0.001 + 0.0000015*N515</f>
        <v>1.0694425E-3</v>
      </c>
      <c r="P515">
        <f t="shared" ref="P515:P578" ca="1" si="147">1 + 0.000025*N515</f>
        <v>1.001157375</v>
      </c>
      <c r="Q515">
        <f t="shared" ref="Q515:Q578" ca="1" si="148">(K515-O515)*P515</f>
        <v>4.2784599489727366</v>
      </c>
      <c r="R515">
        <f t="shared" ref="R515:R578" ca="1" si="149">Q515*32768/6.144</f>
        <v>22818.453061187927</v>
      </c>
      <c r="S515">
        <f t="shared" ref="S515:S578" ca="1" si="150">4*SIN(PI()*R515/32768)</f>
        <v>3.2627135116918793</v>
      </c>
      <c r="T515">
        <f t="shared" ref="T515:T578" ca="1" si="151">RANDBETWEEN(-1*$B$15,1*$B$15)</f>
        <v>2</v>
      </c>
      <c r="U515">
        <f t="shared" ref="U515:U578" ca="1" si="152">ROUND(R515+S515+T515,0)</f>
        <v>22824</v>
      </c>
      <c r="V515">
        <f t="shared" ref="V515:V578" ca="1" si="153">U515*6.144/32768</f>
        <v>4.2795000000000005</v>
      </c>
      <c r="X515">
        <f t="shared" ref="X515:X578" ca="1" si="154">(U515*6.144/32768 -O515)/P515</f>
        <v>4.2734845333382276</v>
      </c>
    </row>
    <row r="516" spans="5:24" x14ac:dyDescent="0.25">
      <c r="E516">
        <v>514</v>
      </c>
      <c r="F516">
        <f t="shared" si="138"/>
        <v>71.400000000000006</v>
      </c>
      <c r="G516">
        <f t="shared" ca="1" si="139"/>
        <v>71.406000000000006</v>
      </c>
      <c r="H516" s="5">
        <f t="shared" ca="1" si="140"/>
        <v>6.0000000000002274E-3</v>
      </c>
      <c r="I516" s="5">
        <f t="shared" ca="1" si="141"/>
        <v>8.4033613445381325E-5</v>
      </c>
      <c r="J516" s="10">
        <f t="shared" si="142"/>
        <v>4.2833333333333332</v>
      </c>
      <c r="K516" s="12">
        <f t="shared" ca="1" si="143"/>
        <v>4.2838333333333329</v>
      </c>
      <c r="L516" s="5">
        <f t="shared" ca="1" si="144"/>
        <v>1.1673151750966293E-4</v>
      </c>
      <c r="N516">
        <f t="shared" ca="1" si="145"/>
        <v>46.406000000000006</v>
      </c>
      <c r="O516">
        <f t="shared" ca="1" si="146"/>
        <v>1.069609E-3</v>
      </c>
      <c r="P516">
        <f t="shared" ca="1" si="147"/>
        <v>1.00116015</v>
      </c>
      <c r="Q516">
        <f t="shared" ca="1" si="148"/>
        <v>4.2877323726681187</v>
      </c>
      <c r="R516">
        <f t="shared" ca="1" si="149"/>
        <v>22867.905987563299</v>
      </c>
      <c r="S516">
        <f t="shared" ca="1" si="150"/>
        <v>3.2517055447075185</v>
      </c>
      <c r="T516">
        <f t="shared" ca="1" si="151"/>
        <v>-1</v>
      </c>
      <c r="U516">
        <f t="shared" ca="1" si="152"/>
        <v>22870</v>
      </c>
      <c r="V516">
        <f t="shared" ca="1" si="153"/>
        <v>4.288125</v>
      </c>
      <c r="X516">
        <f t="shared" ca="1" si="154"/>
        <v>4.2820875271553707</v>
      </c>
    </row>
    <row r="517" spans="5:24" x14ac:dyDescent="0.25">
      <c r="E517">
        <v>515</v>
      </c>
      <c r="F517">
        <f t="shared" si="138"/>
        <v>71.5</v>
      </c>
      <c r="G517">
        <f t="shared" ca="1" si="139"/>
        <v>71.491</v>
      </c>
      <c r="H517" s="5">
        <f t="shared" ca="1" si="140"/>
        <v>9.0000000000003411E-3</v>
      </c>
      <c r="I517" s="5">
        <f t="shared" ca="1" si="141"/>
        <v>1.2587412587413064E-4</v>
      </c>
      <c r="J517" s="10">
        <f t="shared" si="142"/>
        <v>4.2916666666666661</v>
      </c>
      <c r="K517" s="12">
        <f t="shared" ca="1" si="143"/>
        <v>4.290916666666666</v>
      </c>
      <c r="L517" s="5">
        <f t="shared" ca="1" si="144"/>
        <v>1.7475728155340472E-4</v>
      </c>
      <c r="N517">
        <f t="shared" ca="1" si="145"/>
        <v>46.491</v>
      </c>
      <c r="O517">
        <f t="shared" ca="1" si="146"/>
        <v>1.0697365000000001E-3</v>
      </c>
      <c r="P517">
        <f t="shared" ca="1" si="147"/>
        <v>1.001162275</v>
      </c>
      <c r="Q517">
        <f t="shared" ca="1" si="148"/>
        <v>4.2948329120074256</v>
      </c>
      <c r="R517">
        <f t="shared" ca="1" si="149"/>
        <v>22905.775530706269</v>
      </c>
      <c r="S517">
        <f t="shared" ca="1" si="150"/>
        <v>3.2432265468409391</v>
      </c>
      <c r="T517">
        <f t="shared" ca="1" si="151"/>
        <v>0</v>
      </c>
      <c r="U517">
        <f t="shared" ca="1" si="152"/>
        <v>22909</v>
      </c>
      <c r="V517">
        <f t="shared" ca="1" si="153"/>
        <v>4.2954375000000002</v>
      </c>
      <c r="X517">
        <f t="shared" ca="1" si="154"/>
        <v>4.2893823216620905</v>
      </c>
    </row>
    <row r="518" spans="5:24" x14ac:dyDescent="0.25">
      <c r="E518">
        <v>516</v>
      </c>
      <c r="F518">
        <f t="shared" si="138"/>
        <v>71.599999999999994</v>
      </c>
      <c r="G518">
        <f t="shared" ca="1" si="139"/>
        <v>71.606999999999999</v>
      </c>
      <c r="H518" s="5">
        <f t="shared" ca="1" si="140"/>
        <v>7.0000000000050022E-3</v>
      </c>
      <c r="I518" s="5">
        <f t="shared" ca="1" si="141"/>
        <v>9.7765363128561491E-5</v>
      </c>
      <c r="J518" s="10">
        <f t="shared" si="142"/>
        <v>4.2999999999999989</v>
      </c>
      <c r="K518" s="12">
        <f t="shared" ca="1" si="143"/>
        <v>4.300583333333333</v>
      </c>
      <c r="L518" s="5">
        <f t="shared" ca="1" si="144"/>
        <v>1.3565891472884799E-4</v>
      </c>
      <c r="N518">
        <f t="shared" ca="1" si="145"/>
        <v>46.606999999999999</v>
      </c>
      <c r="O518">
        <f t="shared" ca="1" si="146"/>
        <v>1.0699105E-3</v>
      </c>
      <c r="P518">
        <f t="shared" ca="1" si="147"/>
        <v>1.0011651749999999</v>
      </c>
      <c r="Q518">
        <f t="shared" ca="1" si="148"/>
        <v>4.3045231083857827</v>
      </c>
      <c r="R518">
        <f t="shared" ca="1" si="149"/>
        <v>22957.456578057507</v>
      </c>
      <c r="S518">
        <f t="shared" ca="1" si="150"/>
        <v>3.2315861888957329</v>
      </c>
      <c r="T518">
        <f t="shared" ca="1" si="151"/>
        <v>2</v>
      </c>
      <c r="U518">
        <f t="shared" ca="1" si="152"/>
        <v>22963</v>
      </c>
      <c r="V518">
        <f t="shared" ca="1" si="153"/>
        <v>4.3055624999999997</v>
      </c>
      <c r="X518">
        <f t="shared" ca="1" si="154"/>
        <v>4.2994829394660075</v>
      </c>
    </row>
    <row r="519" spans="5:24" x14ac:dyDescent="0.25">
      <c r="E519">
        <v>517</v>
      </c>
      <c r="F519">
        <f t="shared" si="138"/>
        <v>71.7</v>
      </c>
      <c r="G519">
        <f t="shared" ca="1" si="139"/>
        <v>71.710000000000008</v>
      </c>
      <c r="H519" s="5">
        <f t="shared" ca="1" si="140"/>
        <v>1.0000000000005116E-2</v>
      </c>
      <c r="I519" s="5">
        <f t="shared" ca="1" si="141"/>
        <v>1.3947001394707274E-4</v>
      </c>
      <c r="J519" s="10">
        <f t="shared" si="142"/>
        <v>4.3083333333333327</v>
      </c>
      <c r="K519" s="12">
        <f t="shared" ca="1" si="143"/>
        <v>4.309166666666667</v>
      </c>
      <c r="L519" s="5">
        <f t="shared" ca="1" si="144"/>
        <v>1.9342359767915323E-4</v>
      </c>
      <c r="N519">
        <f t="shared" ca="1" si="145"/>
        <v>46.710000000000008</v>
      </c>
      <c r="O519">
        <f t="shared" ca="1" si="146"/>
        <v>1.070065E-3</v>
      </c>
      <c r="P519">
        <f t="shared" ca="1" si="147"/>
        <v>1.00116775</v>
      </c>
      <c r="Q519">
        <f t="shared" ca="1" si="148"/>
        <v>4.3131273814732634</v>
      </c>
      <c r="R519">
        <f t="shared" ca="1" si="149"/>
        <v>23003.346034524071</v>
      </c>
      <c r="S519">
        <f t="shared" ca="1" si="150"/>
        <v>3.2211837892160506</v>
      </c>
      <c r="T519">
        <f t="shared" ca="1" si="151"/>
        <v>-2</v>
      </c>
      <c r="U519">
        <f t="shared" ca="1" si="152"/>
        <v>23005</v>
      </c>
      <c r="V519">
        <f t="shared" ca="1" si="153"/>
        <v>4.3134375</v>
      </c>
      <c r="X519">
        <f t="shared" ca="1" si="154"/>
        <v>4.3073375415858131</v>
      </c>
    </row>
    <row r="520" spans="5:24" x14ac:dyDescent="0.25">
      <c r="E520">
        <v>518</v>
      </c>
      <c r="F520">
        <f t="shared" si="138"/>
        <v>71.800000000000011</v>
      </c>
      <c r="G520">
        <f t="shared" ca="1" si="139"/>
        <v>71.798000000000016</v>
      </c>
      <c r="H520" s="5">
        <f t="shared" ca="1" si="140"/>
        <v>1.9999999999953388E-3</v>
      </c>
      <c r="I520" s="5">
        <f t="shared" ca="1" si="141"/>
        <v>2.7855153203277694E-5</v>
      </c>
      <c r="J520" s="10">
        <f t="shared" si="142"/>
        <v>4.3166666666666673</v>
      </c>
      <c r="K520" s="12">
        <f t="shared" ca="1" si="143"/>
        <v>4.3165000000000004</v>
      </c>
      <c r="L520" s="5">
        <f t="shared" ca="1" si="144"/>
        <v>3.8610038610085789E-5</v>
      </c>
      <c r="N520">
        <f t="shared" ca="1" si="145"/>
        <v>46.798000000000016</v>
      </c>
      <c r="O520">
        <f t="shared" ca="1" si="146"/>
        <v>1.0701969999999999E-3</v>
      </c>
      <c r="P520">
        <f t="shared" ca="1" si="147"/>
        <v>1.00116995</v>
      </c>
      <c r="Q520">
        <f t="shared" ca="1" si="148"/>
        <v>4.3204786400980204</v>
      </c>
      <c r="R520">
        <f t="shared" ca="1" si="149"/>
        <v>23042.552747189442</v>
      </c>
      <c r="S520">
        <f t="shared" ca="1" si="150"/>
        <v>3.2122468601708203</v>
      </c>
      <c r="T520">
        <f t="shared" ca="1" si="151"/>
        <v>3</v>
      </c>
      <c r="U520">
        <f t="shared" ca="1" si="152"/>
        <v>23049</v>
      </c>
      <c r="V520">
        <f t="shared" ca="1" si="153"/>
        <v>4.3216875000000003</v>
      </c>
      <c r="X520">
        <f t="shared" ca="1" si="154"/>
        <v>4.3155683038628965</v>
      </c>
    </row>
    <row r="521" spans="5:24" x14ac:dyDescent="0.25">
      <c r="E521">
        <v>519</v>
      </c>
      <c r="F521">
        <f t="shared" si="138"/>
        <v>71.900000000000006</v>
      </c>
      <c r="G521">
        <f t="shared" ca="1" si="139"/>
        <v>71.894000000000005</v>
      </c>
      <c r="H521" s="5">
        <f t="shared" ca="1" si="140"/>
        <v>6.0000000000002274E-3</v>
      </c>
      <c r="I521" s="5">
        <f t="shared" ca="1" si="141"/>
        <v>8.3449235048681873E-5</v>
      </c>
      <c r="J521" s="10">
        <f t="shared" si="142"/>
        <v>4.3250000000000002</v>
      </c>
      <c r="K521" s="12">
        <f t="shared" ca="1" si="143"/>
        <v>4.3244999999999996</v>
      </c>
      <c r="L521" s="5">
        <f t="shared" ca="1" si="144"/>
        <v>1.1560693641632625E-4</v>
      </c>
      <c r="N521">
        <f t="shared" ca="1" si="145"/>
        <v>46.894000000000005</v>
      </c>
      <c r="O521">
        <f t="shared" ca="1" si="146"/>
        <v>1.070341E-3</v>
      </c>
      <c r="P521">
        <f t="shared" ca="1" si="147"/>
        <v>1.00117235</v>
      </c>
      <c r="Q521">
        <f t="shared" ca="1" si="148"/>
        <v>4.3284982317607286</v>
      </c>
      <c r="R521">
        <f t="shared" ca="1" si="149"/>
        <v>23085.323902723885</v>
      </c>
      <c r="S521">
        <f t="shared" ca="1" si="150"/>
        <v>3.2024456789065909</v>
      </c>
      <c r="T521">
        <f t="shared" ca="1" si="151"/>
        <v>-3</v>
      </c>
      <c r="U521">
        <f t="shared" ca="1" si="152"/>
        <v>23086</v>
      </c>
      <c r="V521">
        <f t="shared" ca="1" si="153"/>
        <v>4.3286249999999997</v>
      </c>
      <c r="X521">
        <f t="shared" ca="1" si="154"/>
        <v>4.3224871911414651</v>
      </c>
    </row>
    <row r="522" spans="5:24" x14ac:dyDescent="0.25">
      <c r="E522">
        <v>520</v>
      </c>
      <c r="F522">
        <f t="shared" si="138"/>
        <v>72</v>
      </c>
      <c r="G522">
        <f t="shared" ca="1" si="139"/>
        <v>71.992999999999995</v>
      </c>
      <c r="H522" s="5">
        <f t="shared" ca="1" si="140"/>
        <v>7.0000000000050022E-3</v>
      </c>
      <c r="I522" s="5">
        <f t="shared" ca="1" si="141"/>
        <v>9.7222222222291701E-5</v>
      </c>
      <c r="J522" s="10">
        <f t="shared" si="142"/>
        <v>4.333333333333333</v>
      </c>
      <c r="K522" s="12">
        <f t="shared" ca="1" si="143"/>
        <v>4.332749999999999</v>
      </c>
      <c r="L522" s="5">
        <f t="shared" ca="1" si="144"/>
        <v>1.3461538461554914E-4</v>
      </c>
      <c r="N522">
        <f t="shared" ca="1" si="145"/>
        <v>46.992999999999995</v>
      </c>
      <c r="O522">
        <f t="shared" ca="1" si="146"/>
        <v>1.0704894999999999E-3</v>
      </c>
      <c r="P522">
        <f t="shared" ca="1" si="147"/>
        <v>1.0011748250000001</v>
      </c>
      <c r="Q522">
        <f t="shared" ca="1" si="148"/>
        <v>4.3367684758809224</v>
      </c>
      <c r="R522">
        <f t="shared" ca="1" si="149"/>
        <v>23129.431871364919</v>
      </c>
      <c r="S522">
        <f t="shared" ca="1" si="150"/>
        <v>3.1922817628057096</v>
      </c>
      <c r="T522">
        <f t="shared" ca="1" si="151"/>
        <v>-3</v>
      </c>
      <c r="U522">
        <f t="shared" ca="1" si="152"/>
        <v>23130</v>
      </c>
      <c r="V522">
        <f t="shared" ca="1" si="153"/>
        <v>4.336875</v>
      </c>
      <c r="X522">
        <f t="shared" ca="1" si="154"/>
        <v>4.3307166762807876</v>
      </c>
    </row>
    <row r="523" spans="5:24" x14ac:dyDescent="0.25">
      <c r="E523">
        <v>521</v>
      </c>
      <c r="F523">
        <f t="shared" si="138"/>
        <v>72.099999999999994</v>
      </c>
      <c r="G523">
        <f t="shared" ca="1" si="139"/>
        <v>72.089999999999989</v>
      </c>
      <c r="H523" s="5">
        <f t="shared" ca="1" si="140"/>
        <v>1.0000000000005116E-2</v>
      </c>
      <c r="I523" s="5">
        <f t="shared" ca="1" si="141"/>
        <v>1.3869625520118053E-4</v>
      </c>
      <c r="J523" s="10">
        <f t="shared" si="142"/>
        <v>4.3416666666666659</v>
      </c>
      <c r="K523" s="12">
        <f t="shared" ca="1" si="143"/>
        <v>4.3408333333333315</v>
      </c>
      <c r="L523" s="5">
        <f t="shared" ca="1" si="144"/>
        <v>1.9193857965474516E-4</v>
      </c>
      <c r="N523">
        <f t="shared" ca="1" si="145"/>
        <v>47.089999999999989</v>
      </c>
      <c r="O523">
        <f t="shared" ca="1" si="146"/>
        <v>1.0706349999999999E-3</v>
      </c>
      <c r="P523">
        <f t="shared" ca="1" si="147"/>
        <v>1.00117725</v>
      </c>
      <c r="Q523">
        <f t="shared" ca="1" si="148"/>
        <v>4.3448716839699451</v>
      </c>
      <c r="R523">
        <f t="shared" ca="1" si="149"/>
        <v>23172.648981173039</v>
      </c>
      <c r="S523">
        <f t="shared" ca="1" si="150"/>
        <v>3.182267759669279</v>
      </c>
      <c r="T523">
        <f t="shared" ca="1" si="151"/>
        <v>-2</v>
      </c>
      <c r="U523">
        <f t="shared" ca="1" si="152"/>
        <v>23174</v>
      </c>
      <c r="V523">
        <f t="shared" ca="1" si="153"/>
        <v>4.3451250000000003</v>
      </c>
      <c r="X523">
        <f t="shared" ca="1" si="154"/>
        <v>4.3389463404207405</v>
      </c>
    </row>
    <row r="524" spans="5:24" x14ac:dyDescent="0.25">
      <c r="E524">
        <v>522</v>
      </c>
      <c r="F524">
        <f t="shared" si="138"/>
        <v>72.2</v>
      </c>
      <c r="G524">
        <f t="shared" ca="1" si="139"/>
        <v>72.207999999999998</v>
      </c>
      <c r="H524" s="5">
        <f t="shared" ca="1" si="140"/>
        <v>7.9999999999955662E-3</v>
      </c>
      <c r="I524" s="5">
        <f t="shared" ca="1" si="141"/>
        <v>1.1080332409966158E-4</v>
      </c>
      <c r="J524" s="10">
        <f t="shared" si="142"/>
        <v>4.3499999999999996</v>
      </c>
      <c r="K524" s="12">
        <f t="shared" ca="1" si="143"/>
        <v>4.3506666666666662</v>
      </c>
      <c r="L524" s="5">
        <f t="shared" ca="1" si="144"/>
        <v>1.5325670498082605E-4</v>
      </c>
      <c r="N524">
        <f t="shared" ca="1" si="145"/>
        <v>47.207999999999998</v>
      </c>
      <c r="O524">
        <f t="shared" ca="1" si="146"/>
        <v>1.070812E-3</v>
      </c>
      <c r="P524">
        <f t="shared" ca="1" si="147"/>
        <v>1.0011802000000001</v>
      </c>
      <c r="Q524">
        <f t="shared" ca="1" si="148"/>
        <v>4.354729247694344</v>
      </c>
      <c r="R524">
        <f t="shared" ca="1" si="149"/>
        <v>23225.222654369834</v>
      </c>
      <c r="S524">
        <f t="shared" ca="1" si="150"/>
        <v>3.1700120736703861</v>
      </c>
      <c r="T524">
        <f t="shared" ca="1" si="151"/>
        <v>1</v>
      </c>
      <c r="U524">
        <f t="shared" ca="1" si="152"/>
        <v>23229</v>
      </c>
      <c r="V524">
        <f t="shared" ca="1" si="153"/>
        <v>4.3554374999999999</v>
      </c>
      <c r="X524">
        <f t="shared" ca="1" si="154"/>
        <v>4.3492337223608688</v>
      </c>
    </row>
    <row r="525" spans="5:24" x14ac:dyDescent="0.25">
      <c r="E525">
        <v>523</v>
      </c>
      <c r="F525">
        <f t="shared" si="138"/>
        <v>72.300000000000011</v>
      </c>
      <c r="G525">
        <f t="shared" ca="1" si="139"/>
        <v>72.295000000000016</v>
      </c>
      <c r="H525" s="5">
        <f t="shared" ca="1" si="140"/>
        <v>4.9999999999954525E-3</v>
      </c>
      <c r="I525" s="5">
        <f t="shared" ca="1" si="141"/>
        <v>6.9156293222620352E-5</v>
      </c>
      <c r="J525" s="10">
        <f t="shared" si="142"/>
        <v>4.3583333333333334</v>
      </c>
      <c r="K525" s="12">
        <f t="shared" ca="1" si="143"/>
        <v>4.3579166666666671</v>
      </c>
      <c r="L525" s="5">
        <f t="shared" ca="1" si="144"/>
        <v>9.5602294454979968E-5</v>
      </c>
      <c r="N525">
        <f t="shared" ca="1" si="145"/>
        <v>47.295000000000016</v>
      </c>
      <c r="O525">
        <f t="shared" ca="1" si="146"/>
        <v>1.0709425E-3</v>
      </c>
      <c r="P525">
        <f t="shared" ca="1" si="147"/>
        <v>1.001182375</v>
      </c>
      <c r="Q525">
        <f t="shared" ca="1" si="148"/>
        <v>4.3619971496297785</v>
      </c>
      <c r="R525">
        <f t="shared" ca="1" si="149"/>
        <v>23263.984798025485</v>
      </c>
      <c r="S525">
        <f t="shared" ca="1" si="150"/>
        <v>3.160924458357707</v>
      </c>
      <c r="T525">
        <f t="shared" ca="1" si="151"/>
        <v>-1</v>
      </c>
      <c r="U525">
        <f t="shared" ca="1" si="152"/>
        <v>23266</v>
      </c>
      <c r="V525">
        <f t="shared" ca="1" si="153"/>
        <v>4.3623750000000001</v>
      </c>
      <c r="X525">
        <f t="shared" ca="1" si="154"/>
        <v>4.3561534505638893</v>
      </c>
    </row>
    <row r="526" spans="5:24" x14ac:dyDescent="0.25">
      <c r="E526">
        <v>524</v>
      </c>
      <c r="F526">
        <f t="shared" si="138"/>
        <v>72.400000000000006</v>
      </c>
      <c r="G526">
        <f t="shared" ca="1" si="139"/>
        <v>72.402000000000001</v>
      </c>
      <c r="H526" s="5">
        <f t="shared" ca="1" si="140"/>
        <v>1.9999999999953388E-3</v>
      </c>
      <c r="I526" s="5">
        <f t="shared" ca="1" si="141"/>
        <v>2.7624309392200812E-5</v>
      </c>
      <c r="J526" s="10">
        <f t="shared" si="142"/>
        <v>4.3666666666666663</v>
      </c>
      <c r="K526" s="12">
        <f t="shared" ca="1" si="143"/>
        <v>4.3668333333333331</v>
      </c>
      <c r="L526" s="5">
        <f t="shared" ca="1" si="144"/>
        <v>3.8167938931344359E-5</v>
      </c>
      <c r="N526">
        <f t="shared" ca="1" si="145"/>
        <v>47.402000000000001</v>
      </c>
      <c r="O526">
        <f t="shared" ca="1" si="146"/>
        <v>1.0711030000000001E-3</v>
      </c>
      <c r="P526">
        <f t="shared" ca="1" si="147"/>
        <v>1.0011850499999999</v>
      </c>
      <c r="Q526">
        <f t="shared" ca="1" si="148"/>
        <v>4.3709358768643893</v>
      </c>
      <c r="R526">
        <f t="shared" ca="1" si="149"/>
        <v>23311.65800994341</v>
      </c>
      <c r="S526">
        <f t="shared" ca="1" si="150"/>
        <v>3.1496878335038692</v>
      </c>
      <c r="T526">
        <f t="shared" ca="1" si="151"/>
        <v>1</v>
      </c>
      <c r="U526">
        <f t="shared" ca="1" si="152"/>
        <v>23316</v>
      </c>
      <c r="V526">
        <f t="shared" ca="1" si="153"/>
        <v>4.3717500000000005</v>
      </c>
      <c r="X526">
        <f t="shared" ca="1" si="154"/>
        <v>4.3655055546424713</v>
      </c>
    </row>
    <row r="527" spans="5:24" x14ac:dyDescent="0.25">
      <c r="E527">
        <v>525</v>
      </c>
      <c r="F527">
        <f t="shared" si="138"/>
        <v>72.5</v>
      </c>
      <c r="G527">
        <f t="shared" ca="1" si="139"/>
        <v>72.492999999999995</v>
      </c>
      <c r="H527" s="5">
        <f t="shared" ca="1" si="140"/>
        <v>7.0000000000050022E-3</v>
      </c>
      <c r="I527" s="5">
        <f t="shared" ca="1" si="141"/>
        <v>9.6551724138000029E-5</v>
      </c>
      <c r="J527" s="10">
        <f t="shared" si="142"/>
        <v>4.3749999999999991</v>
      </c>
      <c r="K527" s="12">
        <f t="shared" ca="1" si="143"/>
        <v>4.374416666666666</v>
      </c>
      <c r="L527" s="5">
        <f t="shared" ca="1" si="144"/>
        <v>1.3333333333329331E-4</v>
      </c>
      <c r="N527">
        <f t="shared" ca="1" si="145"/>
        <v>47.492999999999995</v>
      </c>
      <c r="O527">
        <f t="shared" ca="1" si="146"/>
        <v>1.0712395E-3</v>
      </c>
      <c r="P527">
        <f t="shared" ca="1" si="147"/>
        <v>1.0011873250000001</v>
      </c>
      <c r="Q527">
        <f t="shared" ca="1" si="148"/>
        <v>4.3785380095259772</v>
      </c>
      <c r="R527">
        <f t="shared" ca="1" si="149"/>
        <v>23352.202717471879</v>
      </c>
      <c r="S527">
        <f t="shared" ca="1" si="150"/>
        <v>3.140079619291726</v>
      </c>
      <c r="T527">
        <f t="shared" ca="1" si="151"/>
        <v>-3</v>
      </c>
      <c r="U527">
        <f t="shared" ca="1" si="152"/>
        <v>23352</v>
      </c>
      <c r="V527">
        <f t="shared" ca="1" si="153"/>
        <v>4.3784999999999998</v>
      </c>
      <c r="X527">
        <f t="shared" ca="1" si="154"/>
        <v>4.3722374936178898</v>
      </c>
    </row>
    <row r="528" spans="5:24" x14ac:dyDescent="0.25">
      <c r="E528">
        <v>526</v>
      </c>
      <c r="F528">
        <f t="shared" si="138"/>
        <v>72.599999999999994</v>
      </c>
      <c r="G528">
        <f t="shared" ca="1" si="139"/>
        <v>72.603999999999999</v>
      </c>
      <c r="H528" s="5">
        <f t="shared" ca="1" si="140"/>
        <v>4.0000000000048885E-3</v>
      </c>
      <c r="I528" s="5">
        <f t="shared" ca="1" si="141"/>
        <v>5.5096418732849707E-5</v>
      </c>
      <c r="J528" s="10">
        <f t="shared" si="142"/>
        <v>4.383333333333332</v>
      </c>
      <c r="K528" s="12">
        <f t="shared" ca="1" si="143"/>
        <v>4.3836666666666657</v>
      </c>
      <c r="L528" s="5">
        <f t="shared" ca="1" si="144"/>
        <v>7.6045627376518813E-5</v>
      </c>
      <c r="N528">
        <f t="shared" ca="1" si="145"/>
        <v>47.603999999999999</v>
      </c>
      <c r="O528">
        <f t="shared" ca="1" si="146"/>
        <v>1.071406E-3</v>
      </c>
      <c r="P528">
        <f t="shared" ca="1" si="147"/>
        <v>1.0011901000000001</v>
      </c>
      <c r="Q528">
        <f t="shared" ca="1" si="148"/>
        <v>4.3878109872863851</v>
      </c>
      <c r="R528">
        <f t="shared" ca="1" si="149"/>
        <v>23401.658598860718</v>
      </c>
      <c r="S528">
        <f t="shared" ca="1" si="150"/>
        <v>3.1282954298362071</v>
      </c>
      <c r="T528">
        <f t="shared" ca="1" si="151"/>
        <v>0</v>
      </c>
      <c r="U528">
        <f t="shared" ca="1" si="152"/>
        <v>23405</v>
      </c>
      <c r="V528">
        <f t="shared" ca="1" si="153"/>
        <v>4.3884375000000002</v>
      </c>
      <c r="X528">
        <f t="shared" ca="1" si="154"/>
        <v>4.3821508962184099</v>
      </c>
    </row>
    <row r="529" spans="5:24" x14ac:dyDescent="0.25">
      <c r="E529">
        <v>527</v>
      </c>
      <c r="F529">
        <f t="shared" si="138"/>
        <v>72.7</v>
      </c>
      <c r="G529">
        <f t="shared" ca="1" si="139"/>
        <v>72.691000000000003</v>
      </c>
      <c r="H529" s="5">
        <f t="shared" ca="1" si="140"/>
        <v>9.0000000000003411E-3</v>
      </c>
      <c r="I529" s="5">
        <f t="shared" ca="1" si="141"/>
        <v>1.2379642365887677E-4</v>
      </c>
      <c r="J529" s="10">
        <f t="shared" si="142"/>
        <v>4.3916666666666666</v>
      </c>
      <c r="K529" s="12">
        <f t="shared" ca="1" si="143"/>
        <v>4.3909166666666666</v>
      </c>
      <c r="L529" s="5">
        <f t="shared" ca="1" si="144"/>
        <v>1.7077798861480723E-4</v>
      </c>
      <c r="N529">
        <f t="shared" ca="1" si="145"/>
        <v>47.691000000000003</v>
      </c>
      <c r="O529">
        <f t="shared" ca="1" si="146"/>
        <v>1.0715365000000001E-3</v>
      </c>
      <c r="P529">
        <f t="shared" ca="1" si="147"/>
        <v>1.001192275</v>
      </c>
      <c r="Q529">
        <f t="shared" ca="1" si="148"/>
        <v>4.3950790327692362</v>
      </c>
      <c r="R529">
        <f t="shared" ca="1" si="149"/>
        <v>23440.421508102594</v>
      </c>
      <c r="S529">
        <f t="shared" ca="1" si="150"/>
        <v>3.1190099494258514</v>
      </c>
      <c r="T529">
        <f t="shared" ca="1" si="151"/>
        <v>2</v>
      </c>
      <c r="U529">
        <f t="shared" ca="1" si="152"/>
        <v>23446</v>
      </c>
      <c r="V529">
        <f t="shared" ca="1" si="153"/>
        <v>4.3961250000000005</v>
      </c>
      <c r="X529">
        <f t="shared" ca="1" si="154"/>
        <v>4.3898195913467282</v>
      </c>
    </row>
    <row r="530" spans="5:24" x14ac:dyDescent="0.25">
      <c r="E530">
        <v>528</v>
      </c>
      <c r="F530">
        <f t="shared" si="138"/>
        <v>72.800000000000011</v>
      </c>
      <c r="G530">
        <f t="shared" ca="1" si="139"/>
        <v>72.793000000000006</v>
      </c>
      <c r="H530" s="5">
        <f t="shared" ca="1" si="140"/>
        <v>7.0000000000050022E-3</v>
      </c>
      <c r="I530" s="5">
        <f t="shared" ca="1" si="141"/>
        <v>9.6153846153914852E-5</v>
      </c>
      <c r="J530" s="10">
        <f t="shared" si="142"/>
        <v>4.4000000000000004</v>
      </c>
      <c r="K530" s="12">
        <f t="shared" ca="1" si="143"/>
        <v>4.3994166666666663</v>
      </c>
      <c r="L530" s="5">
        <f t="shared" ca="1" si="144"/>
        <v>1.325757575759196E-4</v>
      </c>
      <c r="N530">
        <f t="shared" ca="1" si="145"/>
        <v>47.793000000000006</v>
      </c>
      <c r="O530">
        <f t="shared" ca="1" si="146"/>
        <v>1.0716895E-3</v>
      </c>
      <c r="P530">
        <f t="shared" ca="1" si="147"/>
        <v>1.001194825</v>
      </c>
      <c r="Q530">
        <f t="shared" ca="1" si="148"/>
        <v>4.4036002297040095</v>
      </c>
      <c r="R530">
        <f t="shared" ca="1" si="149"/>
        <v>23485.867891754719</v>
      </c>
      <c r="S530">
        <f t="shared" ca="1" si="150"/>
        <v>3.1080686235309831</v>
      </c>
      <c r="T530">
        <f t="shared" ca="1" si="151"/>
        <v>-3</v>
      </c>
      <c r="U530">
        <f t="shared" ca="1" si="152"/>
        <v>23486</v>
      </c>
      <c r="V530">
        <f t="shared" ca="1" si="153"/>
        <v>4.4036249999999999</v>
      </c>
      <c r="X530">
        <f t="shared" ca="1" si="154"/>
        <v>4.3972993073550892</v>
      </c>
    </row>
    <row r="531" spans="5:24" x14ac:dyDescent="0.25">
      <c r="E531">
        <v>529</v>
      </c>
      <c r="F531">
        <f t="shared" si="138"/>
        <v>72.900000000000006</v>
      </c>
      <c r="G531">
        <f t="shared" ca="1" si="139"/>
        <v>72.907000000000011</v>
      </c>
      <c r="H531" s="5">
        <f t="shared" ca="1" si="140"/>
        <v>7.0000000000050022E-3</v>
      </c>
      <c r="I531" s="5">
        <f t="shared" ca="1" si="141"/>
        <v>9.6021947873868338E-5</v>
      </c>
      <c r="J531" s="10">
        <f t="shared" si="142"/>
        <v>4.4083333333333332</v>
      </c>
      <c r="K531" s="12">
        <f t="shared" ca="1" si="143"/>
        <v>4.4089166666666673</v>
      </c>
      <c r="L531" s="5">
        <f t="shared" ca="1" si="144"/>
        <v>1.3232514177709934E-4</v>
      </c>
      <c r="N531">
        <f t="shared" ca="1" si="145"/>
        <v>47.907000000000011</v>
      </c>
      <c r="O531">
        <f t="shared" ca="1" si="146"/>
        <v>1.0718605E-3</v>
      </c>
      <c r="P531">
        <f t="shared" ca="1" si="147"/>
        <v>1.001197675</v>
      </c>
      <c r="Q531">
        <f t="shared" ca="1" si="148"/>
        <v>4.4131239716948931</v>
      </c>
      <c r="R531">
        <f t="shared" ca="1" si="149"/>
        <v>23536.661182372762</v>
      </c>
      <c r="S531">
        <f t="shared" ca="1" si="150"/>
        <v>3.0957702001350573</v>
      </c>
      <c r="T531">
        <f t="shared" ca="1" si="151"/>
        <v>1</v>
      </c>
      <c r="U531">
        <f t="shared" ca="1" si="152"/>
        <v>23541</v>
      </c>
      <c r="V531">
        <f t="shared" ca="1" si="153"/>
        <v>4.4139375000000003</v>
      </c>
      <c r="X531">
        <f t="shared" ca="1" si="154"/>
        <v>4.4075867829996715</v>
      </c>
    </row>
    <row r="532" spans="5:24" x14ac:dyDescent="0.25">
      <c r="E532">
        <v>530</v>
      </c>
      <c r="F532">
        <f t="shared" si="138"/>
        <v>73</v>
      </c>
      <c r="G532">
        <f t="shared" ca="1" si="139"/>
        <v>72.997</v>
      </c>
      <c r="H532" s="5">
        <f t="shared" ca="1" si="140"/>
        <v>3.0000000000001137E-3</v>
      </c>
      <c r="I532" s="5">
        <f t="shared" ca="1" si="141"/>
        <v>4.1095890410960464E-5</v>
      </c>
      <c r="J532" s="10">
        <f t="shared" si="142"/>
        <v>4.4166666666666661</v>
      </c>
      <c r="K532" s="12">
        <f t="shared" ca="1" si="143"/>
        <v>4.4164166666666658</v>
      </c>
      <c r="L532" s="5">
        <f t="shared" ca="1" si="144"/>
        <v>5.6603773584974846E-5</v>
      </c>
      <c r="N532">
        <f t="shared" ca="1" si="145"/>
        <v>47.997</v>
      </c>
      <c r="O532">
        <f t="shared" ca="1" si="146"/>
        <v>1.0719955E-3</v>
      </c>
      <c r="P532">
        <f t="shared" ca="1" si="147"/>
        <v>1.0011999250000001</v>
      </c>
      <c r="Q532">
        <f t="shared" ca="1" si="148"/>
        <v>4.4206427536212161</v>
      </c>
      <c r="R532">
        <f t="shared" ca="1" si="149"/>
        <v>23576.761352646485</v>
      </c>
      <c r="S532">
        <f t="shared" ca="1" si="150"/>
        <v>3.08600899649743</v>
      </c>
      <c r="T532">
        <f t="shared" ca="1" si="151"/>
        <v>-2</v>
      </c>
      <c r="U532">
        <f t="shared" ca="1" si="152"/>
        <v>23578</v>
      </c>
      <c r="V532">
        <f t="shared" ca="1" si="153"/>
        <v>4.4208749999999997</v>
      </c>
      <c r="X532">
        <f t="shared" ca="1" si="154"/>
        <v>4.4145059284737753</v>
      </c>
    </row>
    <row r="533" spans="5:24" x14ac:dyDescent="0.25">
      <c r="E533">
        <v>531</v>
      </c>
      <c r="F533">
        <f t="shared" si="138"/>
        <v>73.099999999999994</v>
      </c>
      <c r="G533">
        <f t="shared" ca="1" si="139"/>
        <v>73.09899999999999</v>
      </c>
      <c r="H533" s="5">
        <f t="shared" ca="1" si="140"/>
        <v>1.0000000000047748E-3</v>
      </c>
      <c r="I533" s="5">
        <f t="shared" ca="1" si="141"/>
        <v>1.3679890560940834E-5</v>
      </c>
      <c r="J533" s="10">
        <f t="shared" si="142"/>
        <v>4.4249999999999989</v>
      </c>
      <c r="K533" s="12">
        <f t="shared" ca="1" si="143"/>
        <v>4.4249166666666655</v>
      </c>
      <c r="L533" s="5">
        <f t="shared" ca="1" si="144"/>
        <v>1.8832391713770665E-5</v>
      </c>
      <c r="N533">
        <f t="shared" ca="1" si="145"/>
        <v>48.09899999999999</v>
      </c>
      <c r="O533">
        <f t="shared" ca="1" si="146"/>
        <v>1.0721484999999999E-3</v>
      </c>
      <c r="P533">
        <f t="shared" ca="1" si="147"/>
        <v>1.0012024749999999</v>
      </c>
      <c r="Q533">
        <f t="shared" ca="1" si="148"/>
        <v>4.4291640806036483</v>
      </c>
      <c r="R533">
        <f t="shared" ca="1" si="149"/>
        <v>23622.208429886123</v>
      </c>
      <c r="S533">
        <f t="shared" ca="1" si="150"/>
        <v>3.0748911123602136</v>
      </c>
      <c r="T533">
        <f t="shared" ca="1" si="151"/>
        <v>-2</v>
      </c>
      <c r="U533">
        <f t="shared" ca="1" si="152"/>
        <v>23623</v>
      </c>
      <c r="V533">
        <f t="shared" ca="1" si="153"/>
        <v>4.4293125</v>
      </c>
      <c r="X533">
        <f t="shared" ca="1" si="154"/>
        <v>4.422921898490114</v>
      </c>
    </row>
    <row r="534" spans="5:24" x14ac:dyDescent="0.25">
      <c r="E534">
        <v>532</v>
      </c>
      <c r="F534">
        <f t="shared" si="138"/>
        <v>73.2</v>
      </c>
      <c r="G534">
        <f t="shared" ca="1" si="139"/>
        <v>73.198000000000008</v>
      </c>
      <c r="H534" s="5">
        <f t="shared" ca="1" si="140"/>
        <v>1.9999999999953388E-3</v>
      </c>
      <c r="I534" s="5">
        <f t="shared" ca="1" si="141"/>
        <v>2.7322404371521023E-5</v>
      </c>
      <c r="J534" s="10">
        <f t="shared" si="142"/>
        <v>4.4333333333333327</v>
      </c>
      <c r="K534" s="12">
        <f t="shared" ca="1" si="143"/>
        <v>4.4331666666666667</v>
      </c>
      <c r="L534" s="5">
        <f t="shared" ca="1" si="144"/>
        <v>3.7593984962251623E-5</v>
      </c>
      <c r="N534">
        <f t="shared" ca="1" si="145"/>
        <v>48.198000000000008</v>
      </c>
      <c r="O534">
        <f t="shared" ca="1" si="146"/>
        <v>1.0722970000000001E-3</v>
      </c>
      <c r="P534">
        <f t="shared" ca="1" si="147"/>
        <v>1.00120495</v>
      </c>
      <c r="Q534">
        <f t="shared" ca="1" si="148"/>
        <v>4.437434821777396</v>
      </c>
      <c r="R534">
        <f t="shared" ca="1" si="149"/>
        <v>23666.319049479443</v>
      </c>
      <c r="S534">
        <f t="shared" ca="1" si="150"/>
        <v>3.0640443416491383</v>
      </c>
      <c r="T534">
        <f t="shared" ca="1" si="151"/>
        <v>3</v>
      </c>
      <c r="U534">
        <f t="shared" ca="1" si="152"/>
        <v>23672</v>
      </c>
      <c r="V534">
        <f t="shared" ca="1" si="153"/>
        <v>4.4385000000000003</v>
      </c>
      <c r="X534">
        <f t="shared" ca="1" si="154"/>
        <v>4.4320872594567176</v>
      </c>
    </row>
    <row r="535" spans="5:24" x14ac:dyDescent="0.25">
      <c r="E535">
        <v>533</v>
      </c>
      <c r="F535">
        <f t="shared" si="138"/>
        <v>73.300000000000011</v>
      </c>
      <c r="G535">
        <f t="shared" ca="1" si="139"/>
        <v>73.299000000000007</v>
      </c>
      <c r="H535" s="5">
        <f t="shared" ca="1" si="140"/>
        <v>1.0000000000047748E-3</v>
      </c>
      <c r="I535" s="5">
        <f t="shared" ca="1" si="141"/>
        <v>1.3642564802247949E-5</v>
      </c>
      <c r="J535" s="10">
        <f t="shared" si="142"/>
        <v>4.4416666666666673</v>
      </c>
      <c r="K535" s="12">
        <f t="shared" ca="1" si="143"/>
        <v>4.441583333333333</v>
      </c>
      <c r="L535" s="5">
        <f t="shared" ca="1" si="144"/>
        <v>1.8761726079022141E-5</v>
      </c>
      <c r="N535">
        <f t="shared" ca="1" si="145"/>
        <v>48.299000000000007</v>
      </c>
      <c r="O535">
        <f t="shared" ca="1" si="146"/>
        <v>1.0724485000000001E-3</v>
      </c>
      <c r="P535">
        <f t="shared" ca="1" si="147"/>
        <v>1.001207475</v>
      </c>
      <c r="Q535">
        <f t="shared" ca="1" si="148"/>
        <v>4.4458726907139967</v>
      </c>
      <c r="R535">
        <f t="shared" ca="1" si="149"/>
        <v>23711.321017141316</v>
      </c>
      <c r="S535">
        <f t="shared" ca="1" si="150"/>
        <v>3.0529219182023777</v>
      </c>
      <c r="T535">
        <f t="shared" ca="1" si="151"/>
        <v>0</v>
      </c>
      <c r="U535">
        <f t="shared" ca="1" si="152"/>
        <v>23714</v>
      </c>
      <c r="V535">
        <f t="shared" ca="1" si="153"/>
        <v>4.4463749999999997</v>
      </c>
      <c r="X535">
        <f t="shared" ca="1" si="154"/>
        <v>4.4399414332179248</v>
      </c>
    </row>
    <row r="536" spans="5:24" x14ac:dyDescent="0.25">
      <c r="E536">
        <v>534</v>
      </c>
      <c r="F536">
        <f t="shared" si="138"/>
        <v>73.400000000000006</v>
      </c>
      <c r="G536">
        <f t="shared" ca="1" si="139"/>
        <v>73.39200000000001</v>
      </c>
      <c r="H536" s="5">
        <f t="shared" ca="1" si="140"/>
        <v>7.9999999999955662E-3</v>
      </c>
      <c r="I536" s="5">
        <f t="shared" ca="1" si="141"/>
        <v>1.089918256130186E-4</v>
      </c>
      <c r="J536" s="10">
        <f t="shared" si="142"/>
        <v>4.45</v>
      </c>
      <c r="K536" s="12">
        <f t="shared" ca="1" si="143"/>
        <v>4.4493333333333336</v>
      </c>
      <c r="L536" s="5">
        <f t="shared" ca="1" si="144"/>
        <v>1.498127340823805E-4</v>
      </c>
      <c r="N536">
        <f t="shared" ca="1" si="145"/>
        <v>48.39200000000001</v>
      </c>
      <c r="O536">
        <f t="shared" ca="1" si="146"/>
        <v>1.072588E-3</v>
      </c>
      <c r="P536">
        <f t="shared" ca="1" si="147"/>
        <v>1.0012098</v>
      </c>
      <c r="Q536">
        <f t="shared" ca="1" si="148"/>
        <v>4.4536422511830374</v>
      </c>
      <c r="R536">
        <f t="shared" ca="1" si="149"/>
        <v>23752.758672976197</v>
      </c>
      <c r="S536">
        <f t="shared" ca="1" si="150"/>
        <v>3.0426301678117427</v>
      </c>
      <c r="T536">
        <f t="shared" ca="1" si="151"/>
        <v>2</v>
      </c>
      <c r="U536">
        <f t="shared" ca="1" si="152"/>
        <v>23758</v>
      </c>
      <c r="V536">
        <f t="shared" ca="1" si="153"/>
        <v>4.4546250000000001</v>
      </c>
      <c r="X536">
        <f t="shared" ca="1" si="154"/>
        <v>4.448171014706408</v>
      </c>
    </row>
    <row r="537" spans="5:24" x14ac:dyDescent="0.25">
      <c r="E537">
        <v>535</v>
      </c>
      <c r="F537">
        <f t="shared" si="138"/>
        <v>73.5</v>
      </c>
      <c r="G537">
        <f t="shared" ca="1" si="139"/>
        <v>73.491</v>
      </c>
      <c r="H537" s="5">
        <f t="shared" ca="1" si="140"/>
        <v>9.0000000000003411E-3</v>
      </c>
      <c r="I537" s="5">
        <f t="shared" ca="1" si="141"/>
        <v>1.2244897959184136E-4</v>
      </c>
      <c r="J537" s="10">
        <f t="shared" si="142"/>
        <v>4.458333333333333</v>
      </c>
      <c r="K537" s="12">
        <f t="shared" ca="1" si="143"/>
        <v>4.457583333333333</v>
      </c>
      <c r="L537" s="5">
        <f t="shared" ca="1" si="144"/>
        <v>1.6822429906542696E-4</v>
      </c>
      <c r="N537">
        <f t="shared" ca="1" si="145"/>
        <v>48.491</v>
      </c>
      <c r="O537">
        <f t="shared" ca="1" si="146"/>
        <v>1.0727365000000001E-3</v>
      </c>
      <c r="P537">
        <f t="shared" ca="1" si="147"/>
        <v>1.0012122750000001</v>
      </c>
      <c r="Q537">
        <f t="shared" ca="1" si="148"/>
        <v>4.4619131132171095</v>
      </c>
      <c r="R537">
        <f t="shared" ca="1" si="149"/>
        <v>23796.869937157917</v>
      </c>
      <c r="S537">
        <f t="shared" ca="1" si="150"/>
        <v>3.031621615480208</v>
      </c>
      <c r="T537">
        <f t="shared" ca="1" si="151"/>
        <v>3</v>
      </c>
      <c r="U537">
        <f t="shared" ca="1" si="152"/>
        <v>23803</v>
      </c>
      <c r="V537">
        <f t="shared" ca="1" si="153"/>
        <v>4.4630625000000004</v>
      </c>
      <c r="X537">
        <f t="shared" ca="1" si="154"/>
        <v>4.4565871543075115</v>
      </c>
    </row>
    <row r="538" spans="5:24" x14ac:dyDescent="0.25">
      <c r="E538">
        <v>536</v>
      </c>
      <c r="F538">
        <f t="shared" si="138"/>
        <v>73.599999999999994</v>
      </c>
      <c r="G538">
        <f t="shared" ca="1" si="139"/>
        <v>73.59899999999999</v>
      </c>
      <c r="H538" s="5">
        <f t="shared" ca="1" si="140"/>
        <v>1.0000000000047748E-3</v>
      </c>
      <c r="I538" s="5">
        <f t="shared" ca="1" si="141"/>
        <v>1.3586956521804007E-5</v>
      </c>
      <c r="J538" s="10">
        <f t="shared" si="142"/>
        <v>4.4666666666666659</v>
      </c>
      <c r="K538" s="12">
        <f t="shared" ca="1" si="143"/>
        <v>4.4665833333333316</v>
      </c>
      <c r="L538" s="5">
        <f t="shared" ca="1" si="144"/>
        <v>1.86567164181321E-5</v>
      </c>
      <c r="N538">
        <f t="shared" ca="1" si="145"/>
        <v>48.59899999999999</v>
      </c>
      <c r="O538">
        <f t="shared" ca="1" si="146"/>
        <v>1.0728985E-3</v>
      </c>
      <c r="P538">
        <f t="shared" ca="1" si="147"/>
        <v>1.0012149749999999</v>
      </c>
      <c r="Q538">
        <f t="shared" ca="1" si="148"/>
        <v>4.4709359183738924</v>
      </c>
      <c r="R538">
        <f t="shared" ca="1" si="149"/>
        <v>23844.991564660759</v>
      </c>
      <c r="S538">
        <f t="shared" ca="1" si="150"/>
        <v>3.0195503903795924</v>
      </c>
      <c r="T538">
        <f t="shared" ca="1" si="151"/>
        <v>0</v>
      </c>
      <c r="U538">
        <f t="shared" ca="1" si="152"/>
        <v>23848</v>
      </c>
      <c r="V538">
        <f t="shared" ca="1" si="153"/>
        <v>4.4714999999999998</v>
      </c>
      <c r="X538">
        <f t="shared" ca="1" si="154"/>
        <v>4.4650022354090337</v>
      </c>
    </row>
    <row r="539" spans="5:24" x14ac:dyDescent="0.25">
      <c r="E539">
        <v>537</v>
      </c>
      <c r="F539">
        <f t="shared" si="138"/>
        <v>73.7</v>
      </c>
      <c r="G539">
        <f t="shared" ca="1" si="139"/>
        <v>73.695000000000007</v>
      </c>
      <c r="H539" s="5">
        <f t="shared" ca="1" si="140"/>
        <v>4.9999999999954525E-3</v>
      </c>
      <c r="I539" s="5">
        <f t="shared" ca="1" si="141"/>
        <v>6.7842605155976293E-5</v>
      </c>
      <c r="J539" s="10">
        <f t="shared" si="142"/>
        <v>4.4749999999999996</v>
      </c>
      <c r="K539" s="12">
        <f t="shared" ca="1" si="143"/>
        <v>4.4745833333333334</v>
      </c>
      <c r="L539" s="5">
        <f t="shared" ca="1" si="144"/>
        <v>9.3109869646097816E-5</v>
      </c>
      <c r="N539">
        <f t="shared" ca="1" si="145"/>
        <v>48.695000000000007</v>
      </c>
      <c r="O539">
        <f t="shared" ca="1" si="146"/>
        <v>1.0730425000000001E-3</v>
      </c>
      <c r="P539">
        <f t="shared" ca="1" si="147"/>
        <v>1.001217375</v>
      </c>
      <c r="Q539">
        <f t="shared" ca="1" si="148"/>
        <v>4.4789562304236368</v>
      </c>
      <c r="R539">
        <f t="shared" ca="1" si="149"/>
        <v>23887.766562259396</v>
      </c>
      <c r="S539">
        <f t="shared" ca="1" si="150"/>
        <v>3.0087663927417858</v>
      </c>
      <c r="T539">
        <f t="shared" ca="1" si="151"/>
        <v>1</v>
      </c>
      <c r="U539">
        <f t="shared" ca="1" si="152"/>
        <v>23892</v>
      </c>
      <c r="V539">
        <f t="shared" ca="1" si="153"/>
        <v>4.4797500000000001</v>
      </c>
      <c r="X539">
        <f t="shared" ca="1" si="154"/>
        <v>4.4732313574761928</v>
      </c>
    </row>
    <row r="540" spans="5:24" x14ac:dyDescent="0.25">
      <c r="E540">
        <v>538</v>
      </c>
      <c r="F540">
        <f t="shared" si="138"/>
        <v>73.800000000000011</v>
      </c>
      <c r="G540">
        <f t="shared" ca="1" si="139"/>
        <v>73.795000000000016</v>
      </c>
      <c r="H540" s="5">
        <f t="shared" ca="1" si="140"/>
        <v>4.9999999999954525E-3</v>
      </c>
      <c r="I540" s="5">
        <f t="shared" ca="1" si="141"/>
        <v>6.7750677506713444E-5</v>
      </c>
      <c r="J540" s="10">
        <f t="shared" si="142"/>
        <v>4.4833333333333334</v>
      </c>
      <c r="K540" s="12">
        <f t="shared" ca="1" si="143"/>
        <v>4.4829166666666671</v>
      </c>
      <c r="L540" s="5">
        <f t="shared" ca="1" si="144"/>
        <v>9.2936802973893166E-5</v>
      </c>
      <c r="N540">
        <f t="shared" ca="1" si="145"/>
        <v>48.795000000000016</v>
      </c>
      <c r="O540">
        <f t="shared" ca="1" si="146"/>
        <v>1.0731925000000001E-3</v>
      </c>
      <c r="P540">
        <f t="shared" ca="1" si="147"/>
        <v>1.0012198750000001</v>
      </c>
      <c r="Q540">
        <f t="shared" ca="1" si="148"/>
        <v>4.4873107629747171</v>
      </c>
      <c r="R540">
        <f t="shared" ca="1" si="149"/>
        <v>23932.32406919849</v>
      </c>
      <c r="S540">
        <f t="shared" ca="1" si="150"/>
        <v>2.9974792007019935</v>
      </c>
      <c r="T540">
        <f t="shared" ca="1" si="151"/>
        <v>2</v>
      </c>
      <c r="U540">
        <f t="shared" ca="1" si="152"/>
        <v>23937</v>
      </c>
      <c r="V540">
        <f t="shared" ca="1" si="153"/>
        <v>4.4881875000000004</v>
      </c>
      <c r="X540">
        <f t="shared" ca="1" si="154"/>
        <v>4.4816472580510851</v>
      </c>
    </row>
    <row r="541" spans="5:24" x14ac:dyDescent="0.25">
      <c r="E541">
        <v>539</v>
      </c>
      <c r="F541">
        <f t="shared" si="138"/>
        <v>73.900000000000006</v>
      </c>
      <c r="G541">
        <f t="shared" ca="1" si="139"/>
        <v>73.905000000000001</v>
      </c>
      <c r="H541" s="5">
        <f t="shared" ca="1" si="140"/>
        <v>4.9999999999954525E-3</v>
      </c>
      <c r="I541" s="5">
        <f t="shared" ca="1" si="141"/>
        <v>6.765899864675849E-5</v>
      </c>
      <c r="J541" s="10">
        <f t="shared" si="142"/>
        <v>4.4916666666666663</v>
      </c>
      <c r="K541" s="12">
        <f t="shared" ca="1" si="143"/>
        <v>4.4920833333333325</v>
      </c>
      <c r="L541" s="5">
        <f t="shared" ca="1" si="144"/>
        <v>9.2764378478579838E-5</v>
      </c>
      <c r="N541">
        <f t="shared" ca="1" si="145"/>
        <v>48.905000000000001</v>
      </c>
      <c r="O541">
        <f t="shared" ca="1" si="146"/>
        <v>1.0733575E-3</v>
      </c>
      <c r="P541">
        <f t="shared" ca="1" si="147"/>
        <v>1.001222625</v>
      </c>
      <c r="Q541">
        <f t="shared" ca="1" si="148"/>
        <v>4.4965007969050355</v>
      </c>
      <c r="R541">
        <f t="shared" ca="1" si="149"/>
        <v>23981.337583493521</v>
      </c>
      <c r="S541">
        <f t="shared" ca="1" si="150"/>
        <v>2.9850000519671389</v>
      </c>
      <c r="T541">
        <f t="shared" ca="1" si="151"/>
        <v>-3</v>
      </c>
      <c r="U541">
        <f t="shared" ca="1" si="152"/>
        <v>23981</v>
      </c>
      <c r="V541">
        <f t="shared" ca="1" si="153"/>
        <v>4.4964374999999999</v>
      </c>
      <c r="X541">
        <f t="shared" ca="1" si="154"/>
        <v>4.4898747094333782</v>
      </c>
    </row>
    <row r="542" spans="5:24" x14ac:dyDescent="0.25">
      <c r="E542">
        <v>540</v>
      </c>
      <c r="F542">
        <f t="shared" si="138"/>
        <v>74</v>
      </c>
      <c r="G542">
        <f t="shared" ca="1" si="139"/>
        <v>74.010000000000005</v>
      </c>
      <c r="H542" s="5">
        <f t="shared" ca="1" si="140"/>
        <v>1.0000000000005116E-2</v>
      </c>
      <c r="I542" s="5">
        <f t="shared" ca="1" si="141"/>
        <v>1.3513513513520428E-4</v>
      </c>
      <c r="J542" s="10">
        <f t="shared" si="142"/>
        <v>4.4999999999999991</v>
      </c>
      <c r="K542" s="12">
        <f t="shared" ca="1" si="143"/>
        <v>4.5008333333333335</v>
      </c>
      <c r="L542" s="5">
        <f t="shared" ca="1" si="144"/>
        <v>1.8518518518541153E-4</v>
      </c>
      <c r="N542">
        <f t="shared" ca="1" si="145"/>
        <v>49.010000000000005</v>
      </c>
      <c r="O542">
        <f t="shared" ca="1" si="146"/>
        <v>1.0735149999999999E-3</v>
      </c>
      <c r="P542">
        <f t="shared" ca="1" si="147"/>
        <v>1.0012252500000001</v>
      </c>
      <c r="Q542">
        <f t="shared" ca="1" si="148"/>
        <v>4.5052731490507467</v>
      </c>
      <c r="R542">
        <f t="shared" ca="1" si="149"/>
        <v>24028.123461603984</v>
      </c>
      <c r="S542">
        <f t="shared" ca="1" si="150"/>
        <v>2.9730265814090839</v>
      </c>
      <c r="T542">
        <f t="shared" ca="1" si="151"/>
        <v>0</v>
      </c>
      <c r="U542">
        <f t="shared" ca="1" si="152"/>
        <v>24031</v>
      </c>
      <c r="V542">
        <f t="shared" ca="1" si="153"/>
        <v>4.5058125000000002</v>
      </c>
      <c r="X542">
        <f t="shared" ca="1" si="154"/>
        <v>4.4992263079661647</v>
      </c>
    </row>
    <row r="543" spans="5:24" x14ac:dyDescent="0.25">
      <c r="E543">
        <v>541</v>
      </c>
      <c r="F543">
        <f t="shared" si="138"/>
        <v>74.099999999999994</v>
      </c>
      <c r="G543">
        <f t="shared" ca="1" si="139"/>
        <v>74.096999999999994</v>
      </c>
      <c r="H543" s="5">
        <f t="shared" ca="1" si="140"/>
        <v>3.0000000000001137E-3</v>
      </c>
      <c r="I543" s="5">
        <f t="shared" ca="1" si="141"/>
        <v>4.0485829959515708E-5</v>
      </c>
      <c r="J543" s="10">
        <f t="shared" si="142"/>
        <v>4.508333333333332</v>
      </c>
      <c r="K543" s="12">
        <f t="shared" ca="1" si="143"/>
        <v>4.5080833333333326</v>
      </c>
      <c r="L543" s="5">
        <f t="shared" ca="1" si="144"/>
        <v>5.5452865064565788E-5</v>
      </c>
      <c r="N543">
        <f t="shared" ca="1" si="145"/>
        <v>49.096999999999994</v>
      </c>
      <c r="O543">
        <f t="shared" ca="1" si="146"/>
        <v>1.0736455E-3</v>
      </c>
      <c r="P543">
        <f t="shared" ca="1" si="147"/>
        <v>1.0012274249999999</v>
      </c>
      <c r="Q543">
        <f t="shared" ca="1" si="148"/>
        <v>4.5125417041994211</v>
      </c>
      <c r="R543">
        <f t="shared" ca="1" si="149"/>
        <v>24066.889089063578</v>
      </c>
      <c r="S543">
        <f t="shared" ca="1" si="150"/>
        <v>2.9630603327953051</v>
      </c>
      <c r="T543">
        <f t="shared" ca="1" si="151"/>
        <v>-3</v>
      </c>
      <c r="U543">
        <f t="shared" ca="1" si="152"/>
        <v>24067</v>
      </c>
      <c r="V543">
        <f t="shared" ca="1" si="153"/>
        <v>4.5125625000000005</v>
      </c>
      <c r="X543">
        <f t="shared" ca="1" si="154"/>
        <v>4.5059581288437052</v>
      </c>
    </row>
    <row r="544" spans="5:24" x14ac:dyDescent="0.25">
      <c r="E544">
        <v>542</v>
      </c>
      <c r="F544">
        <f t="shared" si="138"/>
        <v>74.2</v>
      </c>
      <c r="G544">
        <f t="shared" ca="1" si="139"/>
        <v>74.204000000000008</v>
      </c>
      <c r="H544" s="5">
        <f t="shared" ca="1" si="140"/>
        <v>4.0000000000048885E-3</v>
      </c>
      <c r="I544" s="5">
        <f t="shared" ca="1" si="141"/>
        <v>5.3908355795214132E-5</v>
      </c>
      <c r="J544" s="10">
        <f t="shared" si="142"/>
        <v>4.5166666666666666</v>
      </c>
      <c r="K544" s="12">
        <f t="shared" ca="1" si="143"/>
        <v>4.5170000000000003</v>
      </c>
      <c r="L544" s="5">
        <f t="shared" ca="1" si="144"/>
        <v>7.3800738007470272E-5</v>
      </c>
      <c r="N544">
        <f t="shared" ca="1" si="145"/>
        <v>49.204000000000008</v>
      </c>
      <c r="O544">
        <f t="shared" ca="1" si="146"/>
        <v>1.0738060000000001E-3</v>
      </c>
      <c r="P544">
        <f t="shared" ca="1" si="147"/>
        <v>1.0012300999999999</v>
      </c>
      <c r="Q544">
        <f t="shared" ca="1" si="148"/>
        <v>4.5214812348112394</v>
      </c>
      <c r="R544">
        <f t="shared" ca="1" si="149"/>
        <v>24114.566585659944</v>
      </c>
      <c r="S544">
        <f t="shared" ca="1" si="150"/>
        <v>2.9507468230984615</v>
      </c>
      <c r="T544">
        <f t="shared" ca="1" si="151"/>
        <v>0</v>
      </c>
      <c r="U544">
        <f t="shared" ca="1" si="152"/>
        <v>24118</v>
      </c>
      <c r="V544">
        <f t="shared" ca="1" si="153"/>
        <v>4.522125</v>
      </c>
      <c r="X544">
        <f t="shared" ca="1" si="154"/>
        <v>4.5154966815320483</v>
      </c>
    </row>
    <row r="545" spans="5:24" x14ac:dyDescent="0.25">
      <c r="E545">
        <v>543</v>
      </c>
      <c r="F545">
        <f t="shared" si="138"/>
        <v>74.300000000000011</v>
      </c>
      <c r="G545">
        <f t="shared" ca="1" si="139"/>
        <v>74.290000000000006</v>
      </c>
      <c r="H545" s="5">
        <f t="shared" ca="1" si="140"/>
        <v>1.0000000000005116E-2</v>
      </c>
      <c r="I545" s="5">
        <f t="shared" ca="1" si="141"/>
        <v>1.3458950201891137E-4</v>
      </c>
      <c r="J545" s="10">
        <f t="shared" si="142"/>
        <v>4.5250000000000004</v>
      </c>
      <c r="K545" s="12">
        <f t="shared" ca="1" si="143"/>
        <v>4.5241666666666669</v>
      </c>
      <c r="L545" s="5">
        <f t="shared" ca="1" si="144"/>
        <v>1.8416206261513007E-4</v>
      </c>
      <c r="N545">
        <f t="shared" ca="1" si="145"/>
        <v>49.290000000000006</v>
      </c>
      <c r="O545">
        <f t="shared" ca="1" si="146"/>
        <v>1.073935E-3</v>
      </c>
      <c r="P545">
        <f t="shared" ca="1" si="147"/>
        <v>1.0012322499999999</v>
      </c>
      <c r="Q545">
        <f t="shared" ca="1" si="148"/>
        <v>4.5286663126852629</v>
      </c>
      <c r="R545">
        <f t="shared" ca="1" si="149"/>
        <v>24152.887000988067</v>
      </c>
      <c r="S545">
        <f t="shared" ca="1" si="150"/>
        <v>2.9408052327477443</v>
      </c>
      <c r="T545">
        <f t="shared" ca="1" si="151"/>
        <v>3</v>
      </c>
      <c r="U545">
        <f t="shared" ca="1" si="152"/>
        <v>24159</v>
      </c>
      <c r="V545">
        <f t="shared" ca="1" si="153"/>
        <v>4.5298125000000002</v>
      </c>
      <c r="X545">
        <f t="shared" ca="1" si="154"/>
        <v>4.5231648950580654</v>
      </c>
    </row>
    <row r="546" spans="5:24" x14ac:dyDescent="0.25">
      <c r="E546">
        <v>544</v>
      </c>
      <c r="F546">
        <f t="shared" si="138"/>
        <v>74.400000000000006</v>
      </c>
      <c r="G546">
        <f t="shared" ca="1" si="139"/>
        <v>74.39800000000001</v>
      </c>
      <c r="H546" s="5">
        <f t="shared" ca="1" si="140"/>
        <v>1.9999999999953388E-3</v>
      </c>
      <c r="I546" s="5">
        <f t="shared" ca="1" si="141"/>
        <v>2.6881720430044874E-5</v>
      </c>
      <c r="J546" s="10">
        <f t="shared" si="142"/>
        <v>4.5333333333333332</v>
      </c>
      <c r="K546" s="12">
        <f t="shared" ca="1" si="143"/>
        <v>4.5331666666666672</v>
      </c>
      <c r="L546" s="5">
        <f t="shared" ca="1" si="144"/>
        <v>3.6764705882201949E-5</v>
      </c>
      <c r="N546">
        <f t="shared" ca="1" si="145"/>
        <v>49.39800000000001</v>
      </c>
      <c r="O546">
        <f t="shared" ca="1" si="146"/>
        <v>1.074097E-3</v>
      </c>
      <c r="P546">
        <f t="shared" ca="1" si="147"/>
        <v>1.00123495</v>
      </c>
      <c r="Q546">
        <f t="shared" ca="1" si="148"/>
        <v>4.5376894773855767</v>
      </c>
      <c r="R546">
        <f t="shared" ca="1" si="149"/>
        <v>24201.010546056408</v>
      </c>
      <c r="S546">
        <f t="shared" ca="1" si="150"/>
        <v>2.9282641759308627</v>
      </c>
      <c r="T546">
        <f t="shared" ca="1" si="151"/>
        <v>0</v>
      </c>
      <c r="U546">
        <f t="shared" ca="1" si="152"/>
        <v>24204</v>
      </c>
      <c r="V546">
        <f t="shared" ca="1" si="153"/>
        <v>4.5382499999999997</v>
      </c>
      <c r="X546">
        <f t="shared" ca="1" si="154"/>
        <v>4.5315796287374903</v>
      </c>
    </row>
    <row r="547" spans="5:24" x14ac:dyDescent="0.25">
      <c r="E547">
        <v>545</v>
      </c>
      <c r="F547">
        <f t="shared" si="138"/>
        <v>74.5</v>
      </c>
      <c r="G547">
        <f t="shared" ca="1" si="139"/>
        <v>74.498000000000005</v>
      </c>
      <c r="H547" s="5">
        <f t="shared" ca="1" si="140"/>
        <v>1.9999999999953388E-3</v>
      </c>
      <c r="I547" s="5">
        <f t="shared" ca="1" si="141"/>
        <v>2.6845637583830053E-5</v>
      </c>
      <c r="J547" s="10">
        <f t="shared" si="142"/>
        <v>4.5416666666666661</v>
      </c>
      <c r="K547" s="12">
        <f t="shared" ca="1" si="143"/>
        <v>4.5415000000000001</v>
      </c>
      <c r="L547" s="5">
        <f t="shared" ca="1" si="144"/>
        <v>3.6697247706271311E-5</v>
      </c>
      <c r="N547">
        <f t="shared" ca="1" si="145"/>
        <v>49.498000000000005</v>
      </c>
      <c r="O547">
        <f t="shared" ca="1" si="146"/>
        <v>1.074247E-3</v>
      </c>
      <c r="P547">
        <f t="shared" ca="1" si="147"/>
        <v>1.0012374500000001</v>
      </c>
      <c r="Q547">
        <f t="shared" ca="1" si="148"/>
        <v>4.5460443028480499</v>
      </c>
      <c r="R547">
        <f t="shared" ca="1" si="149"/>
        <v>24245.569615189601</v>
      </c>
      <c r="S547">
        <f t="shared" ca="1" si="150"/>
        <v>2.9165964407739975</v>
      </c>
      <c r="T547">
        <f t="shared" ca="1" si="151"/>
        <v>0</v>
      </c>
      <c r="U547">
        <f t="shared" ca="1" si="152"/>
        <v>24248</v>
      </c>
      <c r="V547">
        <f t="shared" ca="1" si="153"/>
        <v>4.5465</v>
      </c>
      <c r="X547">
        <f t="shared" ca="1" si="154"/>
        <v>4.5398079676304555</v>
      </c>
    </row>
    <row r="548" spans="5:24" x14ac:dyDescent="0.25">
      <c r="E548">
        <v>546</v>
      </c>
      <c r="F548">
        <f t="shared" si="138"/>
        <v>74.599999999999994</v>
      </c>
      <c r="G548">
        <f t="shared" ca="1" si="139"/>
        <v>74.60799999999999</v>
      </c>
      <c r="H548" s="5">
        <f t="shared" ca="1" si="140"/>
        <v>7.9999999999955662E-3</v>
      </c>
      <c r="I548" s="5">
        <f t="shared" ca="1" si="141"/>
        <v>1.072386058980639E-4</v>
      </c>
      <c r="J548" s="10">
        <f t="shared" si="142"/>
        <v>4.5499999999999989</v>
      </c>
      <c r="K548" s="12">
        <f t="shared" ca="1" si="143"/>
        <v>4.5506666666666655</v>
      </c>
      <c r="L548" s="5">
        <f t="shared" ca="1" si="144"/>
        <v>1.4652014652013042E-4</v>
      </c>
      <c r="N548">
        <f t="shared" ca="1" si="145"/>
        <v>49.60799999999999</v>
      </c>
      <c r="O548">
        <f t="shared" ca="1" si="146"/>
        <v>1.0744120000000001E-3</v>
      </c>
      <c r="P548">
        <f t="shared" ca="1" si="147"/>
        <v>1.0012402</v>
      </c>
      <c r="Q548">
        <f t="shared" ca="1" si="148"/>
        <v>4.5552346589809032</v>
      </c>
      <c r="R548">
        <f t="shared" ca="1" si="149"/>
        <v>24294.58484789815</v>
      </c>
      <c r="S548">
        <f t="shared" ca="1" si="150"/>
        <v>2.9037003932122727</v>
      </c>
      <c r="T548">
        <f t="shared" ca="1" si="151"/>
        <v>3</v>
      </c>
      <c r="U548">
        <f t="shared" ca="1" si="152"/>
        <v>24300</v>
      </c>
      <c r="V548">
        <f t="shared" ca="1" si="153"/>
        <v>4.5562500000000004</v>
      </c>
      <c r="X548">
        <f t="shared" ca="1" si="154"/>
        <v>4.5495332568548488</v>
      </c>
    </row>
    <row r="549" spans="5:24" x14ac:dyDescent="0.25">
      <c r="E549">
        <v>547</v>
      </c>
      <c r="F549">
        <f t="shared" si="138"/>
        <v>74.7</v>
      </c>
      <c r="G549">
        <f t="shared" ca="1" si="139"/>
        <v>74.704999999999998</v>
      </c>
      <c r="H549" s="5">
        <f t="shared" ca="1" si="140"/>
        <v>4.9999999999954525E-3</v>
      </c>
      <c r="I549" s="5">
        <f t="shared" ca="1" si="141"/>
        <v>6.6934404283740999E-5</v>
      </c>
      <c r="J549" s="10">
        <f t="shared" si="142"/>
        <v>4.5583333333333327</v>
      </c>
      <c r="K549" s="12">
        <f t="shared" ca="1" si="143"/>
        <v>4.558749999999999</v>
      </c>
      <c r="L549" s="5">
        <f t="shared" ca="1" si="144"/>
        <v>9.1407678244889452E-5</v>
      </c>
      <c r="N549">
        <f t="shared" ca="1" si="145"/>
        <v>49.704999999999998</v>
      </c>
      <c r="O549">
        <f t="shared" ca="1" si="146"/>
        <v>1.0745575E-3</v>
      </c>
      <c r="P549">
        <f t="shared" ca="1" si="147"/>
        <v>1.0012426249999999</v>
      </c>
      <c r="Q549">
        <f t="shared" ca="1" si="148"/>
        <v>4.563338923946735</v>
      </c>
      <c r="R549">
        <f t="shared" ca="1" si="149"/>
        <v>24337.807594382586</v>
      </c>
      <c r="S549">
        <f t="shared" ca="1" si="150"/>
        <v>2.8922751521146486</v>
      </c>
      <c r="T549">
        <f t="shared" ca="1" si="151"/>
        <v>-2</v>
      </c>
      <c r="U549">
        <f t="shared" ca="1" si="152"/>
        <v>24339</v>
      </c>
      <c r="V549">
        <f t="shared" ca="1" si="153"/>
        <v>4.5635624999999997</v>
      </c>
      <c r="X549">
        <f t="shared" ca="1" si="154"/>
        <v>4.5568255171917</v>
      </c>
    </row>
    <row r="550" spans="5:24" x14ac:dyDescent="0.25">
      <c r="E550">
        <v>548</v>
      </c>
      <c r="F550">
        <f t="shared" si="138"/>
        <v>74.800000000000011</v>
      </c>
      <c r="G550">
        <f t="shared" ca="1" si="139"/>
        <v>74.803000000000011</v>
      </c>
      <c r="H550" s="5">
        <f t="shared" ca="1" si="140"/>
        <v>3.0000000000001137E-3</v>
      </c>
      <c r="I550" s="5">
        <f t="shared" ca="1" si="141"/>
        <v>4.0106951871659265E-5</v>
      </c>
      <c r="J550" s="10">
        <f t="shared" si="142"/>
        <v>4.5666666666666673</v>
      </c>
      <c r="K550" s="12">
        <f t="shared" ca="1" si="143"/>
        <v>4.5669166666666667</v>
      </c>
      <c r="L550" s="5">
        <f t="shared" ca="1" si="144"/>
        <v>5.4744525547317663E-5</v>
      </c>
      <c r="N550">
        <f t="shared" ca="1" si="145"/>
        <v>49.803000000000011</v>
      </c>
      <c r="O550">
        <f t="shared" ca="1" si="146"/>
        <v>1.0747045000000001E-3</v>
      </c>
      <c r="P550">
        <f t="shared" ca="1" si="147"/>
        <v>1.0012450749999999</v>
      </c>
      <c r="Q550">
        <f t="shared" ca="1" si="148"/>
        <v>4.5715267778477111</v>
      </c>
      <c r="R550">
        <f t="shared" ca="1" si="149"/>
        <v>24381.476148521124</v>
      </c>
      <c r="S550">
        <f t="shared" ca="1" si="150"/>
        <v>2.8806816320384874</v>
      </c>
      <c r="T550">
        <f t="shared" ca="1" si="151"/>
        <v>1</v>
      </c>
      <c r="U550">
        <f t="shared" ca="1" si="152"/>
        <v>24385</v>
      </c>
      <c r="V550">
        <f t="shared" ca="1" si="153"/>
        <v>4.5721875000000001</v>
      </c>
      <c r="X550">
        <f t="shared" ca="1" si="154"/>
        <v>4.5654284946170653</v>
      </c>
    </row>
    <row r="551" spans="5:24" x14ac:dyDescent="0.25">
      <c r="E551">
        <v>549</v>
      </c>
      <c r="F551">
        <f t="shared" si="138"/>
        <v>74.900000000000006</v>
      </c>
      <c r="G551">
        <f t="shared" ca="1" si="139"/>
        <v>74.89500000000001</v>
      </c>
      <c r="H551" s="5">
        <f t="shared" ca="1" si="140"/>
        <v>4.9999999999954525E-3</v>
      </c>
      <c r="I551" s="5">
        <f t="shared" ca="1" si="141"/>
        <v>6.6755674232249032E-5</v>
      </c>
      <c r="J551" s="10">
        <f t="shared" si="142"/>
        <v>4.5750000000000002</v>
      </c>
      <c r="K551" s="12">
        <f t="shared" ca="1" si="143"/>
        <v>4.5745833333333339</v>
      </c>
      <c r="L551" s="5">
        <f t="shared" ca="1" si="144"/>
        <v>9.1074681238532832E-5</v>
      </c>
      <c r="N551">
        <f t="shared" ca="1" si="145"/>
        <v>49.89500000000001</v>
      </c>
      <c r="O551">
        <f t="shared" ca="1" si="146"/>
        <v>1.0748425000000001E-3</v>
      </c>
      <c r="P551">
        <f t="shared" ca="1" si="147"/>
        <v>1.0012473749999999</v>
      </c>
      <c r="Q551">
        <f t="shared" ca="1" si="148"/>
        <v>4.5792133709870875</v>
      </c>
      <c r="R551">
        <f t="shared" ca="1" si="149"/>
        <v>24422.471311931131</v>
      </c>
      <c r="S551">
        <f t="shared" ca="1" si="150"/>
        <v>2.8697519130181601</v>
      </c>
      <c r="T551">
        <f t="shared" ca="1" si="151"/>
        <v>1</v>
      </c>
      <c r="U551">
        <f t="shared" ca="1" si="152"/>
        <v>24426</v>
      </c>
      <c r="V551">
        <f t="shared" ca="1" si="153"/>
        <v>4.5798750000000004</v>
      </c>
      <c r="X551">
        <f t="shared" ca="1" si="154"/>
        <v>4.5730957921362849</v>
      </c>
    </row>
    <row r="552" spans="5:24" x14ac:dyDescent="0.25">
      <c r="E552">
        <v>550</v>
      </c>
      <c r="F552">
        <f t="shared" si="138"/>
        <v>75</v>
      </c>
      <c r="G552">
        <f t="shared" ca="1" si="139"/>
        <v>75.009</v>
      </c>
      <c r="H552" s="5">
        <f t="shared" ca="1" si="140"/>
        <v>9.0000000000003411E-3</v>
      </c>
      <c r="I552" s="5">
        <f t="shared" ca="1" si="141"/>
        <v>1.2000000000000454E-4</v>
      </c>
      <c r="J552" s="10">
        <f t="shared" si="142"/>
        <v>4.583333333333333</v>
      </c>
      <c r="K552" s="12">
        <f t="shared" ca="1" si="143"/>
        <v>4.5840833333333331</v>
      </c>
      <c r="L552" s="5">
        <f t="shared" ca="1" si="144"/>
        <v>1.6363636363636984E-4</v>
      </c>
      <c r="N552">
        <f t="shared" ca="1" si="145"/>
        <v>50.009</v>
      </c>
      <c r="O552">
        <f t="shared" ca="1" si="146"/>
        <v>1.0750135000000001E-3</v>
      </c>
      <c r="P552">
        <f t="shared" ca="1" si="147"/>
        <v>1.0012502249999999</v>
      </c>
      <c r="Q552">
        <f t="shared" ca="1" si="148"/>
        <v>4.5887381114099961</v>
      </c>
      <c r="R552">
        <f t="shared" ca="1" si="149"/>
        <v>24473.269927519978</v>
      </c>
      <c r="S552">
        <f t="shared" ca="1" si="150"/>
        <v>2.8561470141808418</v>
      </c>
      <c r="T552">
        <f t="shared" ca="1" si="151"/>
        <v>-1</v>
      </c>
      <c r="U552">
        <f t="shared" ca="1" si="152"/>
        <v>24475</v>
      </c>
      <c r="V552">
        <f t="shared" ca="1" si="153"/>
        <v>4.5890624999999998</v>
      </c>
      <c r="X552">
        <f t="shared" ca="1" si="154"/>
        <v>4.5822586322015555</v>
      </c>
    </row>
    <row r="553" spans="5:24" x14ac:dyDescent="0.25">
      <c r="E553">
        <v>551</v>
      </c>
      <c r="F553">
        <f t="shared" si="138"/>
        <v>75.099999999999994</v>
      </c>
      <c r="G553">
        <f t="shared" ca="1" si="139"/>
        <v>75.09899999999999</v>
      </c>
      <c r="H553" s="5">
        <f t="shared" ca="1" si="140"/>
        <v>1.0000000000047748E-3</v>
      </c>
      <c r="I553" s="5">
        <f t="shared" ca="1" si="141"/>
        <v>1.3315579227759986E-5</v>
      </c>
      <c r="J553" s="10">
        <f t="shared" si="142"/>
        <v>4.5916666666666659</v>
      </c>
      <c r="K553" s="12">
        <f t="shared" ca="1" si="143"/>
        <v>4.5915833333333316</v>
      </c>
      <c r="L553" s="5">
        <f t="shared" ca="1" si="144"/>
        <v>1.8148820326894381E-5</v>
      </c>
      <c r="N553">
        <f t="shared" ca="1" si="145"/>
        <v>50.09899999999999</v>
      </c>
      <c r="O553">
        <f t="shared" ca="1" si="146"/>
        <v>1.0751484999999999E-3</v>
      </c>
      <c r="P553">
        <f t="shared" ca="1" si="147"/>
        <v>1.001252475</v>
      </c>
      <c r="Q553">
        <f t="shared" ca="1" si="148"/>
        <v>4.5962576815721308</v>
      </c>
      <c r="R553">
        <f t="shared" ca="1" si="149"/>
        <v>24513.374301718031</v>
      </c>
      <c r="S553">
        <f t="shared" ca="1" si="150"/>
        <v>2.8453583797492517</v>
      </c>
      <c r="T553">
        <f t="shared" ca="1" si="151"/>
        <v>-2</v>
      </c>
      <c r="U553">
        <f t="shared" ca="1" si="152"/>
        <v>24514</v>
      </c>
      <c r="V553">
        <f t="shared" ca="1" si="153"/>
        <v>4.5963750000000001</v>
      </c>
      <c r="X553">
        <f t="shared" ca="1" si="154"/>
        <v>4.589551552918758</v>
      </c>
    </row>
    <row r="554" spans="5:24" x14ac:dyDescent="0.25">
      <c r="E554">
        <v>552</v>
      </c>
      <c r="F554">
        <f t="shared" si="138"/>
        <v>75.2</v>
      </c>
      <c r="G554">
        <f t="shared" ca="1" si="139"/>
        <v>75.204999999999998</v>
      </c>
      <c r="H554" s="5">
        <f t="shared" ca="1" si="140"/>
        <v>4.9999999999954525E-3</v>
      </c>
      <c r="I554" s="5">
        <f t="shared" ca="1" si="141"/>
        <v>6.6489361702067189E-5</v>
      </c>
      <c r="J554" s="10">
        <f t="shared" si="142"/>
        <v>4.5999999999999996</v>
      </c>
      <c r="K554" s="12">
        <f t="shared" ca="1" si="143"/>
        <v>4.6004166666666659</v>
      </c>
      <c r="L554" s="5">
        <f t="shared" ca="1" si="144"/>
        <v>9.0579710144845165E-5</v>
      </c>
      <c r="N554">
        <f t="shared" ca="1" si="145"/>
        <v>50.204999999999998</v>
      </c>
      <c r="O554">
        <f t="shared" ca="1" si="146"/>
        <v>1.0753074999999999E-3</v>
      </c>
      <c r="P554">
        <f t="shared" ca="1" si="147"/>
        <v>1.0012551249999999</v>
      </c>
      <c r="Q554">
        <f t="shared" ca="1" si="148"/>
        <v>4.6051141074900901</v>
      </c>
      <c r="R554">
        <f t="shared" ca="1" si="149"/>
        <v>24560.608573280479</v>
      </c>
      <c r="S554">
        <f t="shared" ca="1" si="150"/>
        <v>2.8325977685883821</v>
      </c>
      <c r="T554">
        <f t="shared" ca="1" si="151"/>
        <v>-3</v>
      </c>
      <c r="U554">
        <f t="shared" ca="1" si="152"/>
        <v>24560</v>
      </c>
      <c r="V554">
        <f t="shared" ca="1" si="153"/>
        <v>4.6050000000000004</v>
      </c>
      <c r="X554">
        <f t="shared" ca="1" si="154"/>
        <v>4.5981534351696833</v>
      </c>
    </row>
    <row r="555" spans="5:24" x14ac:dyDescent="0.25">
      <c r="E555">
        <v>553</v>
      </c>
      <c r="F555">
        <f t="shared" si="138"/>
        <v>75.300000000000011</v>
      </c>
      <c r="G555">
        <f t="shared" ca="1" si="139"/>
        <v>75.297000000000011</v>
      </c>
      <c r="H555" s="5">
        <f t="shared" ca="1" si="140"/>
        <v>3.0000000000001137E-3</v>
      </c>
      <c r="I555" s="5">
        <f t="shared" ca="1" si="141"/>
        <v>3.9840637450200709E-5</v>
      </c>
      <c r="J555" s="10">
        <f t="shared" si="142"/>
        <v>4.6083333333333334</v>
      </c>
      <c r="K555" s="12">
        <f t="shared" ca="1" si="143"/>
        <v>4.608083333333334</v>
      </c>
      <c r="L555" s="5">
        <f t="shared" ca="1" si="144"/>
        <v>5.4249547920307563E-5</v>
      </c>
      <c r="N555">
        <f t="shared" ca="1" si="145"/>
        <v>50.297000000000011</v>
      </c>
      <c r="O555">
        <f t="shared" ca="1" si="146"/>
        <v>1.0754455000000001E-3</v>
      </c>
      <c r="P555">
        <f t="shared" ca="1" si="147"/>
        <v>1.0012574249999999</v>
      </c>
      <c r="Q555">
        <f t="shared" ca="1" si="148"/>
        <v>4.612800854726693</v>
      </c>
      <c r="R555">
        <f t="shared" ca="1" si="149"/>
        <v>24601.604558542364</v>
      </c>
      <c r="S555">
        <f t="shared" ca="1" si="150"/>
        <v>2.8214753688281373</v>
      </c>
      <c r="T555">
        <f t="shared" ca="1" si="151"/>
        <v>3</v>
      </c>
      <c r="U555">
        <f t="shared" ca="1" si="152"/>
        <v>24607</v>
      </c>
      <c r="V555">
        <f t="shared" ca="1" si="153"/>
        <v>4.6138124999999999</v>
      </c>
      <c r="X555">
        <f t="shared" ca="1" si="154"/>
        <v>4.6069441677298926</v>
      </c>
    </row>
    <row r="556" spans="5:24" x14ac:dyDescent="0.25">
      <c r="E556">
        <v>554</v>
      </c>
      <c r="F556">
        <f t="shared" si="138"/>
        <v>75.400000000000006</v>
      </c>
      <c r="G556">
        <f t="shared" ca="1" si="139"/>
        <v>75.408000000000001</v>
      </c>
      <c r="H556" s="5">
        <f t="shared" ca="1" si="140"/>
        <v>7.9999999999955662E-3</v>
      </c>
      <c r="I556" s="5">
        <f t="shared" ca="1" si="141"/>
        <v>1.0610079575590936E-4</v>
      </c>
      <c r="J556" s="10">
        <f t="shared" si="142"/>
        <v>4.6166666666666663</v>
      </c>
      <c r="K556" s="12">
        <f t="shared" ca="1" si="143"/>
        <v>4.6173333333333328</v>
      </c>
      <c r="L556" s="5">
        <f t="shared" ca="1" si="144"/>
        <v>1.44404332129948E-4</v>
      </c>
      <c r="N556">
        <f t="shared" ca="1" si="145"/>
        <v>50.408000000000001</v>
      </c>
      <c r="O556">
        <f t="shared" ca="1" si="146"/>
        <v>1.0756120000000001E-3</v>
      </c>
      <c r="P556">
        <f t="shared" ca="1" si="147"/>
        <v>1.0012601999999999</v>
      </c>
      <c r="Q556">
        <f t="shared" ca="1" si="148"/>
        <v>4.6220751293137567</v>
      </c>
      <c r="R556">
        <f t="shared" ca="1" si="149"/>
        <v>24651.067356340034</v>
      </c>
      <c r="S556">
        <f t="shared" ca="1" si="150"/>
        <v>2.8079978799602188</v>
      </c>
      <c r="T556">
        <f t="shared" ca="1" si="151"/>
        <v>-1</v>
      </c>
      <c r="U556">
        <f t="shared" ca="1" si="152"/>
        <v>24653</v>
      </c>
      <c r="V556">
        <f t="shared" ca="1" si="153"/>
        <v>4.6224375000000002</v>
      </c>
      <c r="X556">
        <f t="shared" ca="1" si="154"/>
        <v>4.6155453777150042</v>
      </c>
    </row>
    <row r="557" spans="5:24" x14ac:dyDescent="0.25">
      <c r="E557">
        <v>555</v>
      </c>
      <c r="F557">
        <f t="shared" si="138"/>
        <v>75.5</v>
      </c>
      <c r="G557">
        <f t="shared" ca="1" si="139"/>
        <v>75.507000000000005</v>
      </c>
      <c r="H557" s="5">
        <f t="shared" ca="1" si="140"/>
        <v>7.0000000000050022E-3</v>
      </c>
      <c r="I557" s="5">
        <f t="shared" ca="1" si="141"/>
        <v>9.271523178814572E-5</v>
      </c>
      <c r="J557" s="10">
        <f t="shared" si="142"/>
        <v>4.6249999999999991</v>
      </c>
      <c r="K557" s="12">
        <f t="shared" ca="1" si="143"/>
        <v>4.6255833333333332</v>
      </c>
      <c r="L557" s="5">
        <f t="shared" ca="1" si="144"/>
        <v>1.261261261262803E-4</v>
      </c>
      <c r="N557">
        <f t="shared" ca="1" si="145"/>
        <v>50.507000000000005</v>
      </c>
      <c r="O557">
        <f t="shared" ca="1" si="146"/>
        <v>1.0757605E-3</v>
      </c>
      <c r="P557">
        <f t="shared" ca="1" si="147"/>
        <v>1.001262675</v>
      </c>
      <c r="Q557">
        <f t="shared" ca="1" si="148"/>
        <v>4.6303468229328608</v>
      </c>
      <c r="R557">
        <f t="shared" ca="1" si="149"/>
        <v>24695.183055641923</v>
      </c>
      <c r="S557">
        <f t="shared" ca="1" si="150"/>
        <v>2.7959240683040467</v>
      </c>
      <c r="T557">
        <f t="shared" ca="1" si="151"/>
        <v>-1</v>
      </c>
      <c r="U557">
        <f t="shared" ca="1" si="152"/>
        <v>24697</v>
      </c>
      <c r="V557">
        <f t="shared" ca="1" si="153"/>
        <v>4.6306875000000005</v>
      </c>
      <c r="X557">
        <f t="shared" ca="1" si="154"/>
        <v>4.6237734164014457</v>
      </c>
    </row>
    <row r="558" spans="5:24" x14ac:dyDescent="0.25">
      <c r="E558">
        <v>556</v>
      </c>
      <c r="F558">
        <f t="shared" si="138"/>
        <v>75.599999999999994</v>
      </c>
      <c r="G558">
        <f t="shared" ca="1" si="139"/>
        <v>75.597999999999999</v>
      </c>
      <c r="H558" s="5">
        <f t="shared" ca="1" si="140"/>
        <v>1.9999999999953388E-3</v>
      </c>
      <c r="I558" s="5">
        <f t="shared" ca="1" si="141"/>
        <v>2.6455026454964802E-5</v>
      </c>
      <c r="J558" s="10">
        <f t="shared" si="142"/>
        <v>4.633333333333332</v>
      </c>
      <c r="K558" s="12">
        <f t="shared" ca="1" si="143"/>
        <v>4.633166666666666</v>
      </c>
      <c r="L558" s="5">
        <f t="shared" ca="1" si="144"/>
        <v>3.5971223021435011E-5</v>
      </c>
      <c r="N558">
        <f t="shared" ca="1" si="145"/>
        <v>50.597999999999999</v>
      </c>
      <c r="O558">
        <f t="shared" ca="1" si="146"/>
        <v>1.0758969999999999E-3</v>
      </c>
      <c r="P558">
        <f t="shared" ca="1" si="147"/>
        <v>1.0012649499999999</v>
      </c>
      <c r="Q558">
        <f t="shared" ca="1" si="148"/>
        <v>4.6379501328857557</v>
      </c>
      <c r="R558">
        <f t="shared" ca="1" si="149"/>
        <v>24735.734042057364</v>
      </c>
      <c r="S558">
        <f t="shared" ca="1" si="150"/>
        <v>2.7847817432062114</v>
      </c>
      <c r="T558">
        <f t="shared" ca="1" si="151"/>
        <v>1</v>
      </c>
      <c r="U558">
        <f t="shared" ca="1" si="152"/>
        <v>24740</v>
      </c>
      <c r="V558">
        <f t="shared" ca="1" si="153"/>
        <v>4.6387499999999999</v>
      </c>
      <c r="X558">
        <f t="shared" ca="1" si="154"/>
        <v>4.6318150885037976</v>
      </c>
    </row>
    <row r="559" spans="5:24" x14ac:dyDescent="0.25">
      <c r="E559">
        <v>557</v>
      </c>
      <c r="F559">
        <f t="shared" si="138"/>
        <v>75.7</v>
      </c>
      <c r="G559">
        <f t="shared" ca="1" si="139"/>
        <v>75.695000000000007</v>
      </c>
      <c r="H559" s="5">
        <f t="shared" ca="1" si="140"/>
        <v>4.9999999999954525E-3</v>
      </c>
      <c r="I559" s="5">
        <f t="shared" ca="1" si="141"/>
        <v>6.6050198150534371E-5</v>
      </c>
      <c r="J559" s="10">
        <f t="shared" si="142"/>
        <v>4.6416666666666666</v>
      </c>
      <c r="K559" s="12">
        <f t="shared" ca="1" si="143"/>
        <v>4.6412500000000003</v>
      </c>
      <c r="L559" s="5">
        <f t="shared" ca="1" si="144"/>
        <v>8.9766606822180484E-5</v>
      </c>
      <c r="N559">
        <f t="shared" ca="1" si="145"/>
        <v>50.695000000000007</v>
      </c>
      <c r="O559">
        <f t="shared" ca="1" si="146"/>
        <v>1.0760425000000001E-3</v>
      </c>
      <c r="P559">
        <f t="shared" ca="1" si="147"/>
        <v>1.0012673750000001</v>
      </c>
      <c r="Q559">
        <f t="shared" ca="1" si="148"/>
        <v>4.6460547979693869</v>
      </c>
      <c r="R559">
        <f t="shared" ca="1" si="149"/>
        <v>24778.958922503396</v>
      </c>
      <c r="S559">
        <f t="shared" ca="1" si="150"/>
        <v>2.7728583616207465</v>
      </c>
      <c r="T559">
        <f t="shared" ca="1" si="151"/>
        <v>3</v>
      </c>
      <c r="U559">
        <f t="shared" ca="1" si="152"/>
        <v>24785</v>
      </c>
      <c r="V559">
        <f t="shared" ca="1" si="153"/>
        <v>4.6471875000000002</v>
      </c>
      <c r="X559">
        <f t="shared" ca="1" si="154"/>
        <v>4.640230545312634</v>
      </c>
    </row>
    <row r="560" spans="5:24" x14ac:dyDescent="0.25">
      <c r="E560">
        <v>558</v>
      </c>
      <c r="F560">
        <f t="shared" si="138"/>
        <v>75.800000000000011</v>
      </c>
      <c r="G560">
        <f t="shared" ca="1" si="139"/>
        <v>75.808000000000007</v>
      </c>
      <c r="H560" s="5">
        <f t="shared" ca="1" si="140"/>
        <v>7.9999999999955662E-3</v>
      </c>
      <c r="I560" s="5">
        <f t="shared" ca="1" si="141"/>
        <v>1.0554089709756681E-4</v>
      </c>
      <c r="J560" s="10">
        <f t="shared" si="142"/>
        <v>4.6500000000000004</v>
      </c>
      <c r="K560" s="12">
        <f t="shared" ca="1" si="143"/>
        <v>4.6506666666666669</v>
      </c>
      <c r="L560" s="5">
        <f t="shared" ca="1" si="144"/>
        <v>1.4336917562722434E-4</v>
      </c>
      <c r="N560">
        <f t="shared" ca="1" si="145"/>
        <v>50.808000000000007</v>
      </c>
      <c r="O560">
        <f t="shared" ca="1" si="146"/>
        <v>1.076212E-3</v>
      </c>
      <c r="P560">
        <f t="shared" ca="1" si="147"/>
        <v>1.0012702</v>
      </c>
      <c r="Q560">
        <f t="shared" ca="1" si="148"/>
        <v>4.6554963644621843</v>
      </c>
      <c r="R560">
        <f t="shared" ca="1" si="149"/>
        <v>24829.313943798315</v>
      </c>
      <c r="S560">
        <f t="shared" ca="1" si="150"/>
        <v>2.7589081269081506</v>
      </c>
      <c r="T560">
        <f t="shared" ca="1" si="151"/>
        <v>3</v>
      </c>
      <c r="U560">
        <f t="shared" ca="1" si="152"/>
        <v>24835</v>
      </c>
      <c r="V560">
        <f t="shared" ca="1" si="153"/>
        <v>4.6565624999999997</v>
      </c>
      <c r="X560">
        <f t="shared" ca="1" si="154"/>
        <v>4.6495803909873672</v>
      </c>
    </row>
    <row r="561" spans="5:24" x14ac:dyDescent="0.25">
      <c r="E561">
        <v>559</v>
      </c>
      <c r="F561">
        <f t="shared" si="138"/>
        <v>75.900000000000006</v>
      </c>
      <c r="G561">
        <f t="shared" ca="1" si="139"/>
        <v>75.905000000000001</v>
      </c>
      <c r="H561" s="5">
        <f t="shared" ca="1" si="140"/>
        <v>4.9999999999954525E-3</v>
      </c>
      <c r="I561" s="5">
        <f t="shared" ca="1" si="141"/>
        <v>6.5876152832614651E-5</v>
      </c>
      <c r="J561" s="10">
        <f t="shared" si="142"/>
        <v>4.6583333333333332</v>
      </c>
      <c r="K561" s="12">
        <f t="shared" ca="1" si="143"/>
        <v>4.6587499999999995</v>
      </c>
      <c r="L561" s="5">
        <f t="shared" ca="1" si="144"/>
        <v>8.944543828256624E-5</v>
      </c>
      <c r="N561">
        <f t="shared" ca="1" si="145"/>
        <v>50.905000000000001</v>
      </c>
      <c r="O561">
        <f t="shared" ca="1" si="146"/>
        <v>1.0763575E-3</v>
      </c>
      <c r="P561">
        <f t="shared" ca="1" si="147"/>
        <v>1.0012726249999999</v>
      </c>
      <c r="Q561">
        <f t="shared" ca="1" si="148"/>
        <v>4.6636011144192864</v>
      </c>
      <c r="R561">
        <f t="shared" ca="1" si="149"/>
        <v>24872.539276902859</v>
      </c>
      <c r="S561">
        <f t="shared" ca="1" si="150"/>
        <v>2.7468817820864433</v>
      </c>
      <c r="T561">
        <f t="shared" ca="1" si="151"/>
        <v>-3</v>
      </c>
      <c r="U561">
        <f t="shared" ca="1" si="152"/>
        <v>24872</v>
      </c>
      <c r="V561">
        <f t="shared" ca="1" si="153"/>
        <v>4.6635</v>
      </c>
      <c r="X561">
        <f t="shared" ca="1" si="154"/>
        <v>4.6564976671563363</v>
      </c>
    </row>
    <row r="562" spans="5:24" x14ac:dyDescent="0.25">
      <c r="E562">
        <v>560</v>
      </c>
      <c r="F562">
        <f t="shared" si="138"/>
        <v>76</v>
      </c>
      <c r="G562">
        <f t="shared" ca="1" si="139"/>
        <v>76.001000000000005</v>
      </c>
      <c r="H562" s="5">
        <f t="shared" ca="1" si="140"/>
        <v>1.0000000000047748E-3</v>
      </c>
      <c r="I562" s="5">
        <f t="shared" ca="1" si="141"/>
        <v>1.3157894736904932E-5</v>
      </c>
      <c r="J562" s="10">
        <f t="shared" si="142"/>
        <v>4.6666666666666661</v>
      </c>
      <c r="K562" s="12">
        <f t="shared" ca="1" si="143"/>
        <v>4.6667499999999995</v>
      </c>
      <c r="L562" s="5">
        <f t="shared" ca="1" si="144"/>
        <v>1.7857142857164685E-5</v>
      </c>
      <c r="N562">
        <f t="shared" ca="1" si="145"/>
        <v>51.001000000000005</v>
      </c>
      <c r="O562">
        <f t="shared" ca="1" si="146"/>
        <v>1.0765015000000001E-3</v>
      </c>
      <c r="P562">
        <f t="shared" ca="1" si="147"/>
        <v>1.001275025</v>
      </c>
      <c r="Q562">
        <f t="shared" ca="1" si="148"/>
        <v>4.6716223488524244</v>
      </c>
      <c r="R562">
        <f t="shared" ca="1" si="149"/>
        <v>24915.319193879597</v>
      </c>
      <c r="S562">
        <f t="shared" ca="1" si="150"/>
        <v>2.734932913464029</v>
      </c>
      <c r="T562">
        <f t="shared" ca="1" si="151"/>
        <v>0</v>
      </c>
      <c r="U562">
        <f t="shared" ca="1" si="152"/>
        <v>24918</v>
      </c>
      <c r="V562">
        <f t="shared" ca="1" si="153"/>
        <v>4.6721250000000003</v>
      </c>
      <c r="X562">
        <f t="shared" ca="1" si="154"/>
        <v>4.6651003788894068</v>
      </c>
    </row>
    <row r="563" spans="5:24" x14ac:dyDescent="0.25">
      <c r="E563">
        <v>561</v>
      </c>
      <c r="F563">
        <f t="shared" si="138"/>
        <v>76.099999999999994</v>
      </c>
      <c r="G563">
        <f t="shared" ca="1" si="139"/>
        <v>76.095999999999989</v>
      </c>
      <c r="H563" s="5">
        <f t="shared" ca="1" si="140"/>
        <v>4.0000000000048885E-3</v>
      </c>
      <c r="I563" s="5">
        <f t="shared" ca="1" si="141"/>
        <v>5.2562417871286316E-5</v>
      </c>
      <c r="J563" s="10">
        <f t="shared" si="142"/>
        <v>4.6749999999999989</v>
      </c>
      <c r="K563" s="12">
        <f t="shared" ca="1" si="143"/>
        <v>4.6746666666666652</v>
      </c>
      <c r="L563" s="5">
        <f t="shared" ca="1" si="144"/>
        <v>7.1301247771923164E-5</v>
      </c>
      <c r="N563">
        <f t="shared" ca="1" si="145"/>
        <v>51.095999999999989</v>
      </c>
      <c r="O563">
        <f t="shared" ca="1" si="146"/>
        <v>1.0766440000000001E-3</v>
      </c>
      <c r="P563">
        <f t="shared" ca="1" si="147"/>
        <v>1.0012774</v>
      </c>
      <c r="Q563">
        <f t="shared" ca="1" si="148"/>
        <v>4.6795600665616188</v>
      </c>
      <c r="R563">
        <f t="shared" ca="1" si="149"/>
        <v>24957.653688328632</v>
      </c>
      <c r="S563">
        <f t="shared" ca="1" si="150"/>
        <v>2.7230631640651111</v>
      </c>
      <c r="T563">
        <f t="shared" ca="1" si="151"/>
        <v>1</v>
      </c>
      <c r="U563">
        <f t="shared" ca="1" si="152"/>
        <v>24961</v>
      </c>
      <c r="V563">
        <f t="shared" ca="1" si="153"/>
        <v>4.6801874999999997</v>
      </c>
      <c r="X563">
        <f t="shared" ca="1" si="154"/>
        <v>4.673141385194552</v>
      </c>
    </row>
    <row r="564" spans="5:24" x14ac:dyDescent="0.25">
      <c r="E564">
        <v>562</v>
      </c>
      <c r="F564">
        <f t="shared" si="138"/>
        <v>76.2</v>
      </c>
      <c r="G564">
        <f t="shared" ca="1" si="139"/>
        <v>76.206000000000003</v>
      </c>
      <c r="H564" s="5">
        <f t="shared" ca="1" si="140"/>
        <v>6.0000000000002274E-3</v>
      </c>
      <c r="I564" s="5">
        <f t="shared" ca="1" si="141"/>
        <v>7.8740157480317938E-5</v>
      </c>
      <c r="J564" s="10">
        <f t="shared" si="142"/>
        <v>4.6833333333333327</v>
      </c>
      <c r="K564" s="12">
        <f t="shared" ca="1" si="143"/>
        <v>4.6838333333333333</v>
      </c>
      <c r="L564" s="5">
        <f t="shared" ca="1" si="144"/>
        <v>1.0676156583642942E-4</v>
      </c>
      <c r="N564">
        <f t="shared" ca="1" si="145"/>
        <v>51.206000000000003</v>
      </c>
      <c r="O564">
        <f t="shared" ca="1" si="146"/>
        <v>1.076809E-3</v>
      </c>
      <c r="P564">
        <f t="shared" ca="1" si="147"/>
        <v>1.0012801499999999</v>
      </c>
      <c r="Q564">
        <f t="shared" ca="1" si="148"/>
        <v>4.6887511550979584</v>
      </c>
      <c r="R564">
        <f t="shared" ca="1" si="149"/>
        <v>25006.672827189112</v>
      </c>
      <c r="S564">
        <f t="shared" ca="1" si="150"/>
        <v>2.7092631437259391</v>
      </c>
      <c r="T564">
        <f t="shared" ca="1" si="151"/>
        <v>0</v>
      </c>
      <c r="U564">
        <f t="shared" ca="1" si="152"/>
        <v>25009</v>
      </c>
      <c r="V564">
        <f t="shared" ca="1" si="153"/>
        <v>4.6891875000000001</v>
      </c>
      <c r="X564">
        <f t="shared" ca="1" si="154"/>
        <v>4.6821168790772498</v>
      </c>
    </row>
    <row r="565" spans="5:24" x14ac:dyDescent="0.25">
      <c r="E565">
        <v>563</v>
      </c>
      <c r="F565">
        <f t="shared" si="138"/>
        <v>76.300000000000011</v>
      </c>
      <c r="G565">
        <f t="shared" ca="1" si="139"/>
        <v>76.300000000000011</v>
      </c>
      <c r="H565" s="5">
        <f t="shared" ca="1" si="140"/>
        <v>0</v>
      </c>
      <c r="I565" s="5">
        <f t="shared" ca="1" si="141"/>
        <v>0</v>
      </c>
      <c r="J565" s="10">
        <f t="shared" si="142"/>
        <v>4.6916666666666673</v>
      </c>
      <c r="K565" s="12">
        <f t="shared" ca="1" si="143"/>
        <v>4.6916666666666673</v>
      </c>
      <c r="L565" s="5">
        <f t="shared" ca="1" si="144"/>
        <v>0</v>
      </c>
      <c r="N565">
        <f t="shared" ca="1" si="145"/>
        <v>51.300000000000011</v>
      </c>
      <c r="O565">
        <f t="shared" ca="1" si="146"/>
        <v>1.0769500000000001E-3</v>
      </c>
      <c r="P565">
        <f t="shared" ca="1" si="147"/>
        <v>1.0012825000000001</v>
      </c>
      <c r="Q565">
        <f t="shared" ca="1" si="148"/>
        <v>4.6966053979782929</v>
      </c>
      <c r="R565">
        <f t="shared" ca="1" si="149"/>
        <v>25048.562122550895</v>
      </c>
      <c r="S565">
        <f t="shared" ca="1" si="150"/>
        <v>2.6974229110617447</v>
      </c>
      <c r="T565">
        <f t="shared" ca="1" si="151"/>
        <v>3</v>
      </c>
      <c r="U565">
        <f t="shared" ca="1" si="152"/>
        <v>25054</v>
      </c>
      <c r="V565">
        <f t="shared" ca="1" si="153"/>
        <v>4.6976250000000004</v>
      </c>
      <c r="X565">
        <f t="shared" ca="1" si="154"/>
        <v>4.6905324421429517</v>
      </c>
    </row>
    <row r="566" spans="5:24" x14ac:dyDescent="0.25">
      <c r="E566">
        <v>564</v>
      </c>
      <c r="F566">
        <f t="shared" si="138"/>
        <v>76.400000000000006</v>
      </c>
      <c r="G566">
        <f t="shared" ca="1" si="139"/>
        <v>76.400000000000006</v>
      </c>
      <c r="H566" s="5">
        <f t="shared" ca="1" si="140"/>
        <v>0</v>
      </c>
      <c r="I566" s="5">
        <f t="shared" ca="1" si="141"/>
        <v>0</v>
      </c>
      <c r="J566" s="10">
        <f t="shared" si="142"/>
        <v>4.7</v>
      </c>
      <c r="K566" s="12">
        <f t="shared" ca="1" si="143"/>
        <v>4.7</v>
      </c>
      <c r="L566" s="5">
        <f t="shared" ca="1" si="144"/>
        <v>0</v>
      </c>
      <c r="N566">
        <f t="shared" ca="1" si="145"/>
        <v>51.400000000000006</v>
      </c>
      <c r="O566">
        <f t="shared" ca="1" si="146"/>
        <v>1.0771000000000001E-3</v>
      </c>
      <c r="P566">
        <f t="shared" ca="1" si="147"/>
        <v>1.001285</v>
      </c>
      <c r="Q566">
        <f t="shared" ca="1" si="148"/>
        <v>4.7049610159265001</v>
      </c>
      <c r="R566">
        <f t="shared" ca="1" si="149"/>
        <v>25093.125418274667</v>
      </c>
      <c r="S566">
        <f t="shared" ca="1" si="150"/>
        <v>2.6847791013857165</v>
      </c>
      <c r="T566">
        <f t="shared" ca="1" si="151"/>
        <v>3</v>
      </c>
      <c r="U566">
        <f t="shared" ca="1" si="152"/>
        <v>25099</v>
      </c>
      <c r="V566">
        <f t="shared" ca="1" si="153"/>
        <v>4.7060624999999998</v>
      </c>
      <c r="X566">
        <f t="shared" ca="1" si="154"/>
        <v>4.6989472527801777</v>
      </c>
    </row>
    <row r="567" spans="5:24" x14ac:dyDescent="0.25">
      <c r="E567">
        <v>565</v>
      </c>
      <c r="F567">
        <f t="shared" si="138"/>
        <v>76.5</v>
      </c>
      <c r="G567">
        <f t="shared" ca="1" si="139"/>
        <v>76.5</v>
      </c>
      <c r="H567" s="5">
        <f t="shared" ca="1" si="140"/>
        <v>0</v>
      </c>
      <c r="I567" s="5">
        <f t="shared" ca="1" si="141"/>
        <v>0</v>
      </c>
      <c r="J567" s="10">
        <f t="shared" si="142"/>
        <v>4.708333333333333</v>
      </c>
      <c r="K567" s="12">
        <f t="shared" ca="1" si="143"/>
        <v>4.708333333333333</v>
      </c>
      <c r="L567" s="5">
        <f t="shared" ca="1" si="144"/>
        <v>0</v>
      </c>
      <c r="N567">
        <f t="shared" ca="1" si="145"/>
        <v>51.5</v>
      </c>
      <c r="O567">
        <f t="shared" ca="1" si="146"/>
        <v>1.0772500000000001E-3</v>
      </c>
      <c r="P567">
        <f t="shared" ca="1" si="147"/>
        <v>1.0012875000000001</v>
      </c>
      <c r="Q567">
        <f t="shared" ca="1" si="148"/>
        <v>4.7133166755406251</v>
      </c>
      <c r="R567">
        <f t="shared" ca="1" si="149"/>
        <v>25137.688936216666</v>
      </c>
      <c r="S567">
        <f t="shared" ca="1" si="150"/>
        <v>2.6720862208135032</v>
      </c>
      <c r="T567">
        <f t="shared" ca="1" si="151"/>
        <v>-3</v>
      </c>
      <c r="U567">
        <f t="shared" ca="1" si="152"/>
        <v>25137</v>
      </c>
      <c r="V567">
        <f t="shared" ca="1" si="153"/>
        <v>4.7131875000000001</v>
      </c>
      <c r="X567">
        <f t="shared" ca="1" si="154"/>
        <v>4.706051209068324</v>
      </c>
    </row>
    <row r="568" spans="5:24" x14ac:dyDescent="0.25">
      <c r="E568">
        <v>566</v>
      </c>
      <c r="F568">
        <f t="shared" si="138"/>
        <v>76.599999999999994</v>
      </c>
      <c r="G568">
        <f t="shared" ca="1" si="139"/>
        <v>76.605999999999995</v>
      </c>
      <c r="H568" s="5">
        <f t="shared" ca="1" si="140"/>
        <v>6.0000000000002274E-3</v>
      </c>
      <c r="I568" s="5">
        <f t="shared" ca="1" si="141"/>
        <v>7.8328981723240569E-5</v>
      </c>
      <c r="J568" s="10">
        <f t="shared" si="142"/>
        <v>4.7166666666666659</v>
      </c>
      <c r="K568" s="12">
        <f t="shared" ca="1" si="143"/>
        <v>4.7171666666666656</v>
      </c>
      <c r="L568" s="5">
        <f t="shared" ca="1" si="144"/>
        <v>1.0600706713775045E-4</v>
      </c>
      <c r="N568">
        <f t="shared" ca="1" si="145"/>
        <v>51.605999999999995</v>
      </c>
      <c r="O568">
        <f t="shared" ca="1" si="146"/>
        <v>1.0774090000000001E-3</v>
      </c>
      <c r="P568">
        <f t="shared" ca="1" si="147"/>
        <v>1.00129015</v>
      </c>
      <c r="Q568">
        <f t="shared" ca="1" si="148"/>
        <v>4.722173720222445</v>
      </c>
      <c r="R568">
        <f t="shared" ca="1" si="149"/>
        <v>25184.926507853041</v>
      </c>
      <c r="S568">
        <f t="shared" ca="1" si="150"/>
        <v>2.6585784490278743</v>
      </c>
      <c r="T568">
        <f t="shared" ca="1" si="151"/>
        <v>3</v>
      </c>
      <c r="U568">
        <f t="shared" ca="1" si="152"/>
        <v>25191</v>
      </c>
      <c r="V568">
        <f t="shared" ca="1" si="153"/>
        <v>4.7233125000000005</v>
      </c>
      <c r="X568">
        <f t="shared" ca="1" si="154"/>
        <v>4.7161505493687326</v>
      </c>
    </row>
    <row r="569" spans="5:24" x14ac:dyDescent="0.25">
      <c r="E569">
        <v>567</v>
      </c>
      <c r="F569">
        <f t="shared" si="138"/>
        <v>76.7</v>
      </c>
      <c r="G569">
        <f t="shared" ca="1" si="139"/>
        <v>76.698000000000008</v>
      </c>
      <c r="H569" s="5">
        <f t="shared" ca="1" si="140"/>
        <v>1.9999999999953388E-3</v>
      </c>
      <c r="I569" s="5">
        <f t="shared" ca="1" si="141"/>
        <v>2.6075619295897506E-5</v>
      </c>
      <c r="J569" s="10">
        <f t="shared" si="142"/>
        <v>4.7249999999999996</v>
      </c>
      <c r="K569" s="12">
        <f t="shared" ca="1" si="143"/>
        <v>4.7248333333333337</v>
      </c>
      <c r="L569" s="5">
        <f t="shared" ca="1" si="144"/>
        <v>3.5273368606557074E-5</v>
      </c>
      <c r="N569">
        <f t="shared" ca="1" si="145"/>
        <v>51.698000000000008</v>
      </c>
      <c r="O569">
        <f t="shared" ca="1" si="146"/>
        <v>1.0775470000000001E-3</v>
      </c>
      <c r="P569">
        <f t="shared" ca="1" si="147"/>
        <v>1.00129245</v>
      </c>
      <c r="Q569">
        <f t="shared" ca="1" si="148"/>
        <v>4.7298610044993801</v>
      </c>
      <c r="R569">
        <f t="shared" ca="1" si="149"/>
        <v>25225.925357330027</v>
      </c>
      <c r="S569">
        <f t="shared" ca="1" si="150"/>
        <v>2.6468104531623649</v>
      </c>
      <c r="T569">
        <f t="shared" ca="1" si="151"/>
        <v>-1</v>
      </c>
      <c r="U569">
        <f t="shared" ca="1" si="152"/>
        <v>25228</v>
      </c>
      <c r="V569">
        <f t="shared" ca="1" si="153"/>
        <v>4.7302499999999998</v>
      </c>
      <c r="X569">
        <f t="shared" ca="1" si="154"/>
        <v>4.7230681236036478</v>
      </c>
    </row>
    <row r="570" spans="5:24" x14ac:dyDescent="0.25">
      <c r="E570">
        <v>568</v>
      </c>
      <c r="F570">
        <f t="shared" si="138"/>
        <v>76.800000000000011</v>
      </c>
      <c r="G570">
        <f t="shared" ca="1" si="139"/>
        <v>76.800000000000011</v>
      </c>
      <c r="H570" s="5">
        <f t="shared" ca="1" si="140"/>
        <v>0</v>
      </c>
      <c r="I570" s="5">
        <f t="shared" ca="1" si="141"/>
        <v>0</v>
      </c>
      <c r="J570" s="10">
        <f t="shared" si="142"/>
        <v>4.7333333333333334</v>
      </c>
      <c r="K570" s="12">
        <f t="shared" ca="1" si="143"/>
        <v>4.7333333333333334</v>
      </c>
      <c r="L570" s="5">
        <f t="shared" ca="1" si="144"/>
        <v>0</v>
      </c>
      <c r="N570">
        <f t="shared" ca="1" si="145"/>
        <v>51.800000000000011</v>
      </c>
      <c r="O570">
        <f t="shared" ca="1" si="146"/>
        <v>1.0777E-3</v>
      </c>
      <c r="P570">
        <f t="shared" ca="1" si="147"/>
        <v>1.001295</v>
      </c>
      <c r="Q570">
        <f t="shared" ca="1" si="148"/>
        <v>4.7383839043785008</v>
      </c>
      <c r="R570">
        <f t="shared" ca="1" si="149"/>
        <v>25271.380823352003</v>
      </c>
      <c r="S570">
        <f t="shared" ca="1" si="150"/>
        <v>2.6337154678470189</v>
      </c>
      <c r="T570">
        <f t="shared" ca="1" si="151"/>
        <v>2</v>
      </c>
      <c r="U570">
        <f t="shared" ca="1" si="152"/>
        <v>25276</v>
      </c>
      <c r="V570">
        <f t="shared" ca="1" si="153"/>
        <v>4.7392500000000002</v>
      </c>
      <c r="X570">
        <f t="shared" ca="1" si="154"/>
        <v>4.7320443026280969</v>
      </c>
    </row>
    <row r="571" spans="5:24" x14ac:dyDescent="0.25">
      <c r="E571">
        <v>569</v>
      </c>
      <c r="F571">
        <f t="shared" si="138"/>
        <v>76.900000000000006</v>
      </c>
      <c r="G571">
        <f t="shared" ca="1" si="139"/>
        <v>76.908000000000001</v>
      </c>
      <c r="H571" s="5">
        <f t="shared" ca="1" si="140"/>
        <v>7.9999999999955662E-3</v>
      </c>
      <c r="I571" s="5">
        <f t="shared" ca="1" si="141"/>
        <v>1.0403120936275118E-4</v>
      </c>
      <c r="J571" s="10">
        <f t="shared" si="142"/>
        <v>4.7416666666666663</v>
      </c>
      <c r="K571" s="12">
        <f t="shared" ca="1" si="143"/>
        <v>4.7423333333333328</v>
      </c>
      <c r="L571" s="5">
        <f t="shared" ca="1" si="144"/>
        <v>1.4059753954304252E-4</v>
      </c>
      <c r="N571">
        <f t="shared" ca="1" si="145"/>
        <v>51.908000000000001</v>
      </c>
      <c r="O571">
        <f t="shared" ca="1" si="146"/>
        <v>1.077862E-3</v>
      </c>
      <c r="P571">
        <f t="shared" ca="1" si="147"/>
        <v>1.0012977000000001</v>
      </c>
      <c r="Q571">
        <f t="shared" ca="1" si="148"/>
        <v>4.7474081985584826</v>
      </c>
      <c r="R571">
        <f t="shared" ca="1" si="149"/>
        <v>25319.510392311906</v>
      </c>
      <c r="S571">
        <f t="shared" ca="1" si="150"/>
        <v>2.6197956019406101</v>
      </c>
      <c r="T571">
        <f t="shared" ca="1" si="151"/>
        <v>-2</v>
      </c>
      <c r="U571">
        <f t="shared" ca="1" si="152"/>
        <v>25320</v>
      </c>
      <c r="V571">
        <f t="shared" ca="1" si="153"/>
        <v>4.7475000000000005</v>
      </c>
      <c r="X571">
        <f t="shared" ca="1" si="154"/>
        <v>4.7402706887272394</v>
      </c>
    </row>
    <row r="572" spans="5:24" x14ac:dyDescent="0.25">
      <c r="E572">
        <v>570</v>
      </c>
      <c r="F572">
        <f t="shared" si="138"/>
        <v>77</v>
      </c>
      <c r="G572">
        <f t="shared" ca="1" si="139"/>
        <v>77.006</v>
      </c>
      <c r="H572" s="5">
        <f t="shared" ca="1" si="140"/>
        <v>6.0000000000002274E-3</v>
      </c>
      <c r="I572" s="5">
        <f t="shared" ca="1" si="141"/>
        <v>7.7922077922080874E-5</v>
      </c>
      <c r="J572" s="10">
        <f t="shared" si="142"/>
        <v>4.7499999999999991</v>
      </c>
      <c r="K572" s="12">
        <f t="shared" ca="1" si="143"/>
        <v>4.7504999999999997</v>
      </c>
      <c r="L572" s="5">
        <f t="shared" ca="1" si="144"/>
        <v>1.052631578948655E-4</v>
      </c>
      <c r="N572">
        <f t="shared" ca="1" si="145"/>
        <v>52.006</v>
      </c>
      <c r="O572">
        <f t="shared" ca="1" si="146"/>
        <v>1.078009E-3</v>
      </c>
      <c r="P572">
        <f t="shared" ca="1" si="147"/>
        <v>1.0013001500000001</v>
      </c>
      <c r="Q572">
        <f t="shared" ca="1" si="148"/>
        <v>4.7555969520015982</v>
      </c>
      <c r="R572">
        <f t="shared" ca="1" si="149"/>
        <v>25363.183744008522</v>
      </c>
      <c r="S572">
        <f t="shared" ca="1" si="150"/>
        <v>2.6071162661110296</v>
      </c>
      <c r="T572">
        <f t="shared" ca="1" si="151"/>
        <v>1</v>
      </c>
      <c r="U572">
        <f t="shared" ca="1" si="152"/>
        <v>25367</v>
      </c>
      <c r="V572">
        <f t="shared" ca="1" si="153"/>
        <v>4.7563124999999999</v>
      </c>
      <c r="X572">
        <f t="shared" ca="1" si="154"/>
        <v>4.7490600006401671</v>
      </c>
    </row>
    <row r="573" spans="5:24" x14ac:dyDescent="0.25">
      <c r="E573">
        <v>571</v>
      </c>
      <c r="F573">
        <f t="shared" si="138"/>
        <v>77.099999999999994</v>
      </c>
      <c r="G573">
        <f t="shared" ca="1" si="139"/>
        <v>77.089999999999989</v>
      </c>
      <c r="H573" s="5">
        <f t="shared" ca="1" si="140"/>
        <v>1.0000000000005116E-2</v>
      </c>
      <c r="I573" s="5">
        <f t="shared" ca="1" si="141"/>
        <v>1.2970168612198594E-4</v>
      </c>
      <c r="J573" s="10">
        <f t="shared" si="142"/>
        <v>4.758333333333332</v>
      </c>
      <c r="K573" s="12">
        <f t="shared" ca="1" si="143"/>
        <v>4.7574999999999985</v>
      </c>
      <c r="L573" s="5">
        <f t="shared" ca="1" si="144"/>
        <v>1.7513134851141097E-4</v>
      </c>
      <c r="N573">
        <f t="shared" ca="1" si="145"/>
        <v>52.089999999999989</v>
      </c>
      <c r="O573">
        <f t="shared" ca="1" si="146"/>
        <v>1.078135E-3</v>
      </c>
      <c r="P573">
        <f t="shared" ca="1" si="147"/>
        <v>1.0013022499999999</v>
      </c>
      <c r="Q573">
        <f t="shared" ca="1" si="148"/>
        <v>4.7626159153736944</v>
      </c>
      <c r="R573">
        <f t="shared" ca="1" si="149"/>
        <v>25400.618215326369</v>
      </c>
      <c r="S573">
        <f t="shared" ca="1" si="150"/>
        <v>2.5962118260923788</v>
      </c>
      <c r="T573">
        <f t="shared" ca="1" si="151"/>
        <v>2</v>
      </c>
      <c r="U573">
        <f t="shared" ca="1" si="152"/>
        <v>25405</v>
      </c>
      <c r="V573">
        <f t="shared" ca="1" si="153"/>
        <v>4.7634375000000002</v>
      </c>
      <c r="X573">
        <f t="shared" ca="1" si="154"/>
        <v>4.7561656482845214</v>
      </c>
    </row>
    <row r="574" spans="5:24" x14ac:dyDescent="0.25">
      <c r="E574">
        <v>572</v>
      </c>
      <c r="F574">
        <f t="shared" si="138"/>
        <v>77.2</v>
      </c>
      <c r="G574">
        <f t="shared" ca="1" si="139"/>
        <v>77.201000000000008</v>
      </c>
      <c r="H574" s="5">
        <f t="shared" ca="1" si="140"/>
        <v>1.0000000000047748E-3</v>
      </c>
      <c r="I574" s="5">
        <f t="shared" ca="1" si="141"/>
        <v>1.2953367875709519E-5</v>
      </c>
      <c r="J574" s="10">
        <f t="shared" si="142"/>
        <v>4.7666666666666666</v>
      </c>
      <c r="K574" s="12">
        <f t="shared" ca="1" si="143"/>
        <v>4.76675</v>
      </c>
      <c r="L574" s="5">
        <f t="shared" ca="1" si="144"/>
        <v>1.7482517482538848E-5</v>
      </c>
      <c r="N574">
        <f t="shared" ca="1" si="145"/>
        <v>52.201000000000008</v>
      </c>
      <c r="O574">
        <f t="shared" ca="1" si="146"/>
        <v>1.0783015E-3</v>
      </c>
      <c r="P574">
        <f t="shared" ca="1" si="147"/>
        <v>1.001305025</v>
      </c>
      <c r="Q574">
        <f t="shared" ca="1" si="148"/>
        <v>4.7718910192083355</v>
      </c>
      <c r="R574">
        <f t="shared" ca="1" si="149"/>
        <v>25450.08543577779</v>
      </c>
      <c r="S574">
        <f t="shared" ca="1" si="150"/>
        <v>2.5817510479165509</v>
      </c>
      <c r="T574">
        <f t="shared" ca="1" si="151"/>
        <v>3</v>
      </c>
      <c r="U574">
        <f t="shared" ca="1" si="152"/>
        <v>25456</v>
      </c>
      <c r="V574">
        <f t="shared" ca="1" si="153"/>
        <v>4.7729999999999997</v>
      </c>
      <c r="X574">
        <f t="shared" ca="1" si="154"/>
        <v>4.7657023378066041</v>
      </c>
    </row>
    <row r="575" spans="5:24" x14ac:dyDescent="0.25">
      <c r="E575">
        <v>573</v>
      </c>
      <c r="F575">
        <f t="shared" si="138"/>
        <v>77.300000000000011</v>
      </c>
      <c r="G575">
        <f t="shared" ca="1" si="139"/>
        <v>77.310000000000016</v>
      </c>
      <c r="H575" s="5">
        <f t="shared" ca="1" si="140"/>
        <v>1.0000000000005116E-2</v>
      </c>
      <c r="I575" s="5">
        <f t="shared" ca="1" si="141"/>
        <v>1.2936610608027315E-4</v>
      </c>
      <c r="J575" s="10">
        <f t="shared" si="142"/>
        <v>4.7750000000000004</v>
      </c>
      <c r="K575" s="12">
        <f t="shared" ca="1" si="143"/>
        <v>4.7758333333333338</v>
      </c>
      <c r="L575" s="5">
        <f t="shared" ca="1" si="144"/>
        <v>1.745200698080552E-4</v>
      </c>
      <c r="N575">
        <f t="shared" ca="1" si="145"/>
        <v>52.310000000000016</v>
      </c>
      <c r="O575">
        <f t="shared" ca="1" si="146"/>
        <v>1.078465E-3</v>
      </c>
      <c r="P575">
        <f t="shared" ca="1" si="147"/>
        <v>1.0013077500000001</v>
      </c>
      <c r="Q575">
        <f t="shared" ca="1" si="148"/>
        <v>4.7809990540123968</v>
      </c>
      <c r="R575">
        <f t="shared" ca="1" si="149"/>
        <v>25498.661621399449</v>
      </c>
      <c r="S575">
        <f t="shared" ca="1" si="150"/>
        <v>2.5674942345182257</v>
      </c>
      <c r="T575">
        <f t="shared" ca="1" si="151"/>
        <v>1</v>
      </c>
      <c r="U575">
        <f t="shared" ca="1" si="152"/>
        <v>25502</v>
      </c>
      <c r="V575">
        <f t="shared" ca="1" si="153"/>
        <v>4.781625</v>
      </c>
      <c r="X575">
        <f t="shared" ca="1" si="154"/>
        <v>4.7743029403297834</v>
      </c>
    </row>
    <row r="576" spans="5:24" x14ac:dyDescent="0.25">
      <c r="E576">
        <v>574</v>
      </c>
      <c r="F576">
        <f t="shared" si="138"/>
        <v>77.400000000000006</v>
      </c>
      <c r="G576">
        <f t="shared" ca="1" si="139"/>
        <v>77.406000000000006</v>
      </c>
      <c r="H576" s="5">
        <f t="shared" ca="1" si="140"/>
        <v>6.0000000000002274E-3</v>
      </c>
      <c r="I576" s="5">
        <f t="shared" ca="1" si="141"/>
        <v>7.7519379844964172E-5</v>
      </c>
      <c r="J576" s="10">
        <f t="shared" si="142"/>
        <v>4.7833333333333332</v>
      </c>
      <c r="K576" s="12">
        <f t="shared" ca="1" si="143"/>
        <v>4.7838333333333329</v>
      </c>
      <c r="L576" s="5">
        <f t="shared" ca="1" si="144"/>
        <v>1.0452961672468075E-4</v>
      </c>
      <c r="N576">
        <f t="shared" ca="1" si="145"/>
        <v>52.406000000000006</v>
      </c>
      <c r="O576">
        <f t="shared" ca="1" si="146"/>
        <v>1.0786090000000001E-3</v>
      </c>
      <c r="P576">
        <f t="shared" ca="1" si="147"/>
        <v>1.0013101499999999</v>
      </c>
      <c r="Q576">
        <f t="shared" ca="1" si="148"/>
        <v>4.789020850435417</v>
      </c>
      <c r="R576">
        <f t="shared" ca="1" si="149"/>
        <v>25541.444535655555</v>
      </c>
      <c r="S576">
        <f t="shared" ca="1" si="150"/>
        <v>2.5548915794096452</v>
      </c>
      <c r="T576">
        <f t="shared" ca="1" si="151"/>
        <v>3</v>
      </c>
      <c r="U576">
        <f t="shared" ca="1" si="152"/>
        <v>25547</v>
      </c>
      <c r="V576">
        <f t="shared" ca="1" si="153"/>
        <v>4.7900625000000003</v>
      </c>
      <c r="X576">
        <f t="shared" ca="1" si="154"/>
        <v>4.7827178132569621</v>
      </c>
    </row>
    <row r="577" spans="5:24" x14ac:dyDescent="0.25">
      <c r="E577">
        <v>575</v>
      </c>
      <c r="F577">
        <f t="shared" si="138"/>
        <v>77.5</v>
      </c>
      <c r="G577">
        <f t="shared" ca="1" si="139"/>
        <v>77.509</v>
      </c>
      <c r="H577" s="5">
        <f t="shared" ca="1" si="140"/>
        <v>9.0000000000003411E-3</v>
      </c>
      <c r="I577" s="5">
        <f t="shared" ca="1" si="141"/>
        <v>1.1612903225806892E-4</v>
      </c>
      <c r="J577" s="10">
        <f t="shared" si="142"/>
        <v>4.7916666666666661</v>
      </c>
      <c r="K577" s="12">
        <f t="shared" ca="1" si="143"/>
        <v>4.7924166666666661</v>
      </c>
      <c r="L577" s="5">
        <f t="shared" ca="1" si="144"/>
        <v>1.5652173913044073E-4</v>
      </c>
      <c r="N577">
        <f t="shared" ca="1" si="145"/>
        <v>52.509</v>
      </c>
      <c r="O577">
        <f t="shared" ca="1" si="146"/>
        <v>1.0787635000000001E-3</v>
      </c>
      <c r="P577">
        <f t="shared" ca="1" si="147"/>
        <v>1.001312725</v>
      </c>
      <c r="Q577">
        <f t="shared" ca="1" si="148"/>
        <v>4.7976276122156012</v>
      </c>
      <c r="R577">
        <f t="shared" ca="1" si="149"/>
        <v>25587.347265149874</v>
      </c>
      <c r="S577">
        <f t="shared" ca="1" si="150"/>
        <v>2.5413221187344002</v>
      </c>
      <c r="T577">
        <f t="shared" ca="1" si="151"/>
        <v>0</v>
      </c>
      <c r="U577">
        <f t="shared" ca="1" si="152"/>
        <v>25590</v>
      </c>
      <c r="V577">
        <f t="shared" ca="1" si="153"/>
        <v>4.7981249999999998</v>
      </c>
      <c r="X577">
        <f t="shared" ca="1" si="154"/>
        <v>4.7907572896369608</v>
      </c>
    </row>
    <row r="578" spans="5:24" x14ac:dyDescent="0.25">
      <c r="E578">
        <v>576</v>
      </c>
      <c r="F578">
        <f t="shared" si="138"/>
        <v>77.599999999999994</v>
      </c>
      <c r="G578">
        <f t="shared" ca="1" si="139"/>
        <v>77.591999999999999</v>
      </c>
      <c r="H578" s="5">
        <f t="shared" ca="1" si="140"/>
        <v>7.9999999999955662E-3</v>
      </c>
      <c r="I578" s="5">
        <f t="shared" ca="1" si="141"/>
        <v>1.0309278350509751E-4</v>
      </c>
      <c r="J578" s="10">
        <f t="shared" si="142"/>
        <v>4.7999999999999989</v>
      </c>
      <c r="K578" s="12">
        <f t="shared" ca="1" si="143"/>
        <v>4.7993333333333323</v>
      </c>
      <c r="L578" s="5">
        <f t="shared" ca="1" si="144"/>
        <v>1.3888888888887363E-4</v>
      </c>
      <c r="N578">
        <f t="shared" ca="1" si="145"/>
        <v>52.591999999999999</v>
      </c>
      <c r="O578">
        <f t="shared" ca="1" si="146"/>
        <v>1.0788880000000001E-3</v>
      </c>
      <c r="P578">
        <f t="shared" ca="1" si="147"/>
        <v>1.0013148000000001</v>
      </c>
      <c r="Q578">
        <f t="shared" ca="1" si="148"/>
        <v>4.8045631902780563</v>
      </c>
      <c r="R578">
        <f t="shared" ca="1" si="149"/>
        <v>25624.337014816301</v>
      </c>
      <c r="S578">
        <f t="shared" ca="1" si="150"/>
        <v>2.5303516299382749</v>
      </c>
      <c r="T578">
        <f t="shared" ca="1" si="151"/>
        <v>1</v>
      </c>
      <c r="U578">
        <f t="shared" ca="1" si="152"/>
        <v>25628</v>
      </c>
      <c r="V578">
        <f t="shared" ca="1" si="153"/>
        <v>4.80525</v>
      </c>
      <c r="X578">
        <f t="shared" ca="1" si="154"/>
        <v>4.7978628818828994</v>
      </c>
    </row>
    <row r="579" spans="5:24" x14ac:dyDescent="0.25">
      <c r="E579">
        <v>577</v>
      </c>
      <c r="F579">
        <f t="shared" ref="F579:F602" si="155">0.1*E579+20</f>
        <v>77.7</v>
      </c>
      <c r="G579">
        <f t="shared" ref="G579:G602" ca="1" si="156">F579+(RANDBETWEEN(-10,10)/100)*0.1</f>
        <v>77.692999999999998</v>
      </c>
      <c r="H579" s="5">
        <f t="shared" ref="H579:H602" ca="1" si="157">ABS(F579-G579)</f>
        <v>7.0000000000050022E-3</v>
      </c>
      <c r="I579" s="5">
        <f t="shared" ref="I579:I602" ca="1" si="158">ABS(F579-G579)/F579</f>
        <v>9.0090090090154466E-5</v>
      </c>
      <c r="J579" s="10">
        <f t="shared" ref="J579:J602" si="159">1/12*F579-5/3</f>
        <v>4.8083333333333327</v>
      </c>
      <c r="K579" s="12">
        <f t="shared" ref="K579:K602" ca="1" si="160">(1/12*G579-5/3) + J579*RANDBETWEEN($B$2,$C$2)</f>
        <v>4.8077499999999995</v>
      </c>
      <c r="L579" s="5">
        <f t="shared" ref="L579:L602" ca="1" si="161">IF(J579=0, ABS(J579-K579), ABS(J579-K579)/J579)</f>
        <v>1.213171577122686E-4</v>
      </c>
      <c r="N579">
        <f t="shared" ref="N579:N602" ca="1" si="162">G579-$B$29</f>
        <v>52.692999999999998</v>
      </c>
      <c r="O579">
        <f t="shared" ref="O579:O602" ca="1" si="163">0.001 + 0.0000015*N579</f>
        <v>1.0790395000000001E-3</v>
      </c>
      <c r="P579">
        <f t="shared" ref="P579:P602" ca="1" si="164">1 + 0.000025*N579</f>
        <v>1.001317325</v>
      </c>
      <c r="Q579">
        <f t="shared" ref="Q579:Q602" ca="1" si="165">(K579-O579)*P579</f>
        <v>4.8130029083230399</v>
      </c>
      <c r="R579">
        <f t="shared" ref="R579:R602" ca="1" si="166">Q579*32768/6.144</f>
        <v>25669.348844389544</v>
      </c>
      <c r="S579">
        <f t="shared" ref="S579:S602" ca="1" si="167">4*SIN(PI()*R579/32768)</f>
        <v>2.5169590273375948</v>
      </c>
      <c r="T579">
        <f t="shared" ref="T579:T602" ca="1" si="168">RANDBETWEEN(-1*$B$15,1*$B$15)</f>
        <v>-3</v>
      </c>
      <c r="U579">
        <f t="shared" ref="U579:U602" ca="1" si="169">ROUND(R579+S579+T579,0)</f>
        <v>25669</v>
      </c>
      <c r="V579">
        <f t="shared" ref="V579:V602" ca="1" si="170">U579*6.144/32768</f>
        <v>4.8129375000000003</v>
      </c>
      <c r="X579">
        <f t="shared" ref="X579:X602" ca="1" si="171">(U579*6.144/32768 -O579)/P579</f>
        <v>4.8055280183032885</v>
      </c>
    </row>
    <row r="580" spans="5:24" x14ac:dyDescent="0.25">
      <c r="E580">
        <v>578</v>
      </c>
      <c r="F580">
        <f t="shared" si="155"/>
        <v>77.800000000000011</v>
      </c>
      <c r="G580">
        <f t="shared" ca="1" si="156"/>
        <v>77.801000000000016</v>
      </c>
      <c r="H580" s="5">
        <f t="shared" ca="1" si="157"/>
        <v>1.0000000000047748E-3</v>
      </c>
      <c r="I580" s="5">
        <f t="shared" ca="1" si="158"/>
        <v>1.2853470437079366E-5</v>
      </c>
      <c r="J580" s="10">
        <f t="shared" si="159"/>
        <v>4.8166666666666673</v>
      </c>
      <c r="K580" s="12">
        <f t="shared" ca="1" si="160"/>
        <v>4.8167500000000008</v>
      </c>
      <c r="L580" s="5">
        <f t="shared" ca="1" si="161"/>
        <v>1.730103806230488E-5</v>
      </c>
      <c r="N580">
        <f t="shared" ca="1" si="162"/>
        <v>52.801000000000016</v>
      </c>
      <c r="O580">
        <f t="shared" ca="1" si="163"/>
        <v>1.0792015000000001E-3</v>
      </c>
      <c r="P580">
        <f t="shared" ca="1" si="164"/>
        <v>1.0013200250000001</v>
      </c>
      <c r="Q580">
        <f t="shared" ca="1" si="165"/>
        <v>4.8220276043457915</v>
      </c>
      <c r="R580">
        <f t="shared" ca="1" si="166"/>
        <v>25717.480556510887</v>
      </c>
      <c r="S580">
        <f t="shared" ca="1" si="167"/>
        <v>2.5025862966992394</v>
      </c>
      <c r="T580">
        <f t="shared" ca="1" si="168"/>
        <v>2</v>
      </c>
      <c r="U580">
        <f t="shared" ca="1" si="169"/>
        <v>25722</v>
      </c>
      <c r="V580">
        <f t="shared" ca="1" si="170"/>
        <v>4.8228749999999998</v>
      </c>
      <c r="X580">
        <f t="shared" ca="1" si="171"/>
        <v>4.8154392982403404</v>
      </c>
    </row>
    <row r="581" spans="5:24" x14ac:dyDescent="0.25">
      <c r="E581">
        <v>579</v>
      </c>
      <c r="F581">
        <f t="shared" si="155"/>
        <v>77.900000000000006</v>
      </c>
      <c r="G581">
        <f t="shared" ca="1" si="156"/>
        <v>77.893000000000001</v>
      </c>
      <c r="H581" s="5">
        <f t="shared" ca="1" si="157"/>
        <v>7.0000000000050022E-3</v>
      </c>
      <c r="I581" s="5">
        <f t="shared" ca="1" si="158"/>
        <v>8.9858793324839556E-5</v>
      </c>
      <c r="J581" s="10">
        <f t="shared" si="159"/>
        <v>4.8250000000000002</v>
      </c>
      <c r="K581" s="12">
        <f t="shared" ca="1" si="160"/>
        <v>4.8244166666666661</v>
      </c>
      <c r="L581" s="5">
        <f t="shared" ca="1" si="161"/>
        <v>1.2089810017285933E-4</v>
      </c>
      <c r="N581">
        <f t="shared" ca="1" si="162"/>
        <v>52.893000000000001</v>
      </c>
      <c r="O581">
        <f t="shared" ca="1" si="163"/>
        <v>1.0793395000000001E-3</v>
      </c>
      <c r="P581">
        <f t="shared" ca="1" si="164"/>
        <v>1.0013223250000001</v>
      </c>
      <c r="Q581">
        <f t="shared" ca="1" si="165"/>
        <v>4.829715346697812</v>
      </c>
      <c r="R581">
        <f t="shared" ca="1" si="166"/>
        <v>25758.481849054995</v>
      </c>
      <c r="S581">
        <f t="shared" ca="1" si="167"/>
        <v>2.4903007531124826</v>
      </c>
      <c r="T581">
        <f t="shared" ca="1" si="168"/>
        <v>-3</v>
      </c>
      <c r="U581">
        <f t="shared" ca="1" si="169"/>
        <v>25758</v>
      </c>
      <c r="V581">
        <f t="shared" ca="1" si="170"/>
        <v>4.8296250000000001</v>
      </c>
      <c r="X581">
        <f t="shared" ca="1" si="171"/>
        <v>4.8221691856316093</v>
      </c>
    </row>
    <row r="582" spans="5:24" x14ac:dyDescent="0.25">
      <c r="E582">
        <v>580</v>
      </c>
      <c r="F582">
        <f t="shared" si="155"/>
        <v>78</v>
      </c>
      <c r="G582">
        <f t="shared" ca="1" si="156"/>
        <v>78.007000000000005</v>
      </c>
      <c r="H582" s="5">
        <f t="shared" ca="1" si="157"/>
        <v>7.0000000000050022E-3</v>
      </c>
      <c r="I582" s="5">
        <f t="shared" ca="1" si="158"/>
        <v>8.9743589743653879E-5</v>
      </c>
      <c r="J582" s="10">
        <f t="shared" si="159"/>
        <v>4.833333333333333</v>
      </c>
      <c r="K582" s="12">
        <f t="shared" ca="1" si="160"/>
        <v>4.8339166666666662</v>
      </c>
      <c r="L582" s="5">
        <f t="shared" ca="1" si="161"/>
        <v>1.2068965517237754E-4</v>
      </c>
      <c r="N582">
        <f t="shared" ca="1" si="162"/>
        <v>53.007000000000005</v>
      </c>
      <c r="O582">
        <f t="shared" ca="1" si="163"/>
        <v>1.0795105000000001E-3</v>
      </c>
      <c r="P582">
        <f t="shared" ca="1" si="164"/>
        <v>1.0013251750000001</v>
      </c>
      <c r="Q582">
        <f t="shared" ca="1" si="165"/>
        <v>4.8392415111450893</v>
      </c>
      <c r="R582">
        <f t="shared" ca="1" si="166"/>
        <v>25809.288059440474</v>
      </c>
      <c r="S582">
        <f t="shared" ca="1" si="167"/>
        <v>2.4750239203959921</v>
      </c>
      <c r="T582">
        <f t="shared" ca="1" si="168"/>
        <v>0</v>
      </c>
      <c r="U582">
        <f t="shared" ca="1" si="169"/>
        <v>25812</v>
      </c>
      <c r="V582">
        <f t="shared" ca="1" si="170"/>
        <v>4.8397500000000004</v>
      </c>
      <c r="X582">
        <f t="shared" ca="1" si="171"/>
        <v>4.8322668902237478</v>
      </c>
    </row>
    <row r="583" spans="5:24" x14ac:dyDescent="0.25">
      <c r="E583">
        <v>581</v>
      </c>
      <c r="F583">
        <f t="shared" si="155"/>
        <v>78.099999999999994</v>
      </c>
      <c r="G583">
        <f t="shared" ca="1" si="156"/>
        <v>78.102999999999994</v>
      </c>
      <c r="H583" s="5">
        <f t="shared" ca="1" si="157"/>
        <v>3.0000000000001137E-3</v>
      </c>
      <c r="I583" s="5">
        <f t="shared" ca="1" si="158"/>
        <v>3.841229193342015E-5</v>
      </c>
      <c r="J583" s="10">
        <f t="shared" si="159"/>
        <v>4.8416666666666659</v>
      </c>
      <c r="K583" s="12">
        <f t="shared" ca="1" si="160"/>
        <v>4.8419166666666653</v>
      </c>
      <c r="L583" s="5">
        <f t="shared" ca="1" si="161"/>
        <v>5.1635111875955402E-5</v>
      </c>
      <c r="N583">
        <f t="shared" ca="1" si="162"/>
        <v>53.102999999999994</v>
      </c>
      <c r="O583">
        <f t="shared" ca="1" si="163"/>
        <v>1.0796544999999999E-3</v>
      </c>
      <c r="P583">
        <f t="shared" ca="1" si="164"/>
        <v>1.0013275749999999</v>
      </c>
      <c r="Q583">
        <f t="shared" ca="1" si="165"/>
        <v>4.8472635863630922</v>
      </c>
      <c r="R583">
        <f t="shared" ca="1" si="166"/>
        <v>25852.072460603158</v>
      </c>
      <c r="S583">
        <f t="shared" ca="1" si="167"/>
        <v>2.462113589301373</v>
      </c>
      <c r="T583">
        <f t="shared" ca="1" si="168"/>
        <v>-2</v>
      </c>
      <c r="U583">
        <f t="shared" ca="1" si="169"/>
        <v>25853</v>
      </c>
      <c r="V583">
        <f t="shared" ca="1" si="170"/>
        <v>4.8474374999999998</v>
      </c>
      <c r="X583">
        <f t="shared" ca="1" si="171"/>
        <v>4.8399324721482886</v>
      </c>
    </row>
    <row r="584" spans="5:24" x14ac:dyDescent="0.25">
      <c r="E584">
        <v>582</v>
      </c>
      <c r="F584">
        <f t="shared" si="155"/>
        <v>78.2</v>
      </c>
      <c r="G584">
        <f t="shared" ca="1" si="156"/>
        <v>78.192999999999998</v>
      </c>
      <c r="H584" s="5">
        <f t="shared" ca="1" si="157"/>
        <v>7.0000000000050022E-3</v>
      </c>
      <c r="I584" s="5">
        <f t="shared" ca="1" si="158"/>
        <v>8.9514066496227643E-5</v>
      </c>
      <c r="J584" s="10">
        <f t="shared" si="159"/>
        <v>4.8499999999999996</v>
      </c>
      <c r="K584" s="12">
        <f t="shared" ca="1" si="160"/>
        <v>4.8494166666666656</v>
      </c>
      <c r="L584" s="5">
        <f t="shared" ca="1" si="161"/>
        <v>1.2027491408949407E-4</v>
      </c>
      <c r="N584">
        <f t="shared" ca="1" si="162"/>
        <v>53.192999999999998</v>
      </c>
      <c r="O584">
        <f t="shared" ca="1" si="163"/>
        <v>1.0797895E-3</v>
      </c>
      <c r="P584">
        <f t="shared" ca="1" si="164"/>
        <v>1.001329825</v>
      </c>
      <c r="Q584">
        <f t="shared" ca="1" si="165"/>
        <v>4.8547843167543432</v>
      </c>
      <c r="R584">
        <f t="shared" ca="1" si="166"/>
        <v>25892.183022689831</v>
      </c>
      <c r="S584">
        <f t="shared" ca="1" si="167"/>
        <v>2.4499724697178036</v>
      </c>
      <c r="T584">
        <f t="shared" ca="1" si="168"/>
        <v>1</v>
      </c>
      <c r="U584">
        <f t="shared" ca="1" si="169"/>
        <v>25896</v>
      </c>
      <c r="V584">
        <f t="shared" ca="1" si="170"/>
        <v>4.8555000000000001</v>
      </c>
      <c r="X584">
        <f t="shared" ca="1" si="171"/>
        <v>4.8479732544668783</v>
      </c>
    </row>
    <row r="585" spans="5:24" x14ac:dyDescent="0.25">
      <c r="E585">
        <v>583</v>
      </c>
      <c r="F585">
        <f t="shared" si="155"/>
        <v>78.300000000000011</v>
      </c>
      <c r="G585">
        <f t="shared" ca="1" si="156"/>
        <v>78.300000000000011</v>
      </c>
      <c r="H585" s="5">
        <f t="shared" ca="1" si="157"/>
        <v>0</v>
      </c>
      <c r="I585" s="5">
        <f t="shared" ca="1" si="158"/>
        <v>0</v>
      </c>
      <c r="J585" s="10">
        <f t="shared" si="159"/>
        <v>4.8583333333333334</v>
      </c>
      <c r="K585" s="12">
        <f t="shared" ca="1" si="160"/>
        <v>4.8583333333333334</v>
      </c>
      <c r="L585" s="5">
        <f t="shared" ca="1" si="161"/>
        <v>0</v>
      </c>
      <c r="N585">
        <f t="shared" ca="1" si="162"/>
        <v>53.300000000000011</v>
      </c>
      <c r="O585">
        <f t="shared" ca="1" si="163"/>
        <v>1.0799500000000001E-3</v>
      </c>
      <c r="P585">
        <f t="shared" ca="1" si="164"/>
        <v>1.0013325</v>
      </c>
      <c r="Q585">
        <f t="shared" ca="1" si="165"/>
        <v>4.8637256734666243</v>
      </c>
      <c r="R585">
        <f t="shared" ca="1" si="166"/>
        <v>25939.870258488663</v>
      </c>
      <c r="S585">
        <f t="shared" ca="1" si="167"/>
        <v>2.4354908284959569</v>
      </c>
      <c r="T585">
        <f t="shared" ca="1" si="168"/>
        <v>1</v>
      </c>
      <c r="U585">
        <f t="shared" ca="1" si="169"/>
        <v>25943</v>
      </c>
      <c r="V585">
        <f t="shared" ca="1" si="170"/>
        <v>4.8643125000000005</v>
      </c>
      <c r="X585">
        <f t="shared" ca="1" si="171"/>
        <v>4.8567609160793248</v>
      </c>
    </row>
    <row r="586" spans="5:24" x14ac:dyDescent="0.25">
      <c r="E586">
        <v>584</v>
      </c>
      <c r="F586">
        <f t="shared" si="155"/>
        <v>78.400000000000006</v>
      </c>
      <c r="G586">
        <f t="shared" ca="1" si="156"/>
        <v>78.406000000000006</v>
      </c>
      <c r="H586" s="5">
        <f t="shared" ca="1" si="157"/>
        <v>6.0000000000002274E-3</v>
      </c>
      <c r="I586" s="5">
        <f t="shared" ca="1" si="158"/>
        <v>7.6530612244900855E-5</v>
      </c>
      <c r="J586" s="10">
        <f t="shared" si="159"/>
        <v>4.8666666666666663</v>
      </c>
      <c r="K586" s="12">
        <f t="shared" ca="1" si="160"/>
        <v>4.8671666666666669</v>
      </c>
      <c r="L586" s="5">
        <f t="shared" ca="1" si="161"/>
        <v>1.0273972602752283E-4</v>
      </c>
      <c r="N586">
        <f t="shared" ca="1" si="162"/>
        <v>53.406000000000006</v>
      </c>
      <c r="O586">
        <f t="shared" ca="1" si="163"/>
        <v>1.0801090000000001E-3</v>
      </c>
      <c r="P586">
        <f t="shared" ca="1" si="164"/>
        <v>1.0013351500000001</v>
      </c>
      <c r="Q586">
        <f t="shared" ca="1" si="165"/>
        <v>4.8725835131341357</v>
      </c>
      <c r="R586">
        <f t="shared" ca="1" si="166"/>
        <v>25987.112070048723</v>
      </c>
      <c r="S586">
        <f t="shared" ca="1" si="167"/>
        <v>2.4210942551945469</v>
      </c>
      <c r="T586">
        <f t="shared" ca="1" si="168"/>
        <v>-2</v>
      </c>
      <c r="U586">
        <f t="shared" ca="1" si="169"/>
        <v>25988</v>
      </c>
      <c r="V586">
        <f t="shared" ca="1" si="170"/>
        <v>4.8727499999999999</v>
      </c>
      <c r="X586">
        <f t="shared" ca="1" si="171"/>
        <v>4.865174153728649</v>
      </c>
    </row>
    <row r="587" spans="5:24" x14ac:dyDescent="0.25">
      <c r="E587">
        <v>585</v>
      </c>
      <c r="F587">
        <f t="shared" si="155"/>
        <v>78.5</v>
      </c>
      <c r="G587">
        <f t="shared" ca="1" si="156"/>
        <v>78.492000000000004</v>
      </c>
      <c r="H587" s="5">
        <f t="shared" ca="1" si="157"/>
        <v>7.9999999999955662E-3</v>
      </c>
      <c r="I587" s="5">
        <f t="shared" ca="1" si="158"/>
        <v>1.0191082802542122E-4</v>
      </c>
      <c r="J587" s="10">
        <f t="shared" si="159"/>
        <v>4.8749999999999991</v>
      </c>
      <c r="K587" s="12">
        <f t="shared" ca="1" si="160"/>
        <v>4.8743333333333334</v>
      </c>
      <c r="L587" s="5">
        <f t="shared" ca="1" si="161"/>
        <v>1.3675213675193952E-4</v>
      </c>
      <c r="N587">
        <f t="shared" ca="1" si="162"/>
        <v>53.492000000000004</v>
      </c>
      <c r="O587">
        <f t="shared" ca="1" si="163"/>
        <v>1.0802380000000001E-3</v>
      </c>
      <c r="P587">
        <f t="shared" ca="1" si="164"/>
        <v>1.0013373000000001</v>
      </c>
      <c r="Q587">
        <f t="shared" ca="1" si="165"/>
        <v>4.8797700966977233</v>
      </c>
      <c r="R587">
        <f t="shared" ca="1" si="166"/>
        <v>26025.440515721191</v>
      </c>
      <c r="S587">
        <f t="shared" ca="1" si="167"/>
        <v>2.4093774526015026</v>
      </c>
      <c r="T587">
        <f t="shared" ca="1" si="168"/>
        <v>3</v>
      </c>
      <c r="U587">
        <f t="shared" ca="1" si="169"/>
        <v>26031</v>
      </c>
      <c r="V587">
        <f t="shared" ca="1" si="170"/>
        <v>4.8808125000000002</v>
      </c>
      <c r="X587">
        <f t="shared" ca="1" si="171"/>
        <v>4.8732153111643797</v>
      </c>
    </row>
    <row r="588" spans="5:24" x14ac:dyDescent="0.25">
      <c r="E588">
        <v>586</v>
      </c>
      <c r="F588">
        <f t="shared" si="155"/>
        <v>78.599999999999994</v>
      </c>
      <c r="G588">
        <f t="shared" ca="1" si="156"/>
        <v>78.596999999999994</v>
      </c>
      <c r="H588" s="5">
        <f t="shared" ca="1" si="157"/>
        <v>3.0000000000001137E-3</v>
      </c>
      <c r="I588" s="5">
        <f t="shared" ca="1" si="158"/>
        <v>3.8167938931299161E-5</v>
      </c>
      <c r="J588" s="10">
        <f t="shared" si="159"/>
        <v>4.883333333333332</v>
      </c>
      <c r="K588" s="12">
        <f t="shared" ca="1" si="160"/>
        <v>4.8830833333333326</v>
      </c>
      <c r="L588" s="5">
        <f t="shared" ca="1" si="161"/>
        <v>5.1194539249027462E-5</v>
      </c>
      <c r="N588">
        <f t="shared" ca="1" si="162"/>
        <v>53.596999999999994</v>
      </c>
      <c r="O588">
        <f t="shared" ca="1" si="163"/>
        <v>1.0803955E-3</v>
      </c>
      <c r="P588">
        <f t="shared" ca="1" si="164"/>
        <v>1.0013399249999999</v>
      </c>
      <c r="Q588">
        <f t="shared" ca="1" si="165"/>
        <v>4.888544455619809</v>
      </c>
      <c r="R588">
        <f t="shared" ca="1" si="166"/>
        <v>26072.237096638979</v>
      </c>
      <c r="S588">
        <f t="shared" ca="1" si="167"/>
        <v>2.3950278909327545</v>
      </c>
      <c r="T588">
        <f t="shared" ca="1" si="168"/>
        <v>1</v>
      </c>
      <c r="U588">
        <f t="shared" ca="1" si="169"/>
        <v>26076</v>
      </c>
      <c r="V588">
        <f t="shared" ca="1" si="170"/>
        <v>4.8892500000000005</v>
      </c>
      <c r="X588">
        <f t="shared" ca="1" si="171"/>
        <v>4.8816285883138049</v>
      </c>
    </row>
    <row r="589" spans="5:24" x14ac:dyDescent="0.25">
      <c r="E589">
        <v>587</v>
      </c>
      <c r="F589">
        <f t="shared" si="155"/>
        <v>78.7</v>
      </c>
      <c r="G589">
        <f t="shared" ca="1" si="156"/>
        <v>78.694000000000003</v>
      </c>
      <c r="H589" s="5">
        <f t="shared" ca="1" si="157"/>
        <v>6.0000000000002274E-3</v>
      </c>
      <c r="I589" s="5">
        <f t="shared" ca="1" si="158"/>
        <v>7.6238881829736047E-5</v>
      </c>
      <c r="J589" s="10">
        <f t="shared" si="159"/>
        <v>4.8916666666666666</v>
      </c>
      <c r="K589" s="12">
        <f t="shared" ca="1" si="160"/>
        <v>4.891166666666666</v>
      </c>
      <c r="L589" s="5">
        <f t="shared" ca="1" si="161"/>
        <v>1.0221465076673481E-4</v>
      </c>
      <c r="N589">
        <f t="shared" ca="1" si="162"/>
        <v>53.694000000000003</v>
      </c>
      <c r="O589">
        <f t="shared" ca="1" si="163"/>
        <v>1.080541E-3</v>
      </c>
      <c r="P589">
        <f t="shared" ca="1" si="164"/>
        <v>1.00134235</v>
      </c>
      <c r="Q589">
        <f t="shared" ca="1" si="165"/>
        <v>4.8966503327774547</v>
      </c>
      <c r="R589">
        <f t="shared" ca="1" si="166"/>
        <v>26115.468441479759</v>
      </c>
      <c r="S589">
        <f t="shared" ca="1" si="167"/>
        <v>2.3817287152922839</v>
      </c>
      <c r="T589">
        <f t="shared" ca="1" si="168"/>
        <v>3</v>
      </c>
      <c r="U589">
        <f t="shared" ca="1" si="169"/>
        <v>26121</v>
      </c>
      <c r="V589">
        <f t="shared" ca="1" si="170"/>
        <v>4.8976875</v>
      </c>
      <c r="X589">
        <f t="shared" ca="1" si="171"/>
        <v>4.8900428100339504</v>
      </c>
    </row>
    <row r="590" spans="5:24" x14ac:dyDescent="0.25">
      <c r="E590">
        <v>588</v>
      </c>
      <c r="F590">
        <f t="shared" si="155"/>
        <v>78.800000000000011</v>
      </c>
      <c r="G590">
        <f t="shared" ca="1" si="156"/>
        <v>78.796000000000006</v>
      </c>
      <c r="H590" s="5">
        <f t="shared" ca="1" si="157"/>
        <v>4.0000000000048885E-3</v>
      </c>
      <c r="I590" s="5">
        <f t="shared" ca="1" si="158"/>
        <v>5.0761421319858983E-5</v>
      </c>
      <c r="J590" s="10">
        <f t="shared" si="159"/>
        <v>4.9000000000000004</v>
      </c>
      <c r="K590" s="12">
        <f t="shared" ca="1" si="160"/>
        <v>4.8996666666666666</v>
      </c>
      <c r="L590" s="5">
        <f t="shared" ca="1" si="161"/>
        <v>6.8027210884436871E-5</v>
      </c>
      <c r="N590">
        <f t="shared" ca="1" si="162"/>
        <v>53.796000000000006</v>
      </c>
      <c r="O590">
        <f t="shared" ca="1" si="163"/>
        <v>1.0806940000000001E-3</v>
      </c>
      <c r="P590">
        <f t="shared" ca="1" si="164"/>
        <v>1.0013449000000001</v>
      </c>
      <c r="Q590">
        <f t="shared" ca="1" si="165"/>
        <v>4.9051740809413067</v>
      </c>
      <c r="R590">
        <f t="shared" ca="1" si="166"/>
        <v>26160.928431686967</v>
      </c>
      <c r="S590">
        <f t="shared" ca="1" si="167"/>
        <v>2.3676998161227374</v>
      </c>
      <c r="T590">
        <f t="shared" ca="1" si="168"/>
        <v>2</v>
      </c>
      <c r="U590">
        <f t="shared" ca="1" si="169"/>
        <v>26165</v>
      </c>
      <c r="V590">
        <f t="shared" ca="1" si="170"/>
        <v>4.9059375000000003</v>
      </c>
      <c r="X590">
        <f t="shared" ca="1" si="171"/>
        <v>4.8982691238553269</v>
      </c>
    </row>
    <row r="591" spans="5:24" x14ac:dyDescent="0.25">
      <c r="E591">
        <v>589</v>
      </c>
      <c r="F591">
        <f t="shared" si="155"/>
        <v>78.900000000000006</v>
      </c>
      <c r="G591">
        <f t="shared" ca="1" si="156"/>
        <v>78.89</v>
      </c>
      <c r="H591" s="5">
        <f t="shared" ca="1" si="157"/>
        <v>1.0000000000005116E-2</v>
      </c>
      <c r="I591" s="5">
        <f t="shared" ca="1" si="158"/>
        <v>1.2674271229410792E-4</v>
      </c>
      <c r="J591" s="10">
        <f t="shared" si="159"/>
        <v>4.9083333333333332</v>
      </c>
      <c r="K591" s="12">
        <f t="shared" ca="1" si="160"/>
        <v>4.9074999999999998</v>
      </c>
      <c r="L591" s="5">
        <f t="shared" ca="1" si="161"/>
        <v>1.6977928692702145E-4</v>
      </c>
      <c r="N591">
        <f t="shared" ca="1" si="162"/>
        <v>53.89</v>
      </c>
      <c r="O591">
        <f t="shared" ca="1" si="163"/>
        <v>1.080835E-3</v>
      </c>
      <c r="P591">
        <f t="shared" ca="1" si="164"/>
        <v>1.00134725</v>
      </c>
      <c r="Q591">
        <f t="shared" ca="1" si="165"/>
        <v>4.9130293382200465</v>
      </c>
      <c r="R591">
        <f t="shared" ca="1" si="166"/>
        <v>26202.823137173582</v>
      </c>
      <c r="S591">
        <f t="shared" ca="1" si="167"/>
        <v>2.3547313297496086</v>
      </c>
      <c r="T591">
        <f t="shared" ca="1" si="168"/>
        <v>-2</v>
      </c>
      <c r="U591">
        <f t="shared" ca="1" si="169"/>
        <v>26203</v>
      </c>
      <c r="V591">
        <f t="shared" ca="1" si="170"/>
        <v>4.9130624999999997</v>
      </c>
      <c r="X591">
        <f t="shared" ca="1" si="171"/>
        <v>4.9053729013586445</v>
      </c>
    </row>
    <row r="592" spans="5:24" x14ac:dyDescent="0.25">
      <c r="E592">
        <v>590</v>
      </c>
      <c r="F592">
        <f t="shared" si="155"/>
        <v>79</v>
      </c>
      <c r="G592">
        <f t="shared" ca="1" si="156"/>
        <v>78.995000000000005</v>
      </c>
      <c r="H592" s="5">
        <f t="shared" ca="1" si="157"/>
        <v>4.9999999999954525E-3</v>
      </c>
      <c r="I592" s="5">
        <f t="shared" ca="1" si="158"/>
        <v>6.3291139240448762E-5</v>
      </c>
      <c r="J592" s="10">
        <f t="shared" si="159"/>
        <v>4.9166666666666661</v>
      </c>
      <c r="K592" s="12">
        <f t="shared" ca="1" si="160"/>
        <v>4.9162499999999998</v>
      </c>
      <c r="L592" s="5">
        <f t="shared" ca="1" si="161"/>
        <v>8.4745762711787339E-5</v>
      </c>
      <c r="N592">
        <f t="shared" ca="1" si="162"/>
        <v>53.995000000000005</v>
      </c>
      <c r="O592">
        <f t="shared" ca="1" si="163"/>
        <v>1.0809925E-3</v>
      </c>
      <c r="P592">
        <f t="shared" ca="1" si="164"/>
        <v>1.0013498750000001</v>
      </c>
      <c r="Q592">
        <f t="shared" ca="1" si="165"/>
        <v>4.9218038712639984</v>
      </c>
      <c r="R592">
        <f t="shared" ca="1" si="166"/>
        <v>26249.620646741325</v>
      </c>
      <c r="S592">
        <f t="shared" ca="1" si="167"/>
        <v>2.340200274508061</v>
      </c>
      <c r="T592">
        <f t="shared" ca="1" si="168"/>
        <v>1</v>
      </c>
      <c r="U592">
        <f t="shared" ca="1" si="169"/>
        <v>26253</v>
      </c>
      <c r="V592">
        <f t="shared" ca="1" si="170"/>
        <v>4.9224375</v>
      </c>
      <c r="X592">
        <f t="shared" ca="1" si="171"/>
        <v>4.9147222468070906</v>
      </c>
    </row>
    <row r="593" spans="5:24" x14ac:dyDescent="0.25">
      <c r="E593">
        <v>591</v>
      </c>
      <c r="F593">
        <f t="shared" si="155"/>
        <v>79.099999999999994</v>
      </c>
      <c r="G593">
        <f t="shared" ca="1" si="156"/>
        <v>79.093999999999994</v>
      </c>
      <c r="H593" s="5">
        <f t="shared" ca="1" si="157"/>
        <v>6.0000000000002274E-3</v>
      </c>
      <c r="I593" s="5">
        <f t="shared" ca="1" si="158"/>
        <v>7.5853350189636261E-5</v>
      </c>
      <c r="J593" s="10">
        <f t="shared" si="159"/>
        <v>4.9249999999999989</v>
      </c>
      <c r="K593" s="12">
        <f t="shared" ca="1" si="160"/>
        <v>4.9244999999999992</v>
      </c>
      <c r="L593" s="5">
        <f t="shared" ca="1" si="161"/>
        <v>1.0152284263953766E-4</v>
      </c>
      <c r="N593">
        <f t="shared" ca="1" si="162"/>
        <v>54.093999999999994</v>
      </c>
      <c r="O593">
        <f t="shared" ca="1" si="163"/>
        <v>1.0811410000000001E-3</v>
      </c>
      <c r="P593">
        <f t="shared" ca="1" si="164"/>
        <v>1.0013523499999999</v>
      </c>
      <c r="Q593">
        <f t="shared" ca="1" si="165"/>
        <v>4.9300770444939674</v>
      </c>
      <c r="R593">
        <f t="shared" ca="1" si="166"/>
        <v>26293.744237301158</v>
      </c>
      <c r="S593">
        <f t="shared" ca="1" si="167"/>
        <v>2.3264563427829286</v>
      </c>
      <c r="T593">
        <f t="shared" ca="1" si="168"/>
        <v>-2</v>
      </c>
      <c r="U593">
        <f t="shared" ca="1" si="169"/>
        <v>26294</v>
      </c>
      <c r="V593">
        <f t="shared" ca="1" si="170"/>
        <v>4.9301250000000003</v>
      </c>
      <c r="X593">
        <f t="shared" ca="1" si="171"/>
        <v>4.9223870688474447</v>
      </c>
    </row>
    <row r="594" spans="5:24" x14ac:dyDescent="0.25">
      <c r="E594">
        <v>592</v>
      </c>
      <c r="F594">
        <f t="shared" si="155"/>
        <v>79.2</v>
      </c>
      <c r="G594">
        <f t="shared" ca="1" si="156"/>
        <v>79.198999999999998</v>
      </c>
      <c r="H594" s="5">
        <f t="shared" ca="1" si="157"/>
        <v>1.0000000000047748E-3</v>
      </c>
      <c r="I594" s="5">
        <f t="shared" ca="1" si="158"/>
        <v>1.2626262626322915E-5</v>
      </c>
      <c r="J594" s="10">
        <f t="shared" si="159"/>
        <v>4.9333333333333327</v>
      </c>
      <c r="K594" s="12">
        <f t="shared" ca="1" si="160"/>
        <v>4.9332499999999992</v>
      </c>
      <c r="L594" s="5">
        <f t="shared" ca="1" si="161"/>
        <v>1.6891891891912539E-5</v>
      </c>
      <c r="N594">
        <f t="shared" ca="1" si="162"/>
        <v>54.198999999999998</v>
      </c>
      <c r="O594">
        <f t="shared" ca="1" si="163"/>
        <v>1.0812985E-3</v>
      </c>
      <c r="P594">
        <f t="shared" ca="1" si="164"/>
        <v>1.0013549749999999</v>
      </c>
      <c r="Q594">
        <f t="shared" ca="1" si="165"/>
        <v>4.9388516667863138</v>
      </c>
      <c r="R594">
        <f t="shared" ca="1" si="166"/>
        <v>26340.542222860338</v>
      </c>
      <c r="S594">
        <f t="shared" ca="1" si="167"/>
        <v>2.311833882376078</v>
      </c>
      <c r="T594">
        <f t="shared" ca="1" si="168"/>
        <v>1</v>
      </c>
      <c r="U594">
        <f t="shared" ca="1" si="169"/>
        <v>26344</v>
      </c>
      <c r="V594">
        <f t="shared" ca="1" si="170"/>
        <v>4.9394999999999998</v>
      </c>
      <c r="X594">
        <f t="shared" ca="1" si="171"/>
        <v>4.9317363220769943</v>
      </c>
    </row>
    <row r="595" spans="5:24" x14ac:dyDescent="0.25">
      <c r="E595">
        <v>593</v>
      </c>
      <c r="F595">
        <f t="shared" si="155"/>
        <v>79.300000000000011</v>
      </c>
      <c r="G595">
        <f t="shared" ca="1" si="156"/>
        <v>79.303000000000011</v>
      </c>
      <c r="H595" s="5">
        <f t="shared" ca="1" si="157"/>
        <v>3.0000000000001137E-3</v>
      </c>
      <c r="I595" s="5">
        <f t="shared" ca="1" si="158"/>
        <v>3.7831021437580244E-5</v>
      </c>
      <c r="J595" s="10">
        <f t="shared" si="159"/>
        <v>4.9416666666666673</v>
      </c>
      <c r="K595" s="12">
        <f t="shared" ca="1" si="160"/>
        <v>4.9419166666666667</v>
      </c>
      <c r="L595" s="5">
        <f t="shared" ca="1" si="161"/>
        <v>5.0590219224165393E-5</v>
      </c>
      <c r="N595">
        <f t="shared" ca="1" si="162"/>
        <v>54.303000000000011</v>
      </c>
      <c r="O595">
        <f t="shared" ca="1" si="163"/>
        <v>1.0814545000000001E-3</v>
      </c>
      <c r="P595">
        <f t="shared" ca="1" si="164"/>
        <v>1.0013575750000001</v>
      </c>
      <c r="Q595">
        <f t="shared" ca="1" si="165"/>
        <v>4.9475427665298239</v>
      </c>
      <c r="R595">
        <f t="shared" ca="1" si="166"/>
        <v>26386.894754825727</v>
      </c>
      <c r="S595">
        <f t="shared" ca="1" si="167"/>
        <v>2.2973047312222832</v>
      </c>
      <c r="T595">
        <f t="shared" ca="1" si="168"/>
        <v>-3</v>
      </c>
      <c r="U595">
        <f t="shared" ca="1" si="169"/>
        <v>26386</v>
      </c>
      <c r="V595">
        <f t="shared" ca="1" si="170"/>
        <v>4.9473750000000001</v>
      </c>
      <c r="X595">
        <f t="shared" ca="1" si="171"/>
        <v>4.9395876847488758</v>
      </c>
    </row>
    <row r="596" spans="5:24" x14ac:dyDescent="0.25">
      <c r="E596">
        <v>594</v>
      </c>
      <c r="F596">
        <f t="shared" si="155"/>
        <v>79.400000000000006</v>
      </c>
      <c r="G596">
        <f t="shared" ca="1" si="156"/>
        <v>79.393000000000001</v>
      </c>
      <c r="H596" s="5">
        <f t="shared" ca="1" si="157"/>
        <v>7.0000000000050022E-3</v>
      </c>
      <c r="I596" s="5">
        <f t="shared" ca="1" si="158"/>
        <v>8.8161209068073073E-5</v>
      </c>
      <c r="J596" s="10">
        <f t="shared" si="159"/>
        <v>4.95</v>
      </c>
      <c r="K596" s="12">
        <f t="shared" ca="1" si="160"/>
        <v>4.9494166666666661</v>
      </c>
      <c r="L596" s="5">
        <f t="shared" ca="1" si="161"/>
        <v>1.1784511784526186E-4</v>
      </c>
      <c r="N596">
        <f t="shared" ca="1" si="162"/>
        <v>54.393000000000001</v>
      </c>
      <c r="O596">
        <f t="shared" ca="1" si="163"/>
        <v>1.0815894999999999E-3</v>
      </c>
      <c r="P596">
        <f t="shared" ca="1" si="164"/>
        <v>1.001359825</v>
      </c>
      <c r="Q596">
        <f t="shared" ca="1" si="165"/>
        <v>4.9550639469129738</v>
      </c>
      <c r="R596">
        <f t="shared" ca="1" si="166"/>
        <v>26427.007716869193</v>
      </c>
      <c r="S596">
        <f t="shared" ca="1" si="167"/>
        <v>2.2846947363696279</v>
      </c>
      <c r="T596">
        <f t="shared" ca="1" si="168"/>
        <v>-1</v>
      </c>
      <c r="U596">
        <f t="shared" ca="1" si="169"/>
        <v>26428</v>
      </c>
      <c r="V596">
        <f t="shared" ca="1" si="170"/>
        <v>4.9552500000000004</v>
      </c>
      <c r="X596">
        <f t="shared" ca="1" si="171"/>
        <v>4.9474407568727861</v>
      </c>
    </row>
    <row r="597" spans="5:24" x14ac:dyDescent="0.25">
      <c r="E597">
        <v>595</v>
      </c>
      <c r="F597">
        <f t="shared" si="155"/>
        <v>79.5</v>
      </c>
      <c r="G597">
        <f t="shared" ca="1" si="156"/>
        <v>79.492000000000004</v>
      </c>
      <c r="H597" s="5">
        <f t="shared" ca="1" si="157"/>
        <v>7.9999999999955662E-3</v>
      </c>
      <c r="I597" s="5">
        <f t="shared" ca="1" si="158"/>
        <v>1.0062893081755429E-4</v>
      </c>
      <c r="J597" s="10">
        <f t="shared" si="159"/>
        <v>4.958333333333333</v>
      </c>
      <c r="K597" s="12">
        <f t="shared" ca="1" si="160"/>
        <v>4.9576666666666664</v>
      </c>
      <c r="L597" s="5">
        <f t="shared" ca="1" si="161"/>
        <v>1.3445378151259025E-4</v>
      </c>
      <c r="N597">
        <f t="shared" ca="1" si="162"/>
        <v>54.492000000000004</v>
      </c>
      <c r="O597">
        <f t="shared" ca="1" si="163"/>
        <v>1.0817380000000001E-3</v>
      </c>
      <c r="P597">
        <f t="shared" ca="1" si="164"/>
        <v>1.0013623</v>
      </c>
      <c r="Q597">
        <f t="shared" ca="1" si="165"/>
        <v>4.9633372843149894</v>
      </c>
      <c r="R597">
        <f t="shared" ca="1" si="166"/>
        <v>26471.132183013277</v>
      </c>
      <c r="S597">
        <f t="shared" ca="1" si="167"/>
        <v>2.2707846553521387</v>
      </c>
      <c r="T597">
        <f t="shared" ca="1" si="168"/>
        <v>0</v>
      </c>
      <c r="U597">
        <f t="shared" ca="1" si="169"/>
        <v>26473</v>
      </c>
      <c r="V597">
        <f t="shared" ca="1" si="170"/>
        <v>4.9636874999999998</v>
      </c>
      <c r="X597">
        <f t="shared" ca="1" si="171"/>
        <v>4.9558544015487698</v>
      </c>
    </row>
    <row r="598" spans="5:24" x14ac:dyDescent="0.25">
      <c r="E598">
        <v>596</v>
      </c>
      <c r="F598">
        <f t="shared" si="155"/>
        <v>79.599999999999994</v>
      </c>
      <c r="G598">
        <f t="shared" ca="1" si="156"/>
        <v>79.591999999999999</v>
      </c>
      <c r="H598" s="5">
        <f t="shared" ca="1" si="157"/>
        <v>7.9999999999955662E-3</v>
      </c>
      <c r="I598" s="5">
        <f t="shared" ca="1" si="158"/>
        <v>1.0050251256275837E-4</v>
      </c>
      <c r="J598" s="10">
        <f t="shared" si="159"/>
        <v>4.9666666666666659</v>
      </c>
      <c r="K598" s="12">
        <f t="shared" ca="1" si="160"/>
        <v>4.9659999999999993</v>
      </c>
      <c r="L598" s="5">
        <f t="shared" ca="1" si="161"/>
        <v>1.3422818791944833E-4</v>
      </c>
      <c r="N598">
        <f t="shared" ca="1" si="162"/>
        <v>54.591999999999999</v>
      </c>
      <c r="O598">
        <f t="shared" ca="1" si="163"/>
        <v>1.081888E-3</v>
      </c>
      <c r="P598">
        <f t="shared" ca="1" si="164"/>
        <v>1.0013647999999999</v>
      </c>
      <c r="Q598">
        <f t="shared" ca="1" si="165"/>
        <v>4.9716942322392566</v>
      </c>
      <c r="R598">
        <f t="shared" ca="1" si="166"/>
        <v>26515.7025719427</v>
      </c>
      <c r="S598">
        <f t="shared" ca="1" si="167"/>
        <v>2.2566927433386783</v>
      </c>
      <c r="T598">
        <f t="shared" ca="1" si="168"/>
        <v>-1</v>
      </c>
      <c r="U598">
        <f t="shared" ca="1" si="169"/>
        <v>26517</v>
      </c>
      <c r="V598">
        <f t="shared" ca="1" si="170"/>
        <v>4.9719375000000001</v>
      </c>
      <c r="X598">
        <f t="shared" ca="1" si="171"/>
        <v>4.9640806347496937</v>
      </c>
    </row>
    <row r="599" spans="5:24" x14ac:dyDescent="0.25">
      <c r="E599">
        <v>597</v>
      </c>
      <c r="F599">
        <f t="shared" si="155"/>
        <v>79.7</v>
      </c>
      <c r="G599">
        <f t="shared" ca="1" si="156"/>
        <v>79.697000000000003</v>
      </c>
      <c r="H599" s="5">
        <f t="shared" ca="1" si="157"/>
        <v>3.0000000000001137E-3</v>
      </c>
      <c r="I599" s="5">
        <f t="shared" ca="1" si="158"/>
        <v>3.7641154328734173E-5</v>
      </c>
      <c r="J599" s="10">
        <f t="shared" si="159"/>
        <v>4.9749999999999996</v>
      </c>
      <c r="K599" s="12">
        <f t="shared" ca="1" si="160"/>
        <v>4.9747499999999993</v>
      </c>
      <c r="L599" s="5">
        <f t="shared" ca="1" si="161"/>
        <v>5.0251256281468449E-5</v>
      </c>
      <c r="N599">
        <f t="shared" ca="1" si="162"/>
        <v>54.697000000000003</v>
      </c>
      <c r="O599">
        <f t="shared" ca="1" si="163"/>
        <v>1.0820455E-3</v>
      </c>
      <c r="P599">
        <f t="shared" ca="1" si="164"/>
        <v>1.001367425</v>
      </c>
      <c r="Q599">
        <f t="shared" ca="1" si="165"/>
        <v>4.9804690724026814</v>
      </c>
      <c r="R599">
        <f t="shared" ca="1" si="166"/>
        <v>26562.501719480966</v>
      </c>
      <c r="S599">
        <f t="shared" ca="1" si="167"/>
        <v>2.2418518160220642</v>
      </c>
      <c r="T599">
        <f t="shared" ca="1" si="168"/>
        <v>-1</v>
      </c>
      <c r="U599">
        <f t="shared" ca="1" si="169"/>
        <v>26564</v>
      </c>
      <c r="V599">
        <f t="shared" ca="1" si="170"/>
        <v>4.9807500000000005</v>
      </c>
      <c r="X599">
        <f t="shared" ca="1" si="171"/>
        <v>4.9728679305700414</v>
      </c>
    </row>
    <row r="600" spans="5:24" x14ac:dyDescent="0.25">
      <c r="E600">
        <v>598</v>
      </c>
      <c r="F600">
        <f t="shared" si="155"/>
        <v>79.800000000000011</v>
      </c>
      <c r="G600">
        <f t="shared" ca="1" si="156"/>
        <v>79.806000000000012</v>
      </c>
      <c r="H600" s="5">
        <f t="shared" ca="1" si="157"/>
        <v>6.0000000000002274E-3</v>
      </c>
      <c r="I600" s="5">
        <f t="shared" ca="1" si="158"/>
        <v>7.5187969924814872E-5</v>
      </c>
      <c r="J600" s="10">
        <f t="shared" si="159"/>
        <v>4.9833333333333334</v>
      </c>
      <c r="K600" s="12">
        <f t="shared" ca="1" si="160"/>
        <v>4.983833333333334</v>
      </c>
      <c r="L600" s="5">
        <f t="shared" ca="1" si="161"/>
        <v>1.0033444816065773E-4</v>
      </c>
      <c r="N600">
        <f t="shared" ca="1" si="162"/>
        <v>54.806000000000012</v>
      </c>
      <c r="O600">
        <f t="shared" ca="1" si="163"/>
        <v>1.082209E-3</v>
      </c>
      <c r="P600">
        <f t="shared" ca="1" si="164"/>
        <v>1.0013701500000001</v>
      </c>
      <c r="Q600">
        <f t="shared" ca="1" si="165"/>
        <v>4.98957824078634</v>
      </c>
      <c r="R600">
        <f t="shared" ca="1" si="166"/>
        <v>26611.08395086048</v>
      </c>
      <c r="S600">
        <f t="shared" ca="1" si="167"/>
        <v>2.2263976980663158</v>
      </c>
      <c r="T600">
        <f t="shared" ca="1" si="168"/>
        <v>2</v>
      </c>
      <c r="U600">
        <f t="shared" ca="1" si="169"/>
        <v>26615</v>
      </c>
      <c r="V600">
        <f t="shared" ca="1" si="170"/>
        <v>4.9903124999999999</v>
      </c>
      <c r="X600">
        <f t="shared" ca="1" si="171"/>
        <v>4.9824036506380782</v>
      </c>
    </row>
    <row r="601" spans="5:24" x14ac:dyDescent="0.25">
      <c r="E601">
        <v>599</v>
      </c>
      <c r="F601">
        <f t="shared" si="155"/>
        <v>79.900000000000006</v>
      </c>
      <c r="G601">
        <f t="shared" ca="1" si="156"/>
        <v>79.902000000000001</v>
      </c>
      <c r="H601" s="5">
        <f t="shared" ca="1" si="157"/>
        <v>1.9999999999953388E-3</v>
      </c>
      <c r="I601" s="5">
        <f t="shared" ca="1" si="158"/>
        <v>2.5031289111330899E-5</v>
      </c>
      <c r="J601" s="10">
        <f t="shared" si="159"/>
        <v>4.9916666666666663</v>
      </c>
      <c r="K601" s="12">
        <f t="shared" ca="1" si="160"/>
        <v>4.9918333333333331</v>
      </c>
      <c r="L601" s="5">
        <f t="shared" ca="1" si="161"/>
        <v>3.3388981636100909E-5</v>
      </c>
      <c r="N601">
        <f t="shared" ca="1" si="162"/>
        <v>54.902000000000001</v>
      </c>
      <c r="O601">
        <f t="shared" ca="1" si="163"/>
        <v>1.0823530000000001E-3</v>
      </c>
      <c r="P601">
        <f t="shared" ca="1" si="164"/>
        <v>1.0013725499999999</v>
      </c>
      <c r="Q601">
        <f t="shared" ca="1" si="165"/>
        <v>4.9976010355913889</v>
      </c>
      <c r="R601">
        <f t="shared" ca="1" si="166"/>
        <v>26653.87218982074</v>
      </c>
      <c r="S601">
        <f t="shared" ca="1" si="167"/>
        <v>2.2127466472929069</v>
      </c>
      <c r="T601">
        <f t="shared" ca="1" si="168"/>
        <v>2</v>
      </c>
      <c r="U601">
        <f t="shared" ca="1" si="169"/>
        <v>26658</v>
      </c>
      <c r="V601">
        <f t="shared" ca="1" si="170"/>
        <v>4.9983750000000002</v>
      </c>
      <c r="X601">
        <f t="shared" ca="1" si="171"/>
        <v>4.9904430144405305</v>
      </c>
    </row>
    <row r="602" spans="5:24" x14ac:dyDescent="0.25">
      <c r="E602">
        <v>600</v>
      </c>
      <c r="F602">
        <f t="shared" si="155"/>
        <v>80</v>
      </c>
      <c r="G602">
        <f t="shared" ca="1" si="156"/>
        <v>79.992000000000004</v>
      </c>
      <c r="H602" s="5">
        <f t="shared" ca="1" si="157"/>
        <v>7.9999999999955662E-3</v>
      </c>
      <c r="I602" s="5">
        <f t="shared" ca="1" si="158"/>
        <v>9.9999999999944575E-5</v>
      </c>
      <c r="J602" s="10">
        <f t="shared" si="159"/>
        <v>4.9999999999999991</v>
      </c>
      <c r="K602" s="12">
        <f t="shared" ca="1" si="160"/>
        <v>4.9993333333333334</v>
      </c>
      <c r="L602" s="5">
        <f t="shared" ca="1" si="161"/>
        <v>1.3333333333314103E-4</v>
      </c>
      <c r="N602">
        <f t="shared" ca="1" si="162"/>
        <v>54.992000000000004</v>
      </c>
      <c r="O602">
        <f t="shared" ca="1" si="163"/>
        <v>1.0824879999999999E-3</v>
      </c>
      <c r="P602">
        <f t="shared" ca="1" si="164"/>
        <v>1.0013748</v>
      </c>
      <c r="Q602">
        <f t="shared" ca="1" si="165"/>
        <v>5.0051224405954979</v>
      </c>
      <c r="R602">
        <f t="shared" ca="1" si="166"/>
        <v>26693.986349842657</v>
      </c>
      <c r="S602">
        <f t="shared" ca="1" si="167"/>
        <v>2.1999149041083745</v>
      </c>
      <c r="T602">
        <f t="shared" ca="1" si="168"/>
        <v>3</v>
      </c>
      <c r="U602">
        <f t="shared" ca="1" si="169"/>
        <v>26699</v>
      </c>
      <c r="V602">
        <f t="shared" ca="1" si="170"/>
        <v>5.0060625000000005</v>
      </c>
      <c r="X602">
        <f t="shared" ca="1" si="171"/>
        <v>4.9981086122798386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dimension ref="A1:T602"/>
  <sheetViews>
    <sheetView tabSelected="1" zoomScaleNormal="85" workbookViewId="0">
      <pane ySplit="1" topLeftCell="A2" activePane="bottomLeft" state="frozen"/>
      <selection pane="bottomLeft" activeCell="U9" sqref="U9"/>
    </sheetView>
  </sheetViews>
  <sheetFormatPr defaultRowHeight="15" x14ac:dyDescent="0.25"/>
  <cols>
    <col min="1" max="1" width="33.140625" customWidth="1"/>
    <col min="2" max="2" width="18" customWidth="1"/>
    <col min="3" max="3" width="21.5703125" customWidth="1"/>
    <col min="4" max="4" width="10.85546875" customWidth="1"/>
    <col min="5" max="5" width="10.85546875" style="20" customWidth="1"/>
    <col min="7" max="7" width="9.140625" style="14"/>
    <col min="9" max="9" width="11.7109375" style="11" customWidth="1"/>
    <col min="10" max="10" width="11.85546875" customWidth="1"/>
    <col min="11" max="11" width="11.5703125" customWidth="1"/>
    <col min="12" max="12" width="11" customWidth="1"/>
    <col min="13" max="13" width="9.140625" style="11"/>
    <col min="14" max="14" width="13.5703125" customWidth="1"/>
    <col min="16" max="16" width="13.140625" customWidth="1"/>
    <col min="17" max="17" width="30.42578125" customWidth="1"/>
  </cols>
  <sheetData>
    <row r="1" spans="1:20" ht="16.5" thickTop="1" thickBot="1" x14ac:dyDescent="0.3">
      <c r="H1" s="27" t="s">
        <v>54</v>
      </c>
      <c r="I1" s="27" t="s">
        <v>59</v>
      </c>
      <c r="J1" s="27" t="s">
        <v>106</v>
      </c>
      <c r="K1" s="27" t="s">
        <v>107</v>
      </c>
      <c r="L1" s="27" t="s">
        <v>112</v>
      </c>
      <c r="M1" s="27" t="s">
        <v>111</v>
      </c>
      <c r="N1" s="27" t="s">
        <v>113</v>
      </c>
      <c r="O1" s="27" t="s">
        <v>8</v>
      </c>
      <c r="P1" s="27" t="s">
        <v>122</v>
      </c>
      <c r="Q1" s="27" t="s">
        <v>123</v>
      </c>
    </row>
    <row r="2" spans="1:20" ht="15.75" thickTop="1" x14ac:dyDescent="0.25">
      <c r="A2" s="23" t="s">
        <v>79</v>
      </c>
      <c r="B2" s="23"/>
      <c r="C2" s="23"/>
      <c r="D2" s="23"/>
      <c r="E2" s="23"/>
      <c r="H2">
        <v>20</v>
      </c>
      <c r="I2" s="11">
        <v>5.0000000000000001E-3</v>
      </c>
      <c r="J2" s="10">
        <f>ROUND(H2*0.00000575 -0.00034,6)</f>
        <v>-2.2499999999999999E-4</v>
      </c>
      <c r="K2" s="17">
        <f>ROUND(H2*0.000005-0.0001,6)</f>
        <v>0</v>
      </c>
      <c r="L2" s="10">
        <f>ROUND(K2+($C$24*(H2-25)),6)</f>
        <v>-1.5E-3</v>
      </c>
      <c r="M2" s="11">
        <f>(I2-J2)/(1-L2)</f>
        <v>5.2171742386420373E-3</v>
      </c>
      <c r="N2" s="5">
        <f>ABS(I2-M2)/I2</f>
        <v>4.3434847728407444E-2</v>
      </c>
      <c r="O2">
        <f>ROUND((M2*(2^($C$12-1)))/$C$44,4)</f>
        <v>27.834099999999999</v>
      </c>
      <c r="P2">
        <f ca="1">ROUND(O2+$C$47+$C$49+RANDBETWEEN(0,$D$45),0)</f>
        <v>30</v>
      </c>
      <c r="Q2" t="str">
        <f ca="1">_xlfn.BASE(P2,2,16)</f>
        <v>0000000000011110</v>
      </c>
      <c r="R2">
        <f ca="1">($C$16/2^($C$12-1)) * P2</f>
        <v>5.6249999999999998E-3</v>
      </c>
      <c r="S2">
        <f ca="1">(R2+5/3)/(1/12)</f>
        <v>20.067500000000003</v>
      </c>
      <c r="T2" s="3">
        <f ca="1">ABS(H2-S2)/H2</f>
        <v>3.3750000000001279E-3</v>
      </c>
    </row>
    <row r="3" spans="1:20" x14ac:dyDescent="0.25">
      <c r="A3" t="s">
        <v>80</v>
      </c>
      <c r="B3" s="7">
        <v>0.05</v>
      </c>
      <c r="H3">
        <v>20.100000000000001</v>
      </c>
      <c r="I3" s="11">
        <v>8.4166666666667389E-3</v>
      </c>
      <c r="J3" s="10">
        <f t="shared" ref="J3:J66" si="0">ROUND(H3*0.00000575 -0.00034,6)</f>
        <v>-2.24E-4</v>
      </c>
      <c r="K3" s="17">
        <f t="shared" ref="K3:K66" si="1">ROUND(H3*0.000005-0.0001,6)</f>
        <v>9.9999999999999995E-7</v>
      </c>
      <c r="L3" s="10">
        <f t="shared" ref="L3:L66" si="2">ROUND(K3+($C$24*(H3-25)),6)</f>
        <v>-1.469E-3</v>
      </c>
      <c r="M3" s="11">
        <f>(I3-J3)/(1-L3)</f>
        <v>8.6279921462039666E-3</v>
      </c>
      <c r="N3" s="5">
        <f t="shared" ref="N3:N66" si="3">ABS(I3-M3)/I3</f>
        <v>2.5107977766799114E-2</v>
      </c>
      <c r="O3">
        <f t="shared" ref="O3:O66" si="4">ROUND((M3*(2^($C$12-1)))/$C$44,4)</f>
        <v>46.031199999999998</v>
      </c>
      <c r="P3">
        <f t="shared" ref="P3:P66" ca="1" si="5">ROUND(O3+$C$47+$C$49+RANDBETWEEN($B$45,$D$45),0)</f>
        <v>44</v>
      </c>
      <c r="Q3" t="str">
        <f ca="1">_xlfn.BASE(P3,2,16)</f>
        <v>0000000000101100</v>
      </c>
      <c r="R3">
        <f t="shared" ref="R3:R66" ca="1" si="6">($C$16/2^($C$12-1)) * P3</f>
        <v>8.2500000000000004E-3</v>
      </c>
      <c r="S3">
        <f t="shared" ref="S3:S66" ca="1" si="7">(R3+5/3)/(1/12)</f>
        <v>20.099000000000004</v>
      </c>
      <c r="T3" s="3">
        <f ca="1">ABS(H3-S3)/H3</f>
        <v>4.9751243780978577E-5</v>
      </c>
    </row>
    <row r="4" spans="1:20" x14ac:dyDescent="0.25">
      <c r="H4">
        <v>20.2</v>
      </c>
      <c r="I4" s="11">
        <v>1.5916666666666357E-2</v>
      </c>
      <c r="J4" s="10">
        <f t="shared" si="0"/>
        <v>-2.24E-4</v>
      </c>
      <c r="K4" s="17">
        <f t="shared" si="1"/>
        <v>9.9999999999999995E-7</v>
      </c>
      <c r="L4" s="10">
        <f t="shared" si="2"/>
        <v>-1.439E-3</v>
      </c>
      <c r="M4" s="11">
        <f t="shared" ref="M4:M67" si="8">(I4-J4)/(1-L4)</f>
        <v>1.611747362212412E-2</v>
      </c>
      <c r="N4" s="5">
        <f t="shared" si="3"/>
        <v>1.2616143798393721E-2</v>
      </c>
      <c r="O4">
        <f t="shared" si="4"/>
        <v>85.988299999999995</v>
      </c>
      <c r="P4">
        <f t="shared" ca="1" si="5"/>
        <v>84</v>
      </c>
      <c r="Q4" t="str">
        <f t="shared" ref="Q4:Q67" ca="1" si="9">_xlfn.BASE(P4,2,16)</f>
        <v>0000000001010100</v>
      </c>
      <c r="R4">
        <f t="shared" ca="1" si="6"/>
        <v>1.575E-2</v>
      </c>
      <c r="S4">
        <f t="shared" ca="1" si="7"/>
        <v>20.189</v>
      </c>
      <c r="T4" s="3">
        <f t="shared" ref="T4:T67" ca="1" si="10">ABS(H4-S4)/H4</f>
        <v>5.4455445544550655E-4</v>
      </c>
    </row>
    <row r="5" spans="1:20" x14ac:dyDescent="0.25">
      <c r="H5">
        <v>20.3</v>
      </c>
      <c r="I5" s="11">
        <v>2.5499999999999856E-2</v>
      </c>
      <c r="J5" s="10">
        <f t="shared" si="0"/>
        <v>-2.23E-4</v>
      </c>
      <c r="K5" s="17">
        <f t="shared" si="1"/>
        <v>1.9999999999999999E-6</v>
      </c>
      <c r="L5" s="10">
        <f t="shared" si="2"/>
        <v>-1.408E-3</v>
      </c>
      <c r="M5" s="11">
        <f t="shared" si="8"/>
        <v>2.5686832939221433E-2</v>
      </c>
      <c r="N5" s="5">
        <f t="shared" si="3"/>
        <v>7.3267819302579576E-3</v>
      </c>
      <c r="O5">
        <f t="shared" si="4"/>
        <v>137.04169999999999</v>
      </c>
      <c r="P5">
        <f t="shared" ca="1" si="5"/>
        <v>138</v>
      </c>
      <c r="Q5" t="str">
        <f t="shared" ca="1" si="9"/>
        <v>0000000010001010</v>
      </c>
      <c r="R5">
        <f t="shared" ca="1" si="6"/>
        <v>2.5875000000000002E-2</v>
      </c>
      <c r="S5">
        <f t="shared" ca="1" si="7"/>
        <v>20.310500000000005</v>
      </c>
      <c r="T5" s="3">
        <f t="shared" ca="1" si="10"/>
        <v>5.1724137931053946E-4</v>
      </c>
    </row>
    <row r="6" spans="1:20" x14ac:dyDescent="0.25">
      <c r="H6">
        <v>20.399999999999999</v>
      </c>
      <c r="I6" s="11">
        <v>3.3999999999999586E-2</v>
      </c>
      <c r="J6" s="10">
        <f t="shared" si="0"/>
        <v>-2.23E-4</v>
      </c>
      <c r="K6" s="17">
        <f t="shared" si="1"/>
        <v>1.9999999999999999E-6</v>
      </c>
      <c r="L6" s="10">
        <f t="shared" si="2"/>
        <v>-1.3780000000000001E-3</v>
      </c>
      <c r="M6" s="11">
        <f t="shared" si="8"/>
        <v>3.417590560207992E-2</v>
      </c>
      <c r="N6" s="5">
        <f t="shared" si="3"/>
        <v>5.1736941788334163E-3</v>
      </c>
      <c r="O6">
        <f t="shared" si="4"/>
        <v>182.33170000000001</v>
      </c>
      <c r="P6">
        <f t="shared" ca="1" si="5"/>
        <v>180</v>
      </c>
      <c r="Q6" t="str">
        <f t="shared" ca="1" si="9"/>
        <v>0000000010110100</v>
      </c>
      <c r="R6">
        <f t="shared" ca="1" si="6"/>
        <v>3.3750000000000002E-2</v>
      </c>
      <c r="S6">
        <f t="shared" ca="1" si="7"/>
        <v>20.405000000000001</v>
      </c>
      <c r="T6" s="3">
        <f t="shared" ca="1" si="10"/>
        <v>2.4509803921581166E-4</v>
      </c>
    </row>
    <row r="7" spans="1:20" x14ac:dyDescent="0.25">
      <c r="H7">
        <v>20.5</v>
      </c>
      <c r="I7" s="11">
        <v>4.2249999999999899E-2</v>
      </c>
      <c r="J7" s="10">
        <f t="shared" si="0"/>
        <v>-2.22E-4</v>
      </c>
      <c r="K7" s="17">
        <f t="shared" si="1"/>
        <v>3.0000000000000001E-6</v>
      </c>
      <c r="L7" s="10">
        <f t="shared" si="2"/>
        <v>-1.3470000000000001E-3</v>
      </c>
      <c r="M7" s="11">
        <f t="shared" si="8"/>
        <v>4.2414867173916633E-2</v>
      </c>
      <c r="N7" s="5">
        <f t="shared" si="3"/>
        <v>3.9021816311653177E-3</v>
      </c>
      <c r="O7">
        <f t="shared" si="4"/>
        <v>226.28739999999999</v>
      </c>
      <c r="P7">
        <f t="shared" ca="1" si="5"/>
        <v>229</v>
      </c>
      <c r="Q7" t="str">
        <f t="shared" ca="1" si="9"/>
        <v>0000000011100101</v>
      </c>
      <c r="R7">
        <f t="shared" ca="1" si="6"/>
        <v>4.2937500000000003E-2</v>
      </c>
      <c r="S7">
        <f t="shared" ca="1" si="7"/>
        <v>20.515250000000002</v>
      </c>
      <c r="T7" s="3">
        <f t="shared" ca="1" si="10"/>
        <v>7.4390243902447623E-4</v>
      </c>
    </row>
    <row r="8" spans="1:20" x14ac:dyDescent="0.25">
      <c r="A8" s="24" t="s">
        <v>81</v>
      </c>
      <c r="B8" s="23"/>
      <c r="C8" s="23"/>
      <c r="D8" s="23"/>
      <c r="E8" s="23"/>
      <c r="H8">
        <v>20.6</v>
      </c>
      <c r="I8" s="11">
        <v>5.0833333333333508E-2</v>
      </c>
      <c r="J8" s="10">
        <f t="shared" si="0"/>
        <v>-2.22E-4</v>
      </c>
      <c r="K8" s="17">
        <f t="shared" si="1"/>
        <v>3.0000000000000001E-6</v>
      </c>
      <c r="L8" s="10">
        <f t="shared" si="2"/>
        <v>-1.317E-3</v>
      </c>
      <c r="M8" s="11">
        <f t="shared" si="8"/>
        <v>5.098818189777414E-2</v>
      </c>
      <c r="N8" s="5">
        <f t="shared" si="3"/>
        <v>3.0462012676845578E-3</v>
      </c>
      <c r="O8">
        <f t="shared" si="4"/>
        <v>272.02690000000001</v>
      </c>
      <c r="P8">
        <f t="shared" ca="1" si="5"/>
        <v>276</v>
      </c>
      <c r="Q8" t="str">
        <f t="shared" ca="1" si="9"/>
        <v>0000000100010100</v>
      </c>
      <c r="R8">
        <f t="shared" ca="1" si="6"/>
        <v>5.1750000000000004E-2</v>
      </c>
      <c r="S8">
        <f t="shared" ca="1" si="7"/>
        <v>20.621000000000002</v>
      </c>
      <c r="T8" s="3">
        <f t="shared" ca="1" si="10"/>
        <v>1.0194174757281939E-3</v>
      </c>
    </row>
    <row r="9" spans="1:20" x14ac:dyDescent="0.25">
      <c r="B9" t="s">
        <v>82</v>
      </c>
      <c r="C9" t="s">
        <v>83</v>
      </c>
      <c r="D9" t="s">
        <v>84</v>
      </c>
      <c r="E9" s="20" t="s">
        <v>90</v>
      </c>
      <c r="H9">
        <v>20.7</v>
      </c>
      <c r="I9" s="11">
        <v>5.7749999999999746E-2</v>
      </c>
      <c r="J9" s="10">
        <f t="shared" si="0"/>
        <v>-2.2100000000000001E-4</v>
      </c>
      <c r="K9" s="17">
        <f t="shared" si="1"/>
        <v>3.9999999999999998E-6</v>
      </c>
      <c r="L9" s="10">
        <f t="shared" si="2"/>
        <v>-1.286E-3</v>
      </c>
      <c r="M9" s="11">
        <f t="shared" si="8"/>
        <v>5.7896545043074357E-2</v>
      </c>
      <c r="N9" s="5">
        <f t="shared" si="3"/>
        <v>2.5375765034564828E-3</v>
      </c>
      <c r="O9">
        <f t="shared" si="4"/>
        <v>308.8836</v>
      </c>
      <c r="P9">
        <f t="shared" ca="1" si="5"/>
        <v>307</v>
      </c>
      <c r="Q9" t="str">
        <f t="shared" ca="1" si="9"/>
        <v>0000000100110011</v>
      </c>
      <c r="R9">
        <f t="shared" ca="1" si="6"/>
        <v>5.7562500000000003E-2</v>
      </c>
      <c r="S9">
        <f t="shared" ca="1" si="7"/>
        <v>20.690750000000001</v>
      </c>
      <c r="T9" s="3">
        <f t="shared" ca="1" si="10"/>
        <v>4.4685990338154505E-4</v>
      </c>
    </row>
    <row r="10" spans="1:20" x14ac:dyDescent="0.25">
      <c r="A10" t="s">
        <v>12</v>
      </c>
      <c r="B10">
        <v>5.2</v>
      </c>
      <c r="C10">
        <v>5.5</v>
      </c>
      <c r="D10">
        <v>5.5</v>
      </c>
      <c r="E10" s="20" t="s">
        <v>65</v>
      </c>
      <c r="H10">
        <v>20.8</v>
      </c>
      <c r="I10" s="11">
        <v>6.741666666666668E-2</v>
      </c>
      <c r="J10" s="10">
        <f t="shared" si="0"/>
        <v>-2.2000000000000001E-4</v>
      </c>
      <c r="K10" s="17">
        <f t="shared" si="1"/>
        <v>3.9999999999999998E-6</v>
      </c>
      <c r="L10" s="10">
        <f t="shared" si="2"/>
        <v>-1.256E-3</v>
      </c>
      <c r="M10" s="11">
        <f t="shared" si="8"/>
        <v>6.7551821578763757E-2</v>
      </c>
      <c r="N10" s="5">
        <f t="shared" si="3"/>
        <v>2.0047700187452683E-3</v>
      </c>
      <c r="O10">
        <f t="shared" si="4"/>
        <v>360.39550000000003</v>
      </c>
      <c r="P10">
        <f t="shared" ca="1" si="5"/>
        <v>364</v>
      </c>
      <c r="Q10" t="str">
        <f t="shared" ca="1" si="9"/>
        <v>0000000101101100</v>
      </c>
      <c r="R10">
        <f t="shared" ca="1" si="6"/>
        <v>6.8250000000000005E-2</v>
      </c>
      <c r="S10">
        <f t="shared" ca="1" si="7"/>
        <v>20.819000000000003</v>
      </c>
      <c r="T10" s="3">
        <f t="shared" ca="1" si="10"/>
        <v>9.1346153846162995E-4</v>
      </c>
    </row>
    <row r="11" spans="1:20" x14ac:dyDescent="0.25">
      <c r="A11" t="s">
        <v>13</v>
      </c>
      <c r="B11">
        <v>-0.3</v>
      </c>
      <c r="C11">
        <v>0</v>
      </c>
      <c r="D11">
        <v>0.3</v>
      </c>
      <c r="E11" s="20" t="s">
        <v>65</v>
      </c>
      <c r="H11">
        <v>20.9</v>
      </c>
      <c r="I11" s="11">
        <v>7.4499999999999789E-2</v>
      </c>
      <c r="J11" s="10">
        <f t="shared" si="0"/>
        <v>-2.2000000000000001E-4</v>
      </c>
      <c r="K11" s="17">
        <f t="shared" si="1"/>
        <v>5.0000000000000004E-6</v>
      </c>
      <c r="L11" s="10">
        <f t="shared" si="2"/>
        <v>-1.225E-3</v>
      </c>
      <c r="M11" s="11">
        <f t="shared" si="8"/>
        <v>7.4628579989512625E-2</v>
      </c>
      <c r="N11" s="5">
        <f t="shared" si="3"/>
        <v>1.7259058995011652E-3</v>
      </c>
      <c r="O11">
        <f t="shared" si="4"/>
        <v>398.1506</v>
      </c>
      <c r="P11">
        <f t="shared" ca="1" si="5"/>
        <v>397</v>
      </c>
      <c r="Q11" t="str">
        <f t="shared" ca="1" si="9"/>
        <v>0000000110001101</v>
      </c>
      <c r="R11">
        <f t="shared" ca="1" si="6"/>
        <v>7.4437500000000004E-2</v>
      </c>
      <c r="S11">
        <f t="shared" ca="1" si="7"/>
        <v>20.893250000000002</v>
      </c>
      <c r="T11" s="3">
        <f t="shared" ca="1" si="10"/>
        <v>3.2296650717687574E-4</v>
      </c>
    </row>
    <row r="12" spans="1:20" x14ac:dyDescent="0.25">
      <c r="A12" t="s">
        <v>23</v>
      </c>
      <c r="C12">
        <v>16</v>
      </c>
      <c r="E12" s="20" t="s">
        <v>7</v>
      </c>
      <c r="H12">
        <v>21</v>
      </c>
      <c r="I12" s="11">
        <v>8.2833333333333092E-2</v>
      </c>
      <c r="J12" s="10">
        <f t="shared" si="0"/>
        <v>-2.1900000000000001E-4</v>
      </c>
      <c r="K12" s="17">
        <f t="shared" si="1"/>
        <v>5.0000000000000004E-6</v>
      </c>
      <c r="L12" s="10">
        <f t="shared" si="2"/>
        <v>-1.1950000000000001E-3</v>
      </c>
      <c r="M12" s="11">
        <f t="shared" si="8"/>
        <v>8.2953204254249263E-2</v>
      </c>
      <c r="N12" s="5">
        <f t="shared" si="3"/>
        <v>1.4471338541187664E-3</v>
      </c>
      <c r="O12">
        <f t="shared" si="4"/>
        <v>442.56330000000003</v>
      </c>
      <c r="P12">
        <f t="shared" ca="1" si="5"/>
        <v>442</v>
      </c>
      <c r="Q12" t="str">
        <f t="shared" ca="1" si="9"/>
        <v>0000000110111010</v>
      </c>
      <c r="R12">
        <f t="shared" ca="1" si="6"/>
        <v>8.2875000000000004E-2</v>
      </c>
      <c r="S12">
        <f t="shared" ca="1" si="7"/>
        <v>20.994500000000002</v>
      </c>
      <c r="T12" s="3">
        <f t="shared" ca="1" si="10"/>
        <v>2.6190476190465902E-4</v>
      </c>
    </row>
    <row r="13" spans="1:20" x14ac:dyDescent="0.25">
      <c r="A13" t="s">
        <v>85</v>
      </c>
      <c r="E13" s="20" t="s">
        <v>65</v>
      </c>
      <c r="H13">
        <v>21.1</v>
      </c>
      <c r="I13" s="11">
        <v>9.1416666666666702E-2</v>
      </c>
      <c r="J13" s="10">
        <f t="shared" si="0"/>
        <v>-2.1900000000000001E-4</v>
      </c>
      <c r="K13" s="17">
        <f t="shared" si="1"/>
        <v>6.0000000000000002E-6</v>
      </c>
      <c r="L13" s="10">
        <f t="shared" si="2"/>
        <v>-1.1640000000000001E-3</v>
      </c>
      <c r="M13" s="11">
        <f t="shared" si="8"/>
        <v>9.1529126763114435E-2</v>
      </c>
      <c r="N13" s="5">
        <f t="shared" si="3"/>
        <v>1.2301924862103931E-3</v>
      </c>
      <c r="O13">
        <f t="shared" si="4"/>
        <v>488.31670000000003</v>
      </c>
      <c r="P13">
        <f t="shared" ca="1" si="5"/>
        <v>487</v>
      </c>
      <c r="Q13" t="str">
        <f t="shared" ca="1" si="9"/>
        <v>0000000111100111</v>
      </c>
      <c r="R13">
        <f t="shared" ca="1" si="6"/>
        <v>9.1312500000000005E-2</v>
      </c>
      <c r="S13">
        <f t="shared" ca="1" si="7"/>
        <v>21.095750000000002</v>
      </c>
      <c r="T13" s="3">
        <f t="shared" ca="1" si="10"/>
        <v>2.0142180094781881E-4</v>
      </c>
    </row>
    <row r="14" spans="1:20" x14ac:dyDescent="0.25">
      <c r="A14" t="s">
        <v>86</v>
      </c>
      <c r="B14">
        <v>-60</v>
      </c>
      <c r="D14">
        <v>150</v>
      </c>
      <c r="E14" s="20" t="s">
        <v>87</v>
      </c>
      <c r="H14">
        <v>21.2</v>
      </c>
      <c r="I14" s="11">
        <v>0.10058333333333325</v>
      </c>
      <c r="J14" s="10">
        <f t="shared" si="0"/>
        <v>-2.1800000000000001E-4</v>
      </c>
      <c r="K14" s="17">
        <f t="shared" si="1"/>
        <v>6.0000000000000002E-6</v>
      </c>
      <c r="L14" s="10">
        <f t="shared" si="2"/>
        <v>-1.134E-3</v>
      </c>
      <c r="M14" s="11">
        <f t="shared" si="8"/>
        <v>0.10068715410058318</v>
      </c>
      <c r="N14" s="5">
        <f t="shared" si="3"/>
        <v>1.0321865840921438E-3</v>
      </c>
      <c r="O14">
        <f t="shared" si="4"/>
        <v>537.17560000000003</v>
      </c>
      <c r="P14">
        <f t="shared" ca="1" si="5"/>
        <v>536</v>
      </c>
      <c r="Q14" t="str">
        <f t="shared" ca="1" si="9"/>
        <v>0000001000011000</v>
      </c>
      <c r="R14">
        <f t="shared" ca="1" si="6"/>
        <v>0.10050000000000001</v>
      </c>
      <c r="S14">
        <f t="shared" ca="1" si="7"/>
        <v>21.206000000000003</v>
      </c>
      <c r="T14" s="3">
        <f t="shared" ca="1" si="10"/>
        <v>2.8301886792470661E-4</v>
      </c>
    </row>
    <row r="15" spans="1:20" x14ac:dyDescent="0.25">
      <c r="A15" t="s">
        <v>88</v>
      </c>
      <c r="B15">
        <f>2/3</f>
        <v>0.66666666666666663</v>
      </c>
      <c r="C15">
        <f>2/3*$C$24+$B$15</f>
        <v>0.66686666666666661</v>
      </c>
      <c r="H15">
        <v>21.3</v>
      </c>
      <c r="I15" s="11">
        <v>0.10891666666666677</v>
      </c>
      <c r="J15" s="10">
        <f t="shared" si="0"/>
        <v>-2.1800000000000001E-4</v>
      </c>
      <c r="K15" s="17">
        <f t="shared" si="1"/>
        <v>6.9999999999999999E-6</v>
      </c>
      <c r="L15" s="10">
        <f t="shared" si="2"/>
        <v>-1.103E-3</v>
      </c>
      <c r="M15" s="11">
        <f t="shared" si="8"/>
        <v>0.1090144237572625</v>
      </c>
      <c r="N15" s="5">
        <f t="shared" si="3"/>
        <v>8.9754023500286889E-4</v>
      </c>
      <c r="O15">
        <f t="shared" si="4"/>
        <v>581.60239999999999</v>
      </c>
      <c r="P15">
        <f t="shared" ca="1" si="5"/>
        <v>579</v>
      </c>
      <c r="Q15" t="str">
        <f t="shared" ca="1" si="9"/>
        <v>0000001001000011</v>
      </c>
      <c r="R15">
        <f t="shared" ca="1" si="6"/>
        <v>0.10856250000000001</v>
      </c>
      <c r="S15">
        <f t="shared" ca="1" si="7"/>
        <v>21.30275</v>
      </c>
      <c r="T15" s="3">
        <f t="shared" ca="1" si="10"/>
        <v>1.2910798122060658E-4</v>
      </c>
    </row>
    <row r="16" spans="1:20" x14ac:dyDescent="0.25">
      <c r="A16" t="s">
        <v>89</v>
      </c>
      <c r="B16">
        <f>-4.096/$C$15</f>
        <v>-6.1421573527941629</v>
      </c>
      <c r="C16">
        <f>4.096/$B$15</f>
        <v>6.1440000000000001</v>
      </c>
      <c r="D16">
        <f>4.096/$C$15</f>
        <v>6.1421573527941629</v>
      </c>
      <c r="E16" s="20" t="s">
        <v>65</v>
      </c>
      <c r="H16">
        <v>21.4</v>
      </c>
      <c r="I16" s="11">
        <v>0.11641666666666639</v>
      </c>
      <c r="J16" s="10">
        <f t="shared" si="0"/>
        <v>-2.1699999999999999E-4</v>
      </c>
      <c r="K16" s="17">
        <f t="shared" si="1"/>
        <v>6.9999999999999999E-6</v>
      </c>
      <c r="L16" s="10">
        <f t="shared" si="2"/>
        <v>-1.073E-3</v>
      </c>
      <c r="M16" s="11">
        <f t="shared" si="8"/>
        <v>0.11650865288212385</v>
      </c>
      <c r="N16" s="5">
        <f t="shared" si="3"/>
        <v>7.9014644630602613E-4</v>
      </c>
      <c r="O16">
        <f t="shared" si="4"/>
        <v>621.58489999999995</v>
      </c>
      <c r="P16">
        <f t="shared" ca="1" si="5"/>
        <v>625</v>
      </c>
      <c r="Q16" t="str">
        <f t="shared" ca="1" si="9"/>
        <v>0000001001110001</v>
      </c>
      <c r="R16">
        <f t="shared" ca="1" si="6"/>
        <v>0.1171875</v>
      </c>
      <c r="S16">
        <f t="shared" ca="1" si="7"/>
        <v>21.406250000000004</v>
      </c>
      <c r="T16" s="3">
        <f t="shared" ca="1" si="10"/>
        <v>2.9205607476658757E-4</v>
      </c>
    </row>
    <row r="17" spans="1:20" x14ac:dyDescent="0.25">
      <c r="A17" t="s">
        <v>91</v>
      </c>
      <c r="C17">
        <f>6000000</f>
        <v>6000000</v>
      </c>
      <c r="E17" s="20" t="s">
        <v>92</v>
      </c>
      <c r="H17">
        <v>21.5</v>
      </c>
      <c r="I17" s="11">
        <v>0.12449999999999983</v>
      </c>
      <c r="J17" s="10">
        <f t="shared" si="0"/>
        <v>-2.1599999999999999E-4</v>
      </c>
      <c r="K17" s="17">
        <f t="shared" si="1"/>
        <v>7.9999999999999996E-6</v>
      </c>
      <c r="L17" s="10">
        <f t="shared" si="2"/>
        <v>-1.042E-3</v>
      </c>
      <c r="M17" s="11">
        <f t="shared" si="8"/>
        <v>0.12458618119919027</v>
      </c>
      <c r="N17" s="5">
        <f t="shared" si="3"/>
        <v>6.922184673930343E-4</v>
      </c>
      <c r="O17">
        <f t="shared" si="4"/>
        <v>664.67930000000001</v>
      </c>
      <c r="P17">
        <f t="shared" ca="1" si="5"/>
        <v>665</v>
      </c>
      <c r="Q17" t="str">
        <f t="shared" ca="1" si="9"/>
        <v>0000001010011001</v>
      </c>
      <c r="R17">
        <f t="shared" ca="1" si="6"/>
        <v>0.12468750000000001</v>
      </c>
      <c r="S17">
        <f t="shared" ca="1" si="7"/>
        <v>21.496250000000003</v>
      </c>
      <c r="T17" s="3">
        <f t="shared" ca="1" si="10"/>
        <v>1.7441860465100415E-4</v>
      </c>
    </row>
    <row r="18" spans="1:20" x14ac:dyDescent="0.25">
      <c r="A18" t="s">
        <v>93</v>
      </c>
      <c r="C18">
        <v>128</v>
      </c>
      <c r="E18" s="20" t="s">
        <v>21</v>
      </c>
      <c r="H18">
        <v>21.6</v>
      </c>
      <c r="I18" s="11">
        <v>0.13308333333333322</v>
      </c>
      <c r="J18" s="10">
        <f t="shared" si="0"/>
        <v>-2.1599999999999999E-4</v>
      </c>
      <c r="K18" s="17">
        <f t="shared" si="1"/>
        <v>7.9999999999999996E-6</v>
      </c>
      <c r="L18" s="10">
        <f t="shared" si="2"/>
        <v>-1.0120000000000001E-3</v>
      </c>
      <c r="M18" s="11">
        <f t="shared" si="8"/>
        <v>0.13316457078769606</v>
      </c>
      <c r="N18" s="5">
        <f t="shared" si="3"/>
        <v>6.1042545545024658E-4</v>
      </c>
      <c r="O18">
        <f t="shared" si="4"/>
        <v>710.44579999999996</v>
      </c>
      <c r="P18">
        <f t="shared" ca="1" si="5"/>
        <v>712</v>
      </c>
      <c r="Q18" t="str">
        <f t="shared" ca="1" si="9"/>
        <v>0000001011001000</v>
      </c>
      <c r="R18">
        <f t="shared" ca="1" si="6"/>
        <v>0.13350000000000001</v>
      </c>
      <c r="S18">
        <f t="shared" ca="1" si="7"/>
        <v>21.602</v>
      </c>
      <c r="T18" s="3">
        <f t="shared" ca="1" si="10"/>
        <v>9.2592592592541265E-5</v>
      </c>
    </row>
    <row r="19" spans="1:20" x14ac:dyDescent="0.25">
      <c r="A19" s="18" t="s">
        <v>94</v>
      </c>
      <c r="B19" s="18">
        <v>20</v>
      </c>
      <c r="C19" s="18"/>
      <c r="D19" s="18">
        <v>80</v>
      </c>
      <c r="E19" s="21" t="s">
        <v>87</v>
      </c>
      <c r="H19">
        <v>21.7</v>
      </c>
      <c r="I19" s="11">
        <v>0.14166666666666639</v>
      </c>
      <c r="J19" s="10">
        <f t="shared" si="0"/>
        <v>-2.1499999999999999E-4</v>
      </c>
      <c r="K19" s="17">
        <f t="shared" si="1"/>
        <v>9.0000000000000002E-6</v>
      </c>
      <c r="L19" s="10">
        <f t="shared" si="2"/>
        <v>-9.810000000000001E-4</v>
      </c>
      <c r="M19" s="11">
        <f t="shared" si="8"/>
        <v>0.1417426171592332</v>
      </c>
      <c r="N19" s="5">
        <f t="shared" si="3"/>
        <v>5.3612112400102676E-4</v>
      </c>
      <c r="O19">
        <f t="shared" si="4"/>
        <v>756.21050000000002</v>
      </c>
      <c r="P19">
        <f t="shared" ca="1" si="5"/>
        <v>760</v>
      </c>
      <c r="Q19" t="str">
        <f t="shared" ca="1" si="9"/>
        <v>0000001011111000</v>
      </c>
      <c r="R19">
        <f t="shared" ca="1" si="6"/>
        <v>0.14250000000000002</v>
      </c>
      <c r="S19">
        <f t="shared" ca="1" si="7"/>
        <v>21.710000000000004</v>
      </c>
      <c r="T19" s="3">
        <f t="shared" ca="1" si="10"/>
        <v>4.6082949308779336E-4</v>
      </c>
    </row>
    <row r="20" spans="1:20" x14ac:dyDescent="0.25">
      <c r="A20" t="s">
        <v>102</v>
      </c>
      <c r="B20">
        <f>-0.000225</f>
        <v>-2.2499999999999999E-4</v>
      </c>
      <c r="D20">
        <f>-0.00012</f>
        <v>-1.2E-4</v>
      </c>
      <c r="E20" s="20" t="s">
        <v>65</v>
      </c>
      <c r="H20">
        <v>21.8</v>
      </c>
      <c r="I20" s="11">
        <v>0.15033333333333343</v>
      </c>
      <c r="J20" s="10">
        <f t="shared" si="0"/>
        <v>-2.1499999999999999E-4</v>
      </c>
      <c r="K20" s="17">
        <f t="shared" si="1"/>
        <v>9.0000000000000002E-6</v>
      </c>
      <c r="L20" s="10">
        <f t="shared" si="2"/>
        <v>-9.5100000000000002E-4</v>
      </c>
      <c r="M20" s="11">
        <f t="shared" si="8"/>
        <v>0.15040529789503526</v>
      </c>
      <c r="N20" s="5">
        <f t="shared" si="3"/>
        <v>4.7869996697448949E-4</v>
      </c>
      <c r="O20">
        <f t="shared" si="4"/>
        <v>802.42669999999998</v>
      </c>
      <c r="P20">
        <f t="shared" ca="1" si="5"/>
        <v>803</v>
      </c>
      <c r="Q20" t="str">
        <f t="shared" ca="1" si="9"/>
        <v>0000001100100011</v>
      </c>
      <c r="R20">
        <f t="shared" ca="1" si="6"/>
        <v>0.15056250000000002</v>
      </c>
      <c r="S20">
        <f t="shared" ca="1" si="7"/>
        <v>21.806750000000001</v>
      </c>
      <c r="T20" s="3">
        <f t="shared" ca="1" si="10"/>
        <v>3.0963302752294748E-4</v>
      </c>
    </row>
    <row r="21" spans="1:20" x14ac:dyDescent="0.25">
      <c r="H21">
        <v>21.9</v>
      </c>
      <c r="I21" s="11">
        <v>0.15866666666666651</v>
      </c>
      <c r="J21" s="10">
        <f t="shared" si="0"/>
        <v>-2.14E-4</v>
      </c>
      <c r="K21" s="17">
        <f t="shared" si="1"/>
        <v>1.0000000000000001E-5</v>
      </c>
      <c r="L21" s="10">
        <f t="shared" si="2"/>
        <v>-9.2000000000000003E-4</v>
      </c>
      <c r="M21" s="11">
        <f t="shared" si="8"/>
        <v>0.15873463080632469</v>
      </c>
      <c r="N21" s="5">
        <f t="shared" si="3"/>
        <v>4.2834541801372482E-4</v>
      </c>
      <c r="O21">
        <f t="shared" si="4"/>
        <v>846.86450000000002</v>
      </c>
      <c r="P21">
        <f t="shared" ca="1" si="5"/>
        <v>845</v>
      </c>
      <c r="Q21" t="str">
        <f t="shared" ca="1" si="9"/>
        <v>0000001101001101</v>
      </c>
      <c r="R21">
        <f t="shared" ca="1" si="6"/>
        <v>0.15843750000000001</v>
      </c>
      <c r="S21">
        <f t="shared" ca="1" si="7"/>
        <v>21.901250000000001</v>
      </c>
      <c r="T21" s="3">
        <f t="shared" ca="1" si="10"/>
        <v>5.7077625570886571E-5</v>
      </c>
    </row>
    <row r="22" spans="1:20" x14ac:dyDescent="0.25">
      <c r="A22" t="s">
        <v>103</v>
      </c>
      <c r="B22" s="7">
        <v>0</v>
      </c>
      <c r="D22" s="15">
        <v>2.9999999999999997E-4</v>
      </c>
      <c r="E22" s="20" t="s">
        <v>67</v>
      </c>
      <c r="H22">
        <v>22</v>
      </c>
      <c r="I22" s="11">
        <v>0.1669166666666666</v>
      </c>
      <c r="J22" s="10">
        <f t="shared" si="0"/>
        <v>-2.14E-4</v>
      </c>
      <c r="K22" s="17">
        <f t="shared" si="1"/>
        <v>1.0000000000000001E-5</v>
      </c>
      <c r="L22" s="10">
        <f t="shared" si="2"/>
        <v>-8.8999999999999995E-4</v>
      </c>
      <c r="M22" s="11">
        <f t="shared" si="8"/>
        <v>0.16698205263981714</v>
      </c>
      <c r="N22" s="5">
        <f t="shared" si="3"/>
        <v>3.9172824653340116E-4</v>
      </c>
      <c r="O22">
        <f t="shared" si="4"/>
        <v>890.86530000000005</v>
      </c>
      <c r="P22">
        <f t="shared" ca="1" si="5"/>
        <v>889</v>
      </c>
      <c r="Q22" t="str">
        <f t="shared" ca="1" si="9"/>
        <v>0000001101111001</v>
      </c>
      <c r="R22">
        <f t="shared" ca="1" si="6"/>
        <v>0.16668750000000002</v>
      </c>
      <c r="S22">
        <f t="shared" ca="1" si="7"/>
        <v>22.000250000000005</v>
      </c>
      <c r="T22" s="3">
        <f t="shared" ca="1" si="10"/>
        <v>1.1363636363852111E-5</v>
      </c>
    </row>
    <row r="23" spans="1:20" x14ac:dyDescent="0.25">
      <c r="A23" t="s">
        <v>95</v>
      </c>
      <c r="C23" s="16">
        <v>5.0000000000000004E-6</v>
      </c>
      <c r="E23" s="25" t="s">
        <v>96</v>
      </c>
      <c r="H23">
        <v>22.1</v>
      </c>
      <c r="I23" s="11">
        <v>0.17533333333333334</v>
      </c>
      <c r="J23" s="10">
        <f t="shared" si="0"/>
        <v>-2.13E-4</v>
      </c>
      <c r="K23" s="17">
        <f t="shared" si="1"/>
        <v>1.1E-5</v>
      </c>
      <c r="L23" s="10">
        <f t="shared" si="2"/>
        <v>-8.5899999999999995E-4</v>
      </c>
      <c r="M23" s="11">
        <f t="shared" si="8"/>
        <v>0.17539566845413124</v>
      </c>
      <c r="N23" s="5">
        <f t="shared" si="3"/>
        <v>3.5552350264959784E-4</v>
      </c>
      <c r="O23">
        <f t="shared" si="4"/>
        <v>935.75279999999998</v>
      </c>
      <c r="P23">
        <f t="shared" ca="1" si="5"/>
        <v>933</v>
      </c>
      <c r="Q23" t="str">
        <f t="shared" ca="1" si="9"/>
        <v>0000001110100101</v>
      </c>
      <c r="R23">
        <f t="shared" ca="1" si="6"/>
        <v>0.1749375</v>
      </c>
      <c r="S23">
        <f t="shared" ca="1" si="7"/>
        <v>22.099250000000001</v>
      </c>
      <c r="T23" s="3">
        <f t="shared" ca="1" si="10"/>
        <v>3.3936651583711691E-5</v>
      </c>
    </row>
    <row r="24" spans="1:20" x14ac:dyDescent="0.25">
      <c r="B24" t="s">
        <v>98</v>
      </c>
      <c r="C24" s="17">
        <f>($D$19-$B$19)*C23</f>
        <v>3.0000000000000003E-4</v>
      </c>
      <c r="E24" s="25"/>
      <c r="H24">
        <v>22.2</v>
      </c>
      <c r="I24" s="11">
        <v>0.18399999999999972</v>
      </c>
      <c r="J24" s="10">
        <f t="shared" si="0"/>
        <v>-2.12E-4</v>
      </c>
      <c r="K24" s="17">
        <f t="shared" si="1"/>
        <v>1.1E-5</v>
      </c>
      <c r="L24" s="10">
        <f t="shared" si="2"/>
        <v>-8.2899999999999998E-4</v>
      </c>
      <c r="M24" s="11">
        <f t="shared" si="8"/>
        <v>0.18405941474517595</v>
      </c>
      <c r="N24" s="5">
        <f t="shared" si="3"/>
        <v>3.229062237838804E-4</v>
      </c>
      <c r="O24">
        <f t="shared" si="4"/>
        <v>981.97469999999998</v>
      </c>
      <c r="P24">
        <f t="shared" ca="1" si="5"/>
        <v>984</v>
      </c>
      <c r="Q24" t="str">
        <f t="shared" ca="1" si="9"/>
        <v>0000001111011000</v>
      </c>
      <c r="R24">
        <f t="shared" ca="1" si="6"/>
        <v>0.1845</v>
      </c>
      <c r="S24">
        <f t="shared" ca="1" si="7"/>
        <v>22.214000000000002</v>
      </c>
      <c r="T24" s="3">
        <f t="shared" ca="1" si="10"/>
        <v>6.3063063063076123E-4</v>
      </c>
    </row>
    <row r="25" spans="1:20" x14ac:dyDescent="0.25">
      <c r="A25" t="s">
        <v>97</v>
      </c>
      <c r="B25" t="s">
        <v>98</v>
      </c>
      <c r="C25">
        <v>90</v>
      </c>
      <c r="E25" s="20" t="s">
        <v>32</v>
      </c>
      <c r="H25">
        <v>22.3</v>
      </c>
      <c r="I25" s="11">
        <v>0.19183333333333308</v>
      </c>
      <c r="J25" s="10">
        <f t="shared" si="0"/>
        <v>-2.12E-4</v>
      </c>
      <c r="K25" s="17">
        <f t="shared" si="1"/>
        <v>1.2E-5</v>
      </c>
      <c r="L25" s="10">
        <f t="shared" si="2"/>
        <v>-7.9799999999999999E-4</v>
      </c>
      <c r="M25" s="11">
        <f t="shared" si="8"/>
        <v>0.19189220335505572</v>
      </c>
      <c r="N25" s="5">
        <f t="shared" si="3"/>
        <v>3.0688108630394539E-4</v>
      </c>
      <c r="O25">
        <f t="shared" si="4"/>
        <v>1023.7634</v>
      </c>
      <c r="P25">
        <f t="shared" ca="1" si="5"/>
        <v>1026</v>
      </c>
      <c r="Q25" t="str">
        <f t="shared" ca="1" si="9"/>
        <v>0000010000000010</v>
      </c>
      <c r="R25">
        <f t="shared" ca="1" si="6"/>
        <v>0.19237499999999999</v>
      </c>
      <c r="S25">
        <f t="shared" ca="1" si="7"/>
        <v>22.308500000000002</v>
      </c>
      <c r="T25" s="3">
        <f t="shared" ca="1" si="10"/>
        <v>3.8116591928257876E-4</v>
      </c>
    </row>
    <row r="26" spans="1:20" x14ac:dyDescent="0.25">
      <c r="A26" t="s">
        <v>104</v>
      </c>
      <c r="C26" s="10">
        <f>0.00002</f>
        <v>2.0000000000000002E-5</v>
      </c>
      <c r="E26" s="20" t="s">
        <v>65</v>
      </c>
      <c r="H26">
        <v>22.4</v>
      </c>
      <c r="I26" s="11">
        <v>0.19999999999999973</v>
      </c>
      <c r="J26" s="10">
        <f t="shared" si="0"/>
        <v>-2.1100000000000001E-4</v>
      </c>
      <c r="K26" s="17">
        <f t="shared" si="1"/>
        <v>1.2E-5</v>
      </c>
      <c r="L26" s="10">
        <f t="shared" si="2"/>
        <v>-7.6800000000000002E-4</v>
      </c>
      <c r="M26" s="11">
        <f t="shared" si="8"/>
        <v>0.20005735595062962</v>
      </c>
      <c r="N26" s="5">
        <f t="shared" si="3"/>
        <v>2.8677975314944686E-4</v>
      </c>
      <c r="O26">
        <f t="shared" si="4"/>
        <v>1067.3252</v>
      </c>
      <c r="P26">
        <f t="shared" ca="1" si="5"/>
        <v>1066</v>
      </c>
      <c r="Q26" t="str">
        <f t="shared" ca="1" si="9"/>
        <v>0000010000101010</v>
      </c>
      <c r="R26">
        <f t="shared" ca="1" si="6"/>
        <v>0.199875</v>
      </c>
      <c r="S26">
        <f t="shared" ca="1" si="7"/>
        <v>22.398500000000002</v>
      </c>
      <c r="T26" s="3">
        <f t="shared" ca="1" si="10"/>
        <v>6.6964285714129647E-5</v>
      </c>
    </row>
    <row r="27" spans="1:20" x14ac:dyDescent="0.25">
      <c r="A27" t="s">
        <v>105</v>
      </c>
      <c r="B27">
        <f>0.000022</f>
        <v>2.1999999999999999E-5</v>
      </c>
      <c r="D27">
        <f>0.000028</f>
        <v>2.8E-5</v>
      </c>
      <c r="E27" s="20" t="s">
        <v>65</v>
      </c>
      <c r="H27">
        <v>22.5</v>
      </c>
      <c r="I27" s="11">
        <v>0.2074999999999998</v>
      </c>
      <c r="J27" s="10">
        <f t="shared" si="0"/>
        <v>-2.1100000000000001E-4</v>
      </c>
      <c r="K27" s="17">
        <f t="shared" si="1"/>
        <v>1.2999999999999999E-5</v>
      </c>
      <c r="L27" s="10">
        <f t="shared" si="2"/>
        <v>-7.3700000000000002E-4</v>
      </c>
      <c r="M27" s="11">
        <f t="shared" si="8"/>
        <v>0.20755802973208723</v>
      </c>
      <c r="N27" s="5">
        <f t="shared" si="3"/>
        <v>2.7966135945751085E-4</v>
      </c>
      <c r="O27">
        <f t="shared" si="4"/>
        <v>1107.3420000000001</v>
      </c>
      <c r="P27">
        <f t="shared" ca="1" si="5"/>
        <v>1107</v>
      </c>
      <c r="Q27" t="str">
        <f t="shared" ca="1" si="9"/>
        <v>0000010001010011</v>
      </c>
      <c r="R27">
        <f t="shared" ca="1" si="6"/>
        <v>0.20756250000000001</v>
      </c>
      <c r="S27">
        <f t="shared" ca="1" si="7"/>
        <v>22.490750000000002</v>
      </c>
      <c r="T27" s="3">
        <f t="shared" ca="1" si="10"/>
        <v>4.111111111110214E-4</v>
      </c>
    </row>
    <row r="28" spans="1:20" x14ac:dyDescent="0.25">
      <c r="A28" s="19" t="s">
        <v>99</v>
      </c>
      <c r="B28" s="19"/>
      <c r="C28" s="19"/>
      <c r="D28" s="19"/>
      <c r="E28" s="22"/>
      <c r="H28">
        <v>22.6</v>
      </c>
      <c r="I28" s="11">
        <v>0.21650000000000014</v>
      </c>
      <c r="J28" s="10">
        <f t="shared" si="0"/>
        <v>-2.1000000000000001E-4</v>
      </c>
      <c r="K28" s="17">
        <f t="shared" si="1"/>
        <v>1.2999999999999999E-5</v>
      </c>
      <c r="L28" s="10">
        <f t="shared" si="2"/>
        <v>-7.0699999999999995E-4</v>
      </c>
      <c r="M28" s="11">
        <f t="shared" si="8"/>
        <v>0.21655689427574717</v>
      </c>
      <c r="N28" s="5">
        <f t="shared" si="3"/>
        <v>2.6279111199555683E-4</v>
      </c>
      <c r="O28">
        <f t="shared" si="4"/>
        <v>1155.3518999999999</v>
      </c>
      <c r="P28">
        <f t="shared" ca="1" si="5"/>
        <v>1158</v>
      </c>
      <c r="Q28" t="str">
        <f t="shared" ca="1" si="9"/>
        <v>0000010010000110</v>
      </c>
      <c r="R28">
        <f t="shared" ca="1" si="6"/>
        <v>0.21712500000000001</v>
      </c>
      <c r="S28">
        <f t="shared" ca="1" si="7"/>
        <v>22.605500000000003</v>
      </c>
      <c r="T28" s="3">
        <f t="shared" ca="1" si="10"/>
        <v>2.433628318584687E-4</v>
      </c>
    </row>
    <row r="29" spans="1:20" x14ac:dyDescent="0.25">
      <c r="A29" t="s">
        <v>100</v>
      </c>
      <c r="B29">
        <f>0.7*$C$10</f>
        <v>3.8499999999999996</v>
      </c>
      <c r="D29">
        <f>$D$10</f>
        <v>5.5</v>
      </c>
      <c r="H29">
        <v>22.7</v>
      </c>
      <c r="I29" s="11">
        <v>0.22483333333333322</v>
      </c>
      <c r="J29" s="10">
        <f t="shared" si="0"/>
        <v>-2.0900000000000001E-4</v>
      </c>
      <c r="K29" s="17">
        <f t="shared" si="1"/>
        <v>1.4E-5</v>
      </c>
      <c r="L29" s="10">
        <f t="shared" si="2"/>
        <v>-6.7599999999999995E-4</v>
      </c>
      <c r="M29" s="11">
        <f t="shared" si="8"/>
        <v>0.22489030748547306</v>
      </c>
      <c r="N29" s="5">
        <f t="shared" si="3"/>
        <v>2.5340616222317442E-4</v>
      </c>
      <c r="O29">
        <f t="shared" si="4"/>
        <v>1199.8114</v>
      </c>
      <c r="P29">
        <f t="shared" ca="1" si="5"/>
        <v>1202</v>
      </c>
      <c r="Q29" t="str">
        <f t="shared" ca="1" si="9"/>
        <v>0000010010110010</v>
      </c>
      <c r="R29">
        <f t="shared" ca="1" si="6"/>
        <v>0.22537499999999999</v>
      </c>
      <c r="S29">
        <f t="shared" ca="1" si="7"/>
        <v>22.704499999999999</v>
      </c>
      <c r="T29" s="3">
        <f t="shared" ca="1" si="10"/>
        <v>1.9823788546256257E-4</v>
      </c>
    </row>
    <row r="30" spans="1:20" x14ac:dyDescent="0.25">
      <c r="A30" t="s">
        <v>101</v>
      </c>
      <c r="B30">
        <f>$C$11-0.5</f>
        <v>-0.5</v>
      </c>
      <c r="D30">
        <f>0.3*$C$10</f>
        <v>1.65</v>
      </c>
      <c r="H30">
        <v>22.8</v>
      </c>
      <c r="I30" s="11">
        <v>0.23383333333333334</v>
      </c>
      <c r="J30" s="10">
        <f t="shared" si="0"/>
        <v>-2.0900000000000001E-4</v>
      </c>
      <c r="K30" s="17">
        <f t="shared" si="1"/>
        <v>1.4E-5</v>
      </c>
      <c r="L30" s="10">
        <f t="shared" si="2"/>
        <v>-6.4599999999999998E-4</v>
      </c>
      <c r="M30" s="11">
        <f t="shared" si="8"/>
        <v>0.23389123959255656</v>
      </c>
      <c r="N30" s="5">
        <f t="shared" si="3"/>
        <v>2.4763902732668287E-4</v>
      </c>
      <c r="O30">
        <f t="shared" si="4"/>
        <v>1247.8323</v>
      </c>
      <c r="P30">
        <f t="shared" ca="1" si="5"/>
        <v>1251</v>
      </c>
      <c r="Q30" t="str">
        <f t="shared" ca="1" si="9"/>
        <v>0000010011100011</v>
      </c>
      <c r="R30">
        <f t="shared" ca="1" si="6"/>
        <v>0.23456250000000001</v>
      </c>
      <c r="S30">
        <f t="shared" ca="1" si="7"/>
        <v>22.814750000000004</v>
      </c>
      <c r="T30" s="3">
        <f t="shared" ca="1" si="10"/>
        <v>6.4692982456153187E-4</v>
      </c>
    </row>
    <row r="31" spans="1:20" x14ac:dyDescent="0.25">
      <c r="H31">
        <v>22.9</v>
      </c>
      <c r="I31" s="11">
        <v>0.24091666666666645</v>
      </c>
      <c r="J31" s="10">
        <f t="shared" si="0"/>
        <v>-2.0799999999999999E-4</v>
      </c>
      <c r="K31" s="17">
        <f t="shared" si="1"/>
        <v>1.5E-5</v>
      </c>
      <c r="L31" s="10">
        <f t="shared" si="2"/>
        <v>-6.1499999999999999E-4</v>
      </c>
      <c r="M31" s="11">
        <f t="shared" si="8"/>
        <v>0.24097646613999035</v>
      </c>
      <c r="N31" s="5">
        <f t="shared" si="3"/>
        <v>2.4821642334378624E-4</v>
      </c>
      <c r="O31">
        <f t="shared" si="4"/>
        <v>1285.6325999999999</v>
      </c>
      <c r="P31">
        <f t="shared" ca="1" si="5"/>
        <v>1287</v>
      </c>
      <c r="Q31" t="str">
        <f t="shared" ca="1" si="9"/>
        <v>0000010100000111</v>
      </c>
      <c r="R31">
        <f t="shared" ca="1" si="6"/>
        <v>0.24131250000000001</v>
      </c>
      <c r="S31">
        <f t="shared" ca="1" si="7"/>
        <v>22.895750000000003</v>
      </c>
      <c r="T31" s="3">
        <f t="shared" ca="1" si="10"/>
        <v>1.8558951965045521E-4</v>
      </c>
    </row>
    <row r="32" spans="1:20" x14ac:dyDescent="0.25">
      <c r="A32" s="26" t="s">
        <v>108</v>
      </c>
      <c r="B32" s="26"/>
      <c r="C32" s="26"/>
      <c r="D32" s="26"/>
      <c r="E32" s="26"/>
      <c r="H32">
        <v>23</v>
      </c>
      <c r="I32" s="11">
        <v>0.2503333333333333</v>
      </c>
      <c r="J32" s="10">
        <f t="shared" si="0"/>
        <v>-2.0799999999999999E-4</v>
      </c>
      <c r="K32" s="17">
        <f t="shared" si="1"/>
        <v>1.5E-5</v>
      </c>
      <c r="L32" s="10">
        <f t="shared" si="2"/>
        <v>-5.8500000000000002E-4</v>
      </c>
      <c r="M32" s="11">
        <f t="shared" si="8"/>
        <v>0.25039485234471159</v>
      </c>
      <c r="N32" s="5">
        <f t="shared" si="3"/>
        <v>2.457483810051814E-4</v>
      </c>
      <c r="O32">
        <f t="shared" si="4"/>
        <v>1335.8806</v>
      </c>
      <c r="P32">
        <f t="shared" ca="1" si="5"/>
        <v>1336</v>
      </c>
      <c r="Q32" t="str">
        <f t="shared" ca="1" si="9"/>
        <v>0000010100111000</v>
      </c>
      <c r="R32">
        <f t="shared" ca="1" si="6"/>
        <v>0.2505</v>
      </c>
      <c r="S32">
        <f t="shared" ca="1" si="7"/>
        <v>23.006</v>
      </c>
      <c r="T32" s="3">
        <f t="shared" ca="1" si="10"/>
        <v>2.608695652174012E-4</v>
      </c>
    </row>
    <row r="33" spans="1:20" x14ac:dyDescent="0.25">
      <c r="B33" t="s">
        <v>109</v>
      </c>
      <c r="C33" t="s">
        <v>110</v>
      </c>
      <c r="D33" t="s">
        <v>51</v>
      </c>
      <c r="H33">
        <v>23.1</v>
      </c>
      <c r="I33" s="11">
        <v>0.25799999999999979</v>
      </c>
      <c r="J33" s="10">
        <f t="shared" si="0"/>
        <v>-2.0699999999999999E-4</v>
      </c>
      <c r="K33" s="17">
        <f t="shared" si="1"/>
        <v>1.5999999999999999E-5</v>
      </c>
      <c r="L33" s="10">
        <f t="shared" si="2"/>
        <v>-5.5400000000000002E-4</v>
      </c>
      <c r="M33" s="11">
        <f t="shared" si="8"/>
        <v>0.25806403252598042</v>
      </c>
      <c r="N33" s="5">
        <f t="shared" si="3"/>
        <v>2.4818808519627765E-4</v>
      </c>
      <c r="O33">
        <f t="shared" si="4"/>
        <v>1376.7963999999999</v>
      </c>
      <c r="P33">
        <f t="shared" ca="1" si="5"/>
        <v>1380</v>
      </c>
      <c r="Q33" t="str">
        <f t="shared" ca="1" si="9"/>
        <v>0000010101100100</v>
      </c>
      <c r="R33">
        <f t="shared" ca="1" si="6"/>
        <v>0.25874999999999998</v>
      </c>
      <c r="S33">
        <f t="shared" ca="1" si="7"/>
        <v>23.105000000000004</v>
      </c>
      <c r="T33" s="3">
        <f t="shared" ca="1" si="10"/>
        <v>2.1645021645032717E-4</v>
      </c>
    </row>
    <row r="34" spans="1:20" x14ac:dyDescent="0.25">
      <c r="A34" t="s">
        <v>40</v>
      </c>
      <c r="B34">
        <v>0</v>
      </c>
      <c r="C34">
        <v>0</v>
      </c>
      <c r="D34">
        <f>B34-C34</f>
        <v>0</v>
      </c>
      <c r="H34">
        <v>23.2</v>
      </c>
      <c r="I34" s="11">
        <v>0.26716666666666655</v>
      </c>
      <c r="J34" s="10">
        <f t="shared" si="0"/>
        <v>-2.0699999999999999E-4</v>
      </c>
      <c r="K34" s="17">
        <f t="shared" si="1"/>
        <v>1.5999999999999999E-5</v>
      </c>
      <c r="L34" s="10">
        <f t="shared" si="2"/>
        <v>-5.2400000000000005E-4</v>
      </c>
      <c r="M34" s="11">
        <f t="shared" si="8"/>
        <v>0.26723363624127616</v>
      </c>
      <c r="N34" s="5">
        <f t="shared" si="3"/>
        <v>2.506659062118901E-4</v>
      </c>
      <c r="O34">
        <f t="shared" si="4"/>
        <v>1425.7171000000001</v>
      </c>
      <c r="P34">
        <f t="shared" ca="1" si="5"/>
        <v>1427</v>
      </c>
      <c r="Q34" t="str">
        <f t="shared" ca="1" si="9"/>
        <v>0000010110010011</v>
      </c>
      <c r="R34">
        <f t="shared" ca="1" si="6"/>
        <v>0.26756249999999998</v>
      </c>
      <c r="S34">
        <f t="shared" ca="1" si="7"/>
        <v>23.210750000000001</v>
      </c>
      <c r="T34" s="3">
        <f t="shared" ca="1" si="10"/>
        <v>4.6336206896558589E-4</v>
      </c>
    </row>
    <row r="35" spans="1:20" x14ac:dyDescent="0.25">
      <c r="A35" t="s">
        <v>41</v>
      </c>
      <c r="B35">
        <v>5</v>
      </c>
      <c r="C35">
        <v>5</v>
      </c>
      <c r="D35">
        <f t="shared" ref="D35:D41" si="11">B35-C35</f>
        <v>0</v>
      </c>
      <c r="H35">
        <v>23.3</v>
      </c>
      <c r="I35" s="11">
        <v>0.27499999999999991</v>
      </c>
      <c r="J35" s="10">
        <f t="shared" si="0"/>
        <v>-2.0599999999999999E-4</v>
      </c>
      <c r="K35" s="17">
        <f t="shared" si="1"/>
        <v>1.7E-5</v>
      </c>
      <c r="L35" s="10">
        <f t="shared" si="2"/>
        <v>-4.9299999999999995E-4</v>
      </c>
      <c r="M35" s="11">
        <f t="shared" si="8"/>
        <v>0.27507039029758318</v>
      </c>
      <c r="N35" s="5">
        <f t="shared" si="3"/>
        <v>2.5596471848460771E-4</v>
      </c>
      <c r="O35">
        <f t="shared" si="4"/>
        <v>1467.527</v>
      </c>
      <c r="P35">
        <f t="shared" ca="1" si="5"/>
        <v>1465</v>
      </c>
      <c r="Q35" t="str">
        <f t="shared" ca="1" si="9"/>
        <v>0000010110111001</v>
      </c>
      <c r="R35">
        <f t="shared" ca="1" si="6"/>
        <v>0.27468750000000003</v>
      </c>
      <c r="S35">
        <f t="shared" ca="1" si="7"/>
        <v>23.296250000000001</v>
      </c>
      <c r="T35" s="3">
        <f t="shared" ca="1" si="10"/>
        <v>1.6094420600858979E-4</v>
      </c>
    </row>
    <row r="36" spans="1:20" x14ac:dyDescent="0.25">
      <c r="A36" t="s">
        <v>42</v>
      </c>
      <c r="B36">
        <v>0</v>
      </c>
      <c r="C36">
        <v>0</v>
      </c>
      <c r="D36">
        <f t="shared" si="11"/>
        <v>0</v>
      </c>
      <c r="H36">
        <v>23.4</v>
      </c>
      <c r="I36" s="11">
        <v>0.28283333333333305</v>
      </c>
      <c r="J36" s="10">
        <f t="shared" si="0"/>
        <v>-2.05E-4</v>
      </c>
      <c r="K36" s="17">
        <f t="shared" si="1"/>
        <v>1.7E-5</v>
      </c>
      <c r="L36" s="10">
        <f t="shared" si="2"/>
        <v>-4.6299999999999998E-4</v>
      </c>
      <c r="M36" s="11">
        <f t="shared" si="8"/>
        <v>0.2829073472315648</v>
      </c>
      <c r="N36" s="5">
        <f t="shared" si="3"/>
        <v>2.6168732433146981E-4</v>
      </c>
      <c r="O36">
        <f t="shared" si="4"/>
        <v>1509.3379</v>
      </c>
      <c r="P36">
        <f t="shared" ca="1" si="5"/>
        <v>1508</v>
      </c>
      <c r="Q36" t="str">
        <f t="shared" ca="1" si="9"/>
        <v>0000010111100100</v>
      </c>
      <c r="R36">
        <f t="shared" ca="1" si="6"/>
        <v>0.28275</v>
      </c>
      <c r="S36">
        <f t="shared" ca="1" si="7"/>
        <v>23.393000000000004</v>
      </c>
      <c r="T36" s="3">
        <f t="shared" ca="1" si="10"/>
        <v>2.9914529914505748E-4</v>
      </c>
    </row>
    <row r="37" spans="1:20" x14ac:dyDescent="0.25">
      <c r="A37" t="s">
        <v>43</v>
      </c>
      <c r="B37">
        <v>5</v>
      </c>
      <c r="C37">
        <v>5</v>
      </c>
      <c r="D37">
        <f t="shared" si="11"/>
        <v>0</v>
      </c>
      <c r="H37">
        <v>23.5</v>
      </c>
      <c r="I37" s="11">
        <v>0.29200000000000004</v>
      </c>
      <c r="J37" s="10">
        <f t="shared" si="0"/>
        <v>-2.05E-4</v>
      </c>
      <c r="K37" s="17">
        <f t="shared" si="1"/>
        <v>1.8E-5</v>
      </c>
      <c r="L37" s="10">
        <f t="shared" si="2"/>
        <v>-4.3199999999999998E-4</v>
      </c>
      <c r="M37" s="11">
        <f t="shared" si="8"/>
        <v>0.2920788219489181</v>
      </c>
      <c r="N37" s="5">
        <f t="shared" si="3"/>
        <v>2.6993818122623948E-4</v>
      </c>
      <c r="O37">
        <f t="shared" si="4"/>
        <v>1558.2686000000001</v>
      </c>
      <c r="P37">
        <f t="shared" ca="1" si="5"/>
        <v>1560</v>
      </c>
      <c r="Q37" t="str">
        <f t="shared" ca="1" si="9"/>
        <v>0000011000011000</v>
      </c>
      <c r="R37">
        <f t="shared" ca="1" si="6"/>
        <v>0.29249999999999998</v>
      </c>
      <c r="S37">
        <f t="shared" ca="1" si="7"/>
        <v>23.51</v>
      </c>
      <c r="T37" s="3">
        <f t="shared" ca="1" si="10"/>
        <v>4.2553191489368353E-4</v>
      </c>
    </row>
    <row r="38" spans="1:20" x14ac:dyDescent="0.25">
      <c r="A38" t="s">
        <v>44</v>
      </c>
      <c r="B38">
        <v>0</v>
      </c>
      <c r="C38">
        <v>0</v>
      </c>
      <c r="D38">
        <f t="shared" si="11"/>
        <v>0</v>
      </c>
      <c r="H38">
        <v>23.6</v>
      </c>
      <c r="I38" s="11">
        <v>0.29991666666666661</v>
      </c>
      <c r="J38" s="10">
        <f t="shared" si="0"/>
        <v>-2.04E-4</v>
      </c>
      <c r="K38" s="17">
        <f t="shared" si="1"/>
        <v>1.8E-5</v>
      </c>
      <c r="L38" s="10">
        <f t="shared" si="2"/>
        <v>-4.0200000000000001E-4</v>
      </c>
      <c r="M38" s="11">
        <f t="shared" si="8"/>
        <v>0.30000006663987738</v>
      </c>
      <c r="N38" s="5">
        <f t="shared" si="3"/>
        <v>2.7807715435656713E-4</v>
      </c>
      <c r="O38">
        <f t="shared" si="4"/>
        <v>1600.5291999999999</v>
      </c>
      <c r="P38">
        <f t="shared" ca="1" si="5"/>
        <v>1603</v>
      </c>
      <c r="Q38" t="str">
        <f t="shared" ca="1" si="9"/>
        <v>0000011001000011</v>
      </c>
      <c r="R38">
        <f t="shared" ca="1" si="6"/>
        <v>0.30056250000000001</v>
      </c>
      <c r="S38">
        <f t="shared" ca="1" si="7"/>
        <v>23.606750000000002</v>
      </c>
      <c r="T38" s="3">
        <f t="shared" ca="1" si="10"/>
        <v>2.8601694915255321E-4</v>
      </c>
    </row>
    <row r="39" spans="1:20" x14ac:dyDescent="0.25">
      <c r="A39" t="s">
        <v>45</v>
      </c>
      <c r="B39">
        <v>5</v>
      </c>
      <c r="C39">
        <v>5</v>
      </c>
      <c r="D39">
        <f t="shared" si="11"/>
        <v>0</v>
      </c>
      <c r="H39">
        <v>23.7</v>
      </c>
      <c r="I39" s="11">
        <v>0.30841666666666656</v>
      </c>
      <c r="J39" s="10">
        <f t="shared" si="0"/>
        <v>-2.04E-4</v>
      </c>
      <c r="K39" s="17">
        <f t="shared" si="1"/>
        <v>1.9000000000000001E-5</v>
      </c>
      <c r="L39" s="10">
        <f t="shared" si="2"/>
        <v>-3.7100000000000002E-4</v>
      </c>
      <c r="M39" s="11">
        <f t="shared" si="8"/>
        <v>0.30850621086243663</v>
      </c>
      <c r="N39" s="5">
        <f t="shared" si="3"/>
        <v>2.9033513894643765E-4</v>
      </c>
      <c r="O39">
        <f t="shared" si="4"/>
        <v>1645.9103</v>
      </c>
      <c r="P39">
        <f t="shared" ca="1" si="5"/>
        <v>1645</v>
      </c>
      <c r="Q39" t="str">
        <f t="shared" ca="1" si="9"/>
        <v>0000011001101101</v>
      </c>
      <c r="R39">
        <f t="shared" ca="1" si="6"/>
        <v>0.30843750000000003</v>
      </c>
      <c r="S39">
        <f t="shared" ca="1" si="7"/>
        <v>23.701250000000002</v>
      </c>
      <c r="T39" s="3">
        <f t="shared" ca="1" si="10"/>
        <v>5.2742616033857211E-5</v>
      </c>
    </row>
    <row r="40" spans="1:20" x14ac:dyDescent="0.25">
      <c r="A40" t="s">
        <v>46</v>
      </c>
      <c r="B40">
        <v>0</v>
      </c>
      <c r="C40">
        <v>0</v>
      </c>
      <c r="D40">
        <f t="shared" si="11"/>
        <v>0</v>
      </c>
      <c r="H40">
        <v>23.8</v>
      </c>
      <c r="I40" s="11">
        <v>0.3165</v>
      </c>
      <c r="J40" s="10">
        <f t="shared" si="0"/>
        <v>-2.03E-4</v>
      </c>
      <c r="K40" s="17">
        <f t="shared" si="1"/>
        <v>1.9000000000000001E-5</v>
      </c>
      <c r="L40" s="10">
        <f t="shared" si="2"/>
        <v>-3.4099999999999999E-4</v>
      </c>
      <c r="M40" s="11">
        <f t="shared" si="8"/>
        <v>0.31659504109098802</v>
      </c>
      <c r="N40" s="5">
        <f t="shared" si="3"/>
        <v>3.0028780722910847E-4</v>
      </c>
      <c r="O40">
        <f t="shared" si="4"/>
        <v>1689.0650000000001</v>
      </c>
      <c r="P40">
        <f t="shared" ca="1" si="5"/>
        <v>1690</v>
      </c>
      <c r="Q40" t="str">
        <f t="shared" ca="1" si="9"/>
        <v>0000011010011010</v>
      </c>
      <c r="R40">
        <f t="shared" ca="1" si="6"/>
        <v>0.31687500000000002</v>
      </c>
      <c r="S40">
        <f t="shared" ca="1" si="7"/>
        <v>23.802500000000002</v>
      </c>
      <c r="T40" s="3">
        <f t="shared" ca="1" si="10"/>
        <v>1.0504201680677643E-4</v>
      </c>
    </row>
    <row r="41" spans="1:20" x14ac:dyDescent="0.25">
      <c r="A41" t="s">
        <v>47</v>
      </c>
      <c r="B41">
        <v>5</v>
      </c>
      <c r="C41">
        <v>5</v>
      </c>
      <c r="D41">
        <f t="shared" si="11"/>
        <v>0</v>
      </c>
      <c r="H41">
        <v>23.9</v>
      </c>
      <c r="I41" s="11">
        <v>0.32508333333333317</v>
      </c>
      <c r="J41" s="10">
        <f t="shared" si="0"/>
        <v>-2.03E-4</v>
      </c>
      <c r="K41" s="17">
        <f t="shared" si="1"/>
        <v>2.0000000000000002E-5</v>
      </c>
      <c r="L41" s="10">
        <f t="shared" si="2"/>
        <v>-3.1E-4</v>
      </c>
      <c r="M41" s="11">
        <f t="shared" si="8"/>
        <v>0.32518552582032889</v>
      </c>
      <c r="N41" s="5">
        <f t="shared" si="3"/>
        <v>3.1435781695684964E-4</v>
      </c>
      <c r="O41">
        <f t="shared" si="4"/>
        <v>1734.896</v>
      </c>
      <c r="P41">
        <f t="shared" ca="1" si="5"/>
        <v>1736</v>
      </c>
      <c r="Q41" t="str">
        <f t="shared" ca="1" si="9"/>
        <v>0000011011001000</v>
      </c>
      <c r="R41">
        <f t="shared" ca="1" si="6"/>
        <v>0.32550000000000001</v>
      </c>
      <c r="S41">
        <f t="shared" ca="1" si="7"/>
        <v>23.906000000000002</v>
      </c>
      <c r="T41" s="3">
        <f t="shared" ca="1" si="10"/>
        <v>2.5104602510476071E-4</v>
      </c>
    </row>
    <row r="42" spans="1:20" x14ac:dyDescent="0.25">
      <c r="H42">
        <v>24</v>
      </c>
      <c r="I42" s="11">
        <v>0.33341666666666669</v>
      </c>
      <c r="J42" s="10">
        <f t="shared" si="0"/>
        <v>-2.02E-4</v>
      </c>
      <c r="K42" s="17">
        <f t="shared" si="1"/>
        <v>2.0000000000000002E-5</v>
      </c>
      <c r="L42" s="10">
        <f t="shared" si="2"/>
        <v>-2.7999999999999998E-4</v>
      </c>
      <c r="M42" s="11">
        <f t="shared" si="8"/>
        <v>0.33352527958838191</v>
      </c>
      <c r="N42" s="5">
        <f t="shared" si="3"/>
        <v>3.2575732581418269E-4</v>
      </c>
      <c r="O42">
        <f t="shared" si="4"/>
        <v>1779.3894</v>
      </c>
      <c r="P42">
        <f t="shared" ca="1" si="5"/>
        <v>1780</v>
      </c>
      <c r="Q42" t="str">
        <f t="shared" ca="1" si="9"/>
        <v>0000011011110100</v>
      </c>
      <c r="R42">
        <f t="shared" ca="1" si="6"/>
        <v>0.33374999999999999</v>
      </c>
      <c r="S42">
        <f t="shared" ca="1" si="7"/>
        <v>24.005000000000003</v>
      </c>
      <c r="T42" s="3">
        <f t="shared" ca="1" si="10"/>
        <v>2.0833333333343992E-4</v>
      </c>
    </row>
    <row r="43" spans="1:20" x14ac:dyDescent="0.25">
      <c r="A43" s="26" t="s">
        <v>114</v>
      </c>
      <c r="B43" s="26"/>
      <c r="C43" s="26"/>
      <c r="D43" s="26"/>
      <c r="E43" s="26"/>
      <c r="H43">
        <v>24.1</v>
      </c>
      <c r="I43" s="11">
        <v>0.34216666666666673</v>
      </c>
      <c r="J43" s="10">
        <f t="shared" si="0"/>
        <v>-2.0100000000000001E-4</v>
      </c>
      <c r="K43" s="17">
        <f t="shared" si="1"/>
        <v>2.0999999999999999E-5</v>
      </c>
      <c r="L43" s="10">
        <f t="shared" si="2"/>
        <v>-2.4899999999999998E-4</v>
      </c>
      <c r="M43" s="11">
        <f t="shared" si="8"/>
        <v>0.34228243833952021</v>
      </c>
      <c r="N43" s="5">
        <f t="shared" si="3"/>
        <v>3.3834877599653735E-4</v>
      </c>
      <c r="O43">
        <f t="shared" si="4"/>
        <v>1826.1097</v>
      </c>
      <c r="P43">
        <f t="shared" ca="1" si="5"/>
        <v>1828</v>
      </c>
      <c r="Q43" t="str">
        <f t="shared" ca="1" si="9"/>
        <v>0000011100100100</v>
      </c>
      <c r="R43">
        <f t="shared" ca="1" si="6"/>
        <v>0.34275</v>
      </c>
      <c r="S43">
        <f t="shared" ca="1" si="7"/>
        <v>24.113</v>
      </c>
      <c r="T43" s="3">
        <f t="shared" ca="1" si="10"/>
        <v>5.3941908713685163E-4</v>
      </c>
    </row>
    <row r="44" spans="1:20" x14ac:dyDescent="0.25">
      <c r="A44" t="s">
        <v>115</v>
      </c>
      <c r="B44" t="s">
        <v>116</v>
      </c>
      <c r="C44">
        <f>$D$16*(2^($C$12-1) - 1)/(2^($C$12-1))</f>
        <v>6.141969909027293</v>
      </c>
      <c r="D44" t="s">
        <v>65</v>
      </c>
      <c r="H44">
        <v>24.2</v>
      </c>
      <c r="I44" s="11">
        <v>0.35024999999999973</v>
      </c>
      <c r="J44" s="10">
        <f t="shared" si="0"/>
        <v>-2.0100000000000001E-4</v>
      </c>
      <c r="K44" s="17">
        <f t="shared" si="1"/>
        <v>2.0999999999999999E-5</v>
      </c>
      <c r="L44" s="10">
        <f t="shared" si="2"/>
        <v>-2.1900000000000001E-4</v>
      </c>
      <c r="M44" s="11">
        <f t="shared" si="8"/>
        <v>0.35037426803530003</v>
      </c>
      <c r="N44" s="5">
        <f t="shared" si="3"/>
        <v>3.5479810221356538E-4</v>
      </c>
      <c r="O44">
        <f t="shared" si="4"/>
        <v>1869.2804000000001</v>
      </c>
      <c r="P44">
        <f t="shared" ca="1" si="5"/>
        <v>1867</v>
      </c>
      <c r="Q44" t="str">
        <f t="shared" ca="1" si="9"/>
        <v>0000011101001011</v>
      </c>
      <c r="R44">
        <f t="shared" ca="1" si="6"/>
        <v>0.3500625</v>
      </c>
      <c r="S44">
        <f t="shared" ca="1" si="7"/>
        <v>24.200750000000003</v>
      </c>
      <c r="T44" s="3">
        <f t="shared" ca="1" si="10"/>
        <v>3.0991735537338063E-5</v>
      </c>
    </row>
    <row r="45" spans="1:20" x14ac:dyDescent="0.25">
      <c r="A45" t="s">
        <v>16</v>
      </c>
      <c r="B45">
        <v>-3</v>
      </c>
      <c r="D45">
        <v>3</v>
      </c>
      <c r="E45" s="20" t="s">
        <v>17</v>
      </c>
      <c r="H45">
        <v>24.3</v>
      </c>
      <c r="I45" s="11">
        <v>0.3584999999999996</v>
      </c>
      <c r="J45" s="10">
        <f t="shared" si="0"/>
        <v>-2.0000000000000001E-4</v>
      </c>
      <c r="K45" s="17">
        <f t="shared" si="1"/>
        <v>2.1999999999999999E-5</v>
      </c>
      <c r="L45" s="10">
        <f t="shared" si="2"/>
        <v>-1.8799999999999999E-4</v>
      </c>
      <c r="M45" s="11">
        <f t="shared" si="8"/>
        <v>0.35863257707550933</v>
      </c>
      <c r="N45" s="5">
        <f t="shared" si="3"/>
        <v>3.6981053140790052E-4</v>
      </c>
      <c r="O45">
        <f t="shared" si="4"/>
        <v>1913.3393000000001</v>
      </c>
      <c r="P45">
        <f t="shared" ca="1" si="5"/>
        <v>1917</v>
      </c>
      <c r="Q45" t="str">
        <f t="shared" ca="1" si="9"/>
        <v>0000011101111101</v>
      </c>
      <c r="R45">
        <f t="shared" ca="1" si="6"/>
        <v>0.35943750000000002</v>
      </c>
      <c r="S45">
        <f t="shared" ca="1" si="7"/>
        <v>24.313250000000004</v>
      </c>
      <c r="T45" s="3">
        <f t="shared" ca="1" si="10"/>
        <v>5.4526748971205226E-4</v>
      </c>
    </row>
    <row r="46" spans="1:20" x14ac:dyDescent="0.25">
      <c r="A46" t="s">
        <v>117</v>
      </c>
      <c r="C46">
        <v>5.0000000000000001E-3</v>
      </c>
      <c r="E46" s="20" t="s">
        <v>118</v>
      </c>
      <c r="H46">
        <v>24.4</v>
      </c>
      <c r="I46" s="11">
        <v>0.36724999999999963</v>
      </c>
      <c r="J46" s="10">
        <f t="shared" si="0"/>
        <v>-2.0000000000000001E-4</v>
      </c>
      <c r="K46" s="17">
        <f t="shared" si="1"/>
        <v>2.1999999999999999E-5</v>
      </c>
      <c r="L46" s="10">
        <f t="shared" si="2"/>
        <v>-1.5799999999999999E-4</v>
      </c>
      <c r="M46" s="11">
        <f t="shared" si="8"/>
        <v>0.36739195207157227</v>
      </c>
      <c r="N46" s="5">
        <f t="shared" si="3"/>
        <v>3.8652708392821671E-4</v>
      </c>
      <c r="O46">
        <f t="shared" si="4"/>
        <v>1960.0714</v>
      </c>
      <c r="P46">
        <f t="shared" ca="1" si="5"/>
        <v>1962</v>
      </c>
      <c r="Q46" t="str">
        <f t="shared" ca="1" si="9"/>
        <v>0000011110101010</v>
      </c>
      <c r="R46">
        <f t="shared" ca="1" si="6"/>
        <v>0.36787500000000001</v>
      </c>
      <c r="S46">
        <f t="shared" ca="1" si="7"/>
        <v>24.4145</v>
      </c>
      <c r="T46" s="3">
        <f t="shared" ca="1" si="10"/>
        <v>5.9426229508203825E-4</v>
      </c>
    </row>
    <row r="47" spans="1:20" x14ac:dyDescent="0.25">
      <c r="B47" t="s">
        <v>119</v>
      </c>
      <c r="C47">
        <f>($D$19-$B$19)*C46</f>
        <v>0.3</v>
      </c>
      <c r="E47" s="20" t="s">
        <v>17</v>
      </c>
      <c r="H47">
        <v>24.5</v>
      </c>
      <c r="I47" s="11">
        <v>0.37583333333333324</v>
      </c>
      <c r="J47" s="10">
        <f t="shared" si="0"/>
        <v>-1.9900000000000001E-4</v>
      </c>
      <c r="K47" s="17">
        <f t="shared" si="1"/>
        <v>2.3E-5</v>
      </c>
      <c r="L47" s="10">
        <f t="shared" si="2"/>
        <v>-1.27E-4</v>
      </c>
      <c r="M47" s="11">
        <f t="shared" si="8"/>
        <v>0.37598458329125528</v>
      </c>
      <c r="N47" s="5">
        <f t="shared" si="3"/>
        <v>4.0243891243114716E-4</v>
      </c>
      <c r="O47">
        <f t="shared" si="4"/>
        <v>2005.9139</v>
      </c>
      <c r="P47">
        <f t="shared" ca="1" si="5"/>
        <v>2009</v>
      </c>
      <c r="Q47" t="str">
        <f t="shared" ca="1" si="9"/>
        <v>0000011111011001</v>
      </c>
      <c r="R47">
        <f t="shared" ca="1" si="6"/>
        <v>0.37668750000000001</v>
      </c>
      <c r="S47">
        <f t="shared" ca="1" si="7"/>
        <v>24.520250000000001</v>
      </c>
      <c r="T47" s="3">
        <f t="shared" ca="1" si="10"/>
        <v>8.2653061224492925E-4</v>
      </c>
    </row>
    <row r="48" spans="1:20" x14ac:dyDescent="0.25">
      <c r="A48" t="s">
        <v>120</v>
      </c>
      <c r="C48">
        <v>1</v>
      </c>
      <c r="E48" s="20" t="s">
        <v>20</v>
      </c>
      <c r="H48">
        <v>24.6</v>
      </c>
      <c r="I48" s="11">
        <v>0.38266666666666649</v>
      </c>
      <c r="J48" s="10">
        <f t="shared" si="0"/>
        <v>-1.9900000000000001E-4</v>
      </c>
      <c r="K48" s="17">
        <f t="shared" si="1"/>
        <v>2.3E-5</v>
      </c>
      <c r="L48" s="10">
        <f t="shared" si="2"/>
        <v>-9.7E-5</v>
      </c>
      <c r="M48" s="11">
        <f t="shared" si="8"/>
        <v>0.38282853229903346</v>
      </c>
      <c r="N48" s="5">
        <f t="shared" si="3"/>
        <v>4.2299381280568499E-4</v>
      </c>
      <c r="O48">
        <f t="shared" si="4"/>
        <v>2042.4269999999999</v>
      </c>
      <c r="P48">
        <f t="shared" ca="1" si="5"/>
        <v>2045</v>
      </c>
      <c r="Q48" t="str">
        <f t="shared" ca="1" si="9"/>
        <v>0000011111111101</v>
      </c>
      <c r="R48">
        <f t="shared" ca="1" si="6"/>
        <v>0.38343749999999999</v>
      </c>
      <c r="S48">
        <f t="shared" ca="1" si="7"/>
        <v>24.601250000000004</v>
      </c>
      <c r="T48" s="3">
        <f t="shared" ca="1" si="10"/>
        <v>5.0813008130179502E-5</v>
      </c>
    </row>
    <row r="49" spans="2:20" x14ac:dyDescent="0.25">
      <c r="B49" t="s">
        <v>121</v>
      </c>
      <c r="C49">
        <f>($D$10-$B$10)*C48</f>
        <v>0.29999999999999982</v>
      </c>
      <c r="E49" s="20" t="s">
        <v>17</v>
      </c>
      <c r="H49">
        <v>24.7</v>
      </c>
      <c r="I49" s="11">
        <v>0.39183333333333281</v>
      </c>
      <c r="J49" s="10">
        <f t="shared" si="0"/>
        <v>-1.9799999999999999E-4</v>
      </c>
      <c r="K49" s="17">
        <f t="shared" si="1"/>
        <v>2.4000000000000001E-5</v>
      </c>
      <c r="L49" s="10">
        <f t="shared" si="2"/>
        <v>-6.6000000000000005E-5</v>
      </c>
      <c r="M49" s="11">
        <f t="shared" si="8"/>
        <v>0.39200546097290861</v>
      </c>
      <c r="N49" s="5">
        <f t="shared" si="3"/>
        <v>4.3928789343037863E-4</v>
      </c>
      <c r="O49">
        <f t="shared" si="4"/>
        <v>2091.3868000000002</v>
      </c>
      <c r="P49">
        <f t="shared" ca="1" si="5"/>
        <v>2092</v>
      </c>
      <c r="Q49" t="str">
        <f t="shared" ca="1" si="9"/>
        <v>0000100000101100</v>
      </c>
      <c r="R49">
        <f t="shared" ca="1" si="6"/>
        <v>0.39224999999999999</v>
      </c>
      <c r="S49">
        <f t="shared" ca="1" si="7"/>
        <v>24.707000000000001</v>
      </c>
      <c r="T49" s="3">
        <f t="shared" ca="1" si="10"/>
        <v>2.8340080971665788E-4</v>
      </c>
    </row>
    <row r="50" spans="2:20" x14ac:dyDescent="0.25">
      <c r="H50">
        <v>24.8</v>
      </c>
      <c r="I50" s="11">
        <v>0.39966666666666639</v>
      </c>
      <c r="J50" s="10">
        <f t="shared" si="0"/>
        <v>-1.9699999999999999E-4</v>
      </c>
      <c r="K50" s="17">
        <f t="shared" si="1"/>
        <v>2.4000000000000001E-5</v>
      </c>
      <c r="L50" s="10">
        <f t="shared" si="2"/>
        <v>-3.6000000000000001E-5</v>
      </c>
      <c r="M50" s="11">
        <f t="shared" si="8"/>
        <v>0.39984927209287108</v>
      </c>
      <c r="N50" s="5">
        <f t="shared" si="3"/>
        <v>4.5689431077068838E-4</v>
      </c>
      <c r="O50">
        <f t="shared" si="4"/>
        <v>2133.2343000000001</v>
      </c>
      <c r="P50">
        <f t="shared" ca="1" si="5"/>
        <v>2137</v>
      </c>
      <c r="Q50" t="str">
        <f t="shared" ca="1" si="9"/>
        <v>0000100001011001</v>
      </c>
      <c r="R50">
        <f t="shared" ca="1" si="6"/>
        <v>0.40068750000000003</v>
      </c>
      <c r="S50">
        <f t="shared" ca="1" si="7"/>
        <v>24.808250000000001</v>
      </c>
      <c r="T50" s="3">
        <f t="shared" ca="1" si="10"/>
        <v>3.3266129032259327E-4</v>
      </c>
    </row>
    <row r="51" spans="2:20" x14ac:dyDescent="0.25">
      <c r="H51">
        <v>24.9</v>
      </c>
      <c r="I51" s="11">
        <v>0.40816666666666657</v>
      </c>
      <c r="J51" s="10">
        <f t="shared" si="0"/>
        <v>-1.9699999999999999E-4</v>
      </c>
      <c r="K51" s="17">
        <f t="shared" si="1"/>
        <v>2.5000000000000001E-5</v>
      </c>
      <c r="L51" s="10">
        <f t="shared" si="2"/>
        <v>-5.0000000000000004E-6</v>
      </c>
      <c r="M51" s="11">
        <f t="shared" si="8"/>
        <v>0.40836162485854227</v>
      </c>
      <c r="N51" s="5">
        <f t="shared" si="3"/>
        <v>4.7764358973222923E-4</v>
      </c>
      <c r="O51">
        <f t="shared" si="4"/>
        <v>2178.6484999999998</v>
      </c>
      <c r="P51">
        <f t="shared" ca="1" si="5"/>
        <v>2177</v>
      </c>
      <c r="Q51" t="str">
        <f t="shared" ca="1" si="9"/>
        <v>0000100010000001</v>
      </c>
      <c r="R51">
        <f t="shared" ca="1" si="6"/>
        <v>0.40818749999999998</v>
      </c>
      <c r="S51">
        <f t="shared" ca="1" si="7"/>
        <v>24.898250000000004</v>
      </c>
      <c r="T51" s="3">
        <f t="shared" ca="1" si="10"/>
        <v>7.028112449775683E-5</v>
      </c>
    </row>
    <row r="52" spans="2:20" x14ac:dyDescent="0.25">
      <c r="H52">
        <v>25</v>
      </c>
      <c r="I52" s="11">
        <v>0.41591666666666627</v>
      </c>
      <c r="J52" s="10">
        <f t="shared" si="0"/>
        <v>-1.9599999999999999E-4</v>
      </c>
      <c r="K52" s="17">
        <f t="shared" si="1"/>
        <v>2.5000000000000001E-5</v>
      </c>
      <c r="L52" s="10">
        <f t="shared" si="2"/>
        <v>2.5000000000000001E-5</v>
      </c>
      <c r="M52" s="11">
        <f t="shared" si="8"/>
        <v>0.41612306974340985</v>
      </c>
      <c r="N52" s="5">
        <f t="shared" si="3"/>
        <v>4.9626065336063588E-4</v>
      </c>
      <c r="O52">
        <f t="shared" si="4"/>
        <v>2220.0565999999999</v>
      </c>
      <c r="P52">
        <f t="shared" ca="1" si="5"/>
        <v>2224</v>
      </c>
      <c r="Q52" t="str">
        <f t="shared" ca="1" si="9"/>
        <v>0000100010110000</v>
      </c>
      <c r="R52">
        <f t="shared" ca="1" si="6"/>
        <v>0.41699999999999998</v>
      </c>
      <c r="S52">
        <f t="shared" ca="1" si="7"/>
        <v>25.004000000000001</v>
      </c>
      <c r="T52" s="3">
        <f t="shared" ca="1" si="10"/>
        <v>1.6000000000005344E-4</v>
      </c>
    </row>
    <row r="53" spans="2:20" x14ac:dyDescent="0.25">
      <c r="H53">
        <v>25.1</v>
      </c>
      <c r="I53" s="11">
        <v>0.42533333333333334</v>
      </c>
      <c r="J53" s="10">
        <f t="shared" si="0"/>
        <v>-1.9599999999999999E-4</v>
      </c>
      <c r="K53" s="17">
        <f t="shared" si="1"/>
        <v>2.5999999999999998E-5</v>
      </c>
      <c r="L53" s="10">
        <f t="shared" si="2"/>
        <v>5.5999999999999999E-5</v>
      </c>
      <c r="M53" s="11">
        <f t="shared" si="8"/>
        <v>0.42555316431053469</v>
      </c>
      <c r="N53" s="5">
        <f t="shared" si="3"/>
        <v>5.1684399028530993E-4</v>
      </c>
      <c r="O53">
        <f t="shared" si="4"/>
        <v>2270.3670000000002</v>
      </c>
      <c r="P53">
        <f t="shared" ca="1" si="5"/>
        <v>2272</v>
      </c>
      <c r="Q53" t="str">
        <f t="shared" ca="1" si="9"/>
        <v>0000100011100000</v>
      </c>
      <c r="R53">
        <f t="shared" ca="1" si="6"/>
        <v>0.42599999999999999</v>
      </c>
      <c r="S53">
        <f t="shared" ca="1" si="7"/>
        <v>25.112000000000002</v>
      </c>
      <c r="T53" s="3">
        <f t="shared" ca="1" si="10"/>
        <v>4.7808764940240851E-4</v>
      </c>
    </row>
    <row r="54" spans="2:20" x14ac:dyDescent="0.25">
      <c r="H54">
        <v>25.2</v>
      </c>
      <c r="I54" s="11">
        <v>0.43383333333333307</v>
      </c>
      <c r="J54" s="10">
        <f t="shared" si="0"/>
        <v>-1.95E-4</v>
      </c>
      <c r="K54" s="17">
        <f t="shared" si="1"/>
        <v>2.5999999999999998E-5</v>
      </c>
      <c r="L54" s="10">
        <f t="shared" si="2"/>
        <v>8.6000000000000003E-5</v>
      </c>
      <c r="M54" s="11">
        <f t="shared" si="8"/>
        <v>0.43406566298034938</v>
      </c>
      <c r="N54" s="5">
        <f t="shared" si="3"/>
        <v>5.3552742301107598E-4</v>
      </c>
      <c r="O54">
        <f t="shared" si="4"/>
        <v>2315.7820000000002</v>
      </c>
      <c r="P54">
        <f t="shared" ca="1" si="5"/>
        <v>2318</v>
      </c>
      <c r="Q54" t="str">
        <f t="shared" ca="1" si="9"/>
        <v>0000100100001110</v>
      </c>
      <c r="R54">
        <f t="shared" ca="1" si="6"/>
        <v>0.43462499999999998</v>
      </c>
      <c r="S54">
        <f t="shared" ca="1" si="7"/>
        <v>25.215499999999999</v>
      </c>
      <c r="T54" s="3">
        <f t="shared" ca="1" si="10"/>
        <v>6.1507936507934136E-4</v>
      </c>
    </row>
    <row r="55" spans="2:20" x14ac:dyDescent="0.25">
      <c r="H55">
        <v>25.3</v>
      </c>
      <c r="I55" s="11">
        <v>0.44083333333333319</v>
      </c>
      <c r="J55" s="10">
        <f t="shared" si="0"/>
        <v>-1.95E-4</v>
      </c>
      <c r="K55" s="17">
        <f t="shared" si="1"/>
        <v>2.6999999999999999E-5</v>
      </c>
      <c r="L55" s="10">
        <f t="shared" si="2"/>
        <v>1.17E-4</v>
      </c>
      <c r="M55" s="11">
        <f t="shared" si="8"/>
        <v>0.44107993968627651</v>
      </c>
      <c r="N55" s="5">
        <f t="shared" si="3"/>
        <v>5.5940949627975164E-4</v>
      </c>
      <c r="O55">
        <f t="shared" si="4"/>
        <v>2353.2039</v>
      </c>
      <c r="P55">
        <f t="shared" ca="1" si="5"/>
        <v>2357</v>
      </c>
      <c r="Q55" t="str">
        <f t="shared" ca="1" si="9"/>
        <v>0000100100110101</v>
      </c>
      <c r="R55">
        <f t="shared" ca="1" si="6"/>
        <v>0.44193749999999998</v>
      </c>
      <c r="S55">
        <f t="shared" ca="1" si="7"/>
        <v>25.303250000000002</v>
      </c>
      <c r="T55" s="3">
        <f t="shared" ca="1" si="10"/>
        <v>1.2845849802376708E-4</v>
      </c>
    </row>
    <row r="56" spans="2:20" x14ac:dyDescent="0.25">
      <c r="H56">
        <v>25.4</v>
      </c>
      <c r="I56" s="11">
        <v>0.44924999999999948</v>
      </c>
      <c r="J56" s="10">
        <f t="shared" si="0"/>
        <v>-1.94E-4</v>
      </c>
      <c r="K56" s="17">
        <f t="shared" si="1"/>
        <v>2.6999999999999999E-5</v>
      </c>
      <c r="L56" s="10">
        <f t="shared" si="2"/>
        <v>1.47E-4</v>
      </c>
      <c r="M56" s="11">
        <f t="shared" si="8"/>
        <v>0.44951007798146281</v>
      </c>
      <c r="N56" s="5">
        <f t="shared" si="3"/>
        <v>5.7891592980150255E-4</v>
      </c>
      <c r="O56">
        <f t="shared" si="4"/>
        <v>2398.1795000000002</v>
      </c>
      <c r="P56">
        <f t="shared" ca="1" si="5"/>
        <v>2400</v>
      </c>
      <c r="Q56" t="str">
        <f t="shared" ca="1" si="9"/>
        <v>0000100101100000</v>
      </c>
      <c r="R56">
        <f t="shared" ca="1" si="6"/>
        <v>0.45</v>
      </c>
      <c r="S56">
        <f t="shared" ca="1" si="7"/>
        <v>25.400000000000002</v>
      </c>
      <c r="T56" s="3">
        <f t="shared" ca="1" si="10"/>
        <v>1.3987061727561027E-16</v>
      </c>
    </row>
    <row r="57" spans="2:20" x14ac:dyDescent="0.25">
      <c r="H57">
        <v>25.5</v>
      </c>
      <c r="I57" s="11">
        <v>0.45816666666666639</v>
      </c>
      <c r="J57" s="10">
        <f t="shared" si="0"/>
        <v>-1.93E-4</v>
      </c>
      <c r="K57" s="17">
        <f t="shared" si="1"/>
        <v>2.8E-5</v>
      </c>
      <c r="L57" s="10">
        <f t="shared" si="2"/>
        <v>1.7799999999999999E-4</v>
      </c>
      <c r="M57" s="11">
        <f t="shared" si="8"/>
        <v>0.45844126921258621</v>
      </c>
      <c r="N57" s="5">
        <f t="shared" si="3"/>
        <v>5.9935077319713827E-4</v>
      </c>
      <c r="O57">
        <f t="shared" si="4"/>
        <v>2445.8281999999999</v>
      </c>
      <c r="P57">
        <f t="shared" ca="1" si="5"/>
        <v>2446</v>
      </c>
      <c r="Q57" t="str">
        <f t="shared" ca="1" si="9"/>
        <v>0000100110001110</v>
      </c>
      <c r="R57">
        <f t="shared" ca="1" si="6"/>
        <v>0.458625</v>
      </c>
      <c r="S57">
        <f t="shared" ca="1" si="7"/>
        <v>25.503499999999999</v>
      </c>
      <c r="T57" s="3">
        <f t="shared" ca="1" si="10"/>
        <v>1.3725490196074308E-4</v>
      </c>
    </row>
    <row r="58" spans="2:20" x14ac:dyDescent="0.25">
      <c r="H58">
        <v>25.6</v>
      </c>
      <c r="I58" s="11">
        <v>0.4658333333333331</v>
      </c>
      <c r="J58" s="10">
        <f t="shared" si="0"/>
        <v>-1.93E-4</v>
      </c>
      <c r="K58" s="17">
        <f t="shared" si="1"/>
        <v>2.8E-5</v>
      </c>
      <c r="L58" s="10">
        <f t="shared" si="2"/>
        <v>2.0799999999999999E-4</v>
      </c>
      <c r="M58" s="11">
        <f t="shared" si="8"/>
        <v>0.46612328697702432</v>
      </c>
      <c r="N58" s="5">
        <f t="shared" si="3"/>
        <v>6.2244073779868557E-4</v>
      </c>
      <c r="O58">
        <f t="shared" si="4"/>
        <v>2486.8126000000002</v>
      </c>
      <c r="P58">
        <f t="shared" ca="1" si="5"/>
        <v>2486</v>
      </c>
      <c r="Q58" t="str">
        <f t="shared" ca="1" si="9"/>
        <v>0000100110110110</v>
      </c>
      <c r="R58">
        <f t="shared" ca="1" si="6"/>
        <v>0.46612500000000001</v>
      </c>
      <c r="S58">
        <f t="shared" ca="1" si="7"/>
        <v>25.593500000000002</v>
      </c>
      <c r="T58" s="3">
        <f t="shared" ca="1" si="10"/>
        <v>2.5390624999996336E-4</v>
      </c>
    </row>
    <row r="59" spans="2:20" x14ac:dyDescent="0.25">
      <c r="H59">
        <v>25.7</v>
      </c>
      <c r="I59" s="11">
        <v>0.4757499999999999</v>
      </c>
      <c r="J59" s="10">
        <f t="shared" si="0"/>
        <v>-1.92E-4</v>
      </c>
      <c r="K59" s="17">
        <f t="shared" si="1"/>
        <v>2.9E-5</v>
      </c>
      <c r="L59" s="10">
        <f t="shared" si="2"/>
        <v>2.3900000000000001E-4</v>
      </c>
      <c r="M59" s="11">
        <f t="shared" si="8"/>
        <v>0.47605577733078197</v>
      </c>
      <c r="N59" s="5">
        <f t="shared" si="3"/>
        <v>6.4272691704062121E-4</v>
      </c>
      <c r="O59">
        <f t="shared" si="4"/>
        <v>2539.8033</v>
      </c>
      <c r="P59">
        <f t="shared" ca="1" si="5"/>
        <v>2540</v>
      </c>
      <c r="Q59" t="str">
        <f t="shared" ca="1" si="9"/>
        <v>0000100111101100</v>
      </c>
      <c r="R59">
        <f t="shared" ca="1" si="6"/>
        <v>0.47625000000000001</v>
      </c>
      <c r="S59">
        <f t="shared" ca="1" si="7"/>
        <v>25.715000000000003</v>
      </c>
      <c r="T59" s="3">
        <f t="shared" ca="1" si="10"/>
        <v>5.8365758754879847E-4</v>
      </c>
    </row>
    <row r="60" spans="2:20" x14ac:dyDescent="0.25">
      <c r="H60">
        <v>25.8</v>
      </c>
      <c r="I60" s="11">
        <v>0.48308333333333331</v>
      </c>
      <c r="J60" s="10">
        <f t="shared" si="0"/>
        <v>-1.92E-4</v>
      </c>
      <c r="K60" s="17">
        <f t="shared" si="1"/>
        <v>2.9E-5</v>
      </c>
      <c r="L60" s="10">
        <f t="shared" si="2"/>
        <v>2.6899999999999998E-4</v>
      </c>
      <c r="M60" s="11">
        <f t="shared" si="8"/>
        <v>0.4834053693776959</v>
      </c>
      <c r="N60" s="5">
        <f t="shared" si="3"/>
        <v>6.6662627779043239E-4</v>
      </c>
      <c r="O60">
        <f t="shared" si="4"/>
        <v>2579.0140999999999</v>
      </c>
      <c r="P60">
        <f t="shared" ca="1" si="5"/>
        <v>2577</v>
      </c>
      <c r="Q60" t="str">
        <f t="shared" ca="1" si="9"/>
        <v>0000101000010001</v>
      </c>
      <c r="R60">
        <f t="shared" ca="1" si="6"/>
        <v>0.48318749999999999</v>
      </c>
      <c r="S60">
        <f t="shared" ca="1" si="7"/>
        <v>25.798249999999999</v>
      </c>
      <c r="T60" s="3">
        <f t="shared" ca="1" si="10"/>
        <v>6.7829457364389556E-5</v>
      </c>
    </row>
    <row r="61" spans="2:20" x14ac:dyDescent="0.25">
      <c r="H61">
        <v>25.9</v>
      </c>
      <c r="I61" s="11">
        <v>0.49191666666666634</v>
      </c>
      <c r="J61" s="10">
        <f t="shared" si="0"/>
        <v>-1.9100000000000001E-4</v>
      </c>
      <c r="K61" s="17">
        <f t="shared" si="1"/>
        <v>3.0000000000000001E-5</v>
      </c>
      <c r="L61" s="10">
        <f t="shared" si="2"/>
        <v>2.9999999999999997E-4</v>
      </c>
      <c r="M61" s="11">
        <f t="shared" si="8"/>
        <v>0.49225534326964721</v>
      </c>
      <c r="N61" s="5">
        <f t="shared" si="3"/>
        <v>6.8848369232092806E-4</v>
      </c>
      <c r="O61">
        <f t="shared" si="4"/>
        <v>2626.2296000000001</v>
      </c>
      <c r="P61">
        <f t="shared" ca="1" si="5"/>
        <v>2630</v>
      </c>
      <c r="Q61" t="str">
        <f t="shared" ca="1" si="9"/>
        <v>0000101001000110</v>
      </c>
      <c r="R61">
        <f t="shared" ca="1" si="6"/>
        <v>0.49312500000000004</v>
      </c>
      <c r="S61">
        <f t="shared" ca="1" si="7"/>
        <v>25.917500000000004</v>
      </c>
      <c r="T61" s="3">
        <f t="shared" ca="1" si="10"/>
        <v>6.7567567567588421E-4</v>
      </c>
    </row>
    <row r="62" spans="2:20" x14ac:dyDescent="0.25">
      <c r="H62">
        <v>26</v>
      </c>
      <c r="I62" s="11">
        <v>0.50024999999999964</v>
      </c>
      <c r="J62" s="10">
        <f t="shared" si="0"/>
        <v>-1.9100000000000001E-4</v>
      </c>
      <c r="K62" s="17">
        <f t="shared" si="1"/>
        <v>3.0000000000000001E-5</v>
      </c>
      <c r="L62" s="10">
        <f t="shared" si="2"/>
        <v>3.3E-4</v>
      </c>
      <c r="M62" s="11">
        <f t="shared" si="8"/>
        <v>0.50060620004601486</v>
      </c>
      <c r="N62" s="5">
        <f t="shared" si="3"/>
        <v>7.1204406999544358E-4</v>
      </c>
      <c r="O62">
        <f t="shared" si="4"/>
        <v>2670.7822000000001</v>
      </c>
      <c r="P62">
        <f t="shared" ca="1" si="5"/>
        <v>2671</v>
      </c>
      <c r="Q62" t="str">
        <f t="shared" ca="1" si="9"/>
        <v>0000101001101111</v>
      </c>
      <c r="R62">
        <f t="shared" ca="1" si="6"/>
        <v>0.50081249999999999</v>
      </c>
      <c r="S62">
        <f t="shared" ca="1" si="7"/>
        <v>26.009750000000004</v>
      </c>
      <c r="T62" s="3">
        <f t="shared" ca="1" si="10"/>
        <v>3.7500000000015087E-4</v>
      </c>
    </row>
    <row r="63" spans="2:20" x14ac:dyDescent="0.25">
      <c r="H63">
        <v>26.1</v>
      </c>
      <c r="I63" s="11">
        <v>0.50816666666666666</v>
      </c>
      <c r="J63" s="10">
        <f t="shared" si="0"/>
        <v>-1.9000000000000001E-4</v>
      </c>
      <c r="K63" s="17">
        <f t="shared" si="1"/>
        <v>3.1000000000000001E-5</v>
      </c>
      <c r="L63" s="10">
        <f t="shared" si="2"/>
        <v>3.6099999999999999E-4</v>
      </c>
      <c r="M63" s="11">
        <f t="shared" si="8"/>
        <v>0.50854024969680722</v>
      </c>
      <c r="N63" s="5">
        <f t="shared" si="3"/>
        <v>7.3515847190665934E-4</v>
      </c>
      <c r="O63">
        <f t="shared" si="4"/>
        <v>2713.1111000000001</v>
      </c>
      <c r="P63">
        <f t="shared" ca="1" si="5"/>
        <v>2716</v>
      </c>
      <c r="Q63" t="str">
        <f t="shared" ca="1" si="9"/>
        <v>0000101010011100</v>
      </c>
      <c r="R63">
        <f t="shared" ca="1" si="6"/>
        <v>0.50924999999999998</v>
      </c>
      <c r="S63">
        <f t="shared" ca="1" si="7"/>
        <v>26.111000000000001</v>
      </c>
      <c r="T63" s="3">
        <f t="shared" ca="1" si="10"/>
        <v>4.2145593869728857E-4</v>
      </c>
    </row>
    <row r="64" spans="2:20" x14ac:dyDescent="0.25">
      <c r="H64">
        <v>26.2</v>
      </c>
      <c r="I64" s="11">
        <v>0.51624999999999965</v>
      </c>
      <c r="J64" s="10">
        <f t="shared" si="0"/>
        <v>-1.8900000000000001E-4</v>
      </c>
      <c r="K64" s="17">
        <f t="shared" si="1"/>
        <v>3.1000000000000001E-5</v>
      </c>
      <c r="L64" s="10">
        <f t="shared" si="2"/>
        <v>3.9100000000000002E-4</v>
      </c>
      <c r="M64" s="11">
        <f t="shared" si="8"/>
        <v>0.51664100663359336</v>
      </c>
      <c r="N64" s="5">
        <f t="shared" si="3"/>
        <v>7.5739783746964619E-4</v>
      </c>
      <c r="O64">
        <f t="shared" si="4"/>
        <v>2756.3294000000001</v>
      </c>
      <c r="P64">
        <f t="shared" ca="1" si="5"/>
        <v>2760</v>
      </c>
      <c r="Q64" t="str">
        <f t="shared" ca="1" si="9"/>
        <v>0000101011001000</v>
      </c>
      <c r="R64">
        <f t="shared" ca="1" si="6"/>
        <v>0.51749999999999996</v>
      </c>
      <c r="S64">
        <f t="shared" ca="1" si="7"/>
        <v>26.21</v>
      </c>
      <c r="T64" s="3">
        <f t="shared" ca="1" si="10"/>
        <v>3.8167938931303678E-4</v>
      </c>
    </row>
    <row r="65" spans="8:20" x14ac:dyDescent="0.25">
      <c r="H65">
        <v>26.3</v>
      </c>
      <c r="I65" s="11">
        <v>0.52449999999999997</v>
      </c>
      <c r="J65" s="10">
        <f t="shared" si="0"/>
        <v>-1.8900000000000001E-4</v>
      </c>
      <c r="K65" s="17">
        <f t="shared" si="1"/>
        <v>3.1999999999999999E-5</v>
      </c>
      <c r="L65" s="10">
        <f t="shared" si="2"/>
        <v>4.2200000000000001E-4</v>
      </c>
      <c r="M65" s="11">
        <f t="shared" si="8"/>
        <v>0.52491051223616358</v>
      </c>
      <c r="N65" s="5">
        <f t="shared" si="3"/>
        <v>7.8267347218992985E-4</v>
      </c>
      <c r="O65">
        <f t="shared" si="4"/>
        <v>2800.4481000000001</v>
      </c>
      <c r="P65">
        <f t="shared" ca="1" si="5"/>
        <v>2803</v>
      </c>
      <c r="Q65" t="str">
        <f t="shared" ca="1" si="9"/>
        <v>0000101011110011</v>
      </c>
      <c r="R65">
        <f t="shared" ca="1" si="6"/>
        <v>0.52556250000000004</v>
      </c>
      <c r="S65">
        <f t="shared" ca="1" si="7"/>
        <v>26.306750000000005</v>
      </c>
      <c r="T65" s="3">
        <f t="shared" ca="1" si="10"/>
        <v>2.5665399239558208E-4</v>
      </c>
    </row>
    <row r="66" spans="8:20" x14ac:dyDescent="0.25">
      <c r="H66">
        <v>26.4</v>
      </c>
      <c r="I66" s="11">
        <v>0.53383333333333316</v>
      </c>
      <c r="J66" s="10">
        <f t="shared" si="0"/>
        <v>-1.8799999999999999E-4</v>
      </c>
      <c r="K66" s="17">
        <f t="shared" si="1"/>
        <v>3.1999999999999999E-5</v>
      </c>
      <c r="L66" s="10">
        <f t="shared" si="2"/>
        <v>4.5199999999999998E-4</v>
      </c>
      <c r="M66" s="11">
        <f t="shared" si="8"/>
        <v>0.53426282012803095</v>
      </c>
      <c r="N66" s="5">
        <f t="shared" si="3"/>
        <v>8.045334899115579E-4</v>
      </c>
      <c r="O66">
        <f t="shared" si="4"/>
        <v>2850.3434999999999</v>
      </c>
      <c r="P66">
        <f t="shared" ca="1" si="5"/>
        <v>2848</v>
      </c>
      <c r="Q66" t="str">
        <f t="shared" ca="1" si="9"/>
        <v>0000101100100000</v>
      </c>
      <c r="R66">
        <f t="shared" ca="1" si="6"/>
        <v>0.53400000000000003</v>
      </c>
      <c r="S66">
        <f t="shared" ca="1" si="7"/>
        <v>26.408000000000001</v>
      </c>
      <c r="T66" s="3">
        <f t="shared" ca="1" si="10"/>
        <v>3.0303030303040424E-4</v>
      </c>
    </row>
    <row r="67" spans="8:20" x14ac:dyDescent="0.25">
      <c r="H67">
        <v>26.5</v>
      </c>
      <c r="I67" s="11">
        <v>0.5422499999999999</v>
      </c>
      <c r="J67" s="10">
        <f t="shared" ref="J67:J130" si="12">ROUND(H67*0.00000575 -0.00034,6)</f>
        <v>-1.8799999999999999E-4</v>
      </c>
      <c r="K67" s="17">
        <f t="shared" ref="K67:K130" si="13">ROUND(H67*0.000005-0.0001,6)</f>
        <v>3.3000000000000003E-5</v>
      </c>
      <c r="L67" s="10">
        <f t="shared" ref="L67:L130" si="14">ROUND(K67+($C$24*(H67-25)),6)</f>
        <v>4.8299999999999998E-4</v>
      </c>
      <c r="M67" s="11">
        <f t="shared" si="8"/>
        <v>0.54270012415996916</v>
      </c>
      <c r="N67" s="5">
        <f t="shared" ref="N67:N130" si="15">ABS(I67-M67)/I67</f>
        <v>8.3010449049194341E-4</v>
      </c>
      <c r="O67">
        <f t="shared" ref="O67:O130" si="16">ROUND((M67*(2^($C$12-1)))/$C$44,4)</f>
        <v>2895.3573000000001</v>
      </c>
      <c r="P67">
        <f t="shared" ref="P67:P130" ca="1" si="17">ROUND(O67+$C$47+$C$49+RANDBETWEEN($B$45,$D$45),0)</f>
        <v>2895</v>
      </c>
      <c r="Q67" t="str">
        <f t="shared" ca="1" si="9"/>
        <v>0000101101001111</v>
      </c>
      <c r="R67">
        <f t="shared" ref="R67:R130" ca="1" si="18">($C$16/2^($C$12-1)) * P67</f>
        <v>0.54281250000000003</v>
      </c>
      <c r="S67">
        <f t="shared" ref="S67:S130" ca="1" si="19">(R67+5/3)/(1/12)</f>
        <v>26.513750000000002</v>
      </c>
      <c r="T67" s="3">
        <f t="shared" ca="1" si="10"/>
        <v>5.1886792452836619E-4</v>
      </c>
    </row>
    <row r="68" spans="8:20" x14ac:dyDescent="0.25">
      <c r="H68">
        <v>26.6</v>
      </c>
      <c r="I68" s="11">
        <v>0.54941666666666644</v>
      </c>
      <c r="J68" s="10">
        <f t="shared" si="12"/>
        <v>-1.8699999999999999E-4</v>
      </c>
      <c r="K68" s="17">
        <f t="shared" si="13"/>
        <v>3.3000000000000003E-5</v>
      </c>
      <c r="L68" s="10">
        <f t="shared" si="14"/>
        <v>5.13E-4</v>
      </c>
      <c r="M68" s="11">
        <f t="shared" ref="M68:M131" si="20">(I68-J68)/(1-L68)</f>
        <v>0.54988575806055151</v>
      </c>
      <c r="N68" s="5">
        <f t="shared" si="15"/>
        <v>8.5379898780840616E-4</v>
      </c>
      <c r="O68">
        <f t="shared" si="16"/>
        <v>2933.6934000000001</v>
      </c>
      <c r="P68">
        <f t="shared" ca="1" si="17"/>
        <v>2937</v>
      </c>
      <c r="Q68" t="str">
        <f t="shared" ref="Q68:Q131" ca="1" si="21">_xlfn.BASE(P68,2,16)</f>
        <v>0000101101111001</v>
      </c>
      <c r="R68">
        <f t="shared" ca="1" si="18"/>
        <v>0.5506875</v>
      </c>
      <c r="S68">
        <f t="shared" ca="1" si="19"/>
        <v>26.608249999999998</v>
      </c>
      <c r="T68" s="3">
        <f t="shared" ref="T68:T131" ca="1" si="22">ABS(H68-S68)/H68</f>
        <v>3.1015037593972778E-4</v>
      </c>
    </row>
    <row r="69" spans="8:20" x14ac:dyDescent="0.25">
      <c r="H69">
        <v>26.7</v>
      </c>
      <c r="I69" s="11">
        <v>0.5589999999999995</v>
      </c>
      <c r="J69" s="10">
        <f t="shared" si="12"/>
        <v>-1.8599999999999999E-4</v>
      </c>
      <c r="K69" s="17">
        <f t="shared" si="13"/>
        <v>3.4E-5</v>
      </c>
      <c r="L69" s="10">
        <f t="shared" si="14"/>
        <v>5.44E-4</v>
      </c>
      <c r="M69" s="11">
        <f t="shared" si="20"/>
        <v>0.55949036275733954</v>
      </c>
      <c r="N69" s="5">
        <f t="shared" si="15"/>
        <v>8.7721423495536036E-4</v>
      </c>
      <c r="O69">
        <f t="shared" si="16"/>
        <v>2984.9349000000002</v>
      </c>
      <c r="P69">
        <f t="shared" ca="1" si="17"/>
        <v>2984</v>
      </c>
      <c r="Q69" t="str">
        <f t="shared" ca="1" si="21"/>
        <v>0000101110101000</v>
      </c>
      <c r="R69">
        <f t="shared" ca="1" si="18"/>
        <v>0.5595</v>
      </c>
      <c r="S69">
        <f t="shared" ca="1" si="19"/>
        <v>26.714000000000002</v>
      </c>
      <c r="T69" s="3">
        <f t="shared" ca="1" si="22"/>
        <v>5.2434456928849812E-4</v>
      </c>
    </row>
    <row r="70" spans="8:20" x14ac:dyDescent="0.25">
      <c r="H70">
        <v>26.8</v>
      </c>
      <c r="I70" s="11">
        <v>0.56600000000000006</v>
      </c>
      <c r="J70" s="10">
        <f t="shared" si="12"/>
        <v>-1.8599999999999999E-4</v>
      </c>
      <c r="K70" s="17">
        <f t="shared" si="13"/>
        <v>3.4E-5</v>
      </c>
      <c r="L70" s="10">
        <f t="shared" si="14"/>
        <v>5.7399999999999997E-4</v>
      </c>
      <c r="M70" s="11">
        <f t="shared" si="20"/>
        <v>0.56651117741583679</v>
      </c>
      <c r="N70" s="5">
        <f t="shared" si="15"/>
        <v>9.0314031066559652E-4</v>
      </c>
      <c r="O70">
        <f t="shared" si="16"/>
        <v>3022.3915999999999</v>
      </c>
      <c r="P70">
        <f t="shared" ca="1" si="17"/>
        <v>3022</v>
      </c>
      <c r="Q70" t="str">
        <f t="shared" ca="1" si="21"/>
        <v>0000101111001110</v>
      </c>
      <c r="R70">
        <f t="shared" ca="1" si="18"/>
        <v>0.56662500000000005</v>
      </c>
      <c r="S70">
        <f t="shared" ca="1" si="19"/>
        <v>26.799500000000002</v>
      </c>
      <c r="T70" s="3">
        <f t="shared" ca="1" si="22"/>
        <v>1.8656716417866965E-5</v>
      </c>
    </row>
    <row r="71" spans="8:20" x14ac:dyDescent="0.25">
      <c r="H71">
        <v>26.9</v>
      </c>
      <c r="I71" s="11">
        <v>0.57458333333333322</v>
      </c>
      <c r="J71" s="10">
        <f t="shared" si="12"/>
        <v>-1.85E-4</v>
      </c>
      <c r="K71" s="17">
        <f t="shared" si="13"/>
        <v>3.4999999999999997E-5</v>
      </c>
      <c r="L71" s="10">
        <f t="shared" si="14"/>
        <v>6.0499999999999996E-4</v>
      </c>
      <c r="M71" s="11">
        <f t="shared" si="20"/>
        <v>0.57511627868193582</v>
      </c>
      <c r="N71" s="5">
        <f t="shared" si="15"/>
        <v>9.2753360162888736E-4</v>
      </c>
      <c r="O71">
        <f t="shared" si="16"/>
        <v>3068.3006</v>
      </c>
      <c r="P71">
        <f t="shared" ca="1" si="17"/>
        <v>3070</v>
      </c>
      <c r="Q71" t="str">
        <f t="shared" ca="1" si="21"/>
        <v>0000101111111110</v>
      </c>
      <c r="R71">
        <f t="shared" ca="1" si="18"/>
        <v>0.57562500000000005</v>
      </c>
      <c r="S71">
        <f t="shared" ca="1" si="19"/>
        <v>26.907499999999999</v>
      </c>
      <c r="T71" s="3">
        <f t="shared" ca="1" si="22"/>
        <v>2.7881040892194367E-4</v>
      </c>
    </row>
    <row r="72" spans="8:20" x14ac:dyDescent="0.25">
      <c r="H72">
        <v>27</v>
      </c>
      <c r="I72" s="11">
        <v>0.58324999999999982</v>
      </c>
      <c r="J72" s="10">
        <f t="shared" si="12"/>
        <v>-1.85E-4</v>
      </c>
      <c r="K72" s="17">
        <f t="shared" si="13"/>
        <v>3.4999999999999997E-5</v>
      </c>
      <c r="L72" s="10">
        <f t="shared" si="14"/>
        <v>6.3500000000000004E-4</v>
      </c>
      <c r="M72" s="11">
        <f t="shared" si="20"/>
        <v>0.58380571663005998</v>
      </c>
      <c r="N72" s="5">
        <f t="shared" si="15"/>
        <v>9.5279319341646769E-4</v>
      </c>
      <c r="O72">
        <f t="shared" si="16"/>
        <v>3114.6596</v>
      </c>
      <c r="P72">
        <f t="shared" ca="1" si="17"/>
        <v>3117</v>
      </c>
      <c r="Q72" t="str">
        <f t="shared" ca="1" si="21"/>
        <v>0000110000101101</v>
      </c>
      <c r="R72">
        <f t="shared" ca="1" si="18"/>
        <v>0.58443750000000005</v>
      </c>
      <c r="S72">
        <f t="shared" ca="1" si="19"/>
        <v>27.013250000000003</v>
      </c>
      <c r="T72" s="3">
        <f t="shared" ca="1" si="22"/>
        <v>4.9074074074084706E-4</v>
      </c>
    </row>
    <row r="73" spans="8:20" x14ac:dyDescent="0.25">
      <c r="H73">
        <v>27.1</v>
      </c>
      <c r="I73" s="11">
        <v>0.59225000000000017</v>
      </c>
      <c r="J73" s="10">
        <f t="shared" si="12"/>
        <v>-1.84E-4</v>
      </c>
      <c r="K73" s="17">
        <f t="shared" si="13"/>
        <v>3.6000000000000001E-5</v>
      </c>
      <c r="L73" s="10">
        <f t="shared" si="14"/>
        <v>6.6600000000000003E-4</v>
      </c>
      <c r="M73" s="11">
        <f t="shared" si="20"/>
        <v>0.59282882399678205</v>
      </c>
      <c r="N73" s="5">
        <f t="shared" si="15"/>
        <v>9.7733051377270602E-4</v>
      </c>
      <c r="O73">
        <f t="shared" si="16"/>
        <v>3162.7988</v>
      </c>
      <c r="P73">
        <f t="shared" ca="1" si="17"/>
        <v>3164</v>
      </c>
      <c r="Q73" t="str">
        <f t="shared" ca="1" si="21"/>
        <v>0000110001011100</v>
      </c>
      <c r="R73">
        <f t="shared" ca="1" si="18"/>
        <v>0.59325000000000006</v>
      </c>
      <c r="S73">
        <f t="shared" ca="1" si="19"/>
        <v>27.119000000000003</v>
      </c>
      <c r="T73" s="3">
        <f t="shared" ca="1" si="22"/>
        <v>7.0110701107018098E-4</v>
      </c>
    </row>
    <row r="74" spans="8:20" x14ac:dyDescent="0.25">
      <c r="H74">
        <v>27.2</v>
      </c>
      <c r="I74" s="11">
        <v>0.59933333333333327</v>
      </c>
      <c r="J74" s="10">
        <f t="shared" si="12"/>
        <v>-1.84E-4</v>
      </c>
      <c r="K74" s="17">
        <f t="shared" si="13"/>
        <v>3.6000000000000001E-5</v>
      </c>
      <c r="L74" s="10">
        <f t="shared" si="14"/>
        <v>6.96E-4</v>
      </c>
      <c r="M74" s="11">
        <f t="shared" si="20"/>
        <v>0.59993488801539196</v>
      </c>
      <c r="N74" s="5">
        <f t="shared" si="15"/>
        <v>1.0037063660601083E-3</v>
      </c>
      <c r="O74">
        <f t="shared" si="16"/>
        <v>3200.7103000000002</v>
      </c>
      <c r="P74">
        <f t="shared" ca="1" si="17"/>
        <v>3201</v>
      </c>
      <c r="Q74" t="str">
        <f t="shared" ca="1" si="21"/>
        <v>0000110010000001</v>
      </c>
      <c r="R74">
        <f t="shared" ca="1" si="18"/>
        <v>0.60018749999999998</v>
      </c>
      <c r="S74">
        <f t="shared" ca="1" si="19"/>
        <v>27.202249999999999</v>
      </c>
      <c r="T74" s="3">
        <f t="shared" ca="1" si="22"/>
        <v>8.2720588235297258E-5</v>
      </c>
    </row>
    <row r="75" spans="8:20" x14ac:dyDescent="0.25">
      <c r="H75">
        <v>27.3</v>
      </c>
      <c r="I75" s="11">
        <v>0.60824999999999974</v>
      </c>
      <c r="J75" s="10">
        <f t="shared" si="12"/>
        <v>-1.83E-4</v>
      </c>
      <c r="K75" s="17">
        <f t="shared" si="13"/>
        <v>3.6999999999999998E-5</v>
      </c>
      <c r="L75" s="10">
        <f t="shared" si="14"/>
        <v>7.27E-4</v>
      </c>
      <c r="M75" s="11">
        <f t="shared" si="20"/>
        <v>0.60887565259943954</v>
      </c>
      <c r="N75" s="5">
        <f t="shared" si="15"/>
        <v>1.0286109320835313E-3</v>
      </c>
      <c r="O75">
        <f t="shared" si="16"/>
        <v>3248.4101000000001</v>
      </c>
      <c r="P75">
        <f t="shared" ca="1" si="17"/>
        <v>3252</v>
      </c>
      <c r="Q75" t="str">
        <f t="shared" ca="1" si="21"/>
        <v>0000110010110100</v>
      </c>
      <c r="R75">
        <f t="shared" ca="1" si="18"/>
        <v>0.60975000000000001</v>
      </c>
      <c r="S75">
        <f t="shared" ca="1" si="19"/>
        <v>27.317000000000004</v>
      </c>
      <c r="T75" s="3">
        <f t="shared" ca="1" si="22"/>
        <v>6.2271062271073308E-4</v>
      </c>
    </row>
    <row r="76" spans="8:20" x14ac:dyDescent="0.25">
      <c r="H76">
        <v>27.4</v>
      </c>
      <c r="I76" s="11">
        <v>0.61658333333333304</v>
      </c>
      <c r="J76" s="10">
        <f t="shared" si="12"/>
        <v>-1.8200000000000001E-4</v>
      </c>
      <c r="K76" s="17">
        <f t="shared" si="13"/>
        <v>3.6999999999999998E-5</v>
      </c>
      <c r="L76" s="10">
        <f t="shared" si="14"/>
        <v>7.5699999999999997E-4</v>
      </c>
      <c r="M76" s="11">
        <f t="shared" si="20"/>
        <v>0.6172325783951782</v>
      </c>
      <c r="N76" s="5">
        <f t="shared" si="15"/>
        <v>1.0529721235493894E-3</v>
      </c>
      <c r="O76">
        <f t="shared" si="16"/>
        <v>3292.9951999999998</v>
      </c>
      <c r="P76">
        <f t="shared" ca="1" si="17"/>
        <v>3297</v>
      </c>
      <c r="Q76" t="str">
        <f t="shared" ca="1" si="21"/>
        <v>0000110011100001</v>
      </c>
      <c r="R76">
        <f t="shared" ca="1" si="18"/>
        <v>0.6181875</v>
      </c>
      <c r="S76">
        <f t="shared" ca="1" si="19"/>
        <v>27.418250000000004</v>
      </c>
      <c r="T76" s="3">
        <f t="shared" ca="1" si="22"/>
        <v>6.6605839416078211E-4</v>
      </c>
    </row>
    <row r="77" spans="8:20" x14ac:dyDescent="0.25">
      <c r="H77">
        <v>27.5</v>
      </c>
      <c r="I77" s="11">
        <v>0.62499999999999978</v>
      </c>
      <c r="J77" s="10">
        <f t="shared" si="12"/>
        <v>-1.8200000000000001E-4</v>
      </c>
      <c r="K77" s="17">
        <f t="shared" si="13"/>
        <v>3.8000000000000002E-5</v>
      </c>
      <c r="L77" s="10">
        <f t="shared" si="14"/>
        <v>7.8799999999999996E-4</v>
      </c>
      <c r="M77" s="11">
        <f t="shared" si="20"/>
        <v>0.62567503192515683</v>
      </c>
      <c r="N77" s="5">
        <f t="shared" si="15"/>
        <v>1.0800510802512879E-3</v>
      </c>
      <c r="O77">
        <f t="shared" si="16"/>
        <v>3338.0365000000002</v>
      </c>
      <c r="P77">
        <f t="shared" ca="1" si="17"/>
        <v>3336</v>
      </c>
      <c r="Q77" t="str">
        <f t="shared" ca="1" si="21"/>
        <v>0000110100001000</v>
      </c>
      <c r="R77">
        <f t="shared" ca="1" si="18"/>
        <v>0.62550000000000006</v>
      </c>
      <c r="S77">
        <f t="shared" ca="1" si="19"/>
        <v>27.506</v>
      </c>
      <c r="T77" s="3">
        <f t="shared" ca="1" si="22"/>
        <v>2.1818181818182645E-4</v>
      </c>
    </row>
    <row r="78" spans="8:20" x14ac:dyDescent="0.25">
      <c r="H78">
        <v>27.6</v>
      </c>
      <c r="I78" s="11">
        <v>0.63324999999999965</v>
      </c>
      <c r="J78" s="10">
        <f t="shared" si="12"/>
        <v>-1.8100000000000001E-4</v>
      </c>
      <c r="K78" s="17">
        <f t="shared" si="13"/>
        <v>3.8000000000000002E-5</v>
      </c>
      <c r="L78" s="10">
        <f t="shared" si="14"/>
        <v>8.1800000000000004E-4</v>
      </c>
      <c r="M78" s="11">
        <f t="shared" si="20"/>
        <v>0.63394957074887215</v>
      </c>
      <c r="N78" s="5">
        <f t="shared" si="15"/>
        <v>1.1047307522660918E-3</v>
      </c>
      <c r="O78">
        <f t="shared" si="16"/>
        <v>3382.1819</v>
      </c>
      <c r="P78">
        <f t="shared" ca="1" si="17"/>
        <v>3385</v>
      </c>
      <c r="Q78" t="str">
        <f t="shared" ca="1" si="21"/>
        <v>0000110100111001</v>
      </c>
      <c r="R78">
        <f t="shared" ca="1" si="18"/>
        <v>0.63468749999999996</v>
      </c>
      <c r="S78">
        <f t="shared" ca="1" si="19"/>
        <v>27.616250000000001</v>
      </c>
      <c r="T78" s="3">
        <f t="shared" ca="1" si="22"/>
        <v>5.8876811594200831E-4</v>
      </c>
    </row>
    <row r="79" spans="8:20" x14ac:dyDescent="0.25">
      <c r="H79">
        <v>27.7</v>
      </c>
      <c r="I79" s="11">
        <v>0.64216666666666655</v>
      </c>
      <c r="J79" s="10">
        <f t="shared" si="12"/>
        <v>-1.8100000000000001E-4</v>
      </c>
      <c r="K79" s="17">
        <f t="shared" si="13"/>
        <v>3.8999999999999999E-5</v>
      </c>
      <c r="L79" s="10">
        <f t="shared" si="14"/>
        <v>8.4900000000000004E-4</v>
      </c>
      <c r="M79" s="11">
        <f t="shared" si="20"/>
        <v>0.64289348323393214</v>
      </c>
      <c r="N79" s="5">
        <f t="shared" si="15"/>
        <v>1.1318192067463072E-3</v>
      </c>
      <c r="O79">
        <f t="shared" si="16"/>
        <v>3429.8984999999998</v>
      </c>
      <c r="P79">
        <f t="shared" ca="1" si="17"/>
        <v>3433</v>
      </c>
      <c r="Q79" t="str">
        <f t="shared" ca="1" si="21"/>
        <v>0000110101101001</v>
      </c>
      <c r="R79">
        <f t="shared" ca="1" si="18"/>
        <v>0.64368749999999997</v>
      </c>
      <c r="S79">
        <f t="shared" ca="1" si="19"/>
        <v>27.724249999999998</v>
      </c>
      <c r="T79" s="3">
        <f t="shared" ca="1" si="22"/>
        <v>8.7545126353785383E-4</v>
      </c>
    </row>
    <row r="80" spans="8:20" x14ac:dyDescent="0.25">
      <c r="H80">
        <v>27.8</v>
      </c>
      <c r="I80" s="11">
        <v>0.64966666666666639</v>
      </c>
      <c r="J80" s="10">
        <f t="shared" si="12"/>
        <v>-1.8000000000000001E-4</v>
      </c>
      <c r="K80" s="17">
        <f t="shared" si="13"/>
        <v>3.8999999999999999E-5</v>
      </c>
      <c r="L80" s="10">
        <f t="shared" si="14"/>
        <v>8.7900000000000001E-4</v>
      </c>
      <c r="M80" s="11">
        <f t="shared" si="20"/>
        <v>0.65041838442657729</v>
      </c>
      <c r="N80" s="5">
        <f t="shared" si="15"/>
        <v>1.1570822369074869E-3</v>
      </c>
      <c r="O80">
        <f t="shared" si="16"/>
        <v>3470.0446000000002</v>
      </c>
      <c r="P80">
        <f t="shared" ca="1" si="17"/>
        <v>3468</v>
      </c>
      <c r="Q80" t="str">
        <f t="shared" ca="1" si="21"/>
        <v>0000110110001100</v>
      </c>
      <c r="R80">
        <f t="shared" ca="1" si="18"/>
        <v>0.65024999999999999</v>
      </c>
      <c r="S80">
        <f t="shared" ca="1" si="19"/>
        <v>27.803000000000001</v>
      </c>
      <c r="T80" s="3">
        <f t="shared" ca="1" si="22"/>
        <v>1.0791366906475229E-4</v>
      </c>
    </row>
    <row r="81" spans="8:20" x14ac:dyDescent="0.25">
      <c r="H81">
        <v>27.9</v>
      </c>
      <c r="I81" s="11">
        <v>0.65841666666666643</v>
      </c>
      <c r="J81" s="10">
        <f t="shared" si="12"/>
        <v>-1.8000000000000001E-4</v>
      </c>
      <c r="K81" s="17">
        <f t="shared" si="13"/>
        <v>4.0000000000000003E-5</v>
      </c>
      <c r="L81" s="10">
        <f t="shared" si="14"/>
        <v>9.1E-4</v>
      </c>
      <c r="M81" s="11">
        <f t="shared" si="20"/>
        <v>0.65919653551398405</v>
      </c>
      <c r="N81" s="5">
        <f t="shared" si="15"/>
        <v>1.1844609755488503E-3</v>
      </c>
      <c r="O81">
        <f t="shared" si="16"/>
        <v>3516.8769000000002</v>
      </c>
      <c r="P81">
        <f t="shared" ca="1" si="17"/>
        <v>3514</v>
      </c>
      <c r="Q81" t="str">
        <f t="shared" ca="1" si="21"/>
        <v>0000110110111010</v>
      </c>
      <c r="R81">
        <f t="shared" ca="1" si="18"/>
        <v>0.65887499999999999</v>
      </c>
      <c r="S81">
        <f t="shared" ca="1" si="19"/>
        <v>27.906500000000001</v>
      </c>
      <c r="T81" s="3">
        <f t="shared" ca="1" si="22"/>
        <v>2.3297491039435896E-4</v>
      </c>
    </row>
    <row r="82" spans="8:20" x14ac:dyDescent="0.25">
      <c r="H82">
        <v>28</v>
      </c>
      <c r="I82" s="11">
        <v>0.66649999999999987</v>
      </c>
      <c r="J82" s="10">
        <f t="shared" si="12"/>
        <v>-1.7899999999999999E-4</v>
      </c>
      <c r="K82" s="17">
        <f t="shared" si="13"/>
        <v>4.0000000000000003E-5</v>
      </c>
      <c r="L82" s="10">
        <f t="shared" si="14"/>
        <v>9.3999999999999997E-4</v>
      </c>
      <c r="M82" s="11">
        <f t="shared" si="20"/>
        <v>0.66730626789181824</v>
      </c>
      <c r="N82" s="5">
        <f t="shared" si="15"/>
        <v>1.2097042637935014E-3</v>
      </c>
      <c r="O82">
        <f t="shared" si="16"/>
        <v>3560.1430999999998</v>
      </c>
      <c r="P82">
        <f t="shared" ca="1" si="17"/>
        <v>3560</v>
      </c>
      <c r="Q82" t="str">
        <f t="shared" ca="1" si="21"/>
        <v>0000110111101000</v>
      </c>
      <c r="R82">
        <f t="shared" ca="1" si="18"/>
        <v>0.66749999999999998</v>
      </c>
      <c r="S82">
        <f t="shared" ca="1" si="19"/>
        <v>28.009999999999998</v>
      </c>
      <c r="T82" s="3">
        <f t="shared" ca="1" si="22"/>
        <v>3.5714285714278607E-4</v>
      </c>
    </row>
    <row r="83" spans="8:20" x14ac:dyDescent="0.25">
      <c r="H83">
        <v>28.1</v>
      </c>
      <c r="I83" s="11">
        <v>0.67533333333333334</v>
      </c>
      <c r="J83" s="10">
        <f t="shared" si="12"/>
        <v>-1.7799999999999999E-4</v>
      </c>
      <c r="K83" s="17">
        <f t="shared" si="13"/>
        <v>4.1E-5</v>
      </c>
      <c r="L83" s="10">
        <f t="shared" si="14"/>
        <v>9.7099999999999997E-4</v>
      </c>
      <c r="M83" s="11">
        <f t="shared" si="20"/>
        <v>0.67616789235681185</v>
      </c>
      <c r="N83" s="5">
        <f t="shared" si="15"/>
        <v>1.2357734799780494E-3</v>
      </c>
      <c r="O83">
        <f t="shared" si="16"/>
        <v>3607.4207000000001</v>
      </c>
      <c r="P83">
        <f t="shared" ca="1" si="17"/>
        <v>3611</v>
      </c>
      <c r="Q83" t="str">
        <f t="shared" ca="1" si="21"/>
        <v>0000111000011011</v>
      </c>
      <c r="R83">
        <f t="shared" ca="1" si="18"/>
        <v>0.67706250000000001</v>
      </c>
      <c r="S83">
        <f t="shared" ca="1" si="19"/>
        <v>28.124750000000002</v>
      </c>
      <c r="T83" s="3">
        <f t="shared" ca="1" si="22"/>
        <v>8.8078291814949956E-4</v>
      </c>
    </row>
    <row r="84" spans="8:20" x14ac:dyDescent="0.25">
      <c r="H84">
        <v>28.200000000000003</v>
      </c>
      <c r="I84" s="11">
        <v>0.68366666666666664</v>
      </c>
      <c r="J84" s="10">
        <f t="shared" si="12"/>
        <v>-1.7799999999999999E-4</v>
      </c>
      <c r="K84" s="17">
        <f t="shared" si="13"/>
        <v>4.1E-5</v>
      </c>
      <c r="L84" s="10">
        <f t="shared" si="14"/>
        <v>1.0009999999999999E-3</v>
      </c>
      <c r="M84" s="11">
        <f t="shared" si="20"/>
        <v>0.68452988107762536</v>
      </c>
      <c r="N84" s="5">
        <f t="shared" si="15"/>
        <v>1.2626246869215688E-3</v>
      </c>
      <c r="O84">
        <f t="shared" si="16"/>
        <v>3652.0327000000002</v>
      </c>
      <c r="P84">
        <f t="shared" ca="1" si="17"/>
        <v>3652</v>
      </c>
      <c r="Q84" t="str">
        <f t="shared" ca="1" si="21"/>
        <v>0000111001000100</v>
      </c>
      <c r="R84">
        <f t="shared" ca="1" si="18"/>
        <v>0.68474999999999997</v>
      </c>
      <c r="S84">
        <f t="shared" ca="1" si="19"/>
        <v>28.217000000000002</v>
      </c>
      <c r="T84" s="3">
        <f t="shared" ca="1" si="22"/>
        <v>6.028368794326049E-4</v>
      </c>
    </row>
    <row r="85" spans="8:20" x14ac:dyDescent="0.25">
      <c r="H85">
        <v>28.3</v>
      </c>
      <c r="I85" s="11">
        <v>0.69175000000000009</v>
      </c>
      <c r="J85" s="10">
        <f t="shared" si="12"/>
        <v>-1.7699999999999999E-4</v>
      </c>
      <c r="K85" s="17">
        <f t="shared" si="13"/>
        <v>4.1999999999999998E-5</v>
      </c>
      <c r="L85" s="10">
        <f t="shared" si="14"/>
        <v>1.0319999999999999E-3</v>
      </c>
      <c r="M85" s="11">
        <f t="shared" si="20"/>
        <v>0.69264180634414729</v>
      </c>
      <c r="N85" s="5">
        <f t="shared" si="15"/>
        <v>1.2892032441593141E-3</v>
      </c>
      <c r="O85">
        <f t="shared" si="16"/>
        <v>3695.3105999999998</v>
      </c>
      <c r="P85">
        <f t="shared" ca="1" si="17"/>
        <v>3696</v>
      </c>
      <c r="Q85" t="str">
        <f t="shared" ca="1" si="21"/>
        <v>0000111001110000</v>
      </c>
      <c r="R85">
        <f t="shared" ca="1" si="18"/>
        <v>0.69300000000000006</v>
      </c>
      <c r="S85">
        <f t="shared" ca="1" si="19"/>
        <v>28.315999999999999</v>
      </c>
      <c r="T85" s="3">
        <f t="shared" ca="1" si="22"/>
        <v>5.6537102473492001E-4</v>
      </c>
    </row>
    <row r="86" spans="8:20" x14ac:dyDescent="0.25">
      <c r="H86">
        <v>28.4</v>
      </c>
      <c r="I86" s="11">
        <v>0.69974999999999965</v>
      </c>
      <c r="J86" s="10">
        <f t="shared" si="12"/>
        <v>-1.7699999999999999E-4</v>
      </c>
      <c r="K86" s="17">
        <f t="shared" si="13"/>
        <v>4.1999999999999998E-5</v>
      </c>
      <c r="L86" s="10">
        <f t="shared" si="14"/>
        <v>1.062E-3</v>
      </c>
      <c r="M86" s="11">
        <f t="shared" si="20"/>
        <v>0.70067111272171012</v>
      </c>
      <c r="N86" s="5">
        <f t="shared" si="15"/>
        <v>1.3163454401007094E-3</v>
      </c>
      <c r="O86">
        <f t="shared" si="16"/>
        <v>3738.1478000000002</v>
      </c>
      <c r="P86">
        <f t="shared" ca="1" si="17"/>
        <v>3739</v>
      </c>
      <c r="Q86" t="str">
        <f t="shared" ca="1" si="21"/>
        <v>0000111010011011</v>
      </c>
      <c r="R86">
        <f t="shared" ca="1" si="18"/>
        <v>0.70106250000000003</v>
      </c>
      <c r="S86">
        <f t="shared" ca="1" si="19"/>
        <v>28.412750000000003</v>
      </c>
      <c r="T86" s="3">
        <f t="shared" ca="1" si="22"/>
        <v>4.489436619719731E-4</v>
      </c>
    </row>
    <row r="87" spans="8:20" x14ac:dyDescent="0.25">
      <c r="H87">
        <v>28.5</v>
      </c>
      <c r="I87" s="11">
        <v>0.70841666666666669</v>
      </c>
      <c r="J87" s="10">
        <f t="shared" si="12"/>
        <v>-1.76E-4</v>
      </c>
      <c r="K87" s="17">
        <f t="shared" si="13"/>
        <v>4.3000000000000002E-5</v>
      </c>
      <c r="L87" s="10">
        <f t="shared" si="14"/>
        <v>1.093E-3</v>
      </c>
      <c r="M87" s="11">
        <f t="shared" si="20"/>
        <v>0.70936800589711224</v>
      </c>
      <c r="N87" s="5">
        <f t="shared" si="15"/>
        <v>1.3429091595514133E-3</v>
      </c>
      <c r="O87">
        <f t="shared" si="16"/>
        <v>3784.5464999999999</v>
      </c>
      <c r="P87">
        <f t="shared" ca="1" si="17"/>
        <v>3785</v>
      </c>
      <c r="Q87" t="str">
        <f t="shared" ca="1" si="21"/>
        <v>0000111011001001</v>
      </c>
      <c r="R87">
        <f t="shared" ca="1" si="18"/>
        <v>0.70968750000000003</v>
      </c>
      <c r="S87">
        <f t="shared" ca="1" si="19"/>
        <v>28.516250000000003</v>
      </c>
      <c r="T87" s="3">
        <f t="shared" ca="1" si="22"/>
        <v>5.7017543859659591E-4</v>
      </c>
    </row>
    <row r="88" spans="8:20" x14ac:dyDescent="0.25">
      <c r="H88">
        <v>28.6</v>
      </c>
      <c r="I88" s="11">
        <v>0.7164166666666667</v>
      </c>
      <c r="J88" s="10">
        <f t="shared" si="12"/>
        <v>-1.76E-4</v>
      </c>
      <c r="K88" s="17">
        <f t="shared" si="13"/>
        <v>4.3000000000000002E-5</v>
      </c>
      <c r="L88" s="10">
        <f t="shared" si="14"/>
        <v>1.1230000000000001E-3</v>
      </c>
      <c r="M88" s="11">
        <f t="shared" si="20"/>
        <v>0.71739830496314028</v>
      </c>
      <c r="N88" s="5">
        <f t="shared" si="15"/>
        <v>1.3702058343239383E-3</v>
      </c>
      <c r="O88">
        <f t="shared" si="16"/>
        <v>3827.3888999999999</v>
      </c>
      <c r="P88">
        <f t="shared" ca="1" si="17"/>
        <v>3827</v>
      </c>
      <c r="Q88" t="str">
        <f t="shared" ca="1" si="21"/>
        <v>0000111011110011</v>
      </c>
      <c r="R88">
        <f t="shared" ca="1" si="18"/>
        <v>0.71756249999999999</v>
      </c>
      <c r="S88">
        <f t="shared" ca="1" si="19"/>
        <v>28.610749999999999</v>
      </c>
      <c r="T88" s="3">
        <f t="shared" ca="1" si="22"/>
        <v>3.7587412587405727E-4</v>
      </c>
    </row>
    <row r="89" spans="8:20" x14ac:dyDescent="0.25">
      <c r="H89">
        <v>28.700000000000003</v>
      </c>
      <c r="I89" s="11">
        <v>0.72475000000000001</v>
      </c>
      <c r="J89" s="10">
        <f t="shared" si="12"/>
        <v>-1.75E-4</v>
      </c>
      <c r="K89" s="17">
        <f t="shared" si="13"/>
        <v>4.3999999999999999E-5</v>
      </c>
      <c r="L89" s="10">
        <f t="shared" si="14"/>
        <v>1.1540000000000001E-3</v>
      </c>
      <c r="M89" s="11">
        <f t="shared" si="20"/>
        <v>0.72576252995957335</v>
      </c>
      <c r="N89" s="5">
        <f t="shared" si="15"/>
        <v>1.3970747976175914E-3</v>
      </c>
      <c r="O89">
        <f t="shared" si="16"/>
        <v>3872.0129000000002</v>
      </c>
      <c r="P89">
        <f t="shared" ca="1" si="17"/>
        <v>3874</v>
      </c>
      <c r="Q89" t="str">
        <f t="shared" ca="1" si="21"/>
        <v>0000111100100010</v>
      </c>
      <c r="R89">
        <f t="shared" ca="1" si="18"/>
        <v>0.72637499999999999</v>
      </c>
      <c r="S89">
        <f t="shared" ca="1" si="19"/>
        <v>28.716500000000003</v>
      </c>
      <c r="T89" s="3">
        <f t="shared" ca="1" si="22"/>
        <v>5.749128919860844E-4</v>
      </c>
    </row>
    <row r="90" spans="8:20" x14ac:dyDescent="0.25">
      <c r="H90">
        <v>28.8</v>
      </c>
      <c r="I90" s="11">
        <v>0.7337499999999999</v>
      </c>
      <c r="J90" s="10">
        <f t="shared" si="12"/>
        <v>-1.74E-4</v>
      </c>
      <c r="K90" s="17">
        <f t="shared" si="13"/>
        <v>4.3999999999999999E-5</v>
      </c>
      <c r="L90" s="10">
        <f t="shared" si="14"/>
        <v>1.1839999999999999E-3</v>
      </c>
      <c r="M90" s="11">
        <f t="shared" si="20"/>
        <v>0.73479399609137208</v>
      </c>
      <c r="N90" s="5">
        <f t="shared" si="15"/>
        <v>1.4228226117508405E-3</v>
      </c>
      <c r="O90">
        <f t="shared" si="16"/>
        <v>3920.1966000000002</v>
      </c>
      <c r="P90">
        <f t="shared" ca="1" si="17"/>
        <v>3922</v>
      </c>
      <c r="Q90" t="str">
        <f t="shared" ca="1" si="21"/>
        <v>0000111101010010</v>
      </c>
      <c r="R90">
        <f t="shared" ca="1" si="18"/>
        <v>0.735375</v>
      </c>
      <c r="S90">
        <f t="shared" ca="1" si="19"/>
        <v>28.824500000000004</v>
      </c>
      <c r="T90" s="3">
        <f t="shared" ca="1" si="22"/>
        <v>8.5069444444455888E-4</v>
      </c>
    </row>
    <row r="91" spans="8:20" x14ac:dyDescent="0.25">
      <c r="H91">
        <v>28.9</v>
      </c>
      <c r="I91" s="11">
        <v>0.74141666666666617</v>
      </c>
      <c r="J91" s="10">
        <f t="shared" si="12"/>
        <v>-1.74E-4</v>
      </c>
      <c r="K91" s="17">
        <f t="shared" si="13"/>
        <v>4.5000000000000003E-5</v>
      </c>
      <c r="L91" s="10">
        <f t="shared" si="14"/>
        <v>1.2149999999999999E-3</v>
      </c>
      <c r="M91" s="11">
        <f t="shared" si="20"/>
        <v>0.7424927954130931</v>
      </c>
      <c r="N91" s="5">
        <f t="shared" si="15"/>
        <v>1.4514493601352329E-3</v>
      </c>
      <c r="O91">
        <f t="shared" si="16"/>
        <v>3961.2705000000001</v>
      </c>
      <c r="P91">
        <f t="shared" ca="1" si="17"/>
        <v>3962</v>
      </c>
      <c r="Q91" t="str">
        <f t="shared" ca="1" si="21"/>
        <v>0000111101111010</v>
      </c>
      <c r="R91">
        <f t="shared" ca="1" si="18"/>
        <v>0.74287500000000006</v>
      </c>
      <c r="S91">
        <f t="shared" ca="1" si="19"/>
        <v>28.9145</v>
      </c>
      <c r="T91" s="3">
        <f t="shared" ca="1" si="22"/>
        <v>5.0173010380628836E-4</v>
      </c>
    </row>
    <row r="92" spans="8:20" x14ac:dyDescent="0.25">
      <c r="H92">
        <v>29</v>
      </c>
      <c r="I92" s="11">
        <v>0.74924999999999975</v>
      </c>
      <c r="J92" s="10">
        <f t="shared" si="12"/>
        <v>-1.73E-4</v>
      </c>
      <c r="K92" s="17">
        <f t="shared" si="13"/>
        <v>4.5000000000000003E-5</v>
      </c>
      <c r="L92" s="10">
        <f t="shared" si="14"/>
        <v>1.245E-3</v>
      </c>
      <c r="M92" s="11">
        <f t="shared" si="20"/>
        <v>0.75035719470741047</v>
      </c>
      <c r="N92" s="5">
        <f t="shared" si="15"/>
        <v>1.4777373472281874E-3</v>
      </c>
      <c r="O92">
        <f t="shared" si="16"/>
        <v>4003.2278000000001</v>
      </c>
      <c r="P92">
        <f t="shared" ca="1" si="17"/>
        <v>4004</v>
      </c>
      <c r="Q92" t="str">
        <f t="shared" ca="1" si="21"/>
        <v>0000111110100100</v>
      </c>
      <c r="R92">
        <f t="shared" ca="1" si="18"/>
        <v>0.75075000000000003</v>
      </c>
      <c r="S92">
        <f t="shared" ca="1" si="19"/>
        <v>29.009000000000004</v>
      </c>
      <c r="T92" s="3">
        <f t="shared" ca="1" si="22"/>
        <v>3.1034482758634114E-4</v>
      </c>
    </row>
    <row r="93" spans="8:20" x14ac:dyDescent="0.25">
      <c r="H93">
        <v>29.1</v>
      </c>
      <c r="I93" s="11">
        <v>0.75899999999999967</v>
      </c>
      <c r="J93" s="10">
        <f t="shared" si="12"/>
        <v>-1.73E-4</v>
      </c>
      <c r="K93" s="17">
        <f t="shared" si="13"/>
        <v>4.6E-5</v>
      </c>
      <c r="L93" s="10">
        <f t="shared" si="14"/>
        <v>1.276E-3</v>
      </c>
      <c r="M93" s="11">
        <f t="shared" si="20"/>
        <v>0.76014294239449509</v>
      </c>
      <c r="N93" s="5">
        <f t="shared" si="15"/>
        <v>1.5058529571744623E-3</v>
      </c>
      <c r="O93">
        <f t="shared" si="16"/>
        <v>4055.4357</v>
      </c>
      <c r="P93">
        <f t="shared" ca="1" si="17"/>
        <v>4059</v>
      </c>
      <c r="Q93" t="str">
        <f t="shared" ca="1" si="21"/>
        <v>0000111111011011</v>
      </c>
      <c r="R93">
        <f t="shared" ca="1" si="18"/>
        <v>0.76106249999999998</v>
      </c>
      <c r="S93">
        <f t="shared" ca="1" si="19"/>
        <v>29.132749999999998</v>
      </c>
      <c r="T93" s="3">
        <f t="shared" ca="1" si="22"/>
        <v>1.1254295532644846E-3</v>
      </c>
    </row>
    <row r="94" spans="8:20" x14ac:dyDescent="0.25">
      <c r="H94">
        <v>29.200000000000003</v>
      </c>
      <c r="I94" s="11">
        <v>0.76716666666666655</v>
      </c>
      <c r="J94" s="10">
        <f t="shared" si="12"/>
        <v>-1.7200000000000001E-4</v>
      </c>
      <c r="K94" s="17">
        <f t="shared" si="13"/>
        <v>4.6E-5</v>
      </c>
      <c r="L94" s="10">
        <f t="shared" si="14"/>
        <v>1.3060000000000001E-3</v>
      </c>
      <c r="M94" s="11">
        <f t="shared" si="20"/>
        <v>0.76834212147731595</v>
      </c>
      <c r="N94" s="5">
        <f t="shared" si="15"/>
        <v>1.5322026643268321E-3</v>
      </c>
      <c r="O94">
        <f t="shared" si="16"/>
        <v>4099.1791000000003</v>
      </c>
      <c r="P94">
        <f t="shared" ca="1" si="17"/>
        <v>4098</v>
      </c>
      <c r="Q94" t="str">
        <f t="shared" ca="1" si="21"/>
        <v>0001000000000010</v>
      </c>
      <c r="R94">
        <f t="shared" ca="1" si="18"/>
        <v>0.76837500000000003</v>
      </c>
      <c r="S94">
        <f t="shared" ca="1" si="19"/>
        <v>29.220500000000001</v>
      </c>
      <c r="T94" s="3">
        <f t="shared" ca="1" si="22"/>
        <v>7.0205479452049337E-4</v>
      </c>
    </row>
    <row r="95" spans="8:20" x14ac:dyDescent="0.25">
      <c r="H95">
        <v>29.3</v>
      </c>
      <c r="I95" s="11">
        <v>0.77424999999999966</v>
      </c>
      <c r="J95" s="10">
        <f t="shared" si="12"/>
        <v>-1.7200000000000001E-4</v>
      </c>
      <c r="K95" s="17">
        <f t="shared" si="13"/>
        <v>4.6999999999999997E-5</v>
      </c>
      <c r="L95" s="10">
        <f t="shared" si="14"/>
        <v>1.3370000000000001E-3</v>
      </c>
      <c r="M95" s="11">
        <f t="shared" si="20"/>
        <v>0.77545878840009053</v>
      </c>
      <c r="N95" s="5">
        <f t="shared" si="15"/>
        <v>1.5612378431913026E-3</v>
      </c>
      <c r="O95">
        <f t="shared" si="16"/>
        <v>4137.1472000000003</v>
      </c>
      <c r="P95">
        <f t="shared" ca="1" si="17"/>
        <v>4136</v>
      </c>
      <c r="Q95" t="str">
        <f t="shared" ca="1" si="21"/>
        <v>0001000000101000</v>
      </c>
      <c r="R95">
        <f t="shared" ca="1" si="18"/>
        <v>0.77549999999999997</v>
      </c>
      <c r="S95">
        <f t="shared" ca="1" si="19"/>
        <v>29.306000000000001</v>
      </c>
      <c r="T95" s="3">
        <f t="shared" ca="1" si="22"/>
        <v>2.0477815699659478E-4</v>
      </c>
    </row>
    <row r="96" spans="8:20" x14ac:dyDescent="0.25">
      <c r="H96">
        <v>29.4</v>
      </c>
      <c r="I96" s="11">
        <v>0.78283333333333283</v>
      </c>
      <c r="J96" s="10">
        <f t="shared" si="12"/>
        <v>-1.7100000000000001E-4</v>
      </c>
      <c r="K96" s="17">
        <f t="shared" si="13"/>
        <v>4.6999999999999997E-5</v>
      </c>
      <c r="L96" s="10">
        <f t="shared" si="14"/>
        <v>1.3669999999999999E-3</v>
      </c>
      <c r="M96" s="11">
        <f t="shared" si="20"/>
        <v>0.78407616545150505</v>
      </c>
      <c r="N96" s="5">
        <f t="shared" si="15"/>
        <v>1.587607559938968E-3</v>
      </c>
      <c r="O96">
        <f t="shared" si="16"/>
        <v>4183.1216999999997</v>
      </c>
      <c r="P96">
        <f t="shared" ca="1" si="17"/>
        <v>4186</v>
      </c>
      <c r="Q96" t="str">
        <f t="shared" ca="1" si="21"/>
        <v>0001000001011010</v>
      </c>
      <c r="R96">
        <f t="shared" ca="1" si="18"/>
        <v>0.78487499999999999</v>
      </c>
      <c r="S96">
        <f t="shared" ca="1" si="19"/>
        <v>29.418499999999998</v>
      </c>
      <c r="T96" s="3">
        <f t="shared" ca="1" si="22"/>
        <v>6.2925170068025573E-4</v>
      </c>
    </row>
    <row r="97" spans="8:20" x14ac:dyDescent="0.25">
      <c r="H97">
        <v>29.5</v>
      </c>
      <c r="I97" s="11">
        <v>0.79091666666666627</v>
      </c>
      <c r="J97" s="10">
        <f t="shared" si="12"/>
        <v>-1.7000000000000001E-4</v>
      </c>
      <c r="K97" s="17">
        <f t="shared" si="13"/>
        <v>4.8000000000000001E-5</v>
      </c>
      <c r="L97" s="10">
        <f t="shared" si="14"/>
        <v>1.3979999999999999E-3</v>
      </c>
      <c r="M97" s="11">
        <f t="shared" si="20"/>
        <v>0.79219415409408978</v>
      </c>
      <c r="N97" s="5">
        <f t="shared" si="15"/>
        <v>1.6151985174462219E-3</v>
      </c>
      <c r="O97">
        <f t="shared" si="16"/>
        <v>4226.4319999999998</v>
      </c>
      <c r="P97">
        <f t="shared" ca="1" si="17"/>
        <v>4229</v>
      </c>
      <c r="Q97" t="str">
        <f t="shared" ca="1" si="21"/>
        <v>0001000010000101</v>
      </c>
      <c r="R97">
        <f t="shared" ca="1" si="18"/>
        <v>0.79293749999999996</v>
      </c>
      <c r="S97">
        <f t="shared" ca="1" si="19"/>
        <v>29.515250000000002</v>
      </c>
      <c r="T97" s="3">
        <f t="shared" ca="1" si="22"/>
        <v>5.1694915254243262E-4</v>
      </c>
    </row>
    <row r="98" spans="8:20" x14ac:dyDescent="0.25">
      <c r="H98">
        <v>29.6</v>
      </c>
      <c r="I98" s="11">
        <v>0.79974999999999974</v>
      </c>
      <c r="J98" s="10">
        <f t="shared" si="12"/>
        <v>-1.7000000000000001E-4</v>
      </c>
      <c r="K98" s="17">
        <f t="shared" si="13"/>
        <v>4.8000000000000001E-5</v>
      </c>
      <c r="L98" s="10">
        <f t="shared" si="14"/>
        <v>1.428E-3</v>
      </c>
      <c r="M98" s="11">
        <f t="shared" si="20"/>
        <v>0.80106391927672693</v>
      </c>
      <c r="N98" s="5">
        <f t="shared" si="15"/>
        <v>1.6429125060671383E-3</v>
      </c>
      <c r="O98">
        <f t="shared" si="16"/>
        <v>4273.7529999999997</v>
      </c>
      <c r="P98">
        <f t="shared" ca="1" si="17"/>
        <v>4272</v>
      </c>
      <c r="Q98" t="str">
        <f t="shared" ca="1" si="21"/>
        <v>0001000010110000</v>
      </c>
      <c r="R98">
        <f t="shared" ca="1" si="18"/>
        <v>0.80100000000000005</v>
      </c>
      <c r="S98">
        <f t="shared" ca="1" si="19"/>
        <v>29.612000000000002</v>
      </c>
      <c r="T98" s="3">
        <f t="shared" ca="1" si="22"/>
        <v>4.0540540540542073E-4</v>
      </c>
    </row>
    <row r="99" spans="8:20" x14ac:dyDescent="0.25">
      <c r="H99">
        <v>29.700000000000003</v>
      </c>
      <c r="I99" s="11">
        <v>0.80841666666666678</v>
      </c>
      <c r="J99" s="10">
        <f t="shared" si="12"/>
        <v>-1.6899999999999999E-4</v>
      </c>
      <c r="K99" s="17">
        <f t="shared" si="13"/>
        <v>4.8999999999999998E-5</v>
      </c>
      <c r="L99" s="10">
        <f t="shared" si="14"/>
        <v>1.459E-3</v>
      </c>
      <c r="M99" s="11">
        <f t="shared" si="20"/>
        <v>0.80976711689020953</v>
      </c>
      <c r="N99" s="5">
        <f t="shared" si="15"/>
        <v>1.6704878551193601E-3</v>
      </c>
      <c r="O99">
        <f t="shared" si="16"/>
        <v>4320.1854000000003</v>
      </c>
      <c r="P99">
        <f t="shared" ca="1" si="17"/>
        <v>4318</v>
      </c>
      <c r="Q99" t="str">
        <f t="shared" ca="1" si="21"/>
        <v>0001000011011110</v>
      </c>
      <c r="R99">
        <f t="shared" ca="1" si="18"/>
        <v>0.80962500000000004</v>
      </c>
      <c r="S99">
        <f t="shared" ca="1" si="19"/>
        <v>29.715499999999999</v>
      </c>
      <c r="T99" s="3">
        <f t="shared" ca="1" si="22"/>
        <v>5.2188552188538217E-4</v>
      </c>
    </row>
    <row r="100" spans="8:20" x14ac:dyDescent="0.25">
      <c r="H100">
        <v>29.8</v>
      </c>
      <c r="I100" s="11">
        <v>0.81649999999999978</v>
      </c>
      <c r="J100" s="10">
        <f t="shared" si="12"/>
        <v>-1.6899999999999999E-4</v>
      </c>
      <c r="K100" s="17">
        <f t="shared" si="13"/>
        <v>4.8999999999999998E-5</v>
      </c>
      <c r="L100" s="10">
        <f t="shared" si="14"/>
        <v>1.4890000000000001E-3</v>
      </c>
      <c r="M100" s="11">
        <f t="shared" si="20"/>
        <v>0.81788683349507385</v>
      </c>
      <c r="N100" s="5">
        <f t="shared" si="15"/>
        <v>1.6985100980698952E-3</v>
      </c>
      <c r="O100">
        <f t="shared" si="16"/>
        <v>4363.5048999999999</v>
      </c>
      <c r="P100">
        <f t="shared" ca="1" si="17"/>
        <v>4362</v>
      </c>
      <c r="Q100" t="str">
        <f t="shared" ca="1" si="21"/>
        <v>0001000100001010</v>
      </c>
      <c r="R100">
        <f t="shared" ca="1" si="18"/>
        <v>0.81787500000000002</v>
      </c>
      <c r="S100">
        <f t="shared" ca="1" si="19"/>
        <v>29.814500000000002</v>
      </c>
      <c r="T100" s="3">
        <f t="shared" ca="1" si="22"/>
        <v>4.8657718120811186E-4</v>
      </c>
    </row>
    <row r="101" spans="8:20" x14ac:dyDescent="0.25">
      <c r="H101">
        <v>29.9</v>
      </c>
      <c r="I101" s="11">
        <v>0.82433333333333292</v>
      </c>
      <c r="J101" s="10">
        <f t="shared" si="12"/>
        <v>-1.6799999999999999E-4</v>
      </c>
      <c r="K101" s="17">
        <f t="shared" si="13"/>
        <v>5.0000000000000002E-5</v>
      </c>
      <c r="L101" s="10">
        <f t="shared" si="14"/>
        <v>1.5200000000000001E-3</v>
      </c>
      <c r="M101" s="11">
        <f t="shared" si="20"/>
        <v>0.82575648318777828</v>
      </c>
      <c r="N101" s="5">
        <f t="shared" si="15"/>
        <v>1.7264252176854358E-3</v>
      </c>
      <c r="O101">
        <f t="shared" si="16"/>
        <v>4405.4902000000002</v>
      </c>
      <c r="P101">
        <f t="shared" ca="1" si="17"/>
        <v>4407</v>
      </c>
      <c r="Q101" t="str">
        <f t="shared" ca="1" si="21"/>
        <v>0001000100110111</v>
      </c>
      <c r="R101">
        <f t="shared" ca="1" si="18"/>
        <v>0.82631250000000001</v>
      </c>
      <c r="S101">
        <f t="shared" ca="1" si="19"/>
        <v>29.915750000000003</v>
      </c>
      <c r="T101" s="3">
        <f t="shared" ca="1" si="22"/>
        <v>5.2675585284294813E-4</v>
      </c>
    </row>
    <row r="102" spans="8:20" x14ac:dyDescent="0.25">
      <c r="H102">
        <v>30</v>
      </c>
      <c r="I102" s="11">
        <v>0.8324999999999998</v>
      </c>
      <c r="J102" s="10">
        <f t="shared" si="12"/>
        <v>-1.6799999999999999E-4</v>
      </c>
      <c r="K102" s="17">
        <f t="shared" si="13"/>
        <v>5.0000000000000002E-5</v>
      </c>
      <c r="L102" s="10">
        <f t="shared" si="14"/>
        <v>1.5499999999999999E-3</v>
      </c>
      <c r="M102" s="11">
        <f t="shared" si="20"/>
        <v>0.83396063899043493</v>
      </c>
      <c r="N102" s="5">
        <f t="shared" si="15"/>
        <v>1.7545213098319966E-3</v>
      </c>
      <c r="O102">
        <f t="shared" si="16"/>
        <v>4449.2601999999997</v>
      </c>
      <c r="P102">
        <f t="shared" ca="1" si="17"/>
        <v>4449</v>
      </c>
      <c r="Q102" t="str">
        <f t="shared" ca="1" si="21"/>
        <v>0001000101100001</v>
      </c>
      <c r="R102">
        <f t="shared" ca="1" si="18"/>
        <v>0.83418749999999997</v>
      </c>
      <c r="S102">
        <f t="shared" ca="1" si="19"/>
        <v>30.010249999999999</v>
      </c>
      <c r="T102" s="3">
        <f t="shared" ca="1" si="22"/>
        <v>3.4166666666664015E-4</v>
      </c>
    </row>
    <row r="103" spans="8:20" x14ac:dyDescent="0.25">
      <c r="H103">
        <v>30.1</v>
      </c>
      <c r="I103" s="11">
        <v>0.84233333333333316</v>
      </c>
      <c r="J103" s="10">
        <f t="shared" si="12"/>
        <v>-1.6699999999999999E-4</v>
      </c>
      <c r="K103" s="17">
        <f t="shared" si="13"/>
        <v>5.1E-5</v>
      </c>
      <c r="L103" s="10">
        <f t="shared" si="14"/>
        <v>1.5809999999999999E-3</v>
      </c>
      <c r="M103" s="11">
        <f t="shared" si="20"/>
        <v>0.84383443557597881</v>
      </c>
      <c r="N103" s="5">
        <f t="shared" si="15"/>
        <v>1.7820762674859414E-3</v>
      </c>
      <c r="O103">
        <f t="shared" si="16"/>
        <v>4501.9377999999997</v>
      </c>
      <c r="P103">
        <f t="shared" ca="1" si="17"/>
        <v>4504</v>
      </c>
      <c r="Q103" t="str">
        <f t="shared" ca="1" si="21"/>
        <v>0001000110011000</v>
      </c>
      <c r="R103">
        <f t="shared" ca="1" si="18"/>
        <v>0.84450000000000003</v>
      </c>
      <c r="S103">
        <f t="shared" ca="1" si="19"/>
        <v>30.134000000000004</v>
      </c>
      <c r="T103" s="3">
        <f t="shared" ca="1" si="22"/>
        <v>1.1295681063123746E-3</v>
      </c>
    </row>
    <row r="104" spans="8:20" x14ac:dyDescent="0.25">
      <c r="H104">
        <v>30.200000000000003</v>
      </c>
      <c r="I104" s="11">
        <v>0.84966666666666657</v>
      </c>
      <c r="J104" s="10">
        <f t="shared" si="12"/>
        <v>-1.66E-4</v>
      </c>
      <c r="K104" s="17">
        <f t="shared" si="13"/>
        <v>5.1E-5</v>
      </c>
      <c r="L104" s="10">
        <f t="shared" si="14"/>
        <v>1.611E-3</v>
      </c>
      <c r="M104" s="11">
        <f t="shared" si="20"/>
        <v>0.85120395624016953</v>
      </c>
      <c r="N104" s="5">
        <f t="shared" si="15"/>
        <v>1.8092854925495859E-3</v>
      </c>
      <c r="O104">
        <f t="shared" si="16"/>
        <v>4541.2548999999999</v>
      </c>
      <c r="P104">
        <f t="shared" ca="1" si="17"/>
        <v>4539</v>
      </c>
      <c r="Q104" t="str">
        <f t="shared" ca="1" si="21"/>
        <v>0001000110111011</v>
      </c>
      <c r="R104">
        <f t="shared" ca="1" si="18"/>
        <v>0.85106250000000006</v>
      </c>
      <c r="S104">
        <f t="shared" ca="1" si="19"/>
        <v>30.212750000000003</v>
      </c>
      <c r="T104" s="3">
        <f t="shared" ca="1" si="22"/>
        <v>4.2218543046359212E-4</v>
      </c>
    </row>
    <row r="105" spans="8:20" x14ac:dyDescent="0.25">
      <c r="H105">
        <v>30.3</v>
      </c>
      <c r="I105" s="11">
        <v>0.8590833333333332</v>
      </c>
      <c r="J105" s="10">
        <f t="shared" si="12"/>
        <v>-1.66E-4</v>
      </c>
      <c r="K105" s="17">
        <f t="shared" si="13"/>
        <v>5.1999999999999997E-5</v>
      </c>
      <c r="L105" s="10">
        <f t="shared" si="14"/>
        <v>1.642E-3</v>
      </c>
      <c r="M105" s="11">
        <f t="shared" si="20"/>
        <v>0.86066254122602637</v>
      </c>
      <c r="N105" s="5">
        <f t="shared" si="15"/>
        <v>1.8382476197805824E-3</v>
      </c>
      <c r="O105">
        <f t="shared" si="16"/>
        <v>4591.7174000000005</v>
      </c>
      <c r="P105">
        <f t="shared" ca="1" si="17"/>
        <v>4589</v>
      </c>
      <c r="Q105" t="str">
        <f t="shared" ca="1" si="21"/>
        <v>0001000111101101</v>
      </c>
      <c r="R105">
        <f t="shared" ca="1" si="18"/>
        <v>0.86043749999999997</v>
      </c>
      <c r="S105">
        <f t="shared" ca="1" si="19"/>
        <v>30.32525</v>
      </c>
      <c r="T105" s="3">
        <f t="shared" ca="1" si="22"/>
        <v>8.333333333333258E-4</v>
      </c>
    </row>
    <row r="106" spans="8:20" x14ac:dyDescent="0.25">
      <c r="H106">
        <v>30.4</v>
      </c>
      <c r="I106" s="11">
        <v>0.8664999999999996</v>
      </c>
      <c r="J106" s="10">
        <f t="shared" si="12"/>
        <v>-1.65E-4</v>
      </c>
      <c r="K106" s="17">
        <f t="shared" si="13"/>
        <v>5.1999999999999997E-5</v>
      </c>
      <c r="L106" s="10">
        <f t="shared" si="14"/>
        <v>1.6720000000000001E-3</v>
      </c>
      <c r="M106" s="11">
        <f t="shared" si="20"/>
        <v>0.86811649077257136</v>
      </c>
      <c r="N106" s="5">
        <f t="shared" si="15"/>
        <v>1.8655404184324935E-3</v>
      </c>
      <c r="O106">
        <f t="shared" si="16"/>
        <v>4631.4849000000004</v>
      </c>
      <c r="P106">
        <f t="shared" ca="1" si="17"/>
        <v>4633</v>
      </c>
      <c r="Q106" t="str">
        <f t="shared" ca="1" si="21"/>
        <v>0001001000011001</v>
      </c>
      <c r="R106">
        <f t="shared" ca="1" si="18"/>
        <v>0.86868750000000006</v>
      </c>
      <c r="S106">
        <f t="shared" ca="1" si="19"/>
        <v>30.424250000000004</v>
      </c>
      <c r="T106" s="3">
        <f t="shared" ca="1" si="22"/>
        <v>7.9769736842123871E-4</v>
      </c>
    </row>
    <row r="107" spans="8:20" x14ac:dyDescent="0.25">
      <c r="H107">
        <v>30.5</v>
      </c>
      <c r="I107" s="11">
        <v>0.87533333333333307</v>
      </c>
      <c r="J107" s="10">
        <f t="shared" si="12"/>
        <v>-1.65E-4</v>
      </c>
      <c r="K107" s="17">
        <f t="shared" si="13"/>
        <v>5.3000000000000001E-5</v>
      </c>
      <c r="L107" s="10">
        <f t="shared" si="14"/>
        <v>1.7030000000000001E-3</v>
      </c>
      <c r="M107" s="11">
        <f t="shared" si="20"/>
        <v>0.87699185045465733</v>
      </c>
      <c r="N107" s="5">
        <f t="shared" si="15"/>
        <v>1.8947263381465212E-3</v>
      </c>
      <c r="O107">
        <f t="shared" si="16"/>
        <v>4678.8357999999998</v>
      </c>
      <c r="P107">
        <f t="shared" ca="1" si="17"/>
        <v>4681</v>
      </c>
      <c r="Q107" t="str">
        <f t="shared" ca="1" si="21"/>
        <v>0001001001001001</v>
      </c>
      <c r="R107">
        <f t="shared" ca="1" si="18"/>
        <v>0.87768750000000006</v>
      </c>
      <c r="S107">
        <f t="shared" ca="1" si="19"/>
        <v>30.532250000000005</v>
      </c>
      <c r="T107" s="3">
        <f t="shared" ca="1" si="22"/>
        <v>1.0573770491804845E-3</v>
      </c>
    </row>
    <row r="108" spans="8:20" x14ac:dyDescent="0.25">
      <c r="H108">
        <v>30.6</v>
      </c>
      <c r="I108" s="11">
        <v>0.88291666666666679</v>
      </c>
      <c r="J108" s="10">
        <f t="shared" si="12"/>
        <v>-1.64E-4</v>
      </c>
      <c r="K108" s="17">
        <f t="shared" si="13"/>
        <v>5.3000000000000001E-5</v>
      </c>
      <c r="L108" s="10">
        <f t="shared" si="14"/>
        <v>1.7329999999999999E-3</v>
      </c>
      <c r="M108" s="11">
        <f t="shared" si="20"/>
        <v>0.88461370221260127</v>
      </c>
      <c r="N108" s="5">
        <f t="shared" si="15"/>
        <v>1.9220789571697716E-3</v>
      </c>
      <c r="O108">
        <f t="shared" si="16"/>
        <v>4719.4992000000002</v>
      </c>
      <c r="P108">
        <f t="shared" ca="1" si="17"/>
        <v>4721</v>
      </c>
      <c r="Q108" t="str">
        <f t="shared" ca="1" si="21"/>
        <v>0001001001110001</v>
      </c>
      <c r="R108">
        <f t="shared" ca="1" si="18"/>
        <v>0.88518750000000002</v>
      </c>
      <c r="S108">
        <f t="shared" ca="1" si="19"/>
        <v>30.622250000000001</v>
      </c>
      <c r="T108" s="3">
        <f t="shared" ca="1" si="22"/>
        <v>7.2712418300652476E-4</v>
      </c>
    </row>
    <row r="109" spans="8:20" x14ac:dyDescent="0.25">
      <c r="H109">
        <v>30.700000000000003</v>
      </c>
      <c r="I109" s="11">
        <v>0.89108333333333323</v>
      </c>
      <c r="J109" s="10">
        <f t="shared" si="12"/>
        <v>-1.63E-4</v>
      </c>
      <c r="K109" s="17">
        <f t="shared" si="13"/>
        <v>5.3999999999999998E-5</v>
      </c>
      <c r="L109" s="10">
        <f t="shared" si="14"/>
        <v>1.7639999999999999E-3</v>
      </c>
      <c r="M109" s="11">
        <f t="shared" si="20"/>
        <v>0.89282127005370793</v>
      </c>
      <c r="N109" s="5">
        <f t="shared" si="15"/>
        <v>1.9503638496676705E-3</v>
      </c>
      <c r="O109">
        <f t="shared" si="16"/>
        <v>4763.2873</v>
      </c>
      <c r="P109">
        <f t="shared" ca="1" si="17"/>
        <v>4762</v>
      </c>
      <c r="Q109" t="str">
        <f t="shared" ca="1" si="21"/>
        <v>0001001010011010</v>
      </c>
      <c r="R109">
        <f t="shared" ca="1" si="18"/>
        <v>0.89287499999999997</v>
      </c>
      <c r="S109">
        <f t="shared" ca="1" si="19"/>
        <v>30.714500000000001</v>
      </c>
      <c r="T109" s="3">
        <f t="shared" ca="1" si="22"/>
        <v>4.7231270358300258E-4</v>
      </c>
    </row>
    <row r="110" spans="8:20" x14ac:dyDescent="0.25">
      <c r="H110">
        <v>30.8</v>
      </c>
      <c r="I110" s="11">
        <v>0.89999999999999969</v>
      </c>
      <c r="J110" s="10">
        <f t="shared" si="12"/>
        <v>-1.63E-4</v>
      </c>
      <c r="K110" s="17">
        <f t="shared" si="13"/>
        <v>5.3999999999999998E-5</v>
      </c>
      <c r="L110" s="10">
        <f t="shared" si="14"/>
        <v>1.794E-3</v>
      </c>
      <c r="M110" s="11">
        <f t="shared" si="20"/>
        <v>0.90178079474577355</v>
      </c>
      <c r="N110" s="5">
        <f t="shared" si="15"/>
        <v>1.9786608286376248E-3</v>
      </c>
      <c r="O110">
        <f t="shared" si="16"/>
        <v>4811.0871999999999</v>
      </c>
      <c r="P110">
        <f t="shared" ca="1" si="17"/>
        <v>4812</v>
      </c>
      <c r="Q110" t="str">
        <f t="shared" ca="1" si="21"/>
        <v>0001001011001100</v>
      </c>
      <c r="R110">
        <f t="shared" ca="1" si="18"/>
        <v>0.90225</v>
      </c>
      <c r="S110">
        <f t="shared" ca="1" si="19"/>
        <v>30.826999999999998</v>
      </c>
      <c r="T110" s="3">
        <f t="shared" ca="1" si="22"/>
        <v>8.7662337662329449E-4</v>
      </c>
    </row>
    <row r="111" spans="8:20" x14ac:dyDescent="0.25">
      <c r="H111">
        <v>30.9</v>
      </c>
      <c r="I111" s="11">
        <v>0.90816666666666657</v>
      </c>
      <c r="J111" s="10">
        <f t="shared" si="12"/>
        <v>-1.6200000000000001E-4</v>
      </c>
      <c r="K111" s="17">
        <f t="shared" si="13"/>
        <v>5.5000000000000002E-5</v>
      </c>
      <c r="L111" s="10">
        <f t="shared" si="14"/>
        <v>1.825E-3</v>
      </c>
      <c r="M111" s="11">
        <f t="shared" si="20"/>
        <v>0.90998939731676964</v>
      </c>
      <c r="N111" s="5">
        <f t="shared" si="15"/>
        <v>2.0070442100602799E-3</v>
      </c>
      <c r="O111">
        <f t="shared" si="16"/>
        <v>4854.8809000000001</v>
      </c>
      <c r="P111">
        <f t="shared" ca="1" si="17"/>
        <v>4857</v>
      </c>
      <c r="Q111" t="str">
        <f t="shared" ca="1" si="21"/>
        <v>0001001011111001</v>
      </c>
      <c r="R111">
        <f t="shared" ca="1" si="18"/>
        <v>0.91068749999999998</v>
      </c>
      <c r="S111">
        <f t="shared" ca="1" si="19"/>
        <v>30.928250000000002</v>
      </c>
      <c r="T111" s="3">
        <f t="shared" ca="1" si="22"/>
        <v>9.1423948220075856E-4</v>
      </c>
    </row>
    <row r="112" spans="8:20" x14ac:dyDescent="0.25">
      <c r="H112">
        <v>31</v>
      </c>
      <c r="I112" s="11">
        <v>0.9166666666666663</v>
      </c>
      <c r="J112" s="10">
        <f t="shared" si="12"/>
        <v>-1.6200000000000001E-4</v>
      </c>
      <c r="K112" s="17">
        <f t="shared" si="13"/>
        <v>5.5000000000000002E-5</v>
      </c>
      <c r="L112" s="10">
        <f t="shared" si="14"/>
        <v>1.8550000000000001E-3</v>
      </c>
      <c r="M112" s="11">
        <f t="shared" si="20"/>
        <v>0.91853254453678213</v>
      </c>
      <c r="N112" s="5">
        <f t="shared" si="15"/>
        <v>2.03550313103545E-3</v>
      </c>
      <c r="O112">
        <f t="shared" si="16"/>
        <v>4900.4593999999997</v>
      </c>
      <c r="P112">
        <f t="shared" ca="1" si="17"/>
        <v>4899</v>
      </c>
      <c r="Q112" t="str">
        <f t="shared" ca="1" si="21"/>
        <v>0001001100100011</v>
      </c>
      <c r="R112">
        <f t="shared" ca="1" si="18"/>
        <v>0.91856250000000006</v>
      </c>
      <c r="S112">
        <f t="shared" ca="1" si="19"/>
        <v>31.022750000000002</v>
      </c>
      <c r="T112" s="3">
        <f t="shared" ca="1" si="22"/>
        <v>7.3387096774200152E-4</v>
      </c>
    </row>
    <row r="113" spans="8:20" x14ac:dyDescent="0.25">
      <c r="H113">
        <v>31.1</v>
      </c>
      <c r="I113" s="11">
        <v>0.92449999999999988</v>
      </c>
      <c r="J113" s="10">
        <f t="shared" si="12"/>
        <v>-1.6100000000000001E-4</v>
      </c>
      <c r="K113" s="17">
        <f t="shared" si="13"/>
        <v>5.5999999999999999E-5</v>
      </c>
      <c r="L113" s="10">
        <f t="shared" si="14"/>
        <v>1.8860000000000001E-3</v>
      </c>
      <c r="M113" s="11">
        <f t="shared" si="20"/>
        <v>0.92640820587628259</v>
      </c>
      <c r="N113" s="5">
        <f t="shared" si="15"/>
        <v>2.0640409694783228E-3</v>
      </c>
      <c r="O113">
        <f t="shared" si="16"/>
        <v>4942.4768999999997</v>
      </c>
      <c r="P113">
        <f t="shared" ca="1" si="17"/>
        <v>4942</v>
      </c>
      <c r="Q113" t="str">
        <f t="shared" ca="1" si="21"/>
        <v>0001001101001110</v>
      </c>
      <c r="R113">
        <f t="shared" ca="1" si="18"/>
        <v>0.92662500000000003</v>
      </c>
      <c r="S113">
        <f t="shared" ca="1" si="19"/>
        <v>31.119499999999999</v>
      </c>
      <c r="T113" s="3">
        <f t="shared" ca="1" si="22"/>
        <v>6.2700964630216032E-4</v>
      </c>
    </row>
    <row r="114" spans="8:20" x14ac:dyDescent="0.25">
      <c r="H114">
        <v>31.200000000000003</v>
      </c>
      <c r="I114" s="11">
        <v>0.93358333333333321</v>
      </c>
      <c r="J114" s="10">
        <f t="shared" si="12"/>
        <v>-1.6100000000000001E-4</v>
      </c>
      <c r="K114" s="17">
        <f t="shared" si="13"/>
        <v>5.5999999999999999E-5</v>
      </c>
      <c r="L114" s="10">
        <f t="shared" si="14"/>
        <v>1.916E-3</v>
      </c>
      <c r="M114" s="11">
        <f t="shared" si="20"/>
        <v>0.93553682188406306</v>
      </c>
      <c r="N114" s="5">
        <f t="shared" si="15"/>
        <v>2.0924629660589349E-3</v>
      </c>
      <c r="O114">
        <f t="shared" si="16"/>
        <v>4991.1788999999999</v>
      </c>
      <c r="P114">
        <f t="shared" ca="1" si="17"/>
        <v>4994</v>
      </c>
      <c r="Q114" t="str">
        <f t="shared" ca="1" si="21"/>
        <v>0001001110000010</v>
      </c>
      <c r="R114">
        <f t="shared" ca="1" si="18"/>
        <v>0.93637500000000007</v>
      </c>
      <c r="S114">
        <f t="shared" ca="1" si="19"/>
        <v>31.236500000000003</v>
      </c>
      <c r="T114" s="3">
        <f t="shared" ca="1" si="22"/>
        <v>1.169871794871801E-3</v>
      </c>
    </row>
    <row r="115" spans="8:20" x14ac:dyDescent="0.25">
      <c r="H115">
        <v>31.3</v>
      </c>
      <c r="I115" s="11">
        <v>0.94241666666666668</v>
      </c>
      <c r="J115" s="10">
        <f t="shared" si="12"/>
        <v>-1.6000000000000001E-4</v>
      </c>
      <c r="K115" s="17">
        <f t="shared" si="13"/>
        <v>5.7000000000000003E-5</v>
      </c>
      <c r="L115" s="10">
        <f t="shared" si="14"/>
        <v>1.9469999999999999E-3</v>
      </c>
      <c r="M115" s="11">
        <f t="shared" si="20"/>
        <v>0.94441544353522988</v>
      </c>
      <c r="N115" s="5">
        <f t="shared" si="15"/>
        <v>2.1209056877494396E-3</v>
      </c>
      <c r="O115">
        <f t="shared" si="16"/>
        <v>5038.5472</v>
      </c>
      <c r="P115">
        <f t="shared" ca="1" si="17"/>
        <v>5038</v>
      </c>
      <c r="Q115" t="str">
        <f t="shared" ca="1" si="21"/>
        <v>0001001110101110</v>
      </c>
      <c r="R115">
        <f t="shared" ca="1" si="18"/>
        <v>0.94462500000000005</v>
      </c>
      <c r="S115">
        <f t="shared" ca="1" si="19"/>
        <v>31.335500000000003</v>
      </c>
      <c r="T115" s="3">
        <f t="shared" ca="1" si="22"/>
        <v>1.1341853035144577E-3</v>
      </c>
    </row>
    <row r="116" spans="8:20" x14ac:dyDescent="0.25">
      <c r="H116">
        <v>31.4</v>
      </c>
      <c r="I116" s="11">
        <v>0.94933333333333292</v>
      </c>
      <c r="J116" s="10">
        <f t="shared" si="12"/>
        <v>-1.5899999999999999E-4</v>
      </c>
      <c r="K116" s="17">
        <f t="shared" si="13"/>
        <v>5.7000000000000003E-5</v>
      </c>
      <c r="L116" s="10">
        <f t="shared" si="14"/>
        <v>1.977E-3</v>
      </c>
      <c r="M116" s="11">
        <f t="shared" si="20"/>
        <v>0.95137319814606769</v>
      </c>
      <c r="N116" s="5">
        <f t="shared" si="15"/>
        <v>2.1487340021784812E-3</v>
      </c>
      <c r="O116">
        <f t="shared" si="16"/>
        <v>5075.6674999999996</v>
      </c>
      <c r="P116">
        <f t="shared" ca="1" si="17"/>
        <v>5079</v>
      </c>
      <c r="Q116" t="str">
        <f t="shared" ca="1" si="21"/>
        <v>0001001111010111</v>
      </c>
      <c r="R116">
        <f t="shared" ca="1" si="18"/>
        <v>0.95231250000000001</v>
      </c>
      <c r="S116">
        <f t="shared" ca="1" si="19"/>
        <v>31.42775</v>
      </c>
      <c r="T116" s="3">
        <f t="shared" ca="1" si="22"/>
        <v>8.8375796178347306E-4</v>
      </c>
    </row>
    <row r="117" spans="8:20" x14ac:dyDescent="0.25">
      <c r="H117">
        <v>31.5</v>
      </c>
      <c r="I117" s="11">
        <v>0.95774999999999966</v>
      </c>
      <c r="J117" s="10">
        <f t="shared" si="12"/>
        <v>-1.5899999999999999E-4</v>
      </c>
      <c r="K117" s="17">
        <f t="shared" si="13"/>
        <v>5.8E-5</v>
      </c>
      <c r="L117" s="10">
        <f t="shared" si="14"/>
        <v>2.0079999999999998E-3</v>
      </c>
      <c r="M117" s="11">
        <f t="shared" si="20"/>
        <v>0.95983635139359802</v>
      </c>
      <c r="N117" s="5">
        <f t="shared" si="15"/>
        <v>2.1783882992413082E-3</v>
      </c>
      <c r="O117">
        <f t="shared" si="16"/>
        <v>5120.8191999999999</v>
      </c>
      <c r="P117">
        <f t="shared" ca="1" si="17"/>
        <v>5123</v>
      </c>
      <c r="Q117" t="str">
        <f t="shared" ca="1" si="21"/>
        <v>0001010000000011</v>
      </c>
      <c r="R117">
        <f t="shared" ca="1" si="18"/>
        <v>0.96056249999999999</v>
      </c>
      <c r="S117">
        <f t="shared" ca="1" si="19"/>
        <v>31.526750000000003</v>
      </c>
      <c r="T117" s="3">
        <f t="shared" ca="1" si="22"/>
        <v>8.4920634920645653E-4</v>
      </c>
    </row>
    <row r="118" spans="8:20" x14ac:dyDescent="0.25">
      <c r="H118">
        <v>31.6</v>
      </c>
      <c r="I118" s="11">
        <v>0.96708333333333329</v>
      </c>
      <c r="J118" s="10">
        <f t="shared" si="12"/>
        <v>-1.5799999999999999E-4</v>
      </c>
      <c r="K118" s="17">
        <f t="shared" si="13"/>
        <v>5.8E-5</v>
      </c>
      <c r="L118" s="10">
        <f t="shared" si="14"/>
        <v>2.0379999999999999E-3</v>
      </c>
      <c r="M118" s="11">
        <f t="shared" si="20"/>
        <v>0.96921659675752514</v>
      </c>
      <c r="N118" s="5">
        <f t="shared" si="15"/>
        <v>2.2058734244120755E-3</v>
      </c>
      <c r="O118">
        <f t="shared" si="16"/>
        <v>5170.8636999999999</v>
      </c>
      <c r="P118">
        <f t="shared" ca="1" si="17"/>
        <v>5168</v>
      </c>
      <c r="Q118" t="str">
        <f t="shared" ca="1" si="21"/>
        <v>0001010000110000</v>
      </c>
      <c r="R118">
        <f t="shared" ca="1" si="18"/>
        <v>0.96899999999999997</v>
      </c>
      <c r="S118">
        <f t="shared" ca="1" si="19"/>
        <v>31.628000000000004</v>
      </c>
      <c r="T118" s="3">
        <f t="shared" ca="1" si="22"/>
        <v>8.860759493671596E-4</v>
      </c>
    </row>
    <row r="119" spans="8:20" x14ac:dyDescent="0.25">
      <c r="H119">
        <v>31.700000000000003</v>
      </c>
      <c r="I119" s="11">
        <v>0.97525000000000017</v>
      </c>
      <c r="J119" s="10">
        <f t="shared" si="12"/>
        <v>-1.5799999999999999E-4</v>
      </c>
      <c r="K119" s="17">
        <f t="shared" si="13"/>
        <v>5.8999999999999998E-5</v>
      </c>
      <c r="L119" s="10">
        <f t="shared" si="14"/>
        <v>2.0690000000000001E-3</v>
      </c>
      <c r="M119" s="11">
        <f t="shared" si="20"/>
        <v>0.97743030329752267</v>
      </c>
      <c r="N119" s="5">
        <f t="shared" si="15"/>
        <v>2.2356352704665477E-3</v>
      </c>
      <c r="O119">
        <f t="shared" si="16"/>
        <v>5214.6845999999996</v>
      </c>
      <c r="P119">
        <f t="shared" ca="1" si="17"/>
        <v>5214</v>
      </c>
      <c r="Q119" t="str">
        <f t="shared" ca="1" si="21"/>
        <v>0001010001011110</v>
      </c>
      <c r="R119">
        <f t="shared" ca="1" si="18"/>
        <v>0.97762499999999997</v>
      </c>
      <c r="S119">
        <f t="shared" ca="1" si="19"/>
        <v>31.7315</v>
      </c>
      <c r="T119" s="3">
        <f t="shared" ca="1" si="22"/>
        <v>9.9369085173494124E-4</v>
      </c>
    </row>
    <row r="120" spans="8:20" x14ac:dyDescent="0.25">
      <c r="H120">
        <v>31.8</v>
      </c>
      <c r="I120" s="11">
        <v>0.98266666666666658</v>
      </c>
      <c r="J120" s="10">
        <f t="shared" si="12"/>
        <v>-1.5699999999999999E-4</v>
      </c>
      <c r="K120" s="17">
        <f t="shared" si="13"/>
        <v>5.8999999999999998E-5</v>
      </c>
      <c r="L120" s="10">
        <f t="shared" si="14"/>
        <v>2.0990000000000002E-3</v>
      </c>
      <c r="M120" s="11">
        <f t="shared" si="20"/>
        <v>0.98489095277654448</v>
      </c>
      <c r="N120" s="5">
        <f t="shared" si="15"/>
        <v>2.2635204645975963E-3</v>
      </c>
      <c r="O120">
        <f t="shared" si="16"/>
        <v>5254.4879000000001</v>
      </c>
      <c r="P120">
        <f t="shared" ca="1" si="17"/>
        <v>5258</v>
      </c>
      <c r="Q120" t="str">
        <f t="shared" ca="1" si="21"/>
        <v>0001010010001010</v>
      </c>
      <c r="R120">
        <f t="shared" ca="1" si="18"/>
        <v>0.98587500000000006</v>
      </c>
      <c r="S120">
        <f t="shared" ca="1" si="19"/>
        <v>31.830500000000004</v>
      </c>
      <c r="T120" s="3">
        <f t="shared" ca="1" si="22"/>
        <v>9.5911949685545676E-4</v>
      </c>
    </row>
    <row r="121" spans="8:20" x14ac:dyDescent="0.25">
      <c r="H121">
        <v>31.9</v>
      </c>
      <c r="I121" s="11">
        <v>0.9924166666666665</v>
      </c>
      <c r="J121" s="10">
        <f t="shared" si="12"/>
        <v>-1.5699999999999999E-4</v>
      </c>
      <c r="K121" s="17">
        <f t="shared" si="13"/>
        <v>6.0000000000000002E-5</v>
      </c>
      <c r="L121" s="10">
        <f t="shared" si="14"/>
        <v>2.1299999999999999E-3</v>
      </c>
      <c r="M121" s="11">
        <f t="shared" si="20"/>
        <v>0.9946923613964409</v>
      </c>
      <c r="N121" s="5">
        <f t="shared" si="15"/>
        <v>2.2930839497264954E-3</v>
      </c>
      <c r="O121">
        <f t="shared" si="16"/>
        <v>5306.7794000000004</v>
      </c>
      <c r="P121">
        <f t="shared" ca="1" si="17"/>
        <v>5308</v>
      </c>
      <c r="Q121" t="str">
        <f t="shared" ca="1" si="21"/>
        <v>0001010010111100</v>
      </c>
      <c r="R121">
        <f t="shared" ca="1" si="18"/>
        <v>0.99524999999999997</v>
      </c>
      <c r="S121">
        <f t="shared" ca="1" si="19"/>
        <v>31.942999999999998</v>
      </c>
      <c r="T121" s="3">
        <f t="shared" ca="1" si="22"/>
        <v>1.347962382445118E-3</v>
      </c>
    </row>
    <row r="122" spans="8:20" x14ac:dyDescent="0.25">
      <c r="H122">
        <v>32</v>
      </c>
      <c r="I122" s="11">
        <v>0.99941666666666618</v>
      </c>
      <c r="J122" s="10">
        <f t="shared" si="12"/>
        <v>-1.56E-4</v>
      </c>
      <c r="K122" s="17">
        <f t="shared" si="13"/>
        <v>6.0000000000000002E-5</v>
      </c>
      <c r="L122" s="10">
        <f t="shared" si="14"/>
        <v>2.16E-3</v>
      </c>
      <c r="M122" s="11">
        <f t="shared" si="20"/>
        <v>1.0017364173280949</v>
      </c>
      <c r="N122" s="5">
        <f t="shared" si="15"/>
        <v>2.3211046391349178E-3</v>
      </c>
      <c r="O122">
        <f t="shared" si="16"/>
        <v>5344.3600999999999</v>
      </c>
      <c r="P122">
        <f t="shared" ca="1" si="17"/>
        <v>5344</v>
      </c>
      <c r="Q122" t="str">
        <f t="shared" ca="1" si="21"/>
        <v>0001010011100000</v>
      </c>
      <c r="R122">
        <f t="shared" ca="1" si="18"/>
        <v>1.002</v>
      </c>
      <c r="S122">
        <f t="shared" ca="1" si="19"/>
        <v>32.024000000000001</v>
      </c>
      <c r="T122" s="3">
        <f t="shared" ca="1" si="22"/>
        <v>7.5000000000002842E-4</v>
      </c>
    </row>
    <row r="123" spans="8:20" x14ac:dyDescent="0.25">
      <c r="H123">
        <v>32.1</v>
      </c>
      <c r="I123" s="11">
        <v>1.0088333333333332</v>
      </c>
      <c r="J123" s="10">
        <f t="shared" si="12"/>
        <v>-1.55E-4</v>
      </c>
      <c r="K123" s="17">
        <f t="shared" si="13"/>
        <v>6.0999999999999999E-5</v>
      </c>
      <c r="L123" s="10">
        <f t="shared" si="14"/>
        <v>2.1909999999999998E-3</v>
      </c>
      <c r="M123" s="11">
        <f t="shared" si="20"/>
        <v>1.0112038810366846</v>
      </c>
      <c r="N123" s="5">
        <f t="shared" si="15"/>
        <v>2.3497912142917453E-3</v>
      </c>
      <c r="O123">
        <f t="shared" si="16"/>
        <v>5394.8698999999997</v>
      </c>
      <c r="P123">
        <f t="shared" ca="1" si="17"/>
        <v>5398</v>
      </c>
      <c r="Q123" t="str">
        <f t="shared" ca="1" si="21"/>
        <v>0001010100010110</v>
      </c>
      <c r="R123">
        <f t="shared" ca="1" si="18"/>
        <v>1.0121249999999999</v>
      </c>
      <c r="S123">
        <f t="shared" ca="1" si="19"/>
        <v>32.145500000000006</v>
      </c>
      <c r="T123" s="3">
        <f t="shared" ca="1" si="22"/>
        <v>1.4174454828661711E-3</v>
      </c>
    </row>
    <row r="124" spans="8:20" x14ac:dyDescent="0.25">
      <c r="H124">
        <v>32.200000000000003</v>
      </c>
      <c r="I124" s="11">
        <v>1.0163333333333335</v>
      </c>
      <c r="J124" s="10">
        <f t="shared" si="12"/>
        <v>-1.55E-4</v>
      </c>
      <c r="K124" s="17">
        <f t="shared" si="13"/>
        <v>6.0999999999999999E-5</v>
      </c>
      <c r="L124" s="10">
        <f t="shared" si="14"/>
        <v>2.2209999999999999E-3</v>
      </c>
      <c r="M124" s="11">
        <f t="shared" si="20"/>
        <v>1.0187509792582661</v>
      </c>
      <c r="N124" s="5">
        <f t="shared" si="15"/>
        <v>2.378792317086792E-3</v>
      </c>
      <c r="O124">
        <f t="shared" si="16"/>
        <v>5435.1343999999999</v>
      </c>
      <c r="P124">
        <f t="shared" ca="1" si="17"/>
        <v>5433</v>
      </c>
      <c r="Q124" t="str">
        <f t="shared" ca="1" si="21"/>
        <v>0001010100111001</v>
      </c>
      <c r="R124">
        <f t="shared" ca="1" si="18"/>
        <v>1.0186875</v>
      </c>
      <c r="S124">
        <f t="shared" ca="1" si="19"/>
        <v>32.224249999999998</v>
      </c>
      <c r="T124" s="3">
        <f t="shared" ca="1" si="22"/>
        <v>7.5310559006195633E-4</v>
      </c>
    </row>
    <row r="125" spans="8:20" x14ac:dyDescent="0.25">
      <c r="H125">
        <v>32.299999999999997</v>
      </c>
      <c r="I125" s="11">
        <v>1.0253333333333325</v>
      </c>
      <c r="J125" s="10">
        <f t="shared" si="12"/>
        <v>-1.54E-4</v>
      </c>
      <c r="K125" s="17">
        <f t="shared" si="13"/>
        <v>6.2000000000000003E-5</v>
      </c>
      <c r="L125" s="10">
        <f t="shared" si="14"/>
        <v>2.2520000000000001E-3</v>
      </c>
      <c r="M125" s="11">
        <f t="shared" si="20"/>
        <v>1.0278019433096659</v>
      </c>
      <c r="N125" s="5">
        <f t="shared" si="15"/>
        <v>2.4076170120286345E-3</v>
      </c>
      <c r="O125">
        <f t="shared" si="16"/>
        <v>5483.4222</v>
      </c>
      <c r="P125">
        <f t="shared" ca="1" si="17"/>
        <v>5482</v>
      </c>
      <c r="Q125" t="str">
        <f t="shared" ca="1" si="21"/>
        <v>0001010101101010</v>
      </c>
      <c r="R125">
        <f t="shared" ca="1" si="18"/>
        <v>1.0278750000000001</v>
      </c>
      <c r="S125">
        <f t="shared" ca="1" si="19"/>
        <v>32.334500000000006</v>
      </c>
      <c r="T125" s="3">
        <f t="shared" ca="1" si="22"/>
        <v>1.0681114551086197E-3</v>
      </c>
    </row>
    <row r="126" spans="8:20" x14ac:dyDescent="0.25">
      <c r="H126">
        <v>32.4</v>
      </c>
      <c r="I126" s="11">
        <v>1.0329999999999997</v>
      </c>
      <c r="J126" s="10">
        <f t="shared" si="12"/>
        <v>-1.54E-4</v>
      </c>
      <c r="K126" s="17">
        <f t="shared" si="13"/>
        <v>6.2000000000000003E-5</v>
      </c>
      <c r="L126" s="10">
        <f t="shared" si="14"/>
        <v>2.2820000000000002E-3</v>
      </c>
      <c r="M126" s="11">
        <f t="shared" si="20"/>
        <v>1.0355170499078894</v>
      </c>
      <c r="N126" s="5">
        <f t="shared" si="15"/>
        <v>2.436640762719944E-3</v>
      </c>
      <c r="O126">
        <f t="shared" si="16"/>
        <v>5524.5829999999996</v>
      </c>
      <c r="P126">
        <f t="shared" ca="1" si="17"/>
        <v>5525</v>
      </c>
      <c r="Q126" t="str">
        <f t="shared" ca="1" si="21"/>
        <v>0001010110010101</v>
      </c>
      <c r="R126">
        <f t="shared" ca="1" si="18"/>
        <v>1.0359375</v>
      </c>
      <c r="S126">
        <f t="shared" ca="1" si="19"/>
        <v>32.431250000000006</v>
      </c>
      <c r="T126" s="3">
        <f t="shared" ca="1" si="22"/>
        <v>9.6450617283972556E-4</v>
      </c>
    </row>
    <row r="127" spans="8:20" x14ac:dyDescent="0.25">
      <c r="H127">
        <v>32.5</v>
      </c>
      <c r="I127" s="11">
        <v>1.0415833333333333</v>
      </c>
      <c r="J127" s="10">
        <f t="shared" si="12"/>
        <v>-1.5300000000000001E-4</v>
      </c>
      <c r="K127" s="17">
        <f t="shared" si="13"/>
        <v>6.3E-5</v>
      </c>
      <c r="L127" s="10">
        <f t="shared" si="14"/>
        <v>2.313E-3</v>
      </c>
      <c r="M127" s="11">
        <f t="shared" si="20"/>
        <v>1.0441514556502525</v>
      </c>
      <c r="N127" s="5">
        <f t="shared" si="15"/>
        <v>2.4655946718161424E-3</v>
      </c>
      <c r="O127">
        <f t="shared" si="16"/>
        <v>5570.6484</v>
      </c>
      <c r="P127">
        <f t="shared" ca="1" si="17"/>
        <v>5571</v>
      </c>
      <c r="Q127" t="str">
        <f t="shared" ca="1" si="21"/>
        <v>0001010111000011</v>
      </c>
      <c r="R127">
        <f t="shared" ca="1" si="18"/>
        <v>1.0445625000000001</v>
      </c>
      <c r="S127">
        <f t="shared" ca="1" si="19"/>
        <v>32.534750000000003</v>
      </c>
      <c r="T127" s="3">
        <f t="shared" ca="1" si="22"/>
        <v>1.0692307692308461E-3</v>
      </c>
    </row>
    <row r="128" spans="8:20" x14ac:dyDescent="0.25">
      <c r="H128">
        <v>32.6</v>
      </c>
      <c r="I128" s="11">
        <v>1.0507500000000001</v>
      </c>
      <c r="J128" s="10">
        <f t="shared" si="12"/>
        <v>-1.5300000000000001E-4</v>
      </c>
      <c r="K128" s="17">
        <f t="shared" si="13"/>
        <v>6.3E-5</v>
      </c>
      <c r="L128" s="10">
        <f t="shared" si="14"/>
        <v>2.343E-3</v>
      </c>
      <c r="M128" s="11">
        <f t="shared" si="20"/>
        <v>1.0533710483663223</v>
      </c>
      <c r="N128" s="5">
        <f t="shared" si="15"/>
        <v>2.4944547859360121E-3</v>
      </c>
      <c r="O128">
        <f t="shared" si="16"/>
        <v>5619.8357999999998</v>
      </c>
      <c r="P128">
        <f t="shared" ca="1" si="17"/>
        <v>5618</v>
      </c>
      <c r="Q128" t="str">
        <f t="shared" ca="1" si="21"/>
        <v>0001010111110010</v>
      </c>
      <c r="R128">
        <f t="shared" ca="1" si="18"/>
        <v>1.053375</v>
      </c>
      <c r="S128">
        <f t="shared" ca="1" si="19"/>
        <v>32.640500000000003</v>
      </c>
      <c r="T128" s="3">
        <f t="shared" ca="1" si="22"/>
        <v>1.2423312883436052E-3</v>
      </c>
    </row>
    <row r="129" spans="8:20" x14ac:dyDescent="0.25">
      <c r="H129">
        <v>32.700000000000003</v>
      </c>
      <c r="I129" s="11">
        <v>1.0590000000000004</v>
      </c>
      <c r="J129" s="10">
        <f t="shared" si="12"/>
        <v>-1.5200000000000001E-4</v>
      </c>
      <c r="K129" s="17">
        <f t="shared" si="13"/>
        <v>6.3999999999999997E-5</v>
      </c>
      <c r="L129" s="10">
        <f t="shared" si="14"/>
        <v>2.3739999999999998E-3</v>
      </c>
      <c r="M129" s="11">
        <f t="shared" si="20"/>
        <v>1.0616724103020574</v>
      </c>
      <c r="N129" s="5">
        <f t="shared" si="15"/>
        <v>2.5235224759745075E-3</v>
      </c>
      <c r="O129">
        <f t="shared" si="16"/>
        <v>5664.1243999999997</v>
      </c>
      <c r="P129">
        <f t="shared" ca="1" si="17"/>
        <v>5667</v>
      </c>
      <c r="Q129" t="str">
        <f t="shared" ca="1" si="21"/>
        <v>0001011000100011</v>
      </c>
      <c r="R129">
        <f t="shared" ca="1" si="18"/>
        <v>1.0625625000000001</v>
      </c>
      <c r="S129">
        <f t="shared" ca="1" si="19"/>
        <v>32.750750000000004</v>
      </c>
      <c r="T129" s="3">
        <f t="shared" ca="1" si="22"/>
        <v>1.5519877675841203E-3</v>
      </c>
    </row>
    <row r="130" spans="8:20" x14ac:dyDescent="0.25">
      <c r="H130">
        <v>32.799999999999997</v>
      </c>
      <c r="I130" s="11">
        <v>1.066083333333333</v>
      </c>
      <c r="J130" s="10">
        <f t="shared" si="12"/>
        <v>-1.5100000000000001E-4</v>
      </c>
      <c r="K130" s="17">
        <f t="shared" si="13"/>
        <v>6.3999999999999997E-5</v>
      </c>
      <c r="L130" s="10">
        <f t="shared" si="14"/>
        <v>2.4039999999999999E-3</v>
      </c>
      <c r="M130" s="11">
        <f t="shared" si="20"/>
        <v>1.068803737518327</v>
      </c>
      <c r="N130" s="5">
        <f t="shared" si="15"/>
        <v>2.5517744250705618E-3</v>
      </c>
      <c r="O130">
        <f t="shared" si="16"/>
        <v>5702.1706999999997</v>
      </c>
      <c r="P130">
        <f t="shared" ca="1" si="17"/>
        <v>5704</v>
      </c>
      <c r="Q130" t="str">
        <f t="shared" ca="1" si="21"/>
        <v>0001011001001000</v>
      </c>
      <c r="R130">
        <f t="shared" ca="1" si="18"/>
        <v>1.0695000000000001</v>
      </c>
      <c r="S130">
        <f t="shared" ca="1" si="19"/>
        <v>32.834000000000003</v>
      </c>
      <c r="T130" s="3">
        <f t="shared" ca="1" si="22"/>
        <v>1.0365853658538423E-3</v>
      </c>
    </row>
    <row r="131" spans="8:20" x14ac:dyDescent="0.25">
      <c r="H131">
        <v>32.9</v>
      </c>
      <c r="I131" s="11">
        <v>1.0751666666666664</v>
      </c>
      <c r="J131" s="10">
        <f t="shared" ref="J131:J194" si="23">ROUND(H131*0.00000575 -0.00034,6)</f>
        <v>-1.5100000000000001E-4</v>
      </c>
      <c r="K131" s="17">
        <f t="shared" ref="K131:K194" si="24">ROUND(H131*0.000005-0.0001,6)</f>
        <v>6.4999999999999994E-5</v>
      </c>
      <c r="L131" s="10">
        <f t="shared" ref="L131:L194" si="25">ROUND(K131+($C$24*(H131-25)),6)</f>
        <v>2.4350000000000001E-3</v>
      </c>
      <c r="M131" s="11">
        <f t="shared" si="20"/>
        <v>1.0779424565483615</v>
      </c>
      <c r="N131" s="5">
        <f t="shared" ref="N131:N194" si="26">ABS(I131-M131)/I131</f>
        <v>2.5817298543126354E-3</v>
      </c>
      <c r="O131">
        <f t="shared" ref="O131:O194" si="27">ROUND((M131*(2^($C$12-1)))/$C$44,4)</f>
        <v>5750.9265999999998</v>
      </c>
      <c r="P131">
        <f t="shared" ref="P131:P194" ca="1" si="28">ROUND(O131+$C$47+$C$49+RANDBETWEEN($B$45,$D$45),0)</f>
        <v>5753</v>
      </c>
      <c r="Q131" t="str">
        <f t="shared" ca="1" si="21"/>
        <v>0001011001111001</v>
      </c>
      <c r="R131">
        <f t="shared" ref="R131:R194" ca="1" si="29">($C$16/2^($C$12-1)) * P131</f>
        <v>1.0786875</v>
      </c>
      <c r="S131">
        <f t="shared" ref="S131:S194" ca="1" si="30">(R131+5/3)/(1/12)</f>
        <v>32.944250000000004</v>
      </c>
      <c r="T131" s="3">
        <f t="shared" ca="1" si="22"/>
        <v>1.3449848024317699E-3</v>
      </c>
    </row>
    <row r="132" spans="8:20" x14ac:dyDescent="0.25">
      <c r="H132">
        <v>33</v>
      </c>
      <c r="I132" s="11">
        <v>1.0828333333333331</v>
      </c>
      <c r="J132" s="10">
        <f t="shared" si="23"/>
        <v>-1.4999999999999999E-4</v>
      </c>
      <c r="K132" s="17">
        <f t="shared" si="24"/>
        <v>6.4999999999999994E-5</v>
      </c>
      <c r="L132" s="10">
        <f t="shared" si="25"/>
        <v>2.4650000000000002E-3</v>
      </c>
      <c r="M132" s="11">
        <f t="shared" ref="M132:M195" si="31">(I132-J132)/(1-L132)</f>
        <v>1.0856594839612979</v>
      </c>
      <c r="N132" s="5">
        <f t="shared" si="26"/>
        <v>2.6099590222854519E-3</v>
      </c>
      <c r="O132">
        <f t="shared" si="27"/>
        <v>5792.0977000000003</v>
      </c>
      <c r="P132">
        <f t="shared" ca="1" si="28"/>
        <v>5794</v>
      </c>
      <c r="Q132" t="str">
        <f t="shared" ref="Q132:Q195" ca="1" si="32">_xlfn.BASE(P132,2,16)</f>
        <v>0001011010100010</v>
      </c>
      <c r="R132">
        <f t="shared" ca="1" si="29"/>
        <v>1.0863750000000001</v>
      </c>
      <c r="S132">
        <f t="shared" ca="1" si="30"/>
        <v>33.036500000000004</v>
      </c>
      <c r="T132" s="3">
        <f t="shared" ref="T132:T195" ca="1" si="33">ABS(H132-S132)/H132</f>
        <v>1.1060606060607197E-3</v>
      </c>
    </row>
    <row r="133" spans="8:20" x14ac:dyDescent="0.25">
      <c r="H133">
        <v>33.1</v>
      </c>
      <c r="I133" s="11">
        <v>1.0914999999999997</v>
      </c>
      <c r="J133" s="10">
        <f t="shared" si="23"/>
        <v>-1.4999999999999999E-4</v>
      </c>
      <c r="K133" s="17">
        <f t="shared" si="24"/>
        <v>6.6000000000000005E-5</v>
      </c>
      <c r="L133" s="10">
        <f t="shared" si="25"/>
        <v>2.496E-3</v>
      </c>
      <c r="M133" s="11">
        <f t="shared" si="31"/>
        <v>1.0943815764147311</v>
      </c>
      <c r="N133" s="5">
        <f t="shared" si="26"/>
        <v>2.6400150386911713E-3</v>
      </c>
      <c r="O133">
        <f t="shared" si="27"/>
        <v>5838.6309000000001</v>
      </c>
      <c r="P133">
        <f t="shared" ca="1" si="28"/>
        <v>5840</v>
      </c>
      <c r="Q133" t="str">
        <f t="shared" ca="1" si="32"/>
        <v>0001011011010000</v>
      </c>
      <c r="R133">
        <f t="shared" ca="1" si="29"/>
        <v>1.095</v>
      </c>
      <c r="S133">
        <f t="shared" ca="1" si="30"/>
        <v>33.14</v>
      </c>
      <c r="T133" s="3">
        <f t="shared" ca="1" si="33"/>
        <v>1.2084592145014848E-3</v>
      </c>
    </row>
    <row r="134" spans="8:20" x14ac:dyDescent="0.25">
      <c r="H134">
        <v>33.200000000000003</v>
      </c>
      <c r="I134" s="11">
        <v>1.099833333333333</v>
      </c>
      <c r="J134" s="10">
        <f t="shared" si="23"/>
        <v>-1.4899999999999999E-4</v>
      </c>
      <c r="K134" s="17">
        <f t="shared" si="24"/>
        <v>6.6000000000000005E-5</v>
      </c>
      <c r="L134" s="10">
        <f t="shared" si="25"/>
        <v>2.526E-3</v>
      </c>
      <c r="M134" s="11">
        <f t="shared" si="31"/>
        <v>1.1027679251121663</v>
      </c>
      <c r="N134" s="5">
        <f t="shared" si="26"/>
        <v>2.6682149830276674E-3</v>
      </c>
      <c r="O134">
        <f t="shared" si="27"/>
        <v>5883.3729000000003</v>
      </c>
      <c r="P134">
        <f t="shared" ca="1" si="28"/>
        <v>5881</v>
      </c>
      <c r="Q134" t="str">
        <f t="shared" ca="1" si="32"/>
        <v>0001011011111001</v>
      </c>
      <c r="R134">
        <f t="shared" ca="1" si="29"/>
        <v>1.1026875</v>
      </c>
      <c r="S134">
        <f t="shared" ca="1" si="30"/>
        <v>33.232250000000008</v>
      </c>
      <c r="T134" s="3">
        <f t="shared" ca="1" si="33"/>
        <v>9.7138554216881848E-4</v>
      </c>
    </row>
    <row r="135" spans="8:20" x14ac:dyDescent="0.25">
      <c r="H135">
        <v>33.299999999999997</v>
      </c>
      <c r="I135" s="11">
        <v>1.1077499999999996</v>
      </c>
      <c r="J135" s="10">
        <f t="shared" si="23"/>
        <v>-1.4899999999999999E-4</v>
      </c>
      <c r="K135" s="17">
        <f t="shared" si="24"/>
        <v>6.7000000000000002E-5</v>
      </c>
      <c r="L135" s="10">
        <f t="shared" si="25"/>
        <v>2.5569999999999998E-3</v>
      </c>
      <c r="M135" s="11">
        <f t="shared" si="31"/>
        <v>1.1107391600322019</v>
      </c>
      <c r="N135" s="5">
        <f t="shared" si="26"/>
        <v>2.6984067092776245E-3</v>
      </c>
      <c r="O135">
        <f t="shared" si="27"/>
        <v>5925.9002</v>
      </c>
      <c r="P135">
        <f t="shared" ca="1" si="28"/>
        <v>5929</v>
      </c>
      <c r="Q135" t="str">
        <f t="shared" ca="1" si="32"/>
        <v>0001011100101001</v>
      </c>
      <c r="R135">
        <f t="shared" ca="1" si="29"/>
        <v>1.1116874999999999</v>
      </c>
      <c r="S135">
        <f t="shared" ca="1" si="30"/>
        <v>33.340249999999997</v>
      </c>
      <c r="T135" s="3">
        <f t="shared" ca="1" si="33"/>
        <v>1.2087087087087191E-3</v>
      </c>
    </row>
    <row r="136" spans="8:20" x14ac:dyDescent="0.25">
      <c r="H136">
        <v>33.4</v>
      </c>
      <c r="I136" s="11">
        <v>1.1172499999999996</v>
      </c>
      <c r="J136" s="10">
        <f t="shared" si="23"/>
        <v>-1.4799999999999999E-4</v>
      </c>
      <c r="K136" s="17">
        <f t="shared" si="24"/>
        <v>6.7000000000000002E-5</v>
      </c>
      <c r="L136" s="10">
        <f t="shared" si="25"/>
        <v>2.5869999999999999E-3</v>
      </c>
      <c r="M136" s="11">
        <f t="shared" si="31"/>
        <v>1.1202962062856607</v>
      </c>
      <c r="N136" s="5">
        <f t="shared" si="26"/>
        <v>2.7265216251162253E-3</v>
      </c>
      <c r="O136">
        <f t="shared" si="27"/>
        <v>5976.8879999999999</v>
      </c>
      <c r="P136">
        <f t="shared" ca="1" si="28"/>
        <v>5979</v>
      </c>
      <c r="Q136" t="str">
        <f t="shared" ca="1" si="32"/>
        <v>0001011101011011</v>
      </c>
      <c r="R136">
        <f t="shared" ca="1" si="29"/>
        <v>1.1210625000000001</v>
      </c>
      <c r="S136">
        <f t="shared" ca="1" si="30"/>
        <v>33.452750000000002</v>
      </c>
      <c r="T136" s="3">
        <f t="shared" ca="1" si="33"/>
        <v>1.5793413173653648E-3</v>
      </c>
    </row>
    <row r="137" spans="8:20" x14ac:dyDescent="0.25">
      <c r="H137">
        <v>33.5</v>
      </c>
      <c r="I137" s="11">
        <v>1.1254999999999999</v>
      </c>
      <c r="J137" s="10">
        <f t="shared" si="23"/>
        <v>-1.47E-4</v>
      </c>
      <c r="K137" s="17">
        <f t="shared" si="24"/>
        <v>6.7999999999999999E-5</v>
      </c>
      <c r="L137" s="10">
        <f t="shared" si="25"/>
        <v>2.6180000000000001E-3</v>
      </c>
      <c r="M137" s="11">
        <f t="shared" si="31"/>
        <v>1.1286016791961353</v>
      </c>
      <c r="N137" s="5">
        <f t="shared" si="26"/>
        <v>2.7558233639585553E-3</v>
      </c>
      <c r="O137">
        <f t="shared" si="27"/>
        <v>6021.1985000000004</v>
      </c>
      <c r="P137">
        <f t="shared" ca="1" si="28"/>
        <v>6023</v>
      </c>
      <c r="Q137" t="str">
        <f t="shared" ca="1" si="32"/>
        <v>0001011110000111</v>
      </c>
      <c r="R137">
        <f t="shared" ca="1" si="29"/>
        <v>1.1293124999999999</v>
      </c>
      <c r="S137">
        <f t="shared" ca="1" si="30"/>
        <v>33.551750000000006</v>
      </c>
      <c r="T137" s="3">
        <f t="shared" ca="1" si="33"/>
        <v>1.5447761194031496E-3</v>
      </c>
    </row>
    <row r="138" spans="8:20" x14ac:dyDescent="0.25">
      <c r="H138">
        <v>33.6</v>
      </c>
      <c r="I138" s="11">
        <v>1.1329166666666663</v>
      </c>
      <c r="J138" s="10">
        <f t="shared" si="23"/>
        <v>-1.47E-4</v>
      </c>
      <c r="K138" s="17">
        <f t="shared" si="24"/>
        <v>6.7999999999999999E-5</v>
      </c>
      <c r="L138" s="10">
        <f t="shared" si="25"/>
        <v>2.6480000000000002E-3</v>
      </c>
      <c r="M138" s="11">
        <f t="shared" si="31"/>
        <v>1.1360719852836973</v>
      </c>
      <c r="N138" s="5">
        <f t="shared" si="26"/>
        <v>2.7851286064267751E-3</v>
      </c>
      <c r="O138">
        <f t="shared" si="27"/>
        <v>6061.0532999999996</v>
      </c>
      <c r="P138">
        <f t="shared" ca="1" si="28"/>
        <v>6059</v>
      </c>
      <c r="Q138" t="str">
        <f t="shared" ca="1" si="32"/>
        <v>0001011110101011</v>
      </c>
      <c r="R138">
        <f t="shared" ca="1" si="29"/>
        <v>1.1360625</v>
      </c>
      <c r="S138">
        <f t="shared" ca="1" si="30"/>
        <v>33.632750000000001</v>
      </c>
      <c r="T138" s="3">
        <f t="shared" ca="1" si="33"/>
        <v>9.7470238095238263E-4</v>
      </c>
    </row>
    <row r="139" spans="8:20" x14ac:dyDescent="0.25">
      <c r="H139">
        <v>33.700000000000003</v>
      </c>
      <c r="I139" s="11">
        <v>1.1415</v>
      </c>
      <c r="J139" s="10">
        <f t="shared" si="23"/>
        <v>-1.46E-4</v>
      </c>
      <c r="K139" s="17">
        <f t="shared" si="24"/>
        <v>6.8999999999999997E-5</v>
      </c>
      <c r="L139" s="10">
        <f t="shared" si="25"/>
        <v>2.679E-3</v>
      </c>
      <c r="M139" s="11">
        <f t="shared" si="31"/>
        <v>1.1447126852838754</v>
      </c>
      <c r="N139" s="5">
        <f t="shared" si="26"/>
        <v>2.8144417729964225E-3</v>
      </c>
      <c r="O139">
        <f t="shared" si="27"/>
        <v>6107.1522000000004</v>
      </c>
      <c r="P139">
        <f t="shared" ca="1" si="28"/>
        <v>6105</v>
      </c>
      <c r="Q139" t="str">
        <f t="shared" ca="1" si="32"/>
        <v>0001011111011001</v>
      </c>
      <c r="R139">
        <f t="shared" ca="1" si="29"/>
        <v>1.1446875000000001</v>
      </c>
      <c r="S139">
        <f t="shared" ca="1" si="30"/>
        <v>33.736250000000005</v>
      </c>
      <c r="T139" s="3">
        <f t="shared" ca="1" si="33"/>
        <v>1.075667655786426E-3</v>
      </c>
    </row>
    <row r="140" spans="8:20" x14ac:dyDescent="0.25">
      <c r="H140">
        <v>33.799999999999997</v>
      </c>
      <c r="I140" s="11">
        <v>1.1497499999999994</v>
      </c>
      <c r="J140" s="10">
        <f t="shared" si="23"/>
        <v>-1.46E-4</v>
      </c>
      <c r="K140" s="17">
        <f t="shared" si="24"/>
        <v>6.8999999999999997E-5</v>
      </c>
      <c r="L140" s="10">
        <f t="shared" si="25"/>
        <v>2.709E-3</v>
      </c>
      <c r="M140" s="11">
        <f t="shared" si="31"/>
        <v>1.153019529906516</v>
      </c>
      <c r="N140" s="5">
        <f t="shared" si="26"/>
        <v>2.8436876769007474E-3</v>
      </c>
      <c r="O140">
        <f t="shared" si="27"/>
        <v>6151.4700999999995</v>
      </c>
      <c r="P140">
        <f t="shared" ca="1" si="28"/>
        <v>6154</v>
      </c>
      <c r="Q140" t="str">
        <f t="shared" ca="1" si="32"/>
        <v>0001100000001010</v>
      </c>
      <c r="R140">
        <f t="shared" ca="1" si="29"/>
        <v>1.153875</v>
      </c>
      <c r="S140">
        <f t="shared" ca="1" si="30"/>
        <v>33.846500000000006</v>
      </c>
      <c r="T140" s="3">
        <f t="shared" ca="1" si="33"/>
        <v>1.3757396449706766E-3</v>
      </c>
    </row>
    <row r="141" spans="8:20" x14ac:dyDescent="0.25">
      <c r="H141">
        <v>33.9</v>
      </c>
      <c r="I141" s="11">
        <v>1.1578333333333328</v>
      </c>
      <c r="J141" s="10">
        <f t="shared" si="23"/>
        <v>-1.45E-4</v>
      </c>
      <c r="K141" s="17">
        <f t="shared" si="24"/>
        <v>6.9999999999999994E-5</v>
      </c>
      <c r="L141" s="10">
        <f t="shared" si="25"/>
        <v>2.7399999999999998E-3</v>
      </c>
      <c r="M141" s="11">
        <f t="shared" si="31"/>
        <v>1.1611599114908178</v>
      </c>
      <c r="N141" s="5">
        <f t="shared" si="26"/>
        <v>2.8731062249761968E-3</v>
      </c>
      <c r="O141">
        <f t="shared" si="27"/>
        <v>6194.8998000000001</v>
      </c>
      <c r="P141">
        <f t="shared" ca="1" si="28"/>
        <v>6193</v>
      </c>
      <c r="Q141" t="str">
        <f t="shared" ca="1" si="32"/>
        <v>0001100000110001</v>
      </c>
      <c r="R141">
        <f t="shared" ca="1" si="29"/>
        <v>1.1611875</v>
      </c>
      <c r="S141">
        <f t="shared" ca="1" si="30"/>
        <v>33.934249999999999</v>
      </c>
      <c r="T141" s="3">
        <f t="shared" ca="1" si="33"/>
        <v>1.0103244837758147E-3</v>
      </c>
    </row>
    <row r="142" spans="8:20" x14ac:dyDescent="0.25">
      <c r="H142">
        <v>34</v>
      </c>
      <c r="I142" s="11">
        <v>1.1667499999999997</v>
      </c>
      <c r="J142" s="10">
        <f t="shared" si="23"/>
        <v>-1.45E-4</v>
      </c>
      <c r="K142" s="17">
        <f t="shared" si="24"/>
        <v>6.9999999999999994E-5</v>
      </c>
      <c r="L142" s="10">
        <f t="shared" si="25"/>
        <v>2.7699999999999999E-3</v>
      </c>
      <c r="M142" s="11">
        <f t="shared" si="31"/>
        <v>1.1701362774886435</v>
      </c>
      <c r="N142" s="5">
        <f t="shared" si="26"/>
        <v>2.9023162533908125E-3</v>
      </c>
      <c r="O142">
        <f t="shared" si="27"/>
        <v>6242.7894999999999</v>
      </c>
      <c r="P142">
        <f t="shared" ca="1" si="28"/>
        <v>6241</v>
      </c>
      <c r="Q142" t="str">
        <f t="shared" ca="1" si="32"/>
        <v>0001100001100001</v>
      </c>
      <c r="R142">
        <f t="shared" ca="1" si="29"/>
        <v>1.1701874999999999</v>
      </c>
      <c r="S142">
        <f t="shared" ca="1" si="30"/>
        <v>34.042250000000003</v>
      </c>
      <c r="T142" s="3">
        <f t="shared" ca="1" si="33"/>
        <v>1.2426470588236113E-3</v>
      </c>
    </row>
    <row r="143" spans="8:20" x14ac:dyDescent="0.25">
      <c r="H143">
        <v>34.1</v>
      </c>
      <c r="I143" s="11">
        <v>1.175083333333333</v>
      </c>
      <c r="J143" s="10">
        <f t="shared" si="23"/>
        <v>-1.44E-4</v>
      </c>
      <c r="K143" s="17">
        <f t="shared" si="24"/>
        <v>7.1000000000000005E-5</v>
      </c>
      <c r="L143" s="10">
        <f t="shared" si="25"/>
        <v>2.8010000000000001E-3</v>
      </c>
      <c r="M143" s="11">
        <f t="shared" si="31"/>
        <v>1.1785283913575255</v>
      </c>
      <c r="N143" s="5">
        <f t="shared" si="26"/>
        <v>2.9317563499262319E-3</v>
      </c>
      <c r="O143">
        <f t="shared" si="27"/>
        <v>6287.5622999999996</v>
      </c>
      <c r="P143">
        <f t="shared" ca="1" si="28"/>
        <v>6290</v>
      </c>
      <c r="Q143" t="str">
        <f t="shared" ca="1" si="32"/>
        <v>0001100010010010</v>
      </c>
      <c r="R143">
        <f t="shared" ca="1" si="29"/>
        <v>1.1793750000000001</v>
      </c>
      <c r="S143">
        <f t="shared" ca="1" si="30"/>
        <v>34.152500000000003</v>
      </c>
      <c r="T143" s="3">
        <f t="shared" ca="1" si="33"/>
        <v>1.5395894428153075E-3</v>
      </c>
    </row>
    <row r="144" spans="8:20" x14ac:dyDescent="0.25">
      <c r="H144">
        <v>34.200000000000003</v>
      </c>
      <c r="I144" s="11">
        <v>1.1833333333333333</v>
      </c>
      <c r="J144" s="10">
        <f t="shared" si="23"/>
        <v>-1.4300000000000001E-4</v>
      </c>
      <c r="K144" s="17">
        <f t="shared" si="24"/>
        <v>7.1000000000000005E-5</v>
      </c>
      <c r="L144" s="10">
        <f t="shared" si="25"/>
        <v>2.8310000000000002E-3</v>
      </c>
      <c r="M144" s="11">
        <f t="shared" si="31"/>
        <v>1.1868362668046575</v>
      </c>
      <c r="N144" s="5">
        <f t="shared" si="26"/>
        <v>2.9602254687246189E-3</v>
      </c>
      <c r="O144">
        <f t="shared" si="27"/>
        <v>6331.8855999999996</v>
      </c>
      <c r="P144">
        <f t="shared" ca="1" si="28"/>
        <v>6329</v>
      </c>
      <c r="Q144" t="str">
        <f t="shared" ca="1" si="32"/>
        <v>0001100010111001</v>
      </c>
      <c r="R144">
        <f t="shared" ca="1" si="29"/>
        <v>1.1866875000000001</v>
      </c>
      <c r="S144">
        <f t="shared" ca="1" si="30"/>
        <v>34.240250000000003</v>
      </c>
      <c r="T144" s="3">
        <f t="shared" ca="1" si="33"/>
        <v>1.1769005847953316E-3</v>
      </c>
    </row>
    <row r="145" spans="8:20" x14ac:dyDescent="0.25">
      <c r="H145">
        <v>34.299999999999997</v>
      </c>
      <c r="I145" s="11">
        <v>1.1924166666666662</v>
      </c>
      <c r="J145" s="10">
        <f t="shared" si="23"/>
        <v>-1.4300000000000001E-4</v>
      </c>
      <c r="K145" s="17">
        <f t="shared" si="24"/>
        <v>7.2000000000000002E-5</v>
      </c>
      <c r="L145" s="10">
        <f t="shared" si="25"/>
        <v>2.862E-3</v>
      </c>
      <c r="M145" s="11">
        <f t="shared" si="31"/>
        <v>1.1959825687785104</v>
      </c>
      <c r="N145" s="5">
        <f t="shared" si="26"/>
        <v>2.9904832861925969E-3</v>
      </c>
      <c r="O145">
        <f t="shared" si="27"/>
        <v>6380.6819999999998</v>
      </c>
      <c r="P145">
        <f t="shared" ca="1" si="28"/>
        <v>6383</v>
      </c>
      <c r="Q145" t="str">
        <f t="shared" ca="1" si="32"/>
        <v>0001100011101111</v>
      </c>
      <c r="R145">
        <f t="shared" ca="1" si="29"/>
        <v>1.1968125000000001</v>
      </c>
      <c r="S145">
        <f t="shared" ca="1" si="30"/>
        <v>34.361750000000008</v>
      </c>
      <c r="T145" s="3">
        <f t="shared" ca="1" si="33"/>
        <v>1.8002915451898144E-3</v>
      </c>
    </row>
    <row r="146" spans="8:20" x14ac:dyDescent="0.25">
      <c r="H146">
        <v>34.4</v>
      </c>
      <c r="I146" s="11">
        <v>1.1994999999999998</v>
      </c>
      <c r="J146" s="10">
        <f t="shared" si="23"/>
        <v>-1.4200000000000001E-4</v>
      </c>
      <c r="K146" s="17">
        <f t="shared" si="24"/>
        <v>7.2000000000000002E-5</v>
      </c>
      <c r="L146" s="10">
        <f t="shared" si="25"/>
        <v>2.892E-3</v>
      </c>
      <c r="M146" s="11">
        <f t="shared" si="31"/>
        <v>1.2031214271673678</v>
      </c>
      <c r="N146" s="5">
        <f t="shared" si="26"/>
        <v>3.0191139369470776E-3</v>
      </c>
      <c r="O146">
        <f t="shared" si="27"/>
        <v>6418.7685000000001</v>
      </c>
      <c r="P146">
        <f t="shared" ca="1" si="28"/>
        <v>6421</v>
      </c>
      <c r="Q146" t="str">
        <f t="shared" ca="1" si="32"/>
        <v>0001100100010101</v>
      </c>
      <c r="R146">
        <f t="shared" ca="1" si="29"/>
        <v>1.2039375000000001</v>
      </c>
      <c r="S146">
        <f t="shared" ca="1" si="30"/>
        <v>34.447250000000004</v>
      </c>
      <c r="T146" s="3">
        <f t="shared" ca="1" si="33"/>
        <v>1.3735465116280624E-3</v>
      </c>
    </row>
    <row r="147" spans="8:20" x14ac:dyDescent="0.25">
      <c r="H147">
        <v>34.5</v>
      </c>
      <c r="I147" s="11">
        <v>1.2078333333333331</v>
      </c>
      <c r="J147" s="10">
        <f t="shared" si="23"/>
        <v>-1.4200000000000001E-4</v>
      </c>
      <c r="K147" s="17">
        <f t="shared" si="24"/>
        <v>7.2999999999999999E-5</v>
      </c>
      <c r="L147" s="10">
        <f t="shared" si="25"/>
        <v>2.9229999999999998E-3</v>
      </c>
      <c r="M147" s="11">
        <f t="shared" si="31"/>
        <v>1.2115165963444481</v>
      </c>
      <c r="N147" s="5">
        <f t="shared" si="26"/>
        <v>3.0494795179646672E-3</v>
      </c>
      <c r="O147">
        <f t="shared" si="27"/>
        <v>6463.5574999999999</v>
      </c>
      <c r="P147">
        <f t="shared" ca="1" si="28"/>
        <v>6467</v>
      </c>
      <c r="Q147" t="str">
        <f t="shared" ca="1" si="32"/>
        <v>0001100101000011</v>
      </c>
      <c r="R147">
        <f t="shared" ca="1" si="29"/>
        <v>1.2125625</v>
      </c>
      <c r="S147">
        <f t="shared" ca="1" si="30"/>
        <v>34.550750000000001</v>
      </c>
      <c r="T147" s="3">
        <f t="shared" ca="1" si="33"/>
        <v>1.4710144927536446E-3</v>
      </c>
    </row>
    <row r="148" spans="8:20" x14ac:dyDescent="0.25">
      <c r="H148">
        <v>34.6</v>
      </c>
      <c r="I148" s="11">
        <v>1.2171666666666667</v>
      </c>
      <c r="J148" s="10">
        <f t="shared" si="23"/>
        <v>-1.4100000000000001E-4</v>
      </c>
      <c r="K148" s="17">
        <f t="shared" si="24"/>
        <v>7.2999999999999999E-5</v>
      </c>
      <c r="L148" s="10">
        <f t="shared" si="25"/>
        <v>2.9529999999999999E-3</v>
      </c>
      <c r="M148" s="11">
        <f t="shared" si="31"/>
        <v>1.2209130228230631</v>
      </c>
      <c r="N148" s="5">
        <f t="shared" si="26"/>
        <v>3.0779319373378626E-3</v>
      </c>
      <c r="O148">
        <f t="shared" si="27"/>
        <v>6513.6884</v>
      </c>
      <c r="P148">
        <f t="shared" ca="1" si="28"/>
        <v>6511</v>
      </c>
      <c r="Q148" t="str">
        <f t="shared" ca="1" si="32"/>
        <v>0001100101101111</v>
      </c>
      <c r="R148">
        <f t="shared" ca="1" si="29"/>
        <v>1.2208125000000001</v>
      </c>
      <c r="S148">
        <f t="shared" ca="1" si="30"/>
        <v>34.649750000000004</v>
      </c>
      <c r="T148" s="3">
        <f t="shared" ca="1" si="33"/>
        <v>1.4378612716763892E-3</v>
      </c>
    </row>
    <row r="149" spans="8:20" x14ac:dyDescent="0.25">
      <c r="H149">
        <v>34.700000000000003</v>
      </c>
      <c r="I149" s="11">
        <v>1.2252500000000002</v>
      </c>
      <c r="J149" s="10">
        <f t="shared" si="23"/>
        <v>-1.3999999999999999E-4</v>
      </c>
      <c r="K149" s="17">
        <f t="shared" si="24"/>
        <v>7.3999999999999996E-5</v>
      </c>
      <c r="L149" s="10">
        <f t="shared" si="25"/>
        <v>2.9840000000000001E-3</v>
      </c>
      <c r="M149" s="11">
        <f t="shared" si="31"/>
        <v>1.2290575076026866</v>
      </c>
      <c r="N149" s="5">
        <f t="shared" si="26"/>
        <v>3.1075352807071565E-3</v>
      </c>
      <c r="O149">
        <f t="shared" si="27"/>
        <v>6557.14</v>
      </c>
      <c r="P149">
        <f t="shared" ca="1" si="28"/>
        <v>6557</v>
      </c>
      <c r="Q149" t="str">
        <f t="shared" ca="1" si="32"/>
        <v>0001100110011101</v>
      </c>
      <c r="R149">
        <f t="shared" ca="1" si="29"/>
        <v>1.2294375</v>
      </c>
      <c r="S149">
        <f t="shared" ca="1" si="30"/>
        <v>34.753250000000001</v>
      </c>
      <c r="T149" s="3">
        <f t="shared" ca="1" si="33"/>
        <v>1.5345821325647971E-3</v>
      </c>
    </row>
    <row r="150" spans="8:20" x14ac:dyDescent="0.25">
      <c r="H150">
        <v>34.799999999999997</v>
      </c>
      <c r="I150" s="11">
        <v>1.2327499999999996</v>
      </c>
      <c r="J150" s="10">
        <f t="shared" si="23"/>
        <v>-1.3999999999999999E-4</v>
      </c>
      <c r="K150" s="17">
        <f t="shared" si="24"/>
        <v>7.3999999999999996E-5</v>
      </c>
      <c r="L150" s="10">
        <f t="shared" si="25"/>
        <v>3.0140000000000002E-3</v>
      </c>
      <c r="M150" s="11">
        <f t="shared" si="31"/>
        <v>1.2366171641326955</v>
      </c>
      <c r="N150" s="5">
        <f t="shared" si="26"/>
        <v>3.1370222126919046E-3</v>
      </c>
      <c r="O150">
        <f t="shared" si="27"/>
        <v>6597.4714999999997</v>
      </c>
      <c r="P150">
        <f t="shared" ca="1" si="28"/>
        <v>6600</v>
      </c>
      <c r="Q150" t="str">
        <f t="shared" ca="1" si="32"/>
        <v>0001100111001000</v>
      </c>
      <c r="R150">
        <f t="shared" ca="1" si="29"/>
        <v>1.2375</v>
      </c>
      <c r="S150">
        <f t="shared" ca="1" si="30"/>
        <v>34.85</v>
      </c>
      <c r="T150" s="3">
        <f t="shared" ca="1" si="33"/>
        <v>1.436781609195525E-3</v>
      </c>
    </row>
    <row r="151" spans="8:20" x14ac:dyDescent="0.25">
      <c r="H151">
        <v>34.9</v>
      </c>
      <c r="I151" s="11">
        <v>1.240833333333333</v>
      </c>
      <c r="J151" s="10">
        <f t="shared" si="23"/>
        <v>-1.3899999999999999E-4</v>
      </c>
      <c r="K151" s="17">
        <f t="shared" si="24"/>
        <v>7.4999999999999993E-5</v>
      </c>
      <c r="L151" s="10">
        <f t="shared" si="25"/>
        <v>3.045E-3</v>
      </c>
      <c r="M151" s="11">
        <f t="shared" si="31"/>
        <v>1.2447626355586088</v>
      </c>
      <c r="N151" s="5">
        <f t="shared" si="26"/>
        <v>3.1666639827608598E-3</v>
      </c>
      <c r="O151">
        <f t="shared" si="27"/>
        <v>6640.9282999999996</v>
      </c>
      <c r="P151">
        <f t="shared" ca="1" si="28"/>
        <v>6641</v>
      </c>
      <c r="Q151" t="str">
        <f t="shared" ca="1" si="32"/>
        <v>0001100111110001</v>
      </c>
      <c r="R151">
        <f t="shared" ca="1" si="29"/>
        <v>1.2451875000000001</v>
      </c>
      <c r="S151">
        <f t="shared" ca="1" si="30"/>
        <v>34.942250000000008</v>
      </c>
      <c r="T151" s="3">
        <f t="shared" ca="1" si="33"/>
        <v>1.2106017191979913E-3</v>
      </c>
    </row>
    <row r="152" spans="8:20" x14ac:dyDescent="0.25">
      <c r="H152">
        <v>35</v>
      </c>
      <c r="I152" s="11">
        <v>1.2494999999999996</v>
      </c>
      <c r="J152" s="10">
        <f t="shared" si="23"/>
        <v>-1.3899999999999999E-4</v>
      </c>
      <c r="K152" s="17">
        <f t="shared" si="24"/>
        <v>7.4999999999999993E-5</v>
      </c>
      <c r="L152" s="10">
        <f t="shared" si="25"/>
        <v>3.075E-3</v>
      </c>
      <c r="M152" s="11">
        <f t="shared" si="31"/>
        <v>1.2534934924894046</v>
      </c>
      <c r="N152" s="5">
        <f t="shared" si="26"/>
        <v>3.1960724204921566E-3</v>
      </c>
      <c r="O152">
        <f t="shared" si="27"/>
        <v>6687.5083000000004</v>
      </c>
      <c r="P152">
        <f t="shared" ca="1" si="28"/>
        <v>6687</v>
      </c>
      <c r="Q152" t="str">
        <f t="shared" ca="1" si="32"/>
        <v>0001101000011111</v>
      </c>
      <c r="R152">
        <f t="shared" ca="1" si="29"/>
        <v>1.2538125</v>
      </c>
      <c r="S152">
        <f t="shared" ca="1" si="30"/>
        <v>35.045749999999998</v>
      </c>
      <c r="T152" s="3">
        <f t="shared" ca="1" si="33"/>
        <v>1.3071428571428052E-3</v>
      </c>
    </row>
    <row r="153" spans="8:20" x14ac:dyDescent="0.25">
      <c r="H153">
        <v>35.1</v>
      </c>
      <c r="I153" s="11">
        <v>1.2581666666666662</v>
      </c>
      <c r="J153" s="10">
        <f t="shared" si="23"/>
        <v>-1.3799999999999999E-4</v>
      </c>
      <c r="K153" s="17">
        <f t="shared" si="24"/>
        <v>7.6000000000000004E-5</v>
      </c>
      <c r="L153" s="10">
        <f t="shared" si="25"/>
        <v>3.1059999999999998E-3</v>
      </c>
      <c r="M153" s="11">
        <f t="shared" si="31"/>
        <v>1.2622251379451237</v>
      </c>
      <c r="N153" s="5">
        <f t="shared" si="26"/>
        <v>3.2257024335335715E-3</v>
      </c>
      <c r="O153">
        <f t="shared" si="27"/>
        <v>6734.0924999999997</v>
      </c>
      <c r="P153">
        <f t="shared" ca="1" si="28"/>
        <v>6735</v>
      </c>
      <c r="Q153" t="str">
        <f t="shared" ca="1" si="32"/>
        <v>0001101001001111</v>
      </c>
      <c r="R153">
        <f t="shared" ca="1" si="29"/>
        <v>1.2628125000000001</v>
      </c>
      <c r="S153">
        <f t="shared" ca="1" si="30"/>
        <v>35.153750000000002</v>
      </c>
      <c r="T153" s="3">
        <f t="shared" ca="1" si="33"/>
        <v>1.5313390313390555E-3</v>
      </c>
    </row>
    <row r="154" spans="8:20" x14ac:dyDescent="0.25">
      <c r="H154">
        <v>35.200000000000003</v>
      </c>
      <c r="I154" s="11">
        <v>1.2662499999999997</v>
      </c>
      <c r="J154" s="10">
        <f t="shared" si="23"/>
        <v>-1.3799999999999999E-4</v>
      </c>
      <c r="K154" s="17">
        <f t="shared" si="24"/>
        <v>7.6000000000000004E-5</v>
      </c>
      <c r="L154" s="10">
        <f t="shared" si="25"/>
        <v>3.1359999999999999E-3</v>
      </c>
      <c r="M154" s="11">
        <f t="shared" si="31"/>
        <v>1.2703718862352333</v>
      </c>
      <c r="N154" s="5">
        <f t="shared" si="26"/>
        <v>3.2551914987037993E-3</v>
      </c>
      <c r="O154">
        <f t="shared" si="27"/>
        <v>6777.5562</v>
      </c>
      <c r="P154">
        <f t="shared" ca="1" si="28"/>
        <v>6778</v>
      </c>
      <c r="Q154" t="str">
        <f t="shared" ca="1" si="32"/>
        <v>0001101001111010</v>
      </c>
      <c r="R154">
        <f t="shared" ca="1" si="29"/>
        <v>1.270875</v>
      </c>
      <c r="S154">
        <f t="shared" ca="1" si="30"/>
        <v>35.250500000000002</v>
      </c>
      <c r="T154" s="3">
        <f t="shared" ca="1" si="33"/>
        <v>1.4346590909090778E-3</v>
      </c>
    </row>
    <row r="155" spans="8:20" x14ac:dyDescent="0.25">
      <c r="H155">
        <v>35.299999999999997</v>
      </c>
      <c r="I155" s="11">
        <v>1.2743333333333327</v>
      </c>
      <c r="J155" s="10">
        <f t="shared" si="23"/>
        <v>-1.37E-4</v>
      </c>
      <c r="K155" s="17">
        <f t="shared" si="24"/>
        <v>7.7000000000000001E-5</v>
      </c>
      <c r="L155" s="10">
        <f t="shared" si="25"/>
        <v>3.1670000000000001E-3</v>
      </c>
      <c r="M155" s="11">
        <f t="shared" si="31"/>
        <v>1.2785194042867087</v>
      </c>
      <c r="N155" s="5">
        <f t="shared" si="26"/>
        <v>3.2849105048726825E-3</v>
      </c>
      <c r="O155">
        <f t="shared" si="27"/>
        <v>6821.0239000000001</v>
      </c>
      <c r="P155">
        <f t="shared" ca="1" si="28"/>
        <v>6824</v>
      </c>
      <c r="Q155" t="str">
        <f t="shared" ca="1" si="32"/>
        <v>0001101010101000</v>
      </c>
      <c r="R155">
        <f t="shared" ca="1" si="29"/>
        <v>1.2795000000000001</v>
      </c>
      <c r="S155">
        <f t="shared" ca="1" si="30"/>
        <v>35.353999999999999</v>
      </c>
      <c r="T155" s="3">
        <f t="shared" ca="1" si="33"/>
        <v>1.529745042492976E-3</v>
      </c>
    </row>
    <row r="156" spans="8:20" x14ac:dyDescent="0.25">
      <c r="H156">
        <v>35.4</v>
      </c>
      <c r="I156" s="11">
        <v>1.2825</v>
      </c>
      <c r="J156" s="10">
        <f t="shared" si="23"/>
        <v>-1.36E-4</v>
      </c>
      <c r="K156" s="17">
        <f t="shared" si="24"/>
        <v>7.7000000000000001E-5</v>
      </c>
      <c r="L156" s="10">
        <f t="shared" si="25"/>
        <v>3.1970000000000002E-3</v>
      </c>
      <c r="M156" s="11">
        <f t="shared" si="31"/>
        <v>1.2867497389153122</v>
      </c>
      <c r="N156" s="5">
        <f t="shared" si="26"/>
        <v>3.3136365811401308E-3</v>
      </c>
      <c r="O156">
        <f t="shared" si="27"/>
        <v>6864.9336000000003</v>
      </c>
      <c r="P156">
        <f t="shared" ca="1" si="28"/>
        <v>6867</v>
      </c>
      <c r="Q156" t="str">
        <f t="shared" ca="1" si="32"/>
        <v>0001101011010011</v>
      </c>
      <c r="R156">
        <f t="shared" ca="1" si="29"/>
        <v>1.2875624999999999</v>
      </c>
      <c r="S156">
        <f t="shared" ca="1" si="30"/>
        <v>35.450750000000006</v>
      </c>
      <c r="T156" s="3">
        <f t="shared" ca="1" si="33"/>
        <v>1.4336158192092613E-3</v>
      </c>
    </row>
    <row r="157" spans="8:20" x14ac:dyDescent="0.25">
      <c r="H157">
        <v>35.5</v>
      </c>
      <c r="I157" s="11">
        <v>1.2914166666666664</v>
      </c>
      <c r="J157" s="10">
        <f t="shared" si="23"/>
        <v>-1.36E-4</v>
      </c>
      <c r="K157" s="17">
        <f t="shared" si="24"/>
        <v>7.7999999999999999E-5</v>
      </c>
      <c r="L157" s="10">
        <f t="shared" si="25"/>
        <v>3.228E-3</v>
      </c>
      <c r="M157" s="11">
        <f t="shared" si="31"/>
        <v>1.2957353002157628</v>
      </c>
      <c r="N157" s="5">
        <f t="shared" si="26"/>
        <v>3.3441054777799632E-3</v>
      </c>
      <c r="O157">
        <f t="shared" si="27"/>
        <v>6912.8724000000002</v>
      </c>
      <c r="P157">
        <f t="shared" ca="1" si="28"/>
        <v>6915</v>
      </c>
      <c r="Q157" t="str">
        <f t="shared" ca="1" si="32"/>
        <v>0001101100000011</v>
      </c>
      <c r="R157">
        <f t="shared" ca="1" si="29"/>
        <v>1.2965625000000001</v>
      </c>
      <c r="S157">
        <f t="shared" ca="1" si="30"/>
        <v>35.558750000000003</v>
      </c>
      <c r="T157" s="3">
        <f t="shared" ca="1" si="33"/>
        <v>1.6549295774648848E-3</v>
      </c>
    </row>
    <row r="158" spans="8:20" x14ac:dyDescent="0.25">
      <c r="H158">
        <v>35.6</v>
      </c>
      <c r="I158" s="11">
        <v>1.2999166666666666</v>
      </c>
      <c r="J158" s="10">
        <f t="shared" si="23"/>
        <v>-1.35E-4</v>
      </c>
      <c r="K158" s="17">
        <f t="shared" si="24"/>
        <v>7.7999999999999999E-5</v>
      </c>
      <c r="L158" s="10">
        <f t="shared" si="25"/>
        <v>3.258E-3</v>
      </c>
      <c r="M158" s="11">
        <f t="shared" si="31"/>
        <v>1.3043010795839511</v>
      </c>
      <c r="N158" s="5">
        <f t="shared" si="26"/>
        <v>3.3728415287784066E-3</v>
      </c>
      <c r="O158">
        <f t="shared" si="27"/>
        <v>6958.5717000000004</v>
      </c>
      <c r="P158">
        <f t="shared" ca="1" si="28"/>
        <v>6960</v>
      </c>
      <c r="Q158" t="str">
        <f t="shared" ca="1" si="32"/>
        <v>0001101100110000</v>
      </c>
      <c r="R158">
        <f t="shared" ca="1" si="29"/>
        <v>1.3049999999999999</v>
      </c>
      <c r="S158">
        <f t="shared" ca="1" si="30"/>
        <v>35.660000000000004</v>
      </c>
      <c r="T158" s="3">
        <f t="shared" ca="1" si="33"/>
        <v>1.6853932584270301E-3</v>
      </c>
    </row>
    <row r="159" spans="8:20" x14ac:dyDescent="0.25">
      <c r="H159">
        <v>35.700000000000003</v>
      </c>
      <c r="I159" s="11">
        <v>1.3089166666666665</v>
      </c>
      <c r="J159" s="10">
        <f t="shared" si="23"/>
        <v>-1.35E-4</v>
      </c>
      <c r="K159" s="17">
        <f t="shared" si="24"/>
        <v>7.8999999999999996E-5</v>
      </c>
      <c r="L159" s="10">
        <f t="shared" si="25"/>
        <v>3.2889999999999998E-3</v>
      </c>
      <c r="M159" s="11">
        <f t="shared" si="31"/>
        <v>1.3133713450204387</v>
      </c>
      <c r="N159" s="5">
        <f t="shared" si="26"/>
        <v>3.4033322878504291E-3</v>
      </c>
      <c r="O159">
        <f t="shared" si="27"/>
        <v>7006.9624000000003</v>
      </c>
      <c r="P159">
        <f t="shared" ca="1" si="28"/>
        <v>7011</v>
      </c>
      <c r="Q159" t="str">
        <f t="shared" ca="1" si="32"/>
        <v>0001101101100011</v>
      </c>
      <c r="R159">
        <f t="shared" ca="1" si="29"/>
        <v>1.3145625000000001</v>
      </c>
      <c r="S159">
        <f t="shared" ca="1" si="30"/>
        <v>35.774750000000004</v>
      </c>
      <c r="T159" s="3">
        <f t="shared" ca="1" si="33"/>
        <v>2.0938375350140516E-3</v>
      </c>
    </row>
    <row r="160" spans="8:20" x14ac:dyDescent="0.25">
      <c r="H160">
        <v>35.799999999999997</v>
      </c>
      <c r="I160" s="11">
        <v>1.3164166666666663</v>
      </c>
      <c r="J160" s="10">
        <f t="shared" si="23"/>
        <v>-1.34E-4</v>
      </c>
      <c r="K160" s="17">
        <f t="shared" si="24"/>
        <v>7.8999999999999996E-5</v>
      </c>
      <c r="L160" s="10">
        <f t="shared" si="25"/>
        <v>3.3189999999999999E-3</v>
      </c>
      <c r="M160" s="11">
        <f t="shared" si="31"/>
        <v>1.3209348494319308</v>
      </c>
      <c r="N160" s="5">
        <f t="shared" si="26"/>
        <v>3.4321828944213467E-3</v>
      </c>
      <c r="O160">
        <f t="shared" si="27"/>
        <v>7047.3144000000002</v>
      </c>
      <c r="P160">
        <f t="shared" ca="1" si="28"/>
        <v>7045</v>
      </c>
      <c r="Q160" t="str">
        <f t="shared" ca="1" si="32"/>
        <v>0001101110000101</v>
      </c>
      <c r="R160">
        <f t="shared" ca="1" si="29"/>
        <v>1.3209375000000001</v>
      </c>
      <c r="S160">
        <f t="shared" ca="1" si="30"/>
        <v>35.851250000000007</v>
      </c>
      <c r="T160" s="3">
        <f t="shared" ca="1" si="33"/>
        <v>1.4315642458103419E-3</v>
      </c>
    </row>
    <row r="161" spans="8:20" x14ac:dyDescent="0.25">
      <c r="H161">
        <v>35.9</v>
      </c>
      <c r="I161" s="11">
        <v>1.325833333333333</v>
      </c>
      <c r="J161" s="10">
        <f t="shared" si="23"/>
        <v>-1.34E-4</v>
      </c>
      <c r="K161" s="17">
        <f t="shared" si="24"/>
        <v>8.0000000000000007E-5</v>
      </c>
      <c r="L161" s="10">
        <f t="shared" si="25"/>
        <v>3.3500000000000001E-3</v>
      </c>
      <c r="M161" s="11">
        <f t="shared" si="31"/>
        <v>1.3304242545861968</v>
      </c>
      <c r="N161" s="5">
        <f t="shared" si="26"/>
        <v>3.4626684496773356E-3</v>
      </c>
      <c r="O161">
        <f t="shared" si="27"/>
        <v>7097.9413000000004</v>
      </c>
      <c r="P161">
        <f t="shared" ca="1" si="28"/>
        <v>7097</v>
      </c>
      <c r="Q161" t="str">
        <f t="shared" ca="1" si="32"/>
        <v>0001101110111001</v>
      </c>
      <c r="R161">
        <f t="shared" ca="1" si="29"/>
        <v>1.3306875</v>
      </c>
      <c r="S161">
        <f t="shared" ca="1" si="30"/>
        <v>35.968250000000005</v>
      </c>
      <c r="T161" s="3">
        <f t="shared" ca="1" si="33"/>
        <v>1.9011142061283047E-3</v>
      </c>
    </row>
    <row r="162" spans="8:20" x14ac:dyDescent="0.25">
      <c r="H162">
        <v>36</v>
      </c>
      <c r="I162" s="11">
        <v>1.3331666666666664</v>
      </c>
      <c r="J162" s="10">
        <f t="shared" si="23"/>
        <v>-1.3300000000000001E-4</v>
      </c>
      <c r="K162" s="17">
        <f t="shared" si="24"/>
        <v>8.0000000000000007E-5</v>
      </c>
      <c r="L162" s="10">
        <f t="shared" si="25"/>
        <v>3.3800000000000002E-3</v>
      </c>
      <c r="M162" s="11">
        <f t="shared" si="31"/>
        <v>1.3378215033479826</v>
      </c>
      <c r="N162" s="5">
        <f t="shared" si="26"/>
        <v>3.4915639564816851E-3</v>
      </c>
      <c r="O162">
        <f t="shared" si="27"/>
        <v>7137.4062999999996</v>
      </c>
      <c r="P162">
        <f t="shared" ca="1" si="28"/>
        <v>7136</v>
      </c>
      <c r="Q162" t="str">
        <f t="shared" ca="1" si="32"/>
        <v>0001101111100000</v>
      </c>
      <c r="R162">
        <f t="shared" ca="1" si="29"/>
        <v>1.3380000000000001</v>
      </c>
      <c r="S162">
        <f t="shared" ca="1" si="30"/>
        <v>36.056000000000004</v>
      </c>
      <c r="T162" s="3">
        <f t="shared" ca="1" si="33"/>
        <v>1.5555555555556804E-3</v>
      </c>
    </row>
    <row r="163" spans="8:20" x14ac:dyDescent="0.25">
      <c r="H163">
        <v>36.1</v>
      </c>
      <c r="I163" s="11">
        <v>1.3416666666666666</v>
      </c>
      <c r="J163" s="10">
        <f t="shared" si="23"/>
        <v>-1.3200000000000001E-4</v>
      </c>
      <c r="K163" s="17">
        <f t="shared" si="24"/>
        <v>8.1000000000000004E-5</v>
      </c>
      <c r="L163" s="10">
        <f t="shared" si="25"/>
        <v>3.411E-3</v>
      </c>
      <c r="M163" s="11">
        <f t="shared" si="31"/>
        <v>1.3463912070739961</v>
      </c>
      <c r="N163" s="5">
        <f t="shared" si="26"/>
        <v>3.5213965768915549E-3</v>
      </c>
      <c r="O163">
        <f t="shared" si="27"/>
        <v>7183.1265000000003</v>
      </c>
      <c r="P163">
        <f t="shared" ca="1" si="28"/>
        <v>7186</v>
      </c>
      <c r="Q163" t="str">
        <f t="shared" ca="1" si="32"/>
        <v>0001110000010010</v>
      </c>
      <c r="R163">
        <f t="shared" ca="1" si="29"/>
        <v>1.347375</v>
      </c>
      <c r="S163">
        <f t="shared" ca="1" si="30"/>
        <v>36.168500000000002</v>
      </c>
      <c r="T163" s="3">
        <f t="shared" ca="1" si="33"/>
        <v>1.8975069252077624E-3</v>
      </c>
    </row>
    <row r="164" spans="8:20" x14ac:dyDescent="0.25">
      <c r="H164">
        <v>36.200000000000003</v>
      </c>
      <c r="I164" s="11">
        <v>1.3505</v>
      </c>
      <c r="J164" s="10">
        <f t="shared" si="23"/>
        <v>-1.3200000000000001E-4</v>
      </c>
      <c r="K164" s="17">
        <f t="shared" si="24"/>
        <v>8.1000000000000004E-5</v>
      </c>
      <c r="L164" s="10">
        <f t="shared" si="25"/>
        <v>3.441E-3</v>
      </c>
      <c r="M164" s="11">
        <f t="shared" si="31"/>
        <v>1.3552955720634705</v>
      </c>
      <c r="N164" s="5">
        <f t="shared" si="26"/>
        <v>3.5509604320403381E-3</v>
      </c>
      <c r="O164">
        <f t="shared" si="27"/>
        <v>7230.6322</v>
      </c>
      <c r="P164">
        <f t="shared" ca="1" si="28"/>
        <v>7233</v>
      </c>
      <c r="Q164" t="str">
        <f t="shared" ca="1" si="32"/>
        <v>0001110001000001</v>
      </c>
      <c r="R164">
        <f t="shared" ca="1" si="29"/>
        <v>1.3561875000000001</v>
      </c>
      <c r="S164">
        <f t="shared" ca="1" si="30"/>
        <v>36.274250000000002</v>
      </c>
      <c r="T164" s="3">
        <f t="shared" ca="1" si="33"/>
        <v>2.0511049723756702E-3</v>
      </c>
    </row>
    <row r="165" spans="8:20" x14ac:dyDescent="0.25">
      <c r="H165">
        <v>36.299999999999997</v>
      </c>
      <c r="I165" s="11">
        <v>1.3589166666666659</v>
      </c>
      <c r="J165" s="10">
        <f t="shared" si="23"/>
        <v>-1.3100000000000001E-4</v>
      </c>
      <c r="K165" s="17">
        <f t="shared" si="24"/>
        <v>8.2000000000000001E-5</v>
      </c>
      <c r="L165" s="10">
        <f t="shared" si="25"/>
        <v>3.4719999999999998E-3</v>
      </c>
      <c r="M165" s="11">
        <f t="shared" si="31"/>
        <v>1.3637827202714485</v>
      </c>
      <c r="N165" s="5">
        <f t="shared" si="26"/>
        <v>3.5808329709567568E-3</v>
      </c>
      <c r="O165">
        <f t="shared" si="27"/>
        <v>7275.9119000000001</v>
      </c>
      <c r="P165">
        <f t="shared" ca="1" si="28"/>
        <v>7280</v>
      </c>
      <c r="Q165" t="str">
        <f t="shared" ca="1" si="32"/>
        <v>0001110001110000</v>
      </c>
      <c r="R165">
        <f t="shared" ca="1" si="29"/>
        <v>1.365</v>
      </c>
      <c r="S165">
        <f t="shared" ca="1" si="30"/>
        <v>36.380000000000003</v>
      </c>
      <c r="T165" s="3">
        <f t="shared" ca="1" si="33"/>
        <v>2.2038567493114438E-3</v>
      </c>
    </row>
    <row r="166" spans="8:20" x14ac:dyDescent="0.25">
      <c r="H166">
        <v>36.400000000000006</v>
      </c>
      <c r="I166" s="11">
        <v>1.3659999999999999</v>
      </c>
      <c r="J166" s="10">
        <f t="shared" si="23"/>
        <v>-1.3100000000000001E-4</v>
      </c>
      <c r="K166" s="17">
        <f t="shared" si="24"/>
        <v>8.2000000000000001E-5</v>
      </c>
      <c r="L166" s="10">
        <f t="shared" si="25"/>
        <v>3.5019999999999999E-3</v>
      </c>
      <c r="M166" s="11">
        <f t="shared" si="31"/>
        <v>1.3709320038775792</v>
      </c>
      <c r="N166" s="5">
        <f t="shared" si="26"/>
        <v>3.6105445663098868E-3</v>
      </c>
      <c r="O166">
        <f t="shared" si="27"/>
        <v>7314.0541000000003</v>
      </c>
      <c r="P166">
        <f t="shared" ca="1" si="28"/>
        <v>7313</v>
      </c>
      <c r="Q166" t="str">
        <f t="shared" ca="1" si="32"/>
        <v>0001110010010001</v>
      </c>
      <c r="R166">
        <f t="shared" ca="1" si="29"/>
        <v>1.3711875</v>
      </c>
      <c r="S166">
        <f t="shared" ca="1" si="30"/>
        <v>36.454250000000002</v>
      </c>
      <c r="T166" s="3">
        <f t="shared" ca="1" si="33"/>
        <v>1.490384615384509E-3</v>
      </c>
    </row>
    <row r="167" spans="8:20" x14ac:dyDescent="0.25">
      <c r="H167">
        <v>36.5</v>
      </c>
      <c r="I167" s="11">
        <v>1.3754999999999999</v>
      </c>
      <c r="J167" s="10">
        <f t="shared" si="23"/>
        <v>-1.2999999999999999E-4</v>
      </c>
      <c r="K167" s="17">
        <f t="shared" si="24"/>
        <v>8.2999999999999998E-5</v>
      </c>
      <c r="L167" s="10">
        <f t="shared" si="25"/>
        <v>3.5330000000000001E-3</v>
      </c>
      <c r="M167" s="11">
        <f t="shared" si="31"/>
        <v>1.3805073324053883</v>
      </c>
      <c r="N167" s="5">
        <f t="shared" si="26"/>
        <v>3.6403725230013157E-3</v>
      </c>
      <c r="O167">
        <f t="shared" si="27"/>
        <v>7365.1394</v>
      </c>
      <c r="P167">
        <f t="shared" ca="1" si="28"/>
        <v>7363</v>
      </c>
      <c r="Q167" t="str">
        <f t="shared" ca="1" si="32"/>
        <v>0001110011000011</v>
      </c>
      <c r="R167">
        <f t="shared" ca="1" si="29"/>
        <v>1.3805625000000001</v>
      </c>
      <c r="S167">
        <f t="shared" ca="1" si="30"/>
        <v>36.566750000000006</v>
      </c>
      <c r="T167" s="3">
        <f t="shared" ca="1" si="33"/>
        <v>1.8287671232878379E-3</v>
      </c>
    </row>
    <row r="168" spans="8:20" x14ac:dyDescent="0.25">
      <c r="H168">
        <v>36.6</v>
      </c>
      <c r="I168" s="11">
        <v>1.3833333333333331</v>
      </c>
      <c r="J168" s="10">
        <f t="shared" si="23"/>
        <v>-1.2999999999999999E-4</v>
      </c>
      <c r="K168" s="17">
        <f t="shared" si="24"/>
        <v>8.2999999999999998E-5</v>
      </c>
      <c r="L168" s="10">
        <f t="shared" si="25"/>
        <v>3.5630000000000002E-3</v>
      </c>
      <c r="M168" s="11">
        <f t="shared" si="31"/>
        <v>1.3884102390149433</v>
      </c>
      <c r="N168" s="5">
        <f t="shared" si="26"/>
        <v>3.6700522999592055E-3</v>
      </c>
      <c r="O168">
        <f t="shared" si="27"/>
        <v>7407.3020999999999</v>
      </c>
      <c r="P168">
        <f t="shared" ca="1" si="28"/>
        <v>7405</v>
      </c>
      <c r="Q168" t="str">
        <f t="shared" ca="1" si="32"/>
        <v>0001110011101101</v>
      </c>
      <c r="R168">
        <f t="shared" ca="1" si="29"/>
        <v>1.3884375</v>
      </c>
      <c r="S168">
        <f t="shared" ca="1" si="30"/>
        <v>36.661250000000003</v>
      </c>
      <c r="T168" s="3">
        <f t="shared" ca="1" si="33"/>
        <v>1.6734972677595939E-3</v>
      </c>
    </row>
    <row r="169" spans="8:20" x14ac:dyDescent="0.25">
      <c r="H169">
        <v>36.700000000000003</v>
      </c>
      <c r="I169" s="11">
        <v>1.3913333333333335</v>
      </c>
      <c r="J169" s="10">
        <f t="shared" si="23"/>
        <v>-1.2899999999999999E-4</v>
      </c>
      <c r="K169" s="17">
        <f t="shared" si="24"/>
        <v>8.3999999999999995E-5</v>
      </c>
      <c r="L169" s="10">
        <f t="shared" si="25"/>
        <v>3.594E-3</v>
      </c>
      <c r="M169" s="11">
        <f t="shared" si="31"/>
        <v>1.3964812870790959</v>
      </c>
      <c r="N169" s="5">
        <f t="shared" si="26"/>
        <v>3.7000146711277278E-3</v>
      </c>
      <c r="O169">
        <f t="shared" si="27"/>
        <v>7450.3618999999999</v>
      </c>
      <c r="P169">
        <f t="shared" ca="1" si="28"/>
        <v>7449</v>
      </c>
      <c r="Q169" t="str">
        <f t="shared" ca="1" si="32"/>
        <v>0001110100011001</v>
      </c>
      <c r="R169">
        <f t="shared" ca="1" si="29"/>
        <v>1.3966875000000001</v>
      </c>
      <c r="S169">
        <f t="shared" ca="1" si="30"/>
        <v>36.760249999999999</v>
      </c>
      <c r="T169" s="3">
        <f t="shared" ca="1" si="33"/>
        <v>1.6416893732969034E-3</v>
      </c>
    </row>
    <row r="170" spans="8:20" x14ac:dyDescent="0.25">
      <c r="H170">
        <v>36.799999999999997</v>
      </c>
      <c r="I170" s="11">
        <v>1.3998333333333328</v>
      </c>
      <c r="J170" s="10">
        <f t="shared" si="23"/>
        <v>-1.2799999999999999E-4</v>
      </c>
      <c r="K170" s="17">
        <f t="shared" si="24"/>
        <v>8.3999999999999995E-5</v>
      </c>
      <c r="L170" s="10">
        <f t="shared" si="25"/>
        <v>3.6240000000000001E-3</v>
      </c>
      <c r="M170" s="11">
        <f t="shared" si="31"/>
        <v>1.4050532462979164</v>
      </c>
      <c r="N170" s="5">
        <f t="shared" si="26"/>
        <v>3.7289531834148646E-3</v>
      </c>
      <c r="O170">
        <f t="shared" si="27"/>
        <v>7496.0941999999995</v>
      </c>
      <c r="P170">
        <f t="shared" ca="1" si="28"/>
        <v>7498</v>
      </c>
      <c r="Q170" t="str">
        <f t="shared" ca="1" si="32"/>
        <v>0001110101001010</v>
      </c>
      <c r="R170">
        <f t="shared" ca="1" si="29"/>
        <v>1.405875</v>
      </c>
      <c r="S170">
        <f t="shared" ca="1" si="30"/>
        <v>36.870500000000007</v>
      </c>
      <c r="T170" s="3">
        <f t="shared" ca="1" si="33"/>
        <v>1.9157608695654833E-3</v>
      </c>
    </row>
    <row r="171" spans="8:20" x14ac:dyDescent="0.25">
      <c r="H171">
        <v>36.900000000000006</v>
      </c>
      <c r="I171" s="11">
        <v>1.4080000000000006</v>
      </c>
      <c r="J171" s="10">
        <f t="shared" si="23"/>
        <v>-1.2799999999999999E-4</v>
      </c>
      <c r="K171" s="17">
        <f t="shared" si="24"/>
        <v>8.5000000000000006E-5</v>
      </c>
      <c r="L171" s="10">
        <f t="shared" si="25"/>
        <v>3.6549999999999998E-3</v>
      </c>
      <c r="M171" s="11">
        <f t="shared" si="31"/>
        <v>1.4132935880643758</v>
      </c>
      <c r="N171" s="5">
        <f t="shared" si="26"/>
        <v>3.7596506139028307E-3</v>
      </c>
      <c r="O171">
        <f t="shared" si="27"/>
        <v>7540.0572000000002</v>
      </c>
      <c r="P171">
        <f t="shared" ca="1" si="28"/>
        <v>7539</v>
      </c>
      <c r="Q171" t="str">
        <f t="shared" ca="1" si="32"/>
        <v>0001110101110011</v>
      </c>
      <c r="R171">
        <f t="shared" ca="1" si="29"/>
        <v>1.4135625000000001</v>
      </c>
      <c r="S171">
        <f t="shared" ca="1" si="30"/>
        <v>36.962750000000007</v>
      </c>
      <c r="T171" s="3">
        <f t="shared" ca="1" si="33"/>
        <v>1.7005420054200862E-3</v>
      </c>
    </row>
    <row r="172" spans="8:20" x14ac:dyDescent="0.25">
      <c r="H172">
        <v>37</v>
      </c>
      <c r="I172" s="11">
        <v>1.4171666666666665</v>
      </c>
      <c r="J172" s="10">
        <f t="shared" si="23"/>
        <v>-1.27E-4</v>
      </c>
      <c r="K172" s="17">
        <f t="shared" si="24"/>
        <v>8.5000000000000006E-5</v>
      </c>
      <c r="L172" s="10">
        <f t="shared" si="25"/>
        <v>3.6849999999999999E-3</v>
      </c>
      <c r="M172" s="11">
        <f t="shared" si="31"/>
        <v>1.4225357107608201</v>
      </c>
      <c r="N172" s="5">
        <f t="shared" si="26"/>
        <v>3.7885763336377417E-3</v>
      </c>
      <c r="O172">
        <f t="shared" si="27"/>
        <v>7589.3648000000003</v>
      </c>
      <c r="P172">
        <f t="shared" ca="1" si="28"/>
        <v>7590</v>
      </c>
      <c r="Q172" t="str">
        <f t="shared" ca="1" si="32"/>
        <v>0001110110100110</v>
      </c>
      <c r="R172">
        <f t="shared" ca="1" si="29"/>
        <v>1.423125</v>
      </c>
      <c r="S172">
        <f t="shared" ca="1" si="30"/>
        <v>37.077500000000001</v>
      </c>
      <c r="T172" s="3">
        <f t="shared" ca="1" si="33"/>
        <v>2.0945945945946101E-3</v>
      </c>
    </row>
    <row r="173" spans="8:20" x14ac:dyDescent="0.25">
      <c r="H173">
        <v>37.1</v>
      </c>
      <c r="I173" s="11">
        <v>1.4255833333333332</v>
      </c>
      <c r="J173" s="10">
        <f t="shared" si="23"/>
        <v>-1.27E-4</v>
      </c>
      <c r="K173" s="17">
        <f t="shared" si="24"/>
        <v>8.6000000000000003E-5</v>
      </c>
      <c r="L173" s="10">
        <f t="shared" si="25"/>
        <v>3.7160000000000001E-3</v>
      </c>
      <c r="M173" s="11">
        <f t="shared" si="31"/>
        <v>1.431028033505841</v>
      </c>
      <c r="N173" s="5">
        <f t="shared" si="26"/>
        <v>3.819278778867894E-3</v>
      </c>
      <c r="O173">
        <f t="shared" si="27"/>
        <v>7634.6720999999998</v>
      </c>
      <c r="P173">
        <f t="shared" ca="1" si="28"/>
        <v>7636</v>
      </c>
      <c r="Q173" t="str">
        <f t="shared" ca="1" si="32"/>
        <v>0001110111010100</v>
      </c>
      <c r="R173">
        <f t="shared" ca="1" si="29"/>
        <v>1.4317500000000001</v>
      </c>
      <c r="S173">
        <f t="shared" ca="1" si="30"/>
        <v>37.181000000000004</v>
      </c>
      <c r="T173" s="3">
        <f t="shared" ca="1" si="33"/>
        <v>2.1832884097035868E-3</v>
      </c>
    </row>
    <row r="174" spans="8:20" x14ac:dyDescent="0.25">
      <c r="H174">
        <v>37.200000000000003</v>
      </c>
      <c r="I174" s="11">
        <v>1.4336666666666666</v>
      </c>
      <c r="J174" s="10">
        <f t="shared" si="23"/>
        <v>-1.26E-4</v>
      </c>
      <c r="K174" s="17">
        <f t="shared" si="24"/>
        <v>8.6000000000000003E-5</v>
      </c>
      <c r="L174" s="10">
        <f t="shared" si="25"/>
        <v>3.7460000000000002E-3</v>
      </c>
      <c r="M174" s="11">
        <f t="shared" si="31"/>
        <v>1.4391838493663933</v>
      </c>
      <c r="N174" s="5">
        <f t="shared" si="26"/>
        <v>3.848302278349227E-3</v>
      </c>
      <c r="O174">
        <f t="shared" si="27"/>
        <v>7678.1841999999997</v>
      </c>
      <c r="P174">
        <f t="shared" ca="1" si="28"/>
        <v>7682</v>
      </c>
      <c r="Q174" t="str">
        <f t="shared" ca="1" si="32"/>
        <v>0001111000000010</v>
      </c>
      <c r="R174">
        <f t="shared" ca="1" si="29"/>
        <v>1.440375</v>
      </c>
      <c r="S174">
        <f t="shared" ca="1" si="30"/>
        <v>37.284500000000001</v>
      </c>
      <c r="T174" s="3">
        <f t="shared" ca="1" si="33"/>
        <v>2.2715053763440445E-3</v>
      </c>
    </row>
    <row r="175" spans="8:20" x14ac:dyDescent="0.25">
      <c r="H175">
        <v>37.299999999999997</v>
      </c>
      <c r="I175" s="11">
        <v>1.4422499999999994</v>
      </c>
      <c r="J175" s="10">
        <f t="shared" si="23"/>
        <v>-1.26E-4</v>
      </c>
      <c r="K175" s="17">
        <f t="shared" si="24"/>
        <v>8.7000000000000001E-5</v>
      </c>
      <c r="L175" s="10">
        <f t="shared" si="25"/>
        <v>3.777E-3</v>
      </c>
      <c r="M175" s="11">
        <f t="shared" si="31"/>
        <v>1.447844508709395</v>
      </c>
      <c r="N175" s="5">
        <f t="shared" si="26"/>
        <v>3.8790145324289118E-3</v>
      </c>
      <c r="O175">
        <f t="shared" si="27"/>
        <v>7724.3896999999997</v>
      </c>
      <c r="P175">
        <f t="shared" ca="1" si="28"/>
        <v>7722</v>
      </c>
      <c r="Q175" t="str">
        <f t="shared" ca="1" si="32"/>
        <v>0001111000101010</v>
      </c>
      <c r="R175">
        <f t="shared" ca="1" si="29"/>
        <v>1.447875</v>
      </c>
      <c r="S175">
        <f t="shared" ca="1" si="30"/>
        <v>37.374500000000005</v>
      </c>
      <c r="T175" s="3">
        <f t="shared" ca="1" si="33"/>
        <v>1.9973190348527496E-3</v>
      </c>
    </row>
    <row r="176" spans="8:20" x14ac:dyDescent="0.25">
      <c r="H176">
        <v>37.400000000000006</v>
      </c>
      <c r="I176" s="11">
        <v>1.4495000000000002</v>
      </c>
      <c r="J176" s="10">
        <f t="shared" si="23"/>
        <v>-1.25E-4</v>
      </c>
      <c r="K176" s="17">
        <f t="shared" si="24"/>
        <v>8.7000000000000001E-5</v>
      </c>
      <c r="L176" s="10">
        <f t="shared" si="25"/>
        <v>3.8070000000000001E-3</v>
      </c>
      <c r="M176" s="11">
        <f t="shared" si="31"/>
        <v>1.4551648124409629</v>
      </c>
      <c r="N176" s="5">
        <f t="shared" si="26"/>
        <v>3.9081148264661037E-3</v>
      </c>
      <c r="O176">
        <f t="shared" si="27"/>
        <v>7763.4441999999999</v>
      </c>
      <c r="P176">
        <f t="shared" ca="1" si="28"/>
        <v>7761</v>
      </c>
      <c r="Q176" t="str">
        <f t="shared" ca="1" si="32"/>
        <v>0001111001010001</v>
      </c>
      <c r="R176">
        <f t="shared" ca="1" si="29"/>
        <v>1.4551875000000001</v>
      </c>
      <c r="S176">
        <f t="shared" ca="1" si="30"/>
        <v>37.462250000000004</v>
      </c>
      <c r="T176" s="3">
        <f t="shared" ca="1" si="33"/>
        <v>1.6644385026737647E-3</v>
      </c>
    </row>
    <row r="177" spans="8:20" x14ac:dyDescent="0.25">
      <c r="H177">
        <v>37.5</v>
      </c>
      <c r="I177" s="11">
        <v>1.4583333333333333</v>
      </c>
      <c r="J177" s="10">
        <f t="shared" si="23"/>
        <v>-1.2400000000000001E-4</v>
      </c>
      <c r="K177" s="17">
        <f t="shared" si="24"/>
        <v>8.7999999999999998E-5</v>
      </c>
      <c r="L177" s="10">
        <f t="shared" si="25"/>
        <v>3.8379999999999998E-3</v>
      </c>
      <c r="M177" s="11">
        <f t="shared" si="31"/>
        <v>1.4640764587821391</v>
      </c>
      <c r="N177" s="5">
        <f t="shared" si="26"/>
        <v>3.938143164895434E-3</v>
      </c>
      <c r="O177">
        <f t="shared" si="27"/>
        <v>7810.9886999999999</v>
      </c>
      <c r="P177">
        <f t="shared" ca="1" si="28"/>
        <v>7809</v>
      </c>
      <c r="Q177" t="str">
        <f t="shared" ca="1" si="32"/>
        <v>0001111010000001</v>
      </c>
      <c r="R177">
        <f t="shared" ca="1" si="29"/>
        <v>1.4641875</v>
      </c>
      <c r="S177">
        <f t="shared" ca="1" si="30"/>
        <v>37.570250000000001</v>
      </c>
      <c r="T177" s="3">
        <f t="shared" ca="1" si="33"/>
        <v>1.8733333333333727E-3</v>
      </c>
    </row>
    <row r="178" spans="8:20" x14ac:dyDescent="0.25">
      <c r="H178">
        <v>37.6</v>
      </c>
      <c r="I178" s="11">
        <v>1.4665833333333336</v>
      </c>
      <c r="J178" s="10">
        <f t="shared" si="23"/>
        <v>-1.2400000000000001E-4</v>
      </c>
      <c r="K178" s="17">
        <f t="shared" si="24"/>
        <v>8.7999999999999998E-5</v>
      </c>
      <c r="L178" s="10">
        <f t="shared" si="25"/>
        <v>3.8679999999999999E-3</v>
      </c>
      <c r="M178" s="11">
        <f t="shared" si="31"/>
        <v>1.4724025865380628</v>
      </c>
      <c r="N178" s="5">
        <f t="shared" si="26"/>
        <v>3.9678980883431116E-3</v>
      </c>
      <c r="O178">
        <f t="shared" si="27"/>
        <v>7855.4093999999996</v>
      </c>
      <c r="P178">
        <f t="shared" ca="1" si="28"/>
        <v>7855</v>
      </c>
      <c r="Q178" t="str">
        <f t="shared" ca="1" si="32"/>
        <v>0001111010101111</v>
      </c>
      <c r="R178">
        <f t="shared" ca="1" si="29"/>
        <v>1.4728125000000001</v>
      </c>
      <c r="S178">
        <f t="shared" ca="1" si="30"/>
        <v>37.673750000000005</v>
      </c>
      <c r="T178" s="3">
        <f t="shared" ca="1" si="33"/>
        <v>1.9614361702128716E-3</v>
      </c>
    </row>
    <row r="179" spans="8:20" x14ac:dyDescent="0.25">
      <c r="H179">
        <v>37.700000000000003</v>
      </c>
      <c r="I179" s="11">
        <v>1.475583333333333</v>
      </c>
      <c r="J179" s="10">
        <f t="shared" si="23"/>
        <v>-1.2300000000000001E-4</v>
      </c>
      <c r="K179" s="17">
        <f t="shared" si="24"/>
        <v>8.8999999999999995E-5</v>
      </c>
      <c r="L179" s="10">
        <f t="shared" si="25"/>
        <v>3.8990000000000001E-3</v>
      </c>
      <c r="M179" s="11">
        <f t="shared" si="31"/>
        <v>1.4814826341237817</v>
      </c>
      <c r="N179" s="5">
        <f t="shared" si="26"/>
        <v>3.9979448514928439E-3</v>
      </c>
      <c r="O179">
        <f t="shared" si="27"/>
        <v>7903.8522999999996</v>
      </c>
      <c r="P179">
        <f t="shared" ca="1" si="28"/>
        <v>7902</v>
      </c>
      <c r="Q179" t="str">
        <f t="shared" ca="1" si="32"/>
        <v>0001111011011110</v>
      </c>
      <c r="R179">
        <f t="shared" ca="1" si="29"/>
        <v>1.481625</v>
      </c>
      <c r="S179">
        <f t="shared" ca="1" si="30"/>
        <v>37.779500000000006</v>
      </c>
      <c r="T179" s="3">
        <f t="shared" ca="1" si="33"/>
        <v>2.1087533156499473E-3</v>
      </c>
    </row>
    <row r="180" spans="8:20" x14ac:dyDescent="0.25">
      <c r="H180">
        <v>37.799999999999997</v>
      </c>
      <c r="I180" s="11">
        <v>1.4834166666666662</v>
      </c>
      <c r="J180" s="10">
        <f t="shared" si="23"/>
        <v>-1.2300000000000001E-4</v>
      </c>
      <c r="K180" s="17">
        <f t="shared" si="24"/>
        <v>8.8999999999999995E-5</v>
      </c>
      <c r="L180" s="10">
        <f t="shared" si="25"/>
        <v>3.9290000000000002E-3</v>
      </c>
      <c r="M180" s="11">
        <f t="shared" si="31"/>
        <v>1.489391485814431</v>
      </c>
      <c r="N180" s="5">
        <f t="shared" si="26"/>
        <v>4.0277416871624368E-3</v>
      </c>
      <c r="O180">
        <f t="shared" si="27"/>
        <v>7946.0468000000001</v>
      </c>
      <c r="P180">
        <f t="shared" ca="1" si="28"/>
        <v>7945</v>
      </c>
      <c r="Q180" t="str">
        <f t="shared" ca="1" si="32"/>
        <v>0001111100001001</v>
      </c>
      <c r="R180">
        <f t="shared" ca="1" si="29"/>
        <v>1.4896875000000001</v>
      </c>
      <c r="S180">
        <f t="shared" ca="1" si="30"/>
        <v>37.876249999999999</v>
      </c>
      <c r="T180" s="3">
        <f t="shared" ca="1" si="33"/>
        <v>2.0171957671958124E-3</v>
      </c>
    </row>
    <row r="181" spans="8:20" x14ac:dyDescent="0.25">
      <c r="H181">
        <v>37.900000000000006</v>
      </c>
      <c r="I181" s="11">
        <v>1.4909166666666669</v>
      </c>
      <c r="J181" s="10">
        <f t="shared" si="23"/>
        <v>-1.22E-4</v>
      </c>
      <c r="K181" s="17">
        <f t="shared" si="24"/>
        <v>9.0000000000000006E-5</v>
      </c>
      <c r="L181" s="10">
        <f t="shared" si="25"/>
        <v>3.96E-3</v>
      </c>
      <c r="M181" s="11">
        <f t="shared" si="31"/>
        <v>1.4969666546189579</v>
      </c>
      <c r="N181" s="5">
        <f t="shared" si="26"/>
        <v>4.0578981290868418E-3</v>
      </c>
      <c r="O181">
        <f t="shared" si="27"/>
        <v>7986.4610000000002</v>
      </c>
      <c r="P181">
        <f t="shared" ca="1" si="28"/>
        <v>7990</v>
      </c>
      <c r="Q181" t="str">
        <f t="shared" ca="1" si="32"/>
        <v>0001111100110110</v>
      </c>
      <c r="R181">
        <f t="shared" ca="1" si="29"/>
        <v>1.4981249999999999</v>
      </c>
      <c r="S181">
        <f t="shared" ca="1" si="30"/>
        <v>37.977500000000006</v>
      </c>
      <c r="T181" s="3">
        <f t="shared" ca="1" si="33"/>
        <v>2.0448548812665055E-3</v>
      </c>
    </row>
    <row r="182" spans="8:20" x14ac:dyDescent="0.25">
      <c r="H182">
        <v>38</v>
      </c>
      <c r="I182" s="11">
        <v>1.5007499999999998</v>
      </c>
      <c r="J182" s="10">
        <f t="shared" si="23"/>
        <v>-1.22E-4</v>
      </c>
      <c r="K182" s="17">
        <f t="shared" si="24"/>
        <v>9.0000000000000006E-5</v>
      </c>
      <c r="L182" s="10">
        <f t="shared" si="25"/>
        <v>3.9899999999999996E-3</v>
      </c>
      <c r="M182" s="11">
        <f t="shared" si="31"/>
        <v>1.5068844690314354</v>
      </c>
      <c r="N182" s="5">
        <f t="shared" si="26"/>
        <v>4.0876022198471119E-3</v>
      </c>
      <c r="O182">
        <f t="shared" si="27"/>
        <v>8039.3734999999997</v>
      </c>
      <c r="P182">
        <f t="shared" ca="1" si="28"/>
        <v>8043</v>
      </c>
      <c r="Q182" t="str">
        <f t="shared" ca="1" si="32"/>
        <v>0001111101101011</v>
      </c>
      <c r="R182">
        <f t="shared" ca="1" si="29"/>
        <v>1.5080625000000001</v>
      </c>
      <c r="S182">
        <f t="shared" ca="1" si="30"/>
        <v>38.096750000000007</v>
      </c>
      <c r="T182" s="3">
        <f t="shared" ca="1" si="33"/>
        <v>2.5460526315791376E-3</v>
      </c>
    </row>
    <row r="183" spans="8:20" x14ac:dyDescent="0.25">
      <c r="H183">
        <v>38.1</v>
      </c>
      <c r="I183" s="11">
        <v>1.5081666666666662</v>
      </c>
      <c r="J183" s="10">
        <f t="shared" si="23"/>
        <v>-1.21E-4</v>
      </c>
      <c r="K183" s="17">
        <f t="shared" si="24"/>
        <v>9.1000000000000003E-5</v>
      </c>
      <c r="L183" s="10">
        <f t="shared" si="25"/>
        <v>4.0210000000000003E-3</v>
      </c>
      <c r="M183" s="11">
        <f t="shared" si="31"/>
        <v>1.5143769764891291</v>
      </c>
      <c r="N183" s="5">
        <f t="shared" si="26"/>
        <v>4.1177874831226742E-3</v>
      </c>
      <c r="O183">
        <f t="shared" si="27"/>
        <v>8079.3468000000003</v>
      </c>
      <c r="P183">
        <f t="shared" ca="1" si="28"/>
        <v>8083</v>
      </c>
      <c r="Q183" t="str">
        <f t="shared" ca="1" si="32"/>
        <v>0001111110010011</v>
      </c>
      <c r="R183">
        <f t="shared" ca="1" si="29"/>
        <v>1.5155624999999999</v>
      </c>
      <c r="S183">
        <f t="shared" ca="1" si="30"/>
        <v>38.186750000000004</v>
      </c>
      <c r="T183" s="3">
        <f t="shared" ca="1" si="33"/>
        <v>2.2769028871391628E-3</v>
      </c>
    </row>
    <row r="184" spans="8:20" x14ac:dyDescent="0.25">
      <c r="H184">
        <v>38.200000000000003</v>
      </c>
      <c r="I184" s="11">
        <v>1.5165</v>
      </c>
      <c r="J184" s="10">
        <f t="shared" si="23"/>
        <v>-1.2E-4</v>
      </c>
      <c r="K184" s="17">
        <f t="shared" si="24"/>
        <v>9.1000000000000003E-5</v>
      </c>
      <c r="L184" s="10">
        <f t="shared" si="25"/>
        <v>4.0509999999999999E-3</v>
      </c>
      <c r="M184" s="11">
        <f t="shared" si="31"/>
        <v>1.5227888174996911</v>
      </c>
      <c r="N184" s="5">
        <f t="shared" si="26"/>
        <v>4.1469287831791121E-3</v>
      </c>
      <c r="O184">
        <f t="shared" si="27"/>
        <v>8124.2248</v>
      </c>
      <c r="P184">
        <f t="shared" ca="1" si="28"/>
        <v>8125</v>
      </c>
      <c r="Q184" t="str">
        <f t="shared" ca="1" si="32"/>
        <v>0001111110111101</v>
      </c>
      <c r="R184">
        <f t="shared" ca="1" si="29"/>
        <v>1.5234375</v>
      </c>
      <c r="S184">
        <f t="shared" ca="1" si="30"/>
        <v>38.281250000000007</v>
      </c>
      <c r="T184" s="3">
        <f t="shared" ca="1" si="33"/>
        <v>2.1269633507854518E-3</v>
      </c>
    </row>
    <row r="185" spans="8:20" x14ac:dyDescent="0.25">
      <c r="H185">
        <v>38.299999999999997</v>
      </c>
      <c r="I185" s="11">
        <v>1.5244166666666665</v>
      </c>
      <c r="J185" s="10">
        <f t="shared" si="23"/>
        <v>-1.2E-4</v>
      </c>
      <c r="K185" s="17">
        <f t="shared" si="24"/>
        <v>9.2E-5</v>
      </c>
      <c r="L185" s="10">
        <f t="shared" si="25"/>
        <v>4.0819999999999997E-3</v>
      </c>
      <c r="M185" s="11">
        <f t="shared" si="31"/>
        <v>1.5307853323934968</v>
      </c>
      <c r="N185" s="5">
        <f t="shared" si="26"/>
        <v>4.1777723020807473E-3</v>
      </c>
      <c r="O185">
        <f t="shared" si="27"/>
        <v>8166.8869000000004</v>
      </c>
      <c r="P185">
        <f t="shared" ca="1" si="28"/>
        <v>8167</v>
      </c>
      <c r="Q185" t="str">
        <f t="shared" ca="1" si="32"/>
        <v>0001111111100111</v>
      </c>
      <c r="R185">
        <f t="shared" ca="1" si="29"/>
        <v>1.5313125000000001</v>
      </c>
      <c r="S185">
        <f t="shared" ca="1" si="30"/>
        <v>38.375750000000004</v>
      </c>
      <c r="T185" s="3">
        <f t="shared" ca="1" si="33"/>
        <v>1.9778067885119171E-3</v>
      </c>
    </row>
    <row r="186" spans="8:20" x14ac:dyDescent="0.25">
      <c r="H186">
        <v>38.400000000000006</v>
      </c>
      <c r="I186" s="11">
        <v>1.5340000000000005</v>
      </c>
      <c r="J186" s="10">
        <f t="shared" si="23"/>
        <v>-1.1900000000000001E-4</v>
      </c>
      <c r="K186" s="17">
        <f t="shared" si="24"/>
        <v>9.2E-5</v>
      </c>
      <c r="L186" s="10">
        <f t="shared" si="25"/>
        <v>4.1120000000000002E-3</v>
      </c>
      <c r="M186" s="11">
        <f t="shared" si="31"/>
        <v>1.5404533441511501</v>
      </c>
      <c r="N186" s="5">
        <f t="shared" si="26"/>
        <v>4.2068736317794125E-3</v>
      </c>
      <c r="O186">
        <f t="shared" si="27"/>
        <v>8218.4667000000009</v>
      </c>
      <c r="P186">
        <f t="shared" ca="1" si="28"/>
        <v>8222</v>
      </c>
      <c r="Q186" t="str">
        <f t="shared" ca="1" si="32"/>
        <v>0010000000011110</v>
      </c>
      <c r="R186">
        <f t="shared" ca="1" si="29"/>
        <v>1.541625</v>
      </c>
      <c r="S186">
        <f t="shared" ca="1" si="30"/>
        <v>38.499500000000005</v>
      </c>
      <c r="T186" s="3">
        <f t="shared" ca="1" si="33"/>
        <v>2.5911458333333077E-3</v>
      </c>
    </row>
    <row r="187" spans="8:20" x14ac:dyDescent="0.25">
      <c r="H187">
        <v>38.5</v>
      </c>
      <c r="I187" s="11">
        <v>1.5410833333333331</v>
      </c>
      <c r="J187" s="10">
        <f t="shared" si="23"/>
        <v>-1.1900000000000001E-4</v>
      </c>
      <c r="K187" s="17">
        <f t="shared" si="24"/>
        <v>9.2999999999999997E-5</v>
      </c>
      <c r="L187" s="10">
        <f t="shared" si="25"/>
        <v>4.143E-3</v>
      </c>
      <c r="M187" s="11">
        <f t="shared" si="31"/>
        <v>1.5476140985435993</v>
      </c>
      <c r="N187" s="5">
        <f t="shared" si="26"/>
        <v>4.2377755109065194E-3</v>
      </c>
      <c r="O187">
        <f t="shared" si="27"/>
        <v>8256.67</v>
      </c>
      <c r="P187">
        <f t="shared" ca="1" si="28"/>
        <v>8256</v>
      </c>
      <c r="Q187" t="str">
        <f t="shared" ca="1" si="32"/>
        <v>0010000001000000</v>
      </c>
      <c r="R187">
        <f t="shared" ca="1" si="29"/>
        <v>1.548</v>
      </c>
      <c r="S187">
        <f t="shared" ca="1" si="30"/>
        <v>38.576000000000008</v>
      </c>
      <c r="T187" s="3">
        <f t="shared" ca="1" si="33"/>
        <v>1.9740259740261717E-3</v>
      </c>
    </row>
    <row r="188" spans="8:20" x14ac:dyDescent="0.25">
      <c r="H188">
        <v>38.6</v>
      </c>
      <c r="I188" s="11">
        <v>1.5497499999999997</v>
      </c>
      <c r="J188" s="10">
        <f t="shared" si="23"/>
        <v>-1.18E-4</v>
      </c>
      <c r="K188" s="17">
        <f t="shared" si="24"/>
        <v>9.2999999999999997E-5</v>
      </c>
      <c r="L188" s="10">
        <f t="shared" si="25"/>
        <v>4.1729999999999996E-3</v>
      </c>
      <c r="M188" s="11">
        <f t="shared" si="31"/>
        <v>1.5563627015535828</v>
      </c>
      <c r="N188" s="5">
        <f t="shared" si="26"/>
        <v>4.2669472841316784E-3</v>
      </c>
      <c r="O188">
        <f t="shared" si="27"/>
        <v>8303.3446999999996</v>
      </c>
      <c r="P188">
        <f t="shared" ca="1" si="28"/>
        <v>8305</v>
      </c>
      <c r="Q188" t="str">
        <f t="shared" ca="1" si="32"/>
        <v>0010000001110001</v>
      </c>
      <c r="R188">
        <f t="shared" ca="1" si="29"/>
        <v>1.5571874999999999</v>
      </c>
      <c r="S188">
        <f t="shared" ca="1" si="30"/>
        <v>38.686250000000001</v>
      </c>
      <c r="T188" s="3">
        <f t="shared" ca="1" si="33"/>
        <v>2.2344559585492155E-3</v>
      </c>
    </row>
    <row r="189" spans="8:20" x14ac:dyDescent="0.25">
      <c r="H189">
        <v>38.700000000000003</v>
      </c>
      <c r="I189" s="11">
        <v>1.5584166666666663</v>
      </c>
      <c r="J189" s="10">
        <f t="shared" si="23"/>
        <v>-1.17E-4</v>
      </c>
      <c r="K189" s="17">
        <f t="shared" si="24"/>
        <v>9.3999999999999994E-5</v>
      </c>
      <c r="L189" s="10">
        <f t="shared" si="25"/>
        <v>4.2040000000000003E-3</v>
      </c>
      <c r="M189" s="11">
        <f t="shared" si="31"/>
        <v>1.5651134034146212</v>
      </c>
      <c r="N189" s="5">
        <f t="shared" si="26"/>
        <v>4.2971413815014615E-3</v>
      </c>
      <c r="O189">
        <f t="shared" si="27"/>
        <v>8350.0305000000008</v>
      </c>
      <c r="P189">
        <f t="shared" ca="1" si="28"/>
        <v>8353</v>
      </c>
      <c r="Q189" t="str">
        <f t="shared" ca="1" si="32"/>
        <v>0010000010100001</v>
      </c>
      <c r="R189">
        <f t="shared" ca="1" si="29"/>
        <v>1.5661875000000001</v>
      </c>
      <c r="S189">
        <f t="shared" ca="1" si="30"/>
        <v>38.794250000000005</v>
      </c>
      <c r="T189" s="3">
        <f t="shared" ca="1" si="33"/>
        <v>2.4354005167959271E-3</v>
      </c>
    </row>
    <row r="190" spans="8:20" x14ac:dyDescent="0.25">
      <c r="H190">
        <v>38.799999999999997</v>
      </c>
      <c r="I190" s="11">
        <v>1.5659999999999992</v>
      </c>
      <c r="J190" s="10">
        <f t="shared" si="23"/>
        <v>-1.17E-4</v>
      </c>
      <c r="K190" s="17">
        <f t="shared" si="24"/>
        <v>9.3999999999999994E-5</v>
      </c>
      <c r="L190" s="10">
        <f t="shared" si="25"/>
        <v>4.2339999999999999E-3</v>
      </c>
      <c r="M190" s="11">
        <f t="shared" si="31"/>
        <v>1.5727761341519986</v>
      </c>
      <c r="N190" s="5">
        <f t="shared" si="26"/>
        <v>4.3270333026816134E-3</v>
      </c>
      <c r="O190">
        <f t="shared" si="27"/>
        <v>8390.9118999999992</v>
      </c>
      <c r="P190">
        <f t="shared" ca="1" si="28"/>
        <v>8394</v>
      </c>
      <c r="Q190" t="str">
        <f t="shared" ca="1" si="32"/>
        <v>0010000011001010</v>
      </c>
      <c r="R190">
        <f t="shared" ca="1" si="29"/>
        <v>1.5738750000000001</v>
      </c>
      <c r="S190">
        <f t="shared" ca="1" si="30"/>
        <v>38.886500000000005</v>
      </c>
      <c r="T190" s="3">
        <f t="shared" ca="1" si="33"/>
        <v>2.2293814432991759E-3</v>
      </c>
    </row>
    <row r="191" spans="8:20" x14ac:dyDescent="0.25">
      <c r="H191">
        <v>38.900000000000006</v>
      </c>
      <c r="I191" s="11">
        <v>1.5753333333333333</v>
      </c>
      <c r="J191" s="10">
        <f t="shared" si="23"/>
        <v>-1.16E-4</v>
      </c>
      <c r="K191" s="17">
        <f t="shared" si="24"/>
        <v>9.5000000000000005E-5</v>
      </c>
      <c r="L191" s="10">
        <f t="shared" si="25"/>
        <v>4.2649999999999997E-3</v>
      </c>
      <c r="M191" s="11">
        <f t="shared" si="31"/>
        <v>1.582197405266796</v>
      </c>
      <c r="N191" s="5">
        <f t="shared" si="26"/>
        <v>4.3572187474371924E-3</v>
      </c>
      <c r="O191">
        <f t="shared" si="27"/>
        <v>8441.1753000000008</v>
      </c>
      <c r="P191">
        <f t="shared" ca="1" si="28"/>
        <v>8443</v>
      </c>
      <c r="Q191" t="str">
        <f t="shared" ca="1" si="32"/>
        <v>0010000011111011</v>
      </c>
      <c r="R191">
        <f t="shared" ca="1" si="29"/>
        <v>1.5830625</v>
      </c>
      <c r="S191">
        <f t="shared" ca="1" si="30"/>
        <v>38.996749999999999</v>
      </c>
      <c r="T191" s="3">
        <f t="shared" ca="1" si="33"/>
        <v>2.487146529562802E-3</v>
      </c>
    </row>
    <row r="192" spans="8:20" x14ac:dyDescent="0.25">
      <c r="H192">
        <v>39</v>
      </c>
      <c r="I192" s="11">
        <v>1.5828333333333331</v>
      </c>
      <c r="J192" s="10">
        <f t="shared" si="23"/>
        <v>-1.16E-4</v>
      </c>
      <c r="K192" s="17">
        <f t="shared" si="24"/>
        <v>9.5000000000000005E-5</v>
      </c>
      <c r="L192" s="10">
        <f t="shared" si="25"/>
        <v>4.2950000000000002E-3</v>
      </c>
      <c r="M192" s="11">
        <f t="shared" si="31"/>
        <v>1.5897774273839473</v>
      </c>
      <c r="N192" s="5">
        <f t="shared" si="26"/>
        <v>4.3871290200784971E-3</v>
      </c>
      <c r="O192">
        <f t="shared" si="27"/>
        <v>8481.6154000000006</v>
      </c>
      <c r="P192">
        <f t="shared" ca="1" si="28"/>
        <v>8484</v>
      </c>
      <c r="Q192" t="str">
        <f t="shared" ca="1" si="32"/>
        <v>0010000100100100</v>
      </c>
      <c r="R192">
        <f t="shared" ca="1" si="29"/>
        <v>1.5907500000000001</v>
      </c>
      <c r="S192">
        <f t="shared" ca="1" si="30"/>
        <v>39.089000000000006</v>
      </c>
      <c r="T192" s="3">
        <f t="shared" ca="1" si="33"/>
        <v>2.2820512820514293E-3</v>
      </c>
    </row>
    <row r="193" spans="8:20" x14ac:dyDescent="0.25">
      <c r="H193">
        <v>39.1</v>
      </c>
      <c r="I193" s="11">
        <v>1.5914166666666667</v>
      </c>
      <c r="J193" s="10">
        <f t="shared" si="23"/>
        <v>-1.15E-4</v>
      </c>
      <c r="K193" s="17">
        <f t="shared" si="24"/>
        <v>9.6000000000000002E-5</v>
      </c>
      <c r="L193" s="10">
        <f t="shared" si="25"/>
        <v>4.326E-3</v>
      </c>
      <c r="M193" s="11">
        <f t="shared" si="31"/>
        <v>1.5984465464265079</v>
      </c>
      <c r="N193" s="5">
        <f t="shared" si="26"/>
        <v>4.4173722112422799E-3</v>
      </c>
      <c r="O193">
        <f t="shared" si="27"/>
        <v>8527.866</v>
      </c>
      <c r="P193">
        <f t="shared" ca="1" si="28"/>
        <v>8528</v>
      </c>
      <c r="Q193" t="str">
        <f t="shared" ca="1" si="32"/>
        <v>0010000101010000</v>
      </c>
      <c r="R193">
        <f t="shared" ca="1" si="29"/>
        <v>1.599</v>
      </c>
      <c r="S193">
        <f t="shared" ca="1" si="30"/>
        <v>39.188000000000002</v>
      </c>
      <c r="T193" s="3">
        <f t="shared" ca="1" si="33"/>
        <v>2.2506393861892828E-3</v>
      </c>
    </row>
    <row r="194" spans="8:20" x14ac:dyDescent="0.25">
      <c r="H194">
        <v>39.200000000000003</v>
      </c>
      <c r="I194" s="11">
        <v>1.6002500000000002</v>
      </c>
      <c r="J194" s="10">
        <f t="shared" si="23"/>
        <v>-1.15E-4</v>
      </c>
      <c r="K194" s="17">
        <f t="shared" si="24"/>
        <v>9.6000000000000002E-5</v>
      </c>
      <c r="L194" s="10">
        <f t="shared" si="25"/>
        <v>4.3559999999999996E-3</v>
      </c>
      <c r="M194" s="11">
        <f t="shared" si="31"/>
        <v>1.6073666892985849</v>
      </c>
      <c r="N194" s="5">
        <f t="shared" si="26"/>
        <v>4.4472359310012664E-3</v>
      </c>
      <c r="O194">
        <f t="shared" si="27"/>
        <v>8575.4557999999997</v>
      </c>
      <c r="P194">
        <f t="shared" ca="1" si="28"/>
        <v>8573</v>
      </c>
      <c r="Q194" t="str">
        <f t="shared" ca="1" si="32"/>
        <v>0010000101111101</v>
      </c>
      <c r="R194">
        <f t="shared" ca="1" si="29"/>
        <v>1.6074375000000001</v>
      </c>
      <c r="S194">
        <f t="shared" ca="1" si="30"/>
        <v>39.289250000000003</v>
      </c>
      <c r="T194" s="3">
        <f t="shared" ca="1" si="33"/>
        <v>2.2767857142857099E-3</v>
      </c>
    </row>
    <row r="195" spans="8:20" x14ac:dyDescent="0.25">
      <c r="H195">
        <v>39.299999999999997</v>
      </c>
      <c r="I195" s="11">
        <v>1.6077499999999996</v>
      </c>
      <c r="J195" s="10">
        <f t="shared" ref="J195:J258" si="34">ROUND(H195*0.00000575 -0.00034,6)</f>
        <v>-1.1400000000000001E-4</v>
      </c>
      <c r="K195" s="17">
        <f t="shared" ref="K195:K258" si="35">ROUND(H195*0.000005-0.0001,6)</f>
        <v>9.7E-5</v>
      </c>
      <c r="L195" s="10">
        <f t="shared" ref="L195:L258" si="36">ROUND(K195+($C$24*(H195-25)),6)</f>
        <v>4.3870000000000003E-3</v>
      </c>
      <c r="M195" s="11">
        <f t="shared" si="31"/>
        <v>1.614948780299172</v>
      </c>
      <c r="N195" s="5">
        <f t="shared" ref="N195:N258" si="37">ABS(I195-M195)/I195</f>
        <v>4.4775495563193447E-3</v>
      </c>
      <c r="O195">
        <f t="shared" ref="O195:O258" si="38">ROUND((M195*(2^($C$12-1)))/$C$44,4)</f>
        <v>8615.9069999999992</v>
      </c>
      <c r="P195">
        <f t="shared" ref="P195:P258" ca="1" si="39">ROUND(O195+$C$47+$C$49+RANDBETWEEN($B$45,$D$45),0)</f>
        <v>8620</v>
      </c>
      <c r="Q195" t="str">
        <f t="shared" ca="1" si="32"/>
        <v>0010000110101100</v>
      </c>
      <c r="R195">
        <f t="shared" ref="R195:R258" ca="1" si="40">($C$16/2^($C$12-1)) * P195</f>
        <v>1.61625</v>
      </c>
      <c r="S195">
        <f t="shared" ref="S195:S258" ca="1" si="41">(R195+5/3)/(1/12)</f>
        <v>39.395000000000003</v>
      </c>
      <c r="T195" s="3">
        <f t="shared" ca="1" si="33"/>
        <v>2.4173027989823404E-3</v>
      </c>
    </row>
    <row r="196" spans="8:20" x14ac:dyDescent="0.25">
      <c r="H196">
        <v>39.400000000000006</v>
      </c>
      <c r="I196" s="11">
        <v>1.6159999999999999</v>
      </c>
      <c r="J196" s="10">
        <f t="shared" si="34"/>
        <v>-1.13E-4</v>
      </c>
      <c r="K196" s="17">
        <f t="shared" si="35"/>
        <v>9.7E-5</v>
      </c>
      <c r="L196" s="10">
        <f t="shared" si="36"/>
        <v>4.4169999999999999E-3</v>
      </c>
      <c r="M196" s="11">
        <f t="shared" ref="M196:M259" si="42">(I196-J196)/(1-L196)</f>
        <v>1.6232830411929491</v>
      </c>
      <c r="N196" s="5">
        <f t="shared" si="37"/>
        <v>4.506832421379457E-3</v>
      </c>
      <c r="O196">
        <f t="shared" si="38"/>
        <v>8660.3711000000003</v>
      </c>
      <c r="P196">
        <f t="shared" ca="1" si="39"/>
        <v>8659</v>
      </c>
      <c r="Q196" t="str">
        <f t="shared" ref="Q196:Q259" ca="1" si="43">_xlfn.BASE(P196,2,16)</f>
        <v>0010000111010011</v>
      </c>
      <c r="R196">
        <f t="shared" ca="1" si="40"/>
        <v>1.6235625</v>
      </c>
      <c r="S196">
        <f t="shared" ca="1" si="41"/>
        <v>39.482750000000003</v>
      </c>
      <c r="T196" s="3">
        <f t="shared" ref="T196:T259" ca="1" si="44">ABS(H196-S196)/H196</f>
        <v>2.1002538071065282E-3</v>
      </c>
    </row>
    <row r="197" spans="8:20" x14ac:dyDescent="0.25">
      <c r="H197">
        <v>39.5</v>
      </c>
      <c r="I197" s="11">
        <v>1.6255833333333329</v>
      </c>
      <c r="J197" s="10">
        <f t="shared" si="34"/>
        <v>-1.13E-4</v>
      </c>
      <c r="K197" s="17">
        <f t="shared" si="35"/>
        <v>9.7999999999999997E-5</v>
      </c>
      <c r="L197" s="10">
        <f t="shared" si="36"/>
        <v>4.4479999999999997E-3</v>
      </c>
      <c r="M197" s="11">
        <f t="shared" si="42"/>
        <v>1.6329597382490648</v>
      </c>
      <c r="N197" s="5">
        <f t="shared" si="37"/>
        <v>4.5376971850506287E-3</v>
      </c>
      <c r="O197">
        <f t="shared" si="38"/>
        <v>8711.9971999999998</v>
      </c>
      <c r="P197">
        <f t="shared" ca="1" si="39"/>
        <v>8710</v>
      </c>
      <c r="Q197" t="str">
        <f t="shared" ca="1" si="43"/>
        <v>0010001000000110</v>
      </c>
      <c r="R197">
        <f t="shared" ca="1" si="40"/>
        <v>1.6331249999999999</v>
      </c>
      <c r="S197">
        <f t="shared" ca="1" si="41"/>
        <v>39.597500000000004</v>
      </c>
      <c r="T197" s="3">
        <f t="shared" ca="1" si="44"/>
        <v>2.4683544303798406E-3</v>
      </c>
    </row>
    <row r="198" spans="8:20" x14ac:dyDescent="0.25">
      <c r="H198">
        <v>39.6</v>
      </c>
      <c r="I198" s="11">
        <v>1.6333333333333331</v>
      </c>
      <c r="J198" s="10">
        <f t="shared" si="34"/>
        <v>-1.12E-4</v>
      </c>
      <c r="K198" s="17">
        <f t="shared" si="35"/>
        <v>9.7999999999999997E-5</v>
      </c>
      <c r="L198" s="10">
        <f t="shared" si="36"/>
        <v>4.4780000000000002E-3</v>
      </c>
      <c r="M198" s="11">
        <f t="shared" si="42"/>
        <v>1.6407928035074393</v>
      </c>
      <c r="N198" s="5">
        <f t="shared" si="37"/>
        <v>4.5670225555752234E-3</v>
      </c>
      <c r="O198">
        <f t="shared" si="38"/>
        <v>8753.7873999999993</v>
      </c>
      <c r="P198">
        <f t="shared" ca="1" si="39"/>
        <v>8756</v>
      </c>
      <c r="Q198" t="str">
        <f t="shared" ca="1" si="43"/>
        <v>0010001000110100</v>
      </c>
      <c r="R198">
        <f t="shared" ca="1" si="40"/>
        <v>1.64175</v>
      </c>
      <c r="S198">
        <f t="shared" ca="1" si="41"/>
        <v>39.701000000000008</v>
      </c>
      <c r="T198" s="3">
        <f t="shared" ca="1" si="44"/>
        <v>2.550505050505207E-3</v>
      </c>
    </row>
    <row r="199" spans="8:20" x14ac:dyDescent="0.25">
      <c r="H199">
        <v>39.700000000000003</v>
      </c>
      <c r="I199" s="11">
        <v>1.6408333333333334</v>
      </c>
      <c r="J199" s="10">
        <f t="shared" si="34"/>
        <v>-1.12E-4</v>
      </c>
      <c r="K199" s="17">
        <f t="shared" si="35"/>
        <v>9.8999999999999994E-5</v>
      </c>
      <c r="L199" s="10">
        <f t="shared" si="36"/>
        <v>4.509E-3</v>
      </c>
      <c r="M199" s="11">
        <f t="shared" si="42"/>
        <v>1.6483778691453095</v>
      </c>
      <c r="N199" s="5">
        <f t="shared" si="37"/>
        <v>4.5979903374156117E-3</v>
      </c>
      <c r="O199">
        <f t="shared" si="38"/>
        <v>8794.2543999999998</v>
      </c>
      <c r="P199">
        <f t="shared" ca="1" si="39"/>
        <v>8797</v>
      </c>
      <c r="Q199" t="str">
        <f t="shared" ca="1" si="43"/>
        <v>0010001001011101</v>
      </c>
      <c r="R199">
        <f t="shared" ca="1" si="40"/>
        <v>1.6494375000000001</v>
      </c>
      <c r="S199">
        <f t="shared" ca="1" si="41"/>
        <v>39.793250000000008</v>
      </c>
      <c r="T199" s="3">
        <f t="shared" ca="1" si="44"/>
        <v>2.3488664987406727E-3</v>
      </c>
    </row>
    <row r="200" spans="8:20" x14ac:dyDescent="0.25">
      <c r="H200">
        <v>39.799999999999997</v>
      </c>
      <c r="I200" s="11">
        <v>1.6497499999999994</v>
      </c>
      <c r="J200" s="10">
        <f t="shared" si="34"/>
        <v>-1.11E-4</v>
      </c>
      <c r="K200" s="17">
        <f t="shared" si="35"/>
        <v>9.8999999999999994E-5</v>
      </c>
      <c r="L200" s="10">
        <f t="shared" si="36"/>
        <v>4.5389999999999996E-3</v>
      </c>
      <c r="M200" s="11">
        <f t="shared" si="42"/>
        <v>1.6573838653648905</v>
      </c>
      <c r="N200" s="5">
        <f t="shared" si="37"/>
        <v>4.6272861735966557E-3</v>
      </c>
      <c r="O200">
        <f t="shared" si="38"/>
        <v>8842.3022999999994</v>
      </c>
      <c r="P200">
        <f t="shared" ca="1" si="39"/>
        <v>8843</v>
      </c>
      <c r="Q200" t="str">
        <f t="shared" ca="1" si="43"/>
        <v>0010001010001011</v>
      </c>
      <c r="R200">
        <f t="shared" ca="1" si="40"/>
        <v>1.6580625</v>
      </c>
      <c r="S200">
        <f t="shared" ca="1" si="41"/>
        <v>39.896750000000004</v>
      </c>
      <c r="T200" s="3">
        <f t="shared" ca="1" si="44"/>
        <v>2.4309045226132467E-3</v>
      </c>
    </row>
    <row r="201" spans="8:20" x14ac:dyDescent="0.25">
      <c r="H201">
        <v>39.900000000000006</v>
      </c>
      <c r="I201" s="11">
        <v>1.6583333333333334</v>
      </c>
      <c r="J201" s="10">
        <f t="shared" si="34"/>
        <v>-1.11E-4</v>
      </c>
      <c r="K201" s="17">
        <f t="shared" si="35"/>
        <v>1E-4</v>
      </c>
      <c r="L201" s="10">
        <f t="shared" si="36"/>
        <v>4.5700000000000003E-3</v>
      </c>
      <c r="M201" s="11">
        <f t="shared" si="42"/>
        <v>1.666058219395973</v>
      </c>
      <c r="N201" s="5">
        <f t="shared" si="37"/>
        <v>4.65822275134043E-3</v>
      </c>
      <c r="O201">
        <f t="shared" si="38"/>
        <v>8888.5807999999997</v>
      </c>
      <c r="P201">
        <f t="shared" ca="1" si="39"/>
        <v>8889</v>
      </c>
      <c r="Q201" t="str">
        <f t="shared" ca="1" si="43"/>
        <v>0010001010111001</v>
      </c>
      <c r="R201">
        <f t="shared" ca="1" si="40"/>
        <v>1.6666875000000001</v>
      </c>
      <c r="S201">
        <f t="shared" ca="1" si="41"/>
        <v>40.000250000000008</v>
      </c>
      <c r="T201" s="3">
        <f t="shared" ca="1" si="44"/>
        <v>2.5125313283208672E-3</v>
      </c>
    </row>
    <row r="202" spans="8:20" x14ac:dyDescent="0.25">
      <c r="H202">
        <v>40</v>
      </c>
      <c r="I202" s="11">
        <v>1.6663333333333334</v>
      </c>
      <c r="J202" s="10">
        <f t="shared" si="34"/>
        <v>-1.1E-4</v>
      </c>
      <c r="K202" s="17">
        <f t="shared" si="35"/>
        <v>1E-4</v>
      </c>
      <c r="L202" s="10">
        <f t="shared" si="36"/>
        <v>4.5999999999999999E-3</v>
      </c>
      <c r="M202" s="11">
        <f t="shared" si="42"/>
        <v>1.6741443975621193</v>
      </c>
      <c r="N202" s="5">
        <f t="shared" si="37"/>
        <v>4.6875760524820106E-3</v>
      </c>
      <c r="O202">
        <f t="shared" si="38"/>
        <v>8931.7212999999992</v>
      </c>
      <c r="P202">
        <f t="shared" ca="1" si="39"/>
        <v>8930</v>
      </c>
      <c r="Q202" t="str">
        <f t="shared" ca="1" si="43"/>
        <v>0010001011100010</v>
      </c>
      <c r="R202">
        <f t="shared" ca="1" si="40"/>
        <v>1.6743749999999999</v>
      </c>
      <c r="S202">
        <f t="shared" ca="1" si="41"/>
        <v>40.092500000000001</v>
      </c>
      <c r="T202" s="3">
        <f t="shared" ca="1" si="44"/>
        <v>2.3125000000000285E-3</v>
      </c>
    </row>
    <row r="203" spans="8:20" x14ac:dyDescent="0.25">
      <c r="H203">
        <v>40.1</v>
      </c>
      <c r="I203" s="11">
        <v>1.6753333333333329</v>
      </c>
      <c r="J203" s="10">
        <f t="shared" si="34"/>
        <v>-1.0900000000000001E-4</v>
      </c>
      <c r="K203" s="17">
        <f t="shared" si="35"/>
        <v>1.01E-4</v>
      </c>
      <c r="L203" s="10">
        <f t="shared" si="36"/>
        <v>4.6309999999999997E-3</v>
      </c>
      <c r="M203" s="11">
        <f t="shared" si="42"/>
        <v>1.6832374057594046</v>
      </c>
      <c r="N203" s="5">
        <f t="shared" si="37"/>
        <v>4.7179103219687941E-3</v>
      </c>
      <c r="O203">
        <f t="shared" si="38"/>
        <v>8980.2333999999992</v>
      </c>
      <c r="P203">
        <f t="shared" ca="1" si="39"/>
        <v>8980</v>
      </c>
      <c r="Q203" t="str">
        <f t="shared" ca="1" si="43"/>
        <v>0010001100010100</v>
      </c>
      <c r="R203">
        <f t="shared" ca="1" si="40"/>
        <v>1.6837500000000001</v>
      </c>
      <c r="S203">
        <f t="shared" ca="1" si="41"/>
        <v>40.205000000000005</v>
      </c>
      <c r="T203" s="3">
        <f t="shared" ca="1" si="44"/>
        <v>2.6184538653367573E-3</v>
      </c>
    </row>
    <row r="204" spans="8:20" x14ac:dyDescent="0.25">
      <c r="H204">
        <v>40.200000000000003</v>
      </c>
      <c r="I204" s="11">
        <v>1.6835833333333332</v>
      </c>
      <c r="J204" s="10">
        <f t="shared" si="34"/>
        <v>-1.0900000000000001E-4</v>
      </c>
      <c r="K204" s="17">
        <f t="shared" si="35"/>
        <v>1.01E-4</v>
      </c>
      <c r="L204" s="10">
        <f t="shared" si="36"/>
        <v>4.6610000000000002E-3</v>
      </c>
      <c r="M204" s="11">
        <f t="shared" si="42"/>
        <v>1.6915767726707516</v>
      </c>
      <c r="N204" s="5">
        <f t="shared" si="37"/>
        <v>4.7478726946008189E-3</v>
      </c>
      <c r="O204">
        <f t="shared" si="38"/>
        <v>9024.7247000000007</v>
      </c>
      <c r="P204">
        <f t="shared" ca="1" si="39"/>
        <v>9022</v>
      </c>
      <c r="Q204" t="str">
        <f t="shared" ca="1" si="43"/>
        <v>0010001100111110</v>
      </c>
      <c r="R204">
        <f t="shared" ca="1" si="40"/>
        <v>1.6916249999999999</v>
      </c>
      <c r="S204">
        <f t="shared" ca="1" si="41"/>
        <v>40.299500000000002</v>
      </c>
      <c r="T204" s="3">
        <f t="shared" ca="1" si="44"/>
        <v>2.4751243781094287E-3</v>
      </c>
    </row>
    <row r="205" spans="8:20" x14ac:dyDescent="0.25">
      <c r="H205">
        <v>40.299999999999997</v>
      </c>
      <c r="I205" s="11">
        <v>1.6916666666666662</v>
      </c>
      <c r="J205" s="10">
        <f t="shared" si="34"/>
        <v>-1.08E-4</v>
      </c>
      <c r="K205" s="17">
        <f t="shared" si="35"/>
        <v>1.02E-4</v>
      </c>
      <c r="L205" s="10">
        <f t="shared" si="36"/>
        <v>4.692E-3</v>
      </c>
      <c r="M205" s="11">
        <f t="shared" si="42"/>
        <v>1.6997498931653983</v>
      </c>
      <c r="N205" s="5">
        <f t="shared" si="37"/>
        <v>4.7782619696938268E-3</v>
      </c>
      <c r="O205">
        <f t="shared" si="38"/>
        <v>9068.3291000000008</v>
      </c>
      <c r="P205">
        <f t="shared" ca="1" si="39"/>
        <v>9066</v>
      </c>
      <c r="Q205" t="str">
        <f t="shared" ca="1" si="43"/>
        <v>0010001101101010</v>
      </c>
      <c r="R205">
        <f t="shared" ca="1" si="40"/>
        <v>1.699875</v>
      </c>
      <c r="S205">
        <f t="shared" ca="1" si="41"/>
        <v>40.398499999999999</v>
      </c>
      <c r="T205" s="3">
        <f t="shared" ca="1" si="44"/>
        <v>2.4441687344913493E-3</v>
      </c>
    </row>
    <row r="206" spans="8:20" x14ac:dyDescent="0.25">
      <c r="H206">
        <v>40.400000000000006</v>
      </c>
      <c r="I206" s="11">
        <v>1.6991666666666669</v>
      </c>
      <c r="J206" s="10">
        <f t="shared" si="34"/>
        <v>-1.08E-4</v>
      </c>
      <c r="K206" s="17">
        <f t="shared" si="35"/>
        <v>1.02E-4</v>
      </c>
      <c r="L206" s="10">
        <f t="shared" si="36"/>
        <v>4.7219999999999996E-3</v>
      </c>
      <c r="M206" s="11">
        <f t="shared" si="42"/>
        <v>1.7073367106141872</v>
      </c>
      <c r="N206" s="5">
        <f t="shared" si="37"/>
        <v>4.8082651971674151E-3</v>
      </c>
      <c r="O206">
        <f t="shared" si="38"/>
        <v>9108.8055000000004</v>
      </c>
      <c r="P206">
        <f t="shared" ca="1" si="39"/>
        <v>9110</v>
      </c>
      <c r="Q206" t="str">
        <f t="shared" ca="1" si="43"/>
        <v>0010001110010110</v>
      </c>
      <c r="R206">
        <f t="shared" ca="1" si="40"/>
        <v>1.7081250000000001</v>
      </c>
      <c r="S206">
        <f t="shared" ca="1" si="41"/>
        <v>40.497500000000002</v>
      </c>
      <c r="T206" s="3">
        <f t="shared" ca="1" si="44"/>
        <v>2.4133663366335788E-3</v>
      </c>
    </row>
    <row r="207" spans="8:20" x14ac:dyDescent="0.25">
      <c r="H207">
        <v>40.5</v>
      </c>
      <c r="I207" s="11">
        <v>1.7076666666666662</v>
      </c>
      <c r="J207" s="10">
        <f t="shared" si="34"/>
        <v>-1.07E-4</v>
      </c>
      <c r="K207" s="17">
        <f t="shared" si="35"/>
        <v>1.03E-4</v>
      </c>
      <c r="L207" s="10">
        <f t="shared" si="36"/>
        <v>4.7530000000000003E-3</v>
      </c>
      <c r="M207" s="11">
        <f t="shared" si="42"/>
        <v>1.7159294794826474</v>
      </c>
      <c r="N207" s="5">
        <f t="shared" si="37"/>
        <v>4.8386567339339347E-3</v>
      </c>
      <c r="O207">
        <f t="shared" si="38"/>
        <v>9154.6488000000008</v>
      </c>
      <c r="P207">
        <f t="shared" ca="1" si="39"/>
        <v>9154</v>
      </c>
      <c r="Q207" t="str">
        <f t="shared" ca="1" si="43"/>
        <v>0010001111000010</v>
      </c>
      <c r="R207">
        <f t="shared" ca="1" si="40"/>
        <v>1.716375</v>
      </c>
      <c r="S207">
        <f t="shared" ca="1" si="41"/>
        <v>40.596500000000006</v>
      </c>
      <c r="T207" s="3">
        <f t="shared" ca="1" si="44"/>
        <v>2.382716049382865E-3</v>
      </c>
    </row>
    <row r="208" spans="8:20" x14ac:dyDescent="0.25">
      <c r="H208">
        <v>40.6</v>
      </c>
      <c r="I208" s="11">
        <v>1.7167499999999996</v>
      </c>
      <c r="J208" s="10">
        <f t="shared" si="34"/>
        <v>-1.07E-4</v>
      </c>
      <c r="K208" s="17">
        <f t="shared" si="35"/>
        <v>1.03E-4</v>
      </c>
      <c r="L208" s="10">
        <f t="shared" si="36"/>
        <v>4.7829999999999999E-3</v>
      </c>
      <c r="M208" s="11">
        <f t="shared" si="42"/>
        <v>1.7251081924846536</v>
      </c>
      <c r="N208" s="5">
        <f t="shared" si="37"/>
        <v>4.8686136505921556E-3</v>
      </c>
      <c r="O208">
        <f t="shared" si="38"/>
        <v>9203.6180999999997</v>
      </c>
      <c r="P208">
        <f t="shared" ca="1" si="39"/>
        <v>9207</v>
      </c>
      <c r="Q208" t="str">
        <f t="shared" ca="1" si="43"/>
        <v>0010001111110111</v>
      </c>
      <c r="R208">
        <f t="shared" ca="1" si="40"/>
        <v>1.7263125000000001</v>
      </c>
      <c r="S208">
        <f t="shared" ca="1" si="41"/>
        <v>40.71575</v>
      </c>
      <c r="T208" s="3">
        <f t="shared" ca="1" si="44"/>
        <v>2.850985221674839E-3</v>
      </c>
    </row>
    <row r="209" spans="8:20" x14ac:dyDescent="0.25">
      <c r="H209">
        <v>40.700000000000003</v>
      </c>
      <c r="I209" s="11">
        <v>1.725416666666667</v>
      </c>
      <c r="J209" s="10">
        <f t="shared" si="34"/>
        <v>-1.06E-4</v>
      </c>
      <c r="K209" s="17">
        <f t="shared" si="35"/>
        <v>1.0399999999999999E-4</v>
      </c>
      <c r="L209" s="10">
        <f t="shared" si="36"/>
        <v>4.8139999999999997E-3</v>
      </c>
      <c r="M209" s="11">
        <f t="shared" si="42"/>
        <v>1.7338695145095158</v>
      </c>
      <c r="N209" s="5">
        <f t="shared" si="37"/>
        <v>4.8990183102721385E-3</v>
      </c>
      <c r="O209">
        <f t="shared" si="38"/>
        <v>9250.3606</v>
      </c>
      <c r="P209">
        <f t="shared" ca="1" si="39"/>
        <v>9248</v>
      </c>
      <c r="Q209" t="str">
        <f t="shared" ca="1" si="43"/>
        <v>0010010000100000</v>
      </c>
      <c r="R209">
        <f t="shared" ca="1" si="40"/>
        <v>1.734</v>
      </c>
      <c r="S209">
        <f t="shared" ca="1" si="41"/>
        <v>40.808000000000007</v>
      </c>
      <c r="T209" s="3">
        <f t="shared" ca="1" si="44"/>
        <v>2.6535626535627538E-3</v>
      </c>
    </row>
    <row r="210" spans="8:20" x14ac:dyDescent="0.25">
      <c r="H210">
        <v>40.799999999999997</v>
      </c>
      <c r="I210" s="11">
        <v>1.7340833333333328</v>
      </c>
      <c r="J210" s="10">
        <f t="shared" si="34"/>
        <v>-1.05E-4</v>
      </c>
      <c r="K210" s="17">
        <f t="shared" si="35"/>
        <v>1.0399999999999999E-4</v>
      </c>
      <c r="L210" s="10">
        <f t="shared" si="36"/>
        <v>4.8440000000000002E-3</v>
      </c>
      <c r="M210" s="11">
        <f t="shared" si="42"/>
        <v>1.7426296312671909</v>
      </c>
      <c r="N210" s="5">
        <f t="shared" si="37"/>
        <v>4.9284240091450023E-3</v>
      </c>
      <c r="O210">
        <f t="shared" si="38"/>
        <v>9297.0966000000008</v>
      </c>
      <c r="P210">
        <f t="shared" ca="1" si="39"/>
        <v>9298</v>
      </c>
      <c r="Q210" t="str">
        <f t="shared" ca="1" si="43"/>
        <v>0010010001010010</v>
      </c>
      <c r="R210">
        <f t="shared" ca="1" si="40"/>
        <v>1.7433750000000001</v>
      </c>
      <c r="S210">
        <f t="shared" ca="1" si="41"/>
        <v>40.920500000000004</v>
      </c>
      <c r="T210" s="3">
        <f t="shared" ca="1" si="44"/>
        <v>2.9534313725491897E-3</v>
      </c>
    </row>
    <row r="211" spans="8:20" x14ac:dyDescent="0.25">
      <c r="H211">
        <v>40.900000000000006</v>
      </c>
      <c r="I211" s="11">
        <v>1.7421666666666671</v>
      </c>
      <c r="J211" s="10">
        <f t="shared" si="34"/>
        <v>-1.05E-4</v>
      </c>
      <c r="K211" s="17">
        <f t="shared" si="35"/>
        <v>1.05E-4</v>
      </c>
      <c r="L211" s="10">
        <f t="shared" si="36"/>
        <v>4.875E-3</v>
      </c>
      <c r="M211" s="11">
        <f t="shared" si="42"/>
        <v>1.750806850060713</v>
      </c>
      <c r="N211" s="5">
        <f t="shared" si="37"/>
        <v>4.9594470835430567E-3</v>
      </c>
      <c r="O211">
        <f t="shared" si="38"/>
        <v>9340.7229000000007</v>
      </c>
      <c r="P211">
        <f t="shared" ca="1" si="39"/>
        <v>9340</v>
      </c>
      <c r="Q211" t="str">
        <f t="shared" ca="1" si="43"/>
        <v>0010010001111100</v>
      </c>
      <c r="R211">
        <f t="shared" ca="1" si="40"/>
        <v>1.75125</v>
      </c>
      <c r="S211">
        <f t="shared" ca="1" si="41"/>
        <v>41.015000000000001</v>
      </c>
      <c r="T211" s="3">
        <f t="shared" ca="1" si="44"/>
        <v>2.8117359413201677E-3</v>
      </c>
    </row>
    <row r="212" spans="8:20" x14ac:dyDescent="0.25">
      <c r="H212">
        <v>41</v>
      </c>
      <c r="I212" s="11">
        <v>1.7499999999999998</v>
      </c>
      <c r="J212" s="10">
        <f t="shared" si="34"/>
        <v>-1.0399999999999999E-4</v>
      </c>
      <c r="K212" s="17">
        <f t="shared" si="35"/>
        <v>1.05E-4</v>
      </c>
      <c r="L212" s="10">
        <f t="shared" si="36"/>
        <v>4.9049999999999996E-3</v>
      </c>
      <c r="M212" s="11">
        <f t="shared" si="42"/>
        <v>1.7587305734628351</v>
      </c>
      <c r="N212" s="5">
        <f t="shared" si="37"/>
        <v>4.9888991216201981E-3</v>
      </c>
      <c r="O212">
        <f t="shared" si="38"/>
        <v>9382.9966999999997</v>
      </c>
      <c r="P212">
        <f t="shared" ca="1" si="39"/>
        <v>9387</v>
      </c>
      <c r="Q212" t="str">
        <f t="shared" ca="1" si="43"/>
        <v>0010010010101011</v>
      </c>
      <c r="R212">
        <f t="shared" ca="1" si="40"/>
        <v>1.7600625000000001</v>
      </c>
      <c r="S212">
        <f t="shared" ca="1" si="41"/>
        <v>41.120750000000008</v>
      </c>
      <c r="T212" s="3">
        <f t="shared" ca="1" si="44"/>
        <v>2.9451219512197104E-3</v>
      </c>
    </row>
    <row r="213" spans="8:20" x14ac:dyDescent="0.25">
      <c r="H213">
        <v>41.1</v>
      </c>
      <c r="I213" s="11">
        <v>1.7583333333333331</v>
      </c>
      <c r="J213" s="10">
        <f t="shared" si="34"/>
        <v>-1.0399999999999999E-4</v>
      </c>
      <c r="K213" s="17">
        <f t="shared" si="35"/>
        <v>1.06E-4</v>
      </c>
      <c r="L213" s="10">
        <f t="shared" si="36"/>
        <v>4.9360000000000003E-3</v>
      </c>
      <c r="M213" s="11">
        <f t="shared" si="42"/>
        <v>1.7671600352674133</v>
      </c>
      <c r="N213" s="5">
        <f t="shared" si="37"/>
        <v>5.0199252705669358E-3</v>
      </c>
      <c r="O213">
        <f t="shared" si="38"/>
        <v>9427.9686999999994</v>
      </c>
      <c r="P213">
        <f t="shared" ca="1" si="39"/>
        <v>9427</v>
      </c>
      <c r="Q213" t="str">
        <f t="shared" ca="1" si="43"/>
        <v>0010010011010011</v>
      </c>
      <c r="R213">
        <f t="shared" ca="1" si="40"/>
        <v>1.7675625000000001</v>
      </c>
      <c r="S213">
        <f t="shared" ca="1" si="41"/>
        <v>41.210750000000004</v>
      </c>
      <c r="T213" s="3">
        <f t="shared" ca="1" si="44"/>
        <v>2.6946472019465451E-3</v>
      </c>
    </row>
    <row r="214" spans="8:20" x14ac:dyDescent="0.25">
      <c r="H214">
        <v>41.2</v>
      </c>
      <c r="I214" s="11">
        <v>1.7669166666666667</v>
      </c>
      <c r="J214" s="10">
        <f t="shared" si="34"/>
        <v>-1.03E-4</v>
      </c>
      <c r="K214" s="17">
        <f t="shared" si="35"/>
        <v>1.06E-4</v>
      </c>
      <c r="L214" s="10">
        <f t="shared" si="36"/>
        <v>4.9659999999999999E-3</v>
      </c>
      <c r="M214" s="11">
        <f t="shared" si="42"/>
        <v>1.7758384805611334</v>
      </c>
      <c r="N214" s="5">
        <f t="shared" si="37"/>
        <v>5.0493688031693637E-3</v>
      </c>
      <c r="O214">
        <f t="shared" si="38"/>
        <v>9474.2690000000002</v>
      </c>
      <c r="P214">
        <f t="shared" ca="1" si="39"/>
        <v>9474</v>
      </c>
      <c r="Q214" t="str">
        <f t="shared" ca="1" si="43"/>
        <v>0010010100000010</v>
      </c>
      <c r="R214">
        <f t="shared" ca="1" si="40"/>
        <v>1.776375</v>
      </c>
      <c r="S214">
        <f t="shared" ca="1" si="41"/>
        <v>41.316500000000005</v>
      </c>
      <c r="T214" s="3">
        <f t="shared" ca="1" si="44"/>
        <v>2.8276699029126709E-3</v>
      </c>
    </row>
    <row r="215" spans="8:20" x14ac:dyDescent="0.25">
      <c r="H215">
        <v>41.3</v>
      </c>
      <c r="I215" s="11">
        <v>1.7744166666666665</v>
      </c>
      <c r="J215" s="10">
        <f t="shared" si="34"/>
        <v>-1.03E-4</v>
      </c>
      <c r="K215" s="17">
        <f t="shared" si="35"/>
        <v>1.07E-4</v>
      </c>
      <c r="L215" s="10">
        <f t="shared" si="36"/>
        <v>4.9969999999999997E-3</v>
      </c>
      <c r="M215" s="11">
        <f t="shared" si="42"/>
        <v>1.78343147374095</v>
      </c>
      <c r="N215" s="5">
        <f t="shared" si="37"/>
        <v>5.0804341751468458E-3</v>
      </c>
      <c r="O215">
        <f t="shared" si="38"/>
        <v>9514.7783999999992</v>
      </c>
      <c r="P215">
        <f t="shared" ca="1" si="39"/>
        <v>9514</v>
      </c>
      <c r="Q215" t="str">
        <f t="shared" ca="1" si="43"/>
        <v>0010010100101010</v>
      </c>
      <c r="R215">
        <f t="shared" ca="1" si="40"/>
        <v>1.7838750000000001</v>
      </c>
      <c r="S215">
        <f t="shared" ca="1" si="41"/>
        <v>41.406500000000008</v>
      </c>
      <c r="T215" s="3">
        <f t="shared" ca="1" si="44"/>
        <v>2.578692493947001E-3</v>
      </c>
    </row>
    <row r="216" spans="8:20" x14ac:dyDescent="0.25">
      <c r="H216">
        <v>41.400000000000006</v>
      </c>
      <c r="I216" s="11">
        <v>1.7835833333333337</v>
      </c>
      <c r="J216" s="10">
        <f t="shared" si="34"/>
        <v>-1.02E-4</v>
      </c>
      <c r="K216" s="17">
        <f t="shared" si="35"/>
        <v>1.07E-4</v>
      </c>
      <c r="L216" s="10">
        <f t="shared" si="36"/>
        <v>5.0270000000000002E-3</v>
      </c>
      <c r="M216" s="11">
        <f t="shared" si="42"/>
        <v>1.7926972222696835</v>
      </c>
      <c r="N216" s="5">
        <f t="shared" si="37"/>
        <v>5.1098755892256906E-3</v>
      </c>
      <c r="O216">
        <f t="shared" si="38"/>
        <v>9564.2119999999995</v>
      </c>
      <c r="P216">
        <f t="shared" ca="1" si="39"/>
        <v>9563</v>
      </c>
      <c r="Q216" t="str">
        <f t="shared" ca="1" si="43"/>
        <v>0010010101011011</v>
      </c>
      <c r="R216">
        <f t="shared" ca="1" si="40"/>
        <v>1.7930625</v>
      </c>
      <c r="S216">
        <f t="shared" ca="1" si="41"/>
        <v>41.516750000000002</v>
      </c>
      <c r="T216" s="3">
        <f t="shared" ca="1" si="44"/>
        <v>2.82004830917865E-3</v>
      </c>
    </row>
    <row r="217" spans="8:20" x14ac:dyDescent="0.25">
      <c r="H217">
        <v>41.5</v>
      </c>
      <c r="I217" s="11">
        <v>1.7914166666666664</v>
      </c>
      <c r="J217" s="10">
        <f t="shared" si="34"/>
        <v>-1.01E-4</v>
      </c>
      <c r="K217" s="17">
        <f t="shared" si="35"/>
        <v>1.08E-4</v>
      </c>
      <c r="L217" s="10">
        <f t="shared" si="36"/>
        <v>5.058E-3</v>
      </c>
      <c r="M217" s="11">
        <f t="shared" si="42"/>
        <v>1.8006252290753293</v>
      </c>
      <c r="N217" s="5">
        <f t="shared" si="37"/>
        <v>5.1403800020446717E-3</v>
      </c>
      <c r="O217">
        <f t="shared" si="38"/>
        <v>9606.5087000000003</v>
      </c>
      <c r="P217">
        <f t="shared" ca="1" si="39"/>
        <v>9604</v>
      </c>
      <c r="Q217" t="str">
        <f t="shared" ca="1" si="43"/>
        <v>0010010110000100</v>
      </c>
      <c r="R217">
        <f t="shared" ca="1" si="40"/>
        <v>1.8007500000000001</v>
      </c>
      <c r="S217">
        <f t="shared" ca="1" si="41"/>
        <v>41.609000000000002</v>
      </c>
      <c r="T217" s="3">
        <f t="shared" ca="1" si="44"/>
        <v>2.6265060240964282E-3</v>
      </c>
    </row>
    <row r="218" spans="8:20" x14ac:dyDescent="0.25">
      <c r="H218">
        <v>41.6</v>
      </c>
      <c r="I218" s="11">
        <v>1.799333333333333</v>
      </c>
      <c r="J218" s="10">
        <f t="shared" si="34"/>
        <v>-1.01E-4</v>
      </c>
      <c r="K218" s="17">
        <f t="shared" si="35"/>
        <v>1.08E-4</v>
      </c>
      <c r="L218" s="10">
        <f t="shared" si="36"/>
        <v>5.0879999999999996E-3</v>
      </c>
      <c r="M218" s="11">
        <f t="shared" si="42"/>
        <v>1.8086366767446094</v>
      </c>
      <c r="N218" s="5">
        <f t="shared" si="37"/>
        <v>5.1704390948182849E-3</v>
      </c>
      <c r="O218">
        <f t="shared" si="38"/>
        <v>9649.2505999999994</v>
      </c>
      <c r="P218">
        <f t="shared" ca="1" si="39"/>
        <v>9652</v>
      </c>
      <c r="Q218" t="str">
        <f t="shared" ca="1" si="43"/>
        <v>0010010110110100</v>
      </c>
      <c r="R218">
        <f t="shared" ca="1" si="40"/>
        <v>1.80975</v>
      </c>
      <c r="S218">
        <f t="shared" ca="1" si="41"/>
        <v>41.717000000000006</v>
      </c>
      <c r="T218" s="3">
        <f t="shared" ca="1" si="44"/>
        <v>2.8125000000001066E-3</v>
      </c>
    </row>
    <row r="219" spans="8:20" x14ac:dyDescent="0.25">
      <c r="H219">
        <v>41.7</v>
      </c>
      <c r="I219" s="11">
        <v>1.8088333333333335</v>
      </c>
      <c r="J219" s="10">
        <f t="shared" si="34"/>
        <v>-1E-4</v>
      </c>
      <c r="K219" s="17">
        <f t="shared" si="35"/>
        <v>1.0900000000000001E-4</v>
      </c>
      <c r="L219" s="10">
        <f t="shared" si="36"/>
        <v>5.1190000000000003E-3</v>
      </c>
      <c r="M219" s="11">
        <f t="shared" si="42"/>
        <v>1.8182409085441711</v>
      </c>
      <c r="N219" s="5">
        <f t="shared" si="37"/>
        <v>5.2009076997167067E-3</v>
      </c>
      <c r="O219">
        <f t="shared" si="38"/>
        <v>9700.4901000000009</v>
      </c>
      <c r="P219">
        <f t="shared" ca="1" si="39"/>
        <v>9698</v>
      </c>
      <c r="Q219" t="str">
        <f t="shared" ca="1" si="43"/>
        <v>0010010111100010</v>
      </c>
      <c r="R219">
        <f t="shared" ca="1" si="40"/>
        <v>1.8183750000000001</v>
      </c>
      <c r="S219">
        <f t="shared" ca="1" si="41"/>
        <v>41.820500000000003</v>
      </c>
      <c r="T219" s="3">
        <f t="shared" ca="1" si="44"/>
        <v>2.8896882494004752E-3</v>
      </c>
    </row>
    <row r="220" spans="8:20" x14ac:dyDescent="0.25">
      <c r="H220">
        <v>41.8</v>
      </c>
      <c r="I220" s="11">
        <v>1.816083333333333</v>
      </c>
      <c r="J220" s="10">
        <f t="shared" si="34"/>
        <v>-1E-4</v>
      </c>
      <c r="K220" s="17">
        <f t="shared" si="35"/>
        <v>1.0900000000000001E-4</v>
      </c>
      <c r="L220" s="10">
        <f t="shared" si="36"/>
        <v>5.1489999999999999E-3</v>
      </c>
      <c r="M220" s="11">
        <f t="shared" si="42"/>
        <v>1.8255832615470386</v>
      </c>
      <c r="N220" s="5">
        <f t="shared" si="37"/>
        <v>5.2309979610180891E-3</v>
      </c>
      <c r="O220">
        <f t="shared" si="38"/>
        <v>9739.6622000000007</v>
      </c>
      <c r="P220">
        <f t="shared" ca="1" si="39"/>
        <v>9737</v>
      </c>
      <c r="Q220" t="str">
        <f t="shared" ca="1" si="43"/>
        <v>0010011000001001</v>
      </c>
      <c r="R220">
        <f t="shared" ca="1" si="40"/>
        <v>1.8256875000000001</v>
      </c>
      <c r="S220">
        <f t="shared" ca="1" si="41"/>
        <v>41.908250000000002</v>
      </c>
      <c r="T220" s="3">
        <f t="shared" ca="1" si="44"/>
        <v>2.5897129186604139E-3</v>
      </c>
    </row>
    <row r="221" spans="8:20" x14ac:dyDescent="0.25">
      <c r="H221">
        <v>41.900000000000006</v>
      </c>
      <c r="I221" s="11">
        <v>1.8245833333333332</v>
      </c>
      <c r="J221" s="10">
        <f t="shared" si="34"/>
        <v>-9.8999999999999994E-5</v>
      </c>
      <c r="K221" s="17">
        <f t="shared" si="35"/>
        <v>1.1E-4</v>
      </c>
      <c r="L221" s="10">
        <f t="shared" si="36"/>
        <v>5.1799999999999997E-3</v>
      </c>
      <c r="M221" s="11">
        <f t="shared" si="42"/>
        <v>1.8341834033627522</v>
      </c>
      <c r="N221" s="5">
        <f t="shared" si="37"/>
        <v>5.2615136037007446E-3</v>
      </c>
      <c r="O221">
        <f t="shared" si="38"/>
        <v>9785.5447999999997</v>
      </c>
      <c r="P221">
        <f t="shared" ca="1" si="39"/>
        <v>9789</v>
      </c>
      <c r="Q221" t="str">
        <f t="shared" ca="1" si="43"/>
        <v>0010011000111101</v>
      </c>
      <c r="R221">
        <f t="shared" ca="1" si="40"/>
        <v>1.8354375000000001</v>
      </c>
      <c r="S221">
        <f t="shared" ca="1" si="41"/>
        <v>42.025250000000007</v>
      </c>
      <c r="T221" s="3">
        <f t="shared" ca="1" si="44"/>
        <v>2.9892601431981188E-3</v>
      </c>
    </row>
    <row r="222" spans="8:20" x14ac:dyDescent="0.25">
      <c r="H222">
        <v>42</v>
      </c>
      <c r="I222" s="11">
        <v>1.8332499999999998</v>
      </c>
      <c r="J222" s="10">
        <f t="shared" si="34"/>
        <v>-9.8999999999999994E-5</v>
      </c>
      <c r="K222" s="17">
        <f t="shared" si="35"/>
        <v>1.1E-4</v>
      </c>
      <c r="L222" s="10">
        <f t="shared" si="36"/>
        <v>5.2100000000000002E-3</v>
      </c>
      <c r="M222" s="11">
        <f t="shared" si="42"/>
        <v>1.8429507735300918</v>
      </c>
      <c r="N222" s="5">
        <f t="shared" si="37"/>
        <v>5.2915715423930299E-3</v>
      </c>
      <c r="O222">
        <f t="shared" si="38"/>
        <v>9832.3196000000007</v>
      </c>
      <c r="P222">
        <f t="shared" ca="1" si="39"/>
        <v>9831</v>
      </c>
      <c r="Q222" t="str">
        <f t="shared" ca="1" si="43"/>
        <v>0010011001100111</v>
      </c>
      <c r="R222">
        <f t="shared" ca="1" si="40"/>
        <v>1.8433125000000001</v>
      </c>
      <c r="S222">
        <f t="shared" ca="1" si="41"/>
        <v>42.119750000000003</v>
      </c>
      <c r="T222" s="3">
        <f t="shared" ca="1" si="44"/>
        <v>2.8511904761905561E-3</v>
      </c>
    </row>
    <row r="223" spans="8:20" x14ac:dyDescent="0.25">
      <c r="H223">
        <v>42.1</v>
      </c>
      <c r="I223" s="11">
        <v>1.8413333333333333</v>
      </c>
      <c r="J223" s="10">
        <f t="shared" si="34"/>
        <v>-9.7999999999999997E-5</v>
      </c>
      <c r="K223" s="17">
        <f t="shared" si="35"/>
        <v>1.11E-4</v>
      </c>
      <c r="L223" s="10">
        <f t="shared" si="36"/>
        <v>5.241E-3</v>
      </c>
      <c r="M223" s="11">
        <f t="shared" si="42"/>
        <v>1.8511331220258709</v>
      </c>
      <c r="N223" s="5">
        <f t="shared" si="37"/>
        <v>5.3221155100674957E-3</v>
      </c>
      <c r="O223">
        <f t="shared" si="38"/>
        <v>9875.9732000000004</v>
      </c>
      <c r="P223">
        <f t="shared" ca="1" si="39"/>
        <v>9874</v>
      </c>
      <c r="Q223" t="str">
        <f t="shared" ca="1" si="43"/>
        <v>0010011010010010</v>
      </c>
      <c r="R223">
        <f t="shared" ca="1" si="40"/>
        <v>1.851375</v>
      </c>
      <c r="S223">
        <f t="shared" ca="1" si="41"/>
        <v>42.216500000000003</v>
      </c>
      <c r="T223" s="3">
        <f t="shared" ca="1" si="44"/>
        <v>2.767220902612875E-3</v>
      </c>
    </row>
    <row r="224" spans="8:20" x14ac:dyDescent="0.25">
      <c r="H224">
        <v>42.2</v>
      </c>
      <c r="I224" s="11">
        <v>1.8494166666666667</v>
      </c>
      <c r="J224" s="10">
        <f t="shared" si="34"/>
        <v>-9.7E-5</v>
      </c>
      <c r="K224" s="17">
        <f t="shared" si="35"/>
        <v>1.11E-4</v>
      </c>
      <c r="L224" s="10">
        <f t="shared" si="36"/>
        <v>5.2709999999999996E-3</v>
      </c>
      <c r="M224" s="11">
        <f t="shared" si="42"/>
        <v>1.85931411134758</v>
      </c>
      <c r="N224" s="5">
        <f t="shared" si="37"/>
        <v>5.3516575573811101E-3</v>
      </c>
      <c r="O224">
        <f t="shared" si="38"/>
        <v>9919.6196</v>
      </c>
      <c r="P224">
        <f t="shared" ca="1" si="39"/>
        <v>9917</v>
      </c>
      <c r="Q224" t="str">
        <f t="shared" ca="1" si="43"/>
        <v>0010011010111101</v>
      </c>
      <c r="R224">
        <f t="shared" ca="1" si="40"/>
        <v>1.8594375000000001</v>
      </c>
      <c r="S224">
        <f t="shared" ca="1" si="41"/>
        <v>42.313250000000004</v>
      </c>
      <c r="T224" s="3">
        <f t="shared" ca="1" si="44"/>
        <v>2.6836492890995435E-3</v>
      </c>
    </row>
    <row r="225" spans="8:20" x14ac:dyDescent="0.25">
      <c r="H225">
        <v>42.3</v>
      </c>
      <c r="I225" s="11">
        <v>1.8591666666666662</v>
      </c>
      <c r="J225" s="10">
        <f t="shared" si="34"/>
        <v>-9.7E-5</v>
      </c>
      <c r="K225" s="17">
        <f t="shared" si="35"/>
        <v>1.12E-4</v>
      </c>
      <c r="L225" s="10">
        <f t="shared" si="36"/>
        <v>5.3020000000000003E-3</v>
      </c>
      <c r="M225" s="11">
        <f t="shared" si="42"/>
        <v>1.8691740273597275</v>
      </c>
      <c r="N225" s="5">
        <f t="shared" si="37"/>
        <v>5.3827130576752837E-3</v>
      </c>
      <c r="O225">
        <f t="shared" si="38"/>
        <v>9972.2232000000004</v>
      </c>
      <c r="P225">
        <f t="shared" ca="1" si="39"/>
        <v>9971</v>
      </c>
      <c r="Q225" t="str">
        <f t="shared" ca="1" si="43"/>
        <v>0010011011110011</v>
      </c>
      <c r="R225">
        <f t="shared" ca="1" si="40"/>
        <v>1.8695625</v>
      </c>
      <c r="S225">
        <f t="shared" ca="1" si="41"/>
        <v>42.434750000000001</v>
      </c>
      <c r="T225" s="3">
        <f t="shared" ca="1" si="44"/>
        <v>3.1855791962175869E-3</v>
      </c>
    </row>
    <row r="226" spans="8:20" x14ac:dyDescent="0.25">
      <c r="H226">
        <v>42.400000000000006</v>
      </c>
      <c r="I226" s="11">
        <v>1.8669166666666668</v>
      </c>
      <c r="J226" s="10">
        <f t="shared" si="34"/>
        <v>-9.6000000000000002E-5</v>
      </c>
      <c r="K226" s="17">
        <f t="shared" si="35"/>
        <v>1.12E-4</v>
      </c>
      <c r="L226" s="10">
        <f t="shared" si="36"/>
        <v>5.3319999999999999E-3</v>
      </c>
      <c r="M226" s="11">
        <f t="shared" si="42"/>
        <v>1.8770209423311768</v>
      </c>
      <c r="N226" s="5">
        <f t="shared" si="37"/>
        <v>5.4122799613498182E-3</v>
      </c>
      <c r="O226">
        <f t="shared" si="38"/>
        <v>10014.0872</v>
      </c>
      <c r="P226">
        <f t="shared" ca="1" si="39"/>
        <v>10016</v>
      </c>
      <c r="Q226" t="str">
        <f t="shared" ca="1" si="43"/>
        <v>0010011100100000</v>
      </c>
      <c r="R226">
        <f t="shared" ca="1" si="40"/>
        <v>1.8780000000000001</v>
      </c>
      <c r="S226">
        <f t="shared" ca="1" si="41"/>
        <v>42.536000000000008</v>
      </c>
      <c r="T226" s="3">
        <f t="shared" ca="1" si="44"/>
        <v>3.2075471698113861E-3</v>
      </c>
    </row>
    <row r="227" spans="8:20" x14ac:dyDescent="0.25">
      <c r="H227">
        <v>42.5</v>
      </c>
      <c r="I227" s="11">
        <v>1.8758333333333328</v>
      </c>
      <c r="J227" s="10">
        <f t="shared" si="34"/>
        <v>-9.6000000000000002E-5</v>
      </c>
      <c r="K227" s="17">
        <f t="shared" si="35"/>
        <v>1.13E-4</v>
      </c>
      <c r="L227" s="10">
        <f t="shared" si="36"/>
        <v>5.3629999999999997E-3</v>
      </c>
      <c r="M227" s="11">
        <f t="shared" si="42"/>
        <v>1.8860441883152677</v>
      </c>
      <c r="N227" s="5">
        <f t="shared" si="37"/>
        <v>5.4433700481216494E-3</v>
      </c>
      <c r="O227">
        <f t="shared" si="38"/>
        <v>10062.2271</v>
      </c>
      <c r="P227">
        <f t="shared" ca="1" si="39"/>
        <v>10062</v>
      </c>
      <c r="Q227" t="str">
        <f t="shared" ca="1" si="43"/>
        <v>0010011101001110</v>
      </c>
      <c r="R227">
        <f t="shared" ca="1" si="40"/>
        <v>1.886625</v>
      </c>
      <c r="S227">
        <f t="shared" ca="1" si="41"/>
        <v>42.639499999999998</v>
      </c>
      <c r="T227" s="3">
        <f t="shared" ca="1" si="44"/>
        <v>3.2823529411764277E-3</v>
      </c>
    </row>
    <row r="228" spans="8:20" x14ac:dyDescent="0.25">
      <c r="H228">
        <v>42.6</v>
      </c>
      <c r="I228" s="11">
        <v>1.8836666666666664</v>
      </c>
      <c r="J228" s="10">
        <f t="shared" si="34"/>
        <v>-9.5000000000000005E-5</v>
      </c>
      <c r="K228" s="17">
        <f t="shared" si="35"/>
        <v>1.13E-4</v>
      </c>
      <c r="L228" s="10">
        <f t="shared" si="36"/>
        <v>5.3930000000000002E-3</v>
      </c>
      <c r="M228" s="11">
        <f t="shared" si="42"/>
        <v>1.8939758785798475</v>
      </c>
      <c r="N228" s="5">
        <f t="shared" si="37"/>
        <v>5.4729491664383973E-3</v>
      </c>
      <c r="O228">
        <f t="shared" si="38"/>
        <v>10104.5434</v>
      </c>
      <c r="P228">
        <f t="shared" ca="1" si="39"/>
        <v>10108</v>
      </c>
      <c r="Q228" t="str">
        <f t="shared" ca="1" si="43"/>
        <v>0010011101111100</v>
      </c>
      <c r="R228">
        <f t="shared" ca="1" si="40"/>
        <v>1.8952500000000001</v>
      </c>
      <c r="S228">
        <f t="shared" ca="1" si="41"/>
        <v>42.743000000000002</v>
      </c>
      <c r="T228" s="3">
        <f t="shared" ca="1" si="44"/>
        <v>3.3568075117371052E-3</v>
      </c>
    </row>
    <row r="229" spans="8:20" x14ac:dyDescent="0.25">
      <c r="H229">
        <v>42.7</v>
      </c>
      <c r="I229" s="11">
        <v>1.8909166666666668</v>
      </c>
      <c r="J229" s="10">
        <f t="shared" si="34"/>
        <v>-9.3999999999999994E-5</v>
      </c>
      <c r="K229" s="17">
        <f t="shared" si="35"/>
        <v>1.1400000000000001E-4</v>
      </c>
      <c r="L229" s="10">
        <f t="shared" si="36"/>
        <v>5.424E-3</v>
      </c>
      <c r="M229" s="11">
        <f t="shared" si="42"/>
        <v>1.9013234450325232</v>
      </c>
      <c r="N229" s="5">
        <f t="shared" si="37"/>
        <v>5.5035626631825922E-3</v>
      </c>
      <c r="O229">
        <f t="shared" si="38"/>
        <v>10143.743399999999</v>
      </c>
      <c r="P229">
        <f t="shared" ca="1" si="39"/>
        <v>10144</v>
      </c>
      <c r="Q229" t="str">
        <f t="shared" ca="1" si="43"/>
        <v>0010011110100000</v>
      </c>
      <c r="R229">
        <f t="shared" ca="1" si="40"/>
        <v>1.9020000000000001</v>
      </c>
      <c r="S229">
        <f t="shared" ca="1" si="41"/>
        <v>42.824000000000005</v>
      </c>
      <c r="T229" s="3">
        <f t="shared" ca="1" si="44"/>
        <v>2.9039812646370565E-3</v>
      </c>
    </row>
    <row r="230" spans="8:20" x14ac:dyDescent="0.25">
      <c r="H230">
        <v>42.8</v>
      </c>
      <c r="I230" s="11">
        <v>1.9004166666666664</v>
      </c>
      <c r="J230" s="10">
        <f t="shared" si="34"/>
        <v>-9.3999999999999994E-5</v>
      </c>
      <c r="K230" s="17">
        <f t="shared" si="35"/>
        <v>1.1400000000000001E-4</v>
      </c>
      <c r="L230" s="10">
        <f t="shared" si="36"/>
        <v>5.4539999999999996E-3</v>
      </c>
      <c r="M230" s="11">
        <f t="shared" si="42"/>
        <v>1.9109328946742197</v>
      </c>
      <c r="N230" s="5">
        <f t="shared" si="37"/>
        <v>5.5336433278070181E-3</v>
      </c>
      <c r="O230">
        <f t="shared" si="38"/>
        <v>10195.010700000001</v>
      </c>
      <c r="P230">
        <f t="shared" ca="1" si="39"/>
        <v>10199</v>
      </c>
      <c r="Q230" t="str">
        <f t="shared" ca="1" si="43"/>
        <v>0010011111010111</v>
      </c>
      <c r="R230">
        <f t="shared" ca="1" si="40"/>
        <v>1.9123125000000001</v>
      </c>
      <c r="S230">
        <f t="shared" ca="1" si="41"/>
        <v>42.947749999999999</v>
      </c>
      <c r="T230" s="3">
        <f t="shared" ca="1" si="44"/>
        <v>3.4521028037383657E-3</v>
      </c>
    </row>
    <row r="231" spans="8:20" x14ac:dyDescent="0.25">
      <c r="H231">
        <v>42.900000000000006</v>
      </c>
      <c r="I231" s="11">
        <v>1.9076666666666668</v>
      </c>
      <c r="J231" s="10">
        <f t="shared" si="34"/>
        <v>-9.2999999999999997E-5</v>
      </c>
      <c r="K231" s="17">
        <f t="shared" si="35"/>
        <v>1.15E-4</v>
      </c>
      <c r="L231" s="10">
        <f t="shared" si="36"/>
        <v>5.4850000000000003E-3</v>
      </c>
      <c r="M231" s="11">
        <f t="shared" si="42"/>
        <v>1.91828144036708</v>
      </c>
      <c r="N231" s="5">
        <f t="shared" si="37"/>
        <v>5.5642706799300329E-3</v>
      </c>
      <c r="O231">
        <f t="shared" si="38"/>
        <v>10234.215899999999</v>
      </c>
      <c r="P231">
        <f t="shared" ca="1" si="39"/>
        <v>10237</v>
      </c>
      <c r="Q231" t="str">
        <f t="shared" ca="1" si="43"/>
        <v>0010011111111101</v>
      </c>
      <c r="R231">
        <f t="shared" ca="1" si="40"/>
        <v>1.9194375000000001</v>
      </c>
      <c r="S231">
        <f t="shared" ca="1" si="41"/>
        <v>43.033250000000002</v>
      </c>
      <c r="T231" s="3">
        <f t="shared" ca="1" si="44"/>
        <v>3.1060606060605302E-3</v>
      </c>
    </row>
    <row r="232" spans="8:20" x14ac:dyDescent="0.25">
      <c r="H232">
        <v>43</v>
      </c>
      <c r="I232" s="11">
        <v>1.9172499999999995</v>
      </c>
      <c r="J232" s="10">
        <f t="shared" si="34"/>
        <v>-9.2999999999999997E-5</v>
      </c>
      <c r="K232" s="17">
        <f t="shared" si="35"/>
        <v>1.15E-4</v>
      </c>
      <c r="L232" s="10">
        <f t="shared" si="36"/>
        <v>5.5149999999999999E-3</v>
      </c>
      <c r="M232" s="11">
        <f t="shared" si="42"/>
        <v>1.9279757864623392</v>
      </c>
      <c r="N232" s="5">
        <f t="shared" si="37"/>
        <v>5.594359870825294E-3</v>
      </c>
      <c r="O232">
        <f t="shared" si="38"/>
        <v>10285.9362</v>
      </c>
      <c r="P232">
        <f t="shared" ca="1" si="39"/>
        <v>10284</v>
      </c>
      <c r="Q232" t="str">
        <f t="shared" ca="1" si="43"/>
        <v>0010100000101100</v>
      </c>
      <c r="R232">
        <f t="shared" ca="1" si="40"/>
        <v>1.92825</v>
      </c>
      <c r="S232">
        <f t="shared" ca="1" si="41"/>
        <v>43.139000000000003</v>
      </c>
      <c r="T232" s="3">
        <f t="shared" ca="1" si="44"/>
        <v>3.2325581395349513E-3</v>
      </c>
    </row>
    <row r="233" spans="8:20" x14ac:dyDescent="0.25">
      <c r="H233">
        <v>43.1</v>
      </c>
      <c r="I233" s="11">
        <v>1.9241666666666666</v>
      </c>
      <c r="J233" s="10">
        <f t="shared" si="34"/>
        <v>-9.2E-5</v>
      </c>
      <c r="K233" s="17">
        <f t="shared" si="35"/>
        <v>1.16E-4</v>
      </c>
      <c r="L233" s="10">
        <f t="shared" si="36"/>
        <v>5.5459999999999997E-3</v>
      </c>
      <c r="M233" s="11">
        <f t="shared" si="42"/>
        <v>1.9349901218826278</v>
      </c>
      <c r="N233" s="5">
        <f t="shared" si="37"/>
        <v>5.6250092070824643E-3</v>
      </c>
      <c r="O233">
        <f t="shared" si="38"/>
        <v>10323.3583</v>
      </c>
      <c r="P233">
        <f t="shared" ca="1" si="39"/>
        <v>10327</v>
      </c>
      <c r="Q233" t="str">
        <f t="shared" ca="1" si="43"/>
        <v>0010100001010111</v>
      </c>
      <c r="R233">
        <f t="shared" ca="1" si="40"/>
        <v>1.9363125000000001</v>
      </c>
      <c r="S233">
        <f t="shared" ca="1" si="41"/>
        <v>43.235750000000003</v>
      </c>
      <c r="T233" s="3">
        <f t="shared" ca="1" si="44"/>
        <v>3.1496519721578094E-3</v>
      </c>
    </row>
    <row r="234" spans="8:20" x14ac:dyDescent="0.25">
      <c r="H234">
        <v>43.2</v>
      </c>
      <c r="I234" s="11">
        <v>1.9336666666666666</v>
      </c>
      <c r="J234" s="10">
        <f t="shared" si="34"/>
        <v>-9.2E-5</v>
      </c>
      <c r="K234" s="17">
        <f t="shared" si="35"/>
        <v>1.16E-4</v>
      </c>
      <c r="L234" s="10">
        <f t="shared" si="36"/>
        <v>5.5760000000000002E-3</v>
      </c>
      <c r="M234" s="11">
        <f t="shared" si="42"/>
        <v>1.9446017661145212</v>
      </c>
      <c r="N234" s="5">
        <f t="shared" si="37"/>
        <v>5.6551109021830042E-3</v>
      </c>
      <c r="O234">
        <f t="shared" si="38"/>
        <v>10374.6374</v>
      </c>
      <c r="P234">
        <f t="shared" ca="1" si="39"/>
        <v>10377</v>
      </c>
      <c r="Q234" t="str">
        <f t="shared" ca="1" si="43"/>
        <v>0010100010001001</v>
      </c>
      <c r="R234">
        <f t="shared" ca="1" si="40"/>
        <v>1.9456875</v>
      </c>
      <c r="S234">
        <f t="shared" ca="1" si="41"/>
        <v>43.348250000000007</v>
      </c>
      <c r="T234" s="3">
        <f t="shared" ca="1" si="44"/>
        <v>3.4317129629630656E-3</v>
      </c>
    </row>
    <row r="235" spans="8:20" x14ac:dyDescent="0.25">
      <c r="H235">
        <v>43.3</v>
      </c>
      <c r="I235" s="11">
        <v>1.9419166666666661</v>
      </c>
      <c r="J235" s="10">
        <f t="shared" si="34"/>
        <v>-9.1000000000000003E-5</v>
      </c>
      <c r="K235" s="17">
        <f t="shared" si="35"/>
        <v>1.17E-4</v>
      </c>
      <c r="L235" s="10">
        <f t="shared" si="36"/>
        <v>5.607E-3</v>
      </c>
      <c r="M235" s="11">
        <f t="shared" si="42"/>
        <v>1.9529579016210554</v>
      </c>
      <c r="N235" s="5">
        <f t="shared" si="37"/>
        <v>5.6857408682432437E-3</v>
      </c>
      <c r="O235">
        <f t="shared" si="38"/>
        <v>10419.218199999999</v>
      </c>
      <c r="P235">
        <f t="shared" ca="1" si="39"/>
        <v>10419</v>
      </c>
      <c r="Q235" t="str">
        <f t="shared" ca="1" si="43"/>
        <v>0010100010110011</v>
      </c>
      <c r="R235">
        <f t="shared" ca="1" si="40"/>
        <v>1.9535625000000001</v>
      </c>
      <c r="S235">
        <f t="shared" ca="1" si="41"/>
        <v>43.442750000000004</v>
      </c>
      <c r="T235" s="3">
        <f t="shared" ca="1" si="44"/>
        <v>3.2967667436491132E-3</v>
      </c>
    </row>
    <row r="236" spans="8:20" x14ac:dyDescent="0.25">
      <c r="H236">
        <v>43.400000000000006</v>
      </c>
      <c r="I236" s="11">
        <v>1.9492500000000004</v>
      </c>
      <c r="J236" s="10">
        <f t="shared" si="34"/>
        <v>-9.0000000000000006E-5</v>
      </c>
      <c r="K236" s="17">
        <f t="shared" si="35"/>
        <v>1.17E-4</v>
      </c>
      <c r="L236" s="10">
        <f t="shared" si="36"/>
        <v>5.6369999999999996E-3</v>
      </c>
      <c r="M236" s="11">
        <f t="shared" si="42"/>
        <v>1.9603907225027484</v>
      </c>
      <c r="N236" s="5">
        <f t="shared" si="37"/>
        <v>5.7153892536862894E-3</v>
      </c>
      <c r="O236">
        <f t="shared" si="38"/>
        <v>10458.873</v>
      </c>
      <c r="P236">
        <f t="shared" ca="1" si="39"/>
        <v>10458</v>
      </c>
      <c r="Q236" t="str">
        <f t="shared" ca="1" si="43"/>
        <v>0010100011011010</v>
      </c>
      <c r="R236">
        <f t="shared" ca="1" si="40"/>
        <v>1.9608750000000001</v>
      </c>
      <c r="S236">
        <f t="shared" ca="1" si="41"/>
        <v>43.530500000000004</v>
      </c>
      <c r="T236" s="3">
        <f t="shared" ca="1" si="44"/>
        <v>3.0069124423962633E-3</v>
      </c>
    </row>
    <row r="237" spans="8:20" x14ac:dyDescent="0.25">
      <c r="H237">
        <v>43.5</v>
      </c>
      <c r="I237" s="11">
        <v>1.9578333333333331</v>
      </c>
      <c r="J237" s="10">
        <f t="shared" si="34"/>
        <v>-9.0000000000000006E-5</v>
      </c>
      <c r="K237" s="17">
        <f t="shared" si="35"/>
        <v>1.18E-4</v>
      </c>
      <c r="L237" s="10">
        <f t="shared" si="36"/>
        <v>5.6680000000000003E-3</v>
      </c>
      <c r="M237" s="11">
        <f t="shared" si="42"/>
        <v>1.9690841020236027</v>
      </c>
      <c r="N237" s="5">
        <f t="shared" si="37"/>
        <v>5.7465405756038012E-3</v>
      </c>
      <c r="O237">
        <f t="shared" si="38"/>
        <v>10505.253000000001</v>
      </c>
      <c r="P237">
        <f t="shared" ca="1" si="39"/>
        <v>10506</v>
      </c>
      <c r="Q237" t="str">
        <f t="shared" ca="1" si="43"/>
        <v>0010100100001010</v>
      </c>
      <c r="R237">
        <f t="shared" ca="1" si="40"/>
        <v>1.969875</v>
      </c>
      <c r="S237">
        <f t="shared" ca="1" si="41"/>
        <v>43.638500000000008</v>
      </c>
      <c r="T237" s="3">
        <f t="shared" ca="1" si="44"/>
        <v>3.1839080459771865E-3</v>
      </c>
    </row>
    <row r="238" spans="8:20" x14ac:dyDescent="0.25">
      <c r="H238">
        <v>43.6</v>
      </c>
      <c r="I238" s="11">
        <v>1.9661666666666664</v>
      </c>
      <c r="J238" s="10">
        <f t="shared" si="34"/>
        <v>-8.8999999999999995E-5</v>
      </c>
      <c r="K238" s="17">
        <f t="shared" si="35"/>
        <v>1.18E-4</v>
      </c>
      <c r="L238" s="10">
        <f t="shared" si="36"/>
        <v>5.6979999999999999E-3</v>
      </c>
      <c r="M238" s="11">
        <f t="shared" si="42"/>
        <v>1.977523596117343</v>
      </c>
      <c r="N238" s="5">
        <f t="shared" si="37"/>
        <v>5.7761784101092997E-3</v>
      </c>
      <c r="O238">
        <f t="shared" si="38"/>
        <v>10550.2785</v>
      </c>
      <c r="P238">
        <f t="shared" ca="1" si="39"/>
        <v>10550</v>
      </c>
      <c r="Q238" t="str">
        <f t="shared" ca="1" si="43"/>
        <v>0010100100110110</v>
      </c>
      <c r="R238">
        <f t="shared" ca="1" si="40"/>
        <v>1.9781250000000001</v>
      </c>
      <c r="S238">
        <f t="shared" ca="1" si="41"/>
        <v>43.737500000000004</v>
      </c>
      <c r="T238" s="3">
        <f t="shared" ca="1" si="44"/>
        <v>3.1536697247707074E-3</v>
      </c>
    </row>
    <row r="239" spans="8:20" x14ac:dyDescent="0.25">
      <c r="H239">
        <v>43.7</v>
      </c>
      <c r="I239" s="11">
        <v>1.9749166666666669</v>
      </c>
      <c r="J239" s="10">
        <f t="shared" si="34"/>
        <v>-8.8999999999999995E-5</v>
      </c>
      <c r="K239" s="17">
        <f t="shared" si="35"/>
        <v>1.1900000000000001E-4</v>
      </c>
      <c r="L239" s="10">
        <f t="shared" si="36"/>
        <v>5.7289999999999997E-3</v>
      </c>
      <c r="M239" s="11">
        <f t="shared" si="42"/>
        <v>1.9863856701710769</v>
      </c>
      <c r="N239" s="5">
        <f t="shared" si="37"/>
        <v>5.8073354172294422E-3</v>
      </c>
      <c r="O239">
        <f t="shared" si="38"/>
        <v>10597.558499999999</v>
      </c>
      <c r="P239">
        <f t="shared" ca="1" si="39"/>
        <v>10595</v>
      </c>
      <c r="Q239" t="str">
        <f t="shared" ca="1" si="43"/>
        <v>0010100101100011</v>
      </c>
      <c r="R239">
        <f t="shared" ca="1" si="40"/>
        <v>1.9865625</v>
      </c>
      <c r="S239">
        <f t="shared" ca="1" si="41"/>
        <v>43.838750000000005</v>
      </c>
      <c r="T239" s="3">
        <f t="shared" ca="1" si="44"/>
        <v>3.1750572082380251E-3</v>
      </c>
    </row>
    <row r="240" spans="8:20" x14ac:dyDescent="0.25">
      <c r="H240">
        <v>43.8</v>
      </c>
      <c r="I240" s="11">
        <v>1.9832499999999997</v>
      </c>
      <c r="J240" s="10">
        <f t="shared" si="34"/>
        <v>-8.7999999999999998E-5</v>
      </c>
      <c r="K240" s="17">
        <f t="shared" si="35"/>
        <v>1.1900000000000001E-4</v>
      </c>
      <c r="L240" s="10">
        <f t="shared" si="36"/>
        <v>5.7590000000000002E-3</v>
      </c>
      <c r="M240" s="11">
        <f t="shared" si="42"/>
        <v>1.9948262041094662</v>
      </c>
      <c r="N240" s="5">
        <f t="shared" si="37"/>
        <v>5.836986819345252E-3</v>
      </c>
      <c r="O240">
        <f t="shared" si="38"/>
        <v>10642.589599999999</v>
      </c>
      <c r="P240">
        <f t="shared" ca="1" si="39"/>
        <v>10643</v>
      </c>
      <c r="Q240" t="str">
        <f t="shared" ca="1" si="43"/>
        <v>0010100110010011</v>
      </c>
      <c r="R240">
        <f t="shared" ca="1" si="40"/>
        <v>1.9955625000000001</v>
      </c>
      <c r="S240">
        <f t="shared" ca="1" si="41"/>
        <v>43.946750000000009</v>
      </c>
      <c r="T240" s="3">
        <f t="shared" ca="1" si="44"/>
        <v>3.3504566210048286E-3</v>
      </c>
    </row>
    <row r="241" spans="8:20" x14ac:dyDescent="0.25">
      <c r="H241">
        <v>43.900000000000006</v>
      </c>
      <c r="I241" s="11">
        <v>1.9915</v>
      </c>
      <c r="J241" s="10">
        <f t="shared" si="34"/>
        <v>-8.7999999999999998E-5</v>
      </c>
      <c r="K241" s="17">
        <f t="shared" si="35"/>
        <v>1.2E-4</v>
      </c>
      <c r="L241" s="10">
        <f t="shared" si="36"/>
        <v>5.79E-3</v>
      </c>
      <c r="M241" s="11">
        <f t="shared" si="42"/>
        <v>2.0031864495428531</v>
      </c>
      <c r="N241" s="5">
        <f t="shared" si="37"/>
        <v>5.8681644704258237E-3</v>
      </c>
      <c r="O241">
        <f t="shared" si="38"/>
        <v>10687.192300000001</v>
      </c>
      <c r="P241">
        <f t="shared" ca="1" si="39"/>
        <v>10691</v>
      </c>
      <c r="Q241" t="str">
        <f t="shared" ca="1" si="43"/>
        <v>0010100111000011</v>
      </c>
      <c r="R241">
        <f t="shared" ca="1" si="40"/>
        <v>2.0045625</v>
      </c>
      <c r="S241">
        <f t="shared" ca="1" si="41"/>
        <v>44.054749999999999</v>
      </c>
      <c r="T241" s="3">
        <f t="shared" ca="1" si="44"/>
        <v>3.5250569476080367E-3</v>
      </c>
    </row>
    <row r="242" spans="8:20" x14ac:dyDescent="0.25">
      <c r="H242">
        <v>44</v>
      </c>
      <c r="I242" s="11">
        <v>2.0008333333333326</v>
      </c>
      <c r="J242" s="10">
        <f t="shared" si="34"/>
        <v>-8.7000000000000001E-5</v>
      </c>
      <c r="K242" s="17">
        <f t="shared" si="35"/>
        <v>1.2E-4</v>
      </c>
      <c r="L242" s="10">
        <f t="shared" si="36"/>
        <v>5.8199999999999997E-3</v>
      </c>
      <c r="M242" s="11">
        <f t="shared" si="42"/>
        <v>2.0126338624125739</v>
      </c>
      <c r="N242" s="5">
        <f t="shared" si="37"/>
        <v>5.8978071199873444E-3</v>
      </c>
      <c r="O242">
        <f t="shared" si="38"/>
        <v>10737.5952</v>
      </c>
      <c r="P242">
        <f t="shared" ca="1" si="39"/>
        <v>10737</v>
      </c>
      <c r="Q242" t="str">
        <f t="shared" ca="1" si="43"/>
        <v>0010100111110001</v>
      </c>
      <c r="R242">
        <f t="shared" ca="1" si="40"/>
        <v>2.0131874999999999</v>
      </c>
      <c r="S242">
        <f t="shared" ca="1" si="41"/>
        <v>44.158250000000002</v>
      </c>
      <c r="T242" s="3">
        <f t="shared" ca="1" si="44"/>
        <v>3.5965909090909646E-3</v>
      </c>
    </row>
    <row r="243" spans="8:20" x14ac:dyDescent="0.25">
      <c r="H243">
        <v>44.1</v>
      </c>
      <c r="I243" s="11">
        <v>2.0078333333333331</v>
      </c>
      <c r="J243" s="10">
        <f t="shared" si="34"/>
        <v>-8.6000000000000003E-5</v>
      </c>
      <c r="K243" s="17">
        <f t="shared" si="35"/>
        <v>1.21E-4</v>
      </c>
      <c r="L243" s="10">
        <f t="shared" si="36"/>
        <v>5.8510000000000003E-3</v>
      </c>
      <c r="M243" s="11">
        <f t="shared" si="42"/>
        <v>2.0197368134287048</v>
      </c>
      <c r="N243" s="5">
        <f t="shared" si="37"/>
        <v>5.9285200109761823E-3</v>
      </c>
      <c r="O243">
        <f t="shared" si="38"/>
        <v>10775.490100000001</v>
      </c>
      <c r="P243">
        <f t="shared" ca="1" si="39"/>
        <v>10777</v>
      </c>
      <c r="Q243" t="str">
        <f t="shared" ca="1" si="43"/>
        <v>0010101000011001</v>
      </c>
      <c r="R243">
        <f t="shared" ca="1" si="40"/>
        <v>2.0206875000000002</v>
      </c>
      <c r="S243">
        <f t="shared" ca="1" si="41"/>
        <v>44.248250000000006</v>
      </c>
      <c r="T243" s="3">
        <f t="shared" ca="1" si="44"/>
        <v>3.3616780045352479E-3</v>
      </c>
    </row>
    <row r="244" spans="8:20" x14ac:dyDescent="0.25">
      <c r="H244">
        <v>44.2</v>
      </c>
      <c r="I244" s="11">
        <v>2.0175000000000001</v>
      </c>
      <c r="J244" s="10">
        <f t="shared" si="34"/>
        <v>-8.6000000000000003E-5</v>
      </c>
      <c r="K244" s="17">
        <f t="shared" si="35"/>
        <v>1.21E-4</v>
      </c>
      <c r="L244" s="10">
        <f t="shared" si="36"/>
        <v>5.8809999999999999E-3</v>
      </c>
      <c r="M244" s="11">
        <f t="shared" si="42"/>
        <v>2.0295216166273859</v>
      </c>
      <c r="N244" s="5">
        <f t="shared" si="37"/>
        <v>5.958669951616296E-3</v>
      </c>
      <c r="O244">
        <f t="shared" si="38"/>
        <v>10827.692999999999</v>
      </c>
      <c r="P244">
        <f t="shared" ca="1" si="39"/>
        <v>10830</v>
      </c>
      <c r="Q244" t="str">
        <f t="shared" ca="1" si="43"/>
        <v>0010101001001110</v>
      </c>
      <c r="R244">
        <f t="shared" ca="1" si="40"/>
        <v>2.0306250000000001</v>
      </c>
      <c r="S244">
        <f t="shared" ca="1" si="41"/>
        <v>44.3675</v>
      </c>
      <c r="T244" s="3">
        <f t="shared" ca="1" si="44"/>
        <v>3.7895927601809243E-3</v>
      </c>
    </row>
    <row r="245" spans="8:20" x14ac:dyDescent="0.25">
      <c r="H245">
        <v>44.3</v>
      </c>
      <c r="I245" s="11">
        <v>2.0248333333333326</v>
      </c>
      <c r="J245" s="10">
        <f t="shared" si="34"/>
        <v>-8.5000000000000006E-5</v>
      </c>
      <c r="K245" s="17">
        <f t="shared" si="35"/>
        <v>1.22E-4</v>
      </c>
      <c r="L245" s="10">
        <f t="shared" si="36"/>
        <v>5.9119999999999997E-3</v>
      </c>
      <c r="M245" s="11">
        <f t="shared" si="42"/>
        <v>2.0369608458540216</v>
      </c>
      <c r="N245" s="5">
        <f t="shared" si="37"/>
        <v>5.9893880256921576E-3</v>
      </c>
      <c r="O245">
        <f t="shared" si="38"/>
        <v>10867.382</v>
      </c>
      <c r="P245">
        <f t="shared" ca="1" si="39"/>
        <v>10871</v>
      </c>
      <c r="Q245" t="str">
        <f t="shared" ca="1" si="43"/>
        <v>0010101001110111</v>
      </c>
      <c r="R245">
        <f t="shared" ca="1" si="40"/>
        <v>2.0383125</v>
      </c>
      <c r="S245">
        <f t="shared" ca="1" si="41"/>
        <v>44.459750000000007</v>
      </c>
      <c r="T245" s="3">
        <f t="shared" ca="1" si="44"/>
        <v>3.6060948081266279E-3</v>
      </c>
    </row>
    <row r="246" spans="8:20" x14ac:dyDescent="0.25">
      <c r="H246">
        <v>44.400000000000006</v>
      </c>
      <c r="I246" s="11">
        <v>2.0340833333333332</v>
      </c>
      <c r="J246" s="10">
        <f t="shared" si="34"/>
        <v>-8.5000000000000006E-5</v>
      </c>
      <c r="K246" s="17">
        <f t="shared" si="35"/>
        <v>1.22E-4</v>
      </c>
      <c r="L246" s="10">
        <f t="shared" si="36"/>
        <v>5.9420000000000002E-3</v>
      </c>
      <c r="M246" s="11">
        <f t="shared" si="42"/>
        <v>2.0463276120038603</v>
      </c>
      <c r="N246" s="5">
        <f t="shared" si="37"/>
        <v>6.0195560672835534E-3</v>
      </c>
      <c r="O246">
        <f t="shared" si="38"/>
        <v>10917.354600000001</v>
      </c>
      <c r="P246">
        <f t="shared" ca="1" si="39"/>
        <v>10916</v>
      </c>
      <c r="Q246" t="str">
        <f t="shared" ca="1" si="43"/>
        <v>0010101010100100</v>
      </c>
      <c r="R246">
        <f t="shared" ca="1" si="40"/>
        <v>2.0467499999999998</v>
      </c>
      <c r="S246">
        <f t="shared" ca="1" si="41"/>
        <v>44.561</v>
      </c>
      <c r="T246" s="3">
        <f t="shared" ca="1" si="44"/>
        <v>3.6261261261259963E-3</v>
      </c>
    </row>
    <row r="247" spans="8:20" x14ac:dyDescent="0.25">
      <c r="H247">
        <v>44.5</v>
      </c>
      <c r="I247" s="11">
        <v>2.0412499999999998</v>
      </c>
      <c r="J247" s="10">
        <f t="shared" si="34"/>
        <v>-8.3999999999999995E-5</v>
      </c>
      <c r="K247" s="17">
        <f t="shared" si="35"/>
        <v>1.2300000000000001E-4</v>
      </c>
      <c r="L247" s="10">
        <f t="shared" si="36"/>
        <v>5.973E-3</v>
      </c>
      <c r="M247" s="11">
        <f t="shared" si="42"/>
        <v>2.0536001537181585</v>
      </c>
      <c r="N247" s="5">
        <f t="shared" si="37"/>
        <v>6.0502896353502658E-3</v>
      </c>
      <c r="O247">
        <f t="shared" si="38"/>
        <v>10956.1543</v>
      </c>
      <c r="P247">
        <f t="shared" ca="1" si="39"/>
        <v>10956</v>
      </c>
      <c r="Q247" t="str">
        <f t="shared" ca="1" si="43"/>
        <v>0010101011001100</v>
      </c>
      <c r="R247">
        <f t="shared" ca="1" si="40"/>
        <v>2.0542500000000001</v>
      </c>
      <c r="S247">
        <f t="shared" ca="1" si="41"/>
        <v>44.651000000000003</v>
      </c>
      <c r="T247" s="3">
        <f t="shared" ca="1" si="44"/>
        <v>3.3932584269663673E-3</v>
      </c>
    </row>
    <row r="248" spans="8:20" x14ac:dyDescent="0.25">
      <c r="H248">
        <v>44.6</v>
      </c>
      <c r="I248" s="11">
        <v>2.0497499999999995</v>
      </c>
      <c r="J248" s="10">
        <f t="shared" si="34"/>
        <v>-8.3999999999999995E-5</v>
      </c>
      <c r="K248" s="17">
        <f t="shared" si="35"/>
        <v>1.2300000000000001E-4</v>
      </c>
      <c r="L248" s="10">
        <f t="shared" si="36"/>
        <v>6.0029999999999997E-3</v>
      </c>
      <c r="M248" s="11">
        <f t="shared" si="42"/>
        <v>2.0622134674450723</v>
      </c>
      <c r="N248" s="5">
        <f t="shared" si="37"/>
        <v>6.0804817392719921E-3</v>
      </c>
      <c r="O248">
        <f t="shared" si="38"/>
        <v>11002.107099999999</v>
      </c>
      <c r="P248">
        <f t="shared" ca="1" si="39"/>
        <v>11001</v>
      </c>
      <c r="Q248" t="str">
        <f t="shared" ca="1" si="43"/>
        <v>0010101011111001</v>
      </c>
      <c r="R248">
        <f t="shared" ca="1" si="40"/>
        <v>2.0626875</v>
      </c>
      <c r="S248">
        <f t="shared" ca="1" si="41"/>
        <v>44.752250000000004</v>
      </c>
      <c r="T248" s="3">
        <f t="shared" ca="1" si="44"/>
        <v>3.4136771300448928E-3</v>
      </c>
    </row>
    <row r="249" spans="8:20" x14ac:dyDescent="0.25">
      <c r="H249">
        <v>44.7</v>
      </c>
      <c r="I249" s="11">
        <v>2.0590000000000002</v>
      </c>
      <c r="J249" s="10">
        <f t="shared" si="34"/>
        <v>-8.2999999999999998E-5</v>
      </c>
      <c r="K249" s="17">
        <f t="shared" si="35"/>
        <v>1.2400000000000001E-4</v>
      </c>
      <c r="L249" s="10">
        <f t="shared" si="36"/>
        <v>6.0340000000000003E-3</v>
      </c>
      <c r="M249" s="11">
        <f t="shared" si="42"/>
        <v>2.0715829314081167</v>
      </c>
      <c r="N249" s="5">
        <f t="shared" si="37"/>
        <v>6.1111857251658587E-3</v>
      </c>
      <c r="O249">
        <f t="shared" si="38"/>
        <v>11052.0941</v>
      </c>
      <c r="P249">
        <f t="shared" ca="1" si="39"/>
        <v>11052</v>
      </c>
      <c r="Q249" t="str">
        <f t="shared" ca="1" si="43"/>
        <v>0010101100101100</v>
      </c>
      <c r="R249">
        <f t="shared" ca="1" si="40"/>
        <v>2.0722499999999999</v>
      </c>
      <c r="S249">
        <f t="shared" ca="1" si="41"/>
        <v>44.866999999999997</v>
      </c>
      <c r="T249" s="3">
        <f t="shared" ca="1" si="44"/>
        <v>3.7360178970915988E-3</v>
      </c>
    </row>
    <row r="250" spans="8:20" x14ac:dyDescent="0.25">
      <c r="H250">
        <v>44.8</v>
      </c>
      <c r="I250" s="11">
        <v>2.0660833333333333</v>
      </c>
      <c r="J250" s="10">
        <f t="shared" si="34"/>
        <v>-8.2000000000000001E-5</v>
      </c>
      <c r="K250" s="17">
        <f t="shared" si="35"/>
        <v>1.2400000000000001E-4</v>
      </c>
      <c r="L250" s="10">
        <f t="shared" si="36"/>
        <v>6.0639999999999999E-3</v>
      </c>
      <c r="M250" s="11">
        <f t="shared" si="42"/>
        <v>2.0787710006814657</v>
      </c>
      <c r="N250" s="5">
        <f t="shared" si="37"/>
        <v>6.1409272043556288E-3</v>
      </c>
      <c r="O250">
        <f t="shared" si="38"/>
        <v>11090.4432</v>
      </c>
      <c r="P250">
        <f t="shared" ca="1" si="39"/>
        <v>11093</v>
      </c>
      <c r="Q250" t="str">
        <f t="shared" ca="1" si="43"/>
        <v>0010101101010101</v>
      </c>
      <c r="R250">
        <f t="shared" ca="1" si="40"/>
        <v>2.0799375000000002</v>
      </c>
      <c r="S250">
        <f t="shared" ca="1" si="41"/>
        <v>44.959250000000004</v>
      </c>
      <c r="T250" s="3">
        <f t="shared" ca="1" si="44"/>
        <v>3.5546875000001615E-3</v>
      </c>
    </row>
    <row r="251" spans="8:20" x14ac:dyDescent="0.25">
      <c r="H251">
        <v>44.900000000000006</v>
      </c>
      <c r="I251" s="11">
        <v>2.0741666666666667</v>
      </c>
      <c r="J251" s="10">
        <f t="shared" si="34"/>
        <v>-8.2000000000000001E-5</v>
      </c>
      <c r="K251" s="17">
        <f t="shared" si="35"/>
        <v>1.25E-4</v>
      </c>
      <c r="L251" s="10">
        <f t="shared" si="36"/>
        <v>6.0949999999999997E-3</v>
      </c>
      <c r="M251" s="11">
        <f t="shared" si="42"/>
        <v>2.0869687411439388</v>
      </c>
      <c r="N251" s="5">
        <f t="shared" si="37"/>
        <v>6.1721532232730126E-3</v>
      </c>
      <c r="O251">
        <f t="shared" si="38"/>
        <v>11134.178900000001</v>
      </c>
      <c r="P251">
        <f t="shared" ca="1" si="39"/>
        <v>11134</v>
      </c>
      <c r="Q251" t="str">
        <f t="shared" ca="1" si="43"/>
        <v>0010101101111110</v>
      </c>
      <c r="R251">
        <f t="shared" ca="1" si="40"/>
        <v>2.0876250000000001</v>
      </c>
      <c r="S251">
        <f t="shared" ca="1" si="41"/>
        <v>45.051500000000004</v>
      </c>
      <c r="T251" s="3">
        <f t="shared" ca="1" si="44"/>
        <v>3.3741648106903922E-3</v>
      </c>
    </row>
    <row r="252" spans="8:20" x14ac:dyDescent="0.25">
      <c r="H252">
        <v>45</v>
      </c>
      <c r="I252" s="11">
        <v>2.0835833333333333</v>
      </c>
      <c r="J252" s="10">
        <f t="shared" si="34"/>
        <v>-8.1000000000000004E-5</v>
      </c>
      <c r="K252" s="17">
        <f t="shared" si="35"/>
        <v>1.25E-4</v>
      </c>
      <c r="L252" s="10">
        <f t="shared" si="36"/>
        <v>6.1250000000000002E-3</v>
      </c>
      <c r="M252" s="11">
        <f t="shared" si="42"/>
        <v>2.0965054290864882</v>
      </c>
      <c r="N252" s="5">
        <f t="shared" si="37"/>
        <v>6.2018617381057496E-3</v>
      </c>
      <c r="O252">
        <f t="shared" si="38"/>
        <v>11185.058000000001</v>
      </c>
      <c r="P252">
        <f t="shared" ca="1" si="39"/>
        <v>11183</v>
      </c>
      <c r="Q252" t="str">
        <f t="shared" ca="1" si="43"/>
        <v>0010101110101111</v>
      </c>
      <c r="R252">
        <f t="shared" ca="1" si="40"/>
        <v>2.0968125</v>
      </c>
      <c r="S252">
        <f t="shared" ca="1" si="41"/>
        <v>45.161749999999998</v>
      </c>
      <c r="T252" s="3">
        <f t="shared" ca="1" si="44"/>
        <v>3.5944444444443962E-3</v>
      </c>
    </row>
    <row r="253" spans="8:20" x14ac:dyDescent="0.25">
      <c r="H253">
        <v>45.1</v>
      </c>
      <c r="I253" s="11">
        <v>2.0914999999999999</v>
      </c>
      <c r="J253" s="10">
        <f t="shared" si="34"/>
        <v>-8.1000000000000004E-5</v>
      </c>
      <c r="K253" s="17">
        <f t="shared" si="35"/>
        <v>1.26E-4</v>
      </c>
      <c r="L253" s="10">
        <f t="shared" si="36"/>
        <v>6.156E-3</v>
      </c>
      <c r="M253" s="11">
        <f t="shared" si="42"/>
        <v>2.1045365268593463</v>
      </c>
      <c r="N253" s="5">
        <f t="shared" si="37"/>
        <v>6.2330991438424195E-3</v>
      </c>
      <c r="O253">
        <f t="shared" si="38"/>
        <v>11227.904699999999</v>
      </c>
      <c r="P253">
        <f t="shared" ca="1" si="39"/>
        <v>11232</v>
      </c>
      <c r="Q253" t="str">
        <f t="shared" ca="1" si="43"/>
        <v>0010101111100000</v>
      </c>
      <c r="R253">
        <f t="shared" ca="1" si="40"/>
        <v>2.1059999999999999</v>
      </c>
      <c r="S253">
        <f t="shared" ca="1" si="41"/>
        <v>45.272000000000006</v>
      </c>
      <c r="T253" s="3">
        <f t="shared" ca="1" si="44"/>
        <v>3.8137472283814667E-3</v>
      </c>
    </row>
    <row r="254" spans="8:20" x14ac:dyDescent="0.25">
      <c r="H254">
        <v>45.2</v>
      </c>
      <c r="I254" s="11">
        <v>2.0992499999999996</v>
      </c>
      <c r="J254" s="10">
        <f t="shared" si="34"/>
        <v>-8.0000000000000007E-5</v>
      </c>
      <c r="K254" s="17">
        <f t="shared" si="35"/>
        <v>1.26E-4</v>
      </c>
      <c r="L254" s="10">
        <f t="shared" si="36"/>
        <v>6.1859999999999997E-3</v>
      </c>
      <c r="M254" s="11">
        <f t="shared" si="42"/>
        <v>2.1123972896336736</v>
      </c>
      <c r="N254" s="5">
        <f t="shared" si="37"/>
        <v>6.2628508437174973E-3</v>
      </c>
      <c r="O254">
        <f t="shared" si="38"/>
        <v>11269.8426</v>
      </c>
      <c r="P254">
        <f t="shared" ca="1" si="39"/>
        <v>11272</v>
      </c>
      <c r="Q254" t="str">
        <f t="shared" ca="1" si="43"/>
        <v>0010110000001000</v>
      </c>
      <c r="R254">
        <f t="shared" ca="1" si="40"/>
        <v>2.1135000000000002</v>
      </c>
      <c r="S254">
        <f t="shared" ca="1" si="41"/>
        <v>45.362000000000009</v>
      </c>
      <c r="T254" s="3">
        <f t="shared" ca="1" si="44"/>
        <v>3.5840707964603126E-3</v>
      </c>
    </row>
    <row r="255" spans="8:20" x14ac:dyDescent="0.25">
      <c r="H255">
        <v>45.3</v>
      </c>
      <c r="I255" s="11">
        <v>2.1076666666666659</v>
      </c>
      <c r="J255" s="10">
        <f t="shared" si="34"/>
        <v>-8.0000000000000007E-5</v>
      </c>
      <c r="K255" s="17">
        <f t="shared" si="35"/>
        <v>1.27E-4</v>
      </c>
      <c r="L255" s="10">
        <f t="shared" si="36"/>
        <v>6.2170000000000003E-3</v>
      </c>
      <c r="M255" s="11">
        <f t="shared" si="42"/>
        <v>2.1209325040443097</v>
      </c>
      <c r="N255" s="5">
        <f t="shared" si="37"/>
        <v>6.2940870050500189E-3</v>
      </c>
      <c r="O255">
        <f t="shared" si="38"/>
        <v>11315.3788</v>
      </c>
      <c r="P255">
        <f t="shared" ca="1" si="39"/>
        <v>11313</v>
      </c>
      <c r="Q255" t="str">
        <f t="shared" ca="1" si="43"/>
        <v>0010110000110001</v>
      </c>
      <c r="R255">
        <f t="shared" ca="1" si="40"/>
        <v>2.1211875</v>
      </c>
      <c r="S255">
        <f t="shared" ca="1" si="41"/>
        <v>45.454250000000002</v>
      </c>
      <c r="T255" s="3">
        <f t="shared" ca="1" si="44"/>
        <v>3.4050772626932598E-3</v>
      </c>
    </row>
    <row r="256" spans="8:20" x14ac:dyDescent="0.25">
      <c r="H256">
        <v>45.400000000000006</v>
      </c>
      <c r="I256" s="11">
        <v>2.1158333333333337</v>
      </c>
      <c r="J256" s="10">
        <f t="shared" si="34"/>
        <v>-7.8999999999999996E-5</v>
      </c>
      <c r="K256" s="17">
        <f t="shared" si="35"/>
        <v>1.27E-4</v>
      </c>
      <c r="L256" s="10">
        <f t="shared" si="36"/>
        <v>6.2469999999999999E-3</v>
      </c>
      <c r="M256" s="11">
        <f t="shared" si="42"/>
        <v>2.1292135302568482</v>
      </c>
      <c r="N256" s="5">
        <f t="shared" si="37"/>
        <v>6.3238425790537465E-3</v>
      </c>
      <c r="O256">
        <f t="shared" si="38"/>
        <v>11359.5589</v>
      </c>
      <c r="P256">
        <f t="shared" ca="1" si="39"/>
        <v>11358</v>
      </c>
      <c r="Q256" t="str">
        <f t="shared" ca="1" si="43"/>
        <v>0010110001011110</v>
      </c>
      <c r="R256">
        <f t="shared" ca="1" si="40"/>
        <v>2.1296249999999999</v>
      </c>
      <c r="S256">
        <f t="shared" ca="1" si="41"/>
        <v>45.555500000000002</v>
      </c>
      <c r="T256" s="3">
        <f t="shared" ca="1" si="44"/>
        <v>3.425110132158511E-3</v>
      </c>
    </row>
    <row r="257" spans="8:20" x14ac:dyDescent="0.25">
      <c r="H257">
        <v>45.5</v>
      </c>
      <c r="I257" s="11">
        <v>2.125</v>
      </c>
      <c r="J257" s="10">
        <f t="shared" si="34"/>
        <v>-7.7999999999999999E-5</v>
      </c>
      <c r="K257" s="17">
        <f t="shared" si="35"/>
        <v>1.2799999999999999E-4</v>
      </c>
      <c r="L257" s="10">
        <f t="shared" si="36"/>
        <v>6.2779999999999997E-3</v>
      </c>
      <c r="M257" s="11">
        <f t="shared" si="42"/>
        <v>2.1385035251307709</v>
      </c>
      <c r="N257" s="5">
        <f t="shared" si="37"/>
        <v>6.3546000615392522E-3</v>
      </c>
      <c r="O257">
        <f t="shared" si="38"/>
        <v>11409.1219</v>
      </c>
      <c r="P257">
        <f t="shared" ca="1" si="39"/>
        <v>11409</v>
      </c>
      <c r="Q257" t="str">
        <f t="shared" ca="1" si="43"/>
        <v>0010110010010001</v>
      </c>
      <c r="R257">
        <f t="shared" ca="1" si="40"/>
        <v>2.1391875000000002</v>
      </c>
      <c r="S257">
        <f t="shared" ca="1" si="41"/>
        <v>45.67025000000001</v>
      </c>
      <c r="T257" s="3">
        <f t="shared" ca="1" si="44"/>
        <v>3.7417582417584618E-3</v>
      </c>
    </row>
    <row r="258" spans="8:20" x14ac:dyDescent="0.25">
      <c r="H258">
        <v>45.6</v>
      </c>
      <c r="I258" s="11">
        <v>2.1336666666666666</v>
      </c>
      <c r="J258" s="10">
        <f t="shared" si="34"/>
        <v>-7.7999999999999999E-5</v>
      </c>
      <c r="K258" s="17">
        <f t="shared" si="35"/>
        <v>1.2799999999999999E-4</v>
      </c>
      <c r="L258" s="10">
        <f t="shared" si="36"/>
        <v>6.3080000000000002E-3</v>
      </c>
      <c r="M258" s="11">
        <f t="shared" si="42"/>
        <v>2.1472897705392278</v>
      </c>
      <c r="N258" s="5">
        <f t="shared" si="37"/>
        <v>6.3848323102145728E-3</v>
      </c>
      <c r="O258">
        <f t="shared" si="38"/>
        <v>11455.9974</v>
      </c>
      <c r="P258">
        <f t="shared" ca="1" si="39"/>
        <v>11457</v>
      </c>
      <c r="Q258" t="str">
        <f t="shared" ca="1" si="43"/>
        <v>0010110011000001</v>
      </c>
      <c r="R258">
        <f t="shared" ca="1" si="40"/>
        <v>2.1481875000000001</v>
      </c>
      <c r="S258">
        <f t="shared" ca="1" si="41"/>
        <v>45.77825</v>
      </c>
      <c r="T258" s="3">
        <f t="shared" ca="1" si="44"/>
        <v>3.9089912280701414E-3</v>
      </c>
    </row>
    <row r="259" spans="8:20" x14ac:dyDescent="0.25">
      <c r="H259">
        <v>45.7</v>
      </c>
      <c r="I259" s="11">
        <v>2.1424166666666666</v>
      </c>
      <c r="J259" s="10">
        <f t="shared" ref="J259:J322" si="45">ROUND(H259*0.00000575 -0.00034,6)</f>
        <v>-7.7000000000000001E-5</v>
      </c>
      <c r="K259" s="17">
        <f t="shared" ref="K259:K322" si="46">ROUND(H259*0.000005-0.0001,6)</f>
        <v>1.2899999999999999E-4</v>
      </c>
      <c r="L259" s="10">
        <f t="shared" ref="L259:L322" si="47">ROUND(K259+($C$24*(H259-25)),6)</f>
        <v>6.339E-3</v>
      </c>
      <c r="M259" s="11">
        <f t="shared" si="42"/>
        <v>2.1561615748898939</v>
      </c>
      <c r="N259" s="5">
        <f t="shared" ref="N259:N322" si="48">ABS(I259-M259)/I259</f>
        <v>6.4156092683000992E-3</v>
      </c>
      <c r="O259">
        <f t="shared" ref="O259:O322" si="49">ROUND((M259*(2^($C$12-1)))/$C$44,4)</f>
        <v>11503.329299999999</v>
      </c>
      <c r="P259">
        <f t="shared" ref="P259:P322" ca="1" si="50">ROUND(O259+$C$47+$C$49+RANDBETWEEN($B$45,$D$45),0)</f>
        <v>11506</v>
      </c>
      <c r="Q259" t="str">
        <f t="shared" ca="1" si="43"/>
        <v>0010110011110010</v>
      </c>
      <c r="R259">
        <f t="shared" ref="R259:R322" ca="1" si="51">($C$16/2^($C$12-1)) * P259</f>
        <v>2.157375</v>
      </c>
      <c r="S259">
        <f t="shared" ref="S259:S322" ca="1" si="52">(R259+5/3)/(1/12)</f>
        <v>45.888500000000008</v>
      </c>
      <c r="T259" s="3">
        <f t="shared" ca="1" si="44"/>
        <v>4.1247264770241741E-3</v>
      </c>
    </row>
    <row r="260" spans="8:20" x14ac:dyDescent="0.25">
      <c r="H260">
        <v>45.8</v>
      </c>
      <c r="I260" s="11">
        <v>2.1500833333333329</v>
      </c>
      <c r="J260" s="10">
        <f t="shared" si="45"/>
        <v>-7.7000000000000001E-5</v>
      </c>
      <c r="K260" s="17">
        <f t="shared" si="46"/>
        <v>1.2899999999999999E-4</v>
      </c>
      <c r="L260" s="10">
        <f t="shared" si="47"/>
        <v>6.3689999999999997E-3</v>
      </c>
      <c r="M260" s="11">
        <f t="shared" ref="M260:M323" si="53">(I260-J260)/(1-L260)</f>
        <v>2.1639424830076082</v>
      </c>
      <c r="N260" s="5">
        <f t="shared" si="48"/>
        <v>6.445866287791294E-3</v>
      </c>
      <c r="O260">
        <f t="shared" si="49"/>
        <v>11544.841200000001</v>
      </c>
      <c r="P260">
        <f t="shared" ca="1" si="50"/>
        <v>11546</v>
      </c>
      <c r="Q260" t="str">
        <f t="shared" ref="Q260:Q323" ca="1" si="54">_xlfn.BASE(P260,2,16)</f>
        <v>0010110100011010</v>
      </c>
      <c r="R260">
        <f t="shared" ca="1" si="51"/>
        <v>2.1648749999999999</v>
      </c>
      <c r="S260">
        <f t="shared" ca="1" si="52"/>
        <v>45.978499999999997</v>
      </c>
      <c r="T260" s="3">
        <f t="shared" ref="T260:T323" ca="1" si="55">ABS(H260-S260)/H260</f>
        <v>3.8973799126637483E-3</v>
      </c>
    </row>
    <row r="261" spans="8:20" x14ac:dyDescent="0.25">
      <c r="H261">
        <v>45.900000000000006</v>
      </c>
      <c r="I261" s="11">
        <v>2.1591666666666667</v>
      </c>
      <c r="J261" s="10">
        <f t="shared" si="45"/>
        <v>-7.6000000000000004E-5</v>
      </c>
      <c r="K261" s="17">
        <f t="shared" si="46"/>
        <v>1.2999999999999999E-4</v>
      </c>
      <c r="L261" s="10">
        <f t="shared" si="47"/>
        <v>6.4000000000000003E-3</v>
      </c>
      <c r="M261" s="11">
        <f t="shared" si="53"/>
        <v>2.1731508319914115</v>
      </c>
      <c r="N261" s="5">
        <f t="shared" si="48"/>
        <v>6.4766493206073854E-3</v>
      </c>
      <c r="O261">
        <f t="shared" si="49"/>
        <v>11593.9686</v>
      </c>
      <c r="P261">
        <f t="shared" ca="1" si="50"/>
        <v>11592</v>
      </c>
      <c r="Q261" t="str">
        <f t="shared" ca="1" si="54"/>
        <v>0010110101001000</v>
      </c>
      <c r="R261">
        <f t="shared" ca="1" si="51"/>
        <v>2.1735000000000002</v>
      </c>
      <c r="S261">
        <f t="shared" ca="1" si="52"/>
        <v>46.082000000000001</v>
      </c>
      <c r="T261" s="3">
        <f t="shared" ca="1" si="55"/>
        <v>3.9651416122003279E-3</v>
      </c>
    </row>
    <row r="262" spans="8:20" x14ac:dyDescent="0.25">
      <c r="H262">
        <v>46</v>
      </c>
      <c r="I262" s="11">
        <v>2.1669166666666664</v>
      </c>
      <c r="J262" s="10">
        <f t="shared" si="45"/>
        <v>-7.6000000000000004E-5</v>
      </c>
      <c r="K262" s="17">
        <f t="shared" si="46"/>
        <v>1.2999999999999999E-4</v>
      </c>
      <c r="L262" s="10">
        <f t="shared" si="47"/>
        <v>6.43E-3</v>
      </c>
      <c r="M262" s="11">
        <f t="shared" si="53"/>
        <v>2.1810166034267002</v>
      </c>
      <c r="N262" s="5">
        <f t="shared" si="48"/>
        <v>6.5069123224399568E-3</v>
      </c>
      <c r="O262">
        <f t="shared" si="49"/>
        <v>11635.933300000001</v>
      </c>
      <c r="P262">
        <f t="shared" ca="1" si="50"/>
        <v>11639</v>
      </c>
      <c r="Q262" t="str">
        <f t="shared" ca="1" si="54"/>
        <v>0010110101110111</v>
      </c>
      <c r="R262">
        <f t="shared" ca="1" si="51"/>
        <v>2.1823125000000001</v>
      </c>
      <c r="S262">
        <f t="shared" ca="1" si="52"/>
        <v>46.187750000000008</v>
      </c>
      <c r="T262" s="3">
        <f t="shared" ca="1" si="55"/>
        <v>4.0815217391306155E-3</v>
      </c>
    </row>
    <row r="263" spans="8:20" x14ac:dyDescent="0.25">
      <c r="H263">
        <v>46.1</v>
      </c>
      <c r="I263" s="11">
        <v>2.1744166666666667</v>
      </c>
      <c r="J263" s="10">
        <f t="shared" si="45"/>
        <v>-7.4999999999999993E-5</v>
      </c>
      <c r="K263" s="17">
        <f t="shared" si="46"/>
        <v>1.3100000000000001E-4</v>
      </c>
      <c r="L263" s="10">
        <f t="shared" si="47"/>
        <v>6.4609999999999997E-3</v>
      </c>
      <c r="M263" s="11">
        <f t="shared" si="53"/>
        <v>2.1886324207370489</v>
      </c>
      <c r="N263" s="5">
        <f t="shared" si="48"/>
        <v>6.5377322977268502E-3</v>
      </c>
      <c r="O263">
        <f t="shared" si="49"/>
        <v>11676.564399999999</v>
      </c>
      <c r="P263">
        <f t="shared" ca="1" si="50"/>
        <v>11679</v>
      </c>
      <c r="Q263" t="str">
        <f t="shared" ca="1" si="54"/>
        <v>0010110110011111</v>
      </c>
      <c r="R263">
        <f t="shared" ca="1" si="51"/>
        <v>2.1898124999999999</v>
      </c>
      <c r="S263">
        <f t="shared" ca="1" si="52"/>
        <v>46.277749999999997</v>
      </c>
      <c r="T263" s="3">
        <f t="shared" ca="1" si="55"/>
        <v>3.8557483731018671E-3</v>
      </c>
    </row>
    <row r="264" spans="8:20" x14ac:dyDescent="0.25">
      <c r="H264">
        <v>46.2</v>
      </c>
      <c r="I264" s="11">
        <v>2.1825000000000001</v>
      </c>
      <c r="J264" s="10">
        <f t="shared" si="45"/>
        <v>-7.3999999999999996E-5</v>
      </c>
      <c r="K264" s="17">
        <f t="shared" si="46"/>
        <v>1.3100000000000001E-4</v>
      </c>
      <c r="L264" s="10">
        <f t="shared" si="47"/>
        <v>6.4910000000000002E-3</v>
      </c>
      <c r="M264" s="11">
        <f t="shared" si="53"/>
        <v>2.1968336472040013</v>
      </c>
      <c r="N264" s="5">
        <f t="shared" si="48"/>
        <v>6.5675359468504967E-3</v>
      </c>
      <c r="O264">
        <f t="shared" si="49"/>
        <v>11720.3187</v>
      </c>
      <c r="P264">
        <f t="shared" ca="1" si="50"/>
        <v>11720</v>
      </c>
      <c r="Q264" t="str">
        <f t="shared" ca="1" si="54"/>
        <v>0010110111001000</v>
      </c>
      <c r="R264">
        <f t="shared" ca="1" si="51"/>
        <v>2.1975000000000002</v>
      </c>
      <c r="S264">
        <f t="shared" ca="1" si="52"/>
        <v>46.370000000000005</v>
      </c>
      <c r="T264" s="3">
        <f t="shared" ca="1" si="55"/>
        <v>3.6796536796537163E-3</v>
      </c>
    </row>
    <row r="265" spans="8:20" x14ac:dyDescent="0.25">
      <c r="H265">
        <v>46.3</v>
      </c>
      <c r="I265" s="11">
        <v>2.192499999999999</v>
      </c>
      <c r="J265" s="10">
        <f t="shared" si="45"/>
        <v>-7.3999999999999996E-5</v>
      </c>
      <c r="K265" s="17">
        <f t="shared" si="46"/>
        <v>1.3200000000000001E-4</v>
      </c>
      <c r="L265" s="10">
        <f t="shared" si="47"/>
        <v>6.522E-3</v>
      </c>
      <c r="M265" s="11">
        <f t="shared" si="53"/>
        <v>2.2069678442803959</v>
      </c>
      <c r="N265" s="5">
        <f t="shared" si="48"/>
        <v>6.5987887253805893E-3</v>
      </c>
      <c r="O265">
        <f t="shared" si="49"/>
        <v>11774.3856</v>
      </c>
      <c r="P265">
        <f t="shared" ca="1" si="50"/>
        <v>11775</v>
      </c>
      <c r="Q265" t="str">
        <f t="shared" ca="1" si="54"/>
        <v>0010110111111111</v>
      </c>
      <c r="R265">
        <f t="shared" ca="1" si="51"/>
        <v>2.2078125000000002</v>
      </c>
      <c r="S265">
        <f t="shared" ca="1" si="52"/>
        <v>46.493750000000006</v>
      </c>
      <c r="T265" s="3">
        <f t="shared" ca="1" si="55"/>
        <v>4.1846652267820417E-3</v>
      </c>
    </row>
    <row r="266" spans="8:20" x14ac:dyDescent="0.25">
      <c r="H266">
        <v>46.400000000000006</v>
      </c>
      <c r="I266" s="11">
        <v>2.2004166666666674</v>
      </c>
      <c r="J266" s="10">
        <f t="shared" si="45"/>
        <v>-7.2999999999999999E-5</v>
      </c>
      <c r="K266" s="17">
        <f t="shared" si="46"/>
        <v>1.3200000000000001E-4</v>
      </c>
      <c r="L266" s="10">
        <f t="shared" si="47"/>
        <v>6.5519999999999997E-3</v>
      </c>
      <c r="M266" s="11">
        <f t="shared" si="53"/>
        <v>2.2150023621434309</v>
      </c>
      <c r="N266" s="5">
        <f t="shared" si="48"/>
        <v>6.6286061625132715E-3</v>
      </c>
      <c r="O266">
        <f t="shared" si="49"/>
        <v>11817.250599999999</v>
      </c>
      <c r="P266">
        <f t="shared" ca="1" si="50"/>
        <v>11818</v>
      </c>
      <c r="Q266" t="str">
        <f t="shared" ca="1" si="54"/>
        <v>0010111000101010</v>
      </c>
      <c r="R266">
        <f t="shared" ca="1" si="51"/>
        <v>2.215875</v>
      </c>
      <c r="S266">
        <f t="shared" ca="1" si="52"/>
        <v>46.590499999999999</v>
      </c>
      <c r="T266" s="3">
        <f t="shared" ca="1" si="55"/>
        <v>4.105603448275711E-3</v>
      </c>
    </row>
    <row r="267" spans="8:20" x14ac:dyDescent="0.25">
      <c r="H267">
        <v>46.5</v>
      </c>
      <c r="I267" s="11">
        <v>2.2080833333333327</v>
      </c>
      <c r="J267" s="10">
        <f t="shared" si="45"/>
        <v>-7.2999999999999999E-5</v>
      </c>
      <c r="K267" s="17">
        <f t="shared" si="46"/>
        <v>1.3300000000000001E-4</v>
      </c>
      <c r="L267" s="10">
        <f t="shared" si="47"/>
        <v>6.5830000000000003E-3</v>
      </c>
      <c r="M267" s="11">
        <f t="shared" si="53"/>
        <v>2.2227889530110043</v>
      </c>
      <c r="N267" s="5">
        <f t="shared" si="48"/>
        <v>6.659902484509911E-3</v>
      </c>
      <c r="O267">
        <f t="shared" si="49"/>
        <v>11858.792799999999</v>
      </c>
      <c r="P267">
        <f t="shared" ca="1" si="50"/>
        <v>11860</v>
      </c>
      <c r="Q267" t="str">
        <f t="shared" ca="1" si="54"/>
        <v>0010111001010100</v>
      </c>
      <c r="R267">
        <f t="shared" ca="1" si="51"/>
        <v>2.2237499999999999</v>
      </c>
      <c r="S267">
        <f t="shared" ca="1" si="52"/>
        <v>46.685000000000002</v>
      </c>
      <c r="T267" s="3">
        <f t="shared" ca="1" si="55"/>
        <v>3.9784946236559628E-3</v>
      </c>
    </row>
    <row r="268" spans="8:20" x14ac:dyDescent="0.25">
      <c r="H268">
        <v>46.6</v>
      </c>
      <c r="I268" s="11">
        <v>2.2165833333333333</v>
      </c>
      <c r="J268" s="10">
        <f t="shared" si="45"/>
        <v>-7.2000000000000002E-5</v>
      </c>
      <c r="K268" s="17">
        <f t="shared" si="46"/>
        <v>1.3300000000000001E-4</v>
      </c>
      <c r="L268" s="10">
        <f t="shared" si="47"/>
        <v>6.613E-3</v>
      </c>
      <c r="M268" s="11">
        <f t="shared" si="53"/>
        <v>2.2314116586318655</v>
      </c>
      <c r="N268" s="5">
        <f t="shared" si="48"/>
        <v>6.6897215527796572E-3</v>
      </c>
      <c r="O268">
        <f t="shared" si="49"/>
        <v>11904.795700000001</v>
      </c>
      <c r="P268">
        <f t="shared" ca="1" si="50"/>
        <v>11907</v>
      </c>
      <c r="Q268" t="str">
        <f t="shared" ca="1" si="54"/>
        <v>0010111010000011</v>
      </c>
      <c r="R268">
        <f t="shared" ca="1" si="51"/>
        <v>2.2325625000000002</v>
      </c>
      <c r="S268">
        <f t="shared" ca="1" si="52"/>
        <v>46.79075000000001</v>
      </c>
      <c r="T268" s="3">
        <f t="shared" ca="1" si="55"/>
        <v>4.0933476394851591E-3</v>
      </c>
    </row>
    <row r="269" spans="8:20" x14ac:dyDescent="0.25">
      <c r="H269">
        <v>46.7</v>
      </c>
      <c r="I269" s="11">
        <v>2.2248333333333328</v>
      </c>
      <c r="J269" s="10">
        <f t="shared" si="45"/>
        <v>-7.1000000000000005E-5</v>
      </c>
      <c r="K269" s="17">
        <f t="shared" si="46"/>
        <v>1.34E-4</v>
      </c>
      <c r="L269" s="10">
        <f t="shared" si="47"/>
        <v>6.6439999999999997E-3</v>
      </c>
      <c r="M269" s="11">
        <f t="shared" si="53"/>
        <v>2.2397854679826095</v>
      </c>
      <c r="N269" s="5">
        <f t="shared" si="48"/>
        <v>6.7205639295572842E-3</v>
      </c>
      <c r="O269">
        <f t="shared" si="49"/>
        <v>11949.470799999999</v>
      </c>
      <c r="P269">
        <f t="shared" ca="1" si="50"/>
        <v>11952</v>
      </c>
      <c r="Q269" t="str">
        <f t="shared" ca="1" si="54"/>
        <v>0010111010110000</v>
      </c>
      <c r="R269">
        <f t="shared" ca="1" si="51"/>
        <v>2.2410000000000001</v>
      </c>
      <c r="S269">
        <f t="shared" ca="1" si="52"/>
        <v>46.892000000000003</v>
      </c>
      <c r="T269" s="3">
        <f t="shared" ca="1" si="55"/>
        <v>4.111349036402573E-3</v>
      </c>
    </row>
    <row r="270" spans="8:20" x14ac:dyDescent="0.25">
      <c r="H270">
        <v>46.8</v>
      </c>
      <c r="I270" s="11">
        <v>2.2325833333333325</v>
      </c>
      <c r="J270" s="10">
        <f t="shared" si="45"/>
        <v>-7.1000000000000005E-5</v>
      </c>
      <c r="K270" s="17">
        <f t="shared" si="46"/>
        <v>1.34E-4</v>
      </c>
      <c r="L270" s="10">
        <f t="shared" si="47"/>
        <v>6.6740000000000002E-3</v>
      </c>
      <c r="M270" s="11">
        <f t="shared" si="53"/>
        <v>2.2476551840315593</v>
      </c>
      <c r="N270" s="5">
        <f t="shared" si="48"/>
        <v>6.7508569437020553E-3</v>
      </c>
      <c r="O270">
        <f t="shared" si="49"/>
        <v>11991.4565</v>
      </c>
      <c r="P270">
        <f t="shared" ca="1" si="50"/>
        <v>11989</v>
      </c>
      <c r="Q270" t="str">
        <f t="shared" ca="1" si="54"/>
        <v>0010111011010101</v>
      </c>
      <c r="R270">
        <f t="shared" ca="1" si="51"/>
        <v>2.2479374999999999</v>
      </c>
      <c r="S270">
        <f t="shared" ca="1" si="52"/>
        <v>46.975250000000003</v>
      </c>
      <c r="T270" s="3">
        <f t="shared" ca="1" si="55"/>
        <v>3.7446581196582365E-3</v>
      </c>
    </row>
    <row r="271" spans="8:20" x14ac:dyDescent="0.25">
      <c r="H271">
        <v>46.900000000000006</v>
      </c>
      <c r="I271" s="11">
        <v>2.2415833333333337</v>
      </c>
      <c r="J271" s="10">
        <f t="shared" si="45"/>
        <v>-6.9999999999999994E-5</v>
      </c>
      <c r="K271" s="17">
        <f t="shared" si="46"/>
        <v>1.35E-4</v>
      </c>
      <c r="L271" s="10">
        <f t="shared" si="47"/>
        <v>6.705E-3</v>
      </c>
      <c r="M271" s="11">
        <f t="shared" si="53"/>
        <v>2.2567850772764726</v>
      </c>
      <c r="N271" s="5">
        <f t="shared" si="48"/>
        <v>6.7816992199586099E-3</v>
      </c>
      <c r="O271">
        <f t="shared" si="49"/>
        <v>12040.1654</v>
      </c>
      <c r="P271">
        <f t="shared" ca="1" si="50"/>
        <v>12041</v>
      </c>
      <c r="Q271" t="str">
        <f t="shared" ca="1" si="54"/>
        <v>0010111100001001</v>
      </c>
      <c r="R271">
        <f t="shared" ca="1" si="51"/>
        <v>2.2576874999999998</v>
      </c>
      <c r="S271">
        <f t="shared" ca="1" si="52"/>
        <v>47.09225</v>
      </c>
      <c r="T271" s="3">
        <f t="shared" ca="1" si="55"/>
        <v>4.0991471215350581E-3</v>
      </c>
    </row>
    <row r="272" spans="8:20" x14ac:dyDescent="0.25">
      <c r="H272">
        <v>47</v>
      </c>
      <c r="I272" s="11">
        <v>2.2503333333333329</v>
      </c>
      <c r="J272" s="10">
        <f t="shared" si="45"/>
        <v>-6.9999999999999994E-5</v>
      </c>
      <c r="K272" s="17">
        <f t="shared" si="46"/>
        <v>1.35E-4</v>
      </c>
      <c r="L272" s="10">
        <f t="shared" si="47"/>
        <v>6.7349999999999997E-3</v>
      </c>
      <c r="M272" s="11">
        <f t="shared" si="53"/>
        <v>2.2656625707473164</v>
      </c>
      <c r="N272" s="5">
        <f t="shared" si="48"/>
        <v>6.8119852232188622E-3</v>
      </c>
      <c r="O272">
        <f t="shared" si="49"/>
        <v>12087.527700000001</v>
      </c>
      <c r="P272">
        <f t="shared" ca="1" si="50"/>
        <v>12085</v>
      </c>
      <c r="Q272" t="str">
        <f t="shared" ca="1" si="54"/>
        <v>0010111100110101</v>
      </c>
      <c r="R272">
        <f t="shared" ca="1" si="51"/>
        <v>2.2659375000000002</v>
      </c>
      <c r="S272">
        <f t="shared" ca="1" si="52"/>
        <v>47.191250000000004</v>
      </c>
      <c r="T272" s="3">
        <f t="shared" ca="1" si="55"/>
        <v>4.0691489361702913E-3</v>
      </c>
    </row>
    <row r="273" spans="8:20" x14ac:dyDescent="0.25">
      <c r="H273">
        <v>47.1</v>
      </c>
      <c r="I273" s="11">
        <v>2.25875</v>
      </c>
      <c r="J273" s="10">
        <f t="shared" si="45"/>
        <v>-6.8999999999999997E-5</v>
      </c>
      <c r="K273" s="17">
        <f t="shared" si="46"/>
        <v>1.36E-4</v>
      </c>
      <c r="L273" s="10">
        <f t="shared" si="47"/>
        <v>6.7660000000000003E-3</v>
      </c>
      <c r="M273" s="11">
        <f t="shared" si="53"/>
        <v>2.2742062796883715</v>
      </c>
      <c r="N273" s="5">
        <f t="shared" si="48"/>
        <v>6.8428465692845549E-3</v>
      </c>
      <c r="O273">
        <f t="shared" si="49"/>
        <v>12133.109200000001</v>
      </c>
      <c r="P273">
        <f t="shared" ca="1" si="50"/>
        <v>12131</v>
      </c>
      <c r="Q273" t="str">
        <f t="shared" ca="1" si="54"/>
        <v>0010111101100011</v>
      </c>
      <c r="R273">
        <f t="shared" ca="1" si="51"/>
        <v>2.2745625</v>
      </c>
      <c r="S273">
        <f t="shared" ca="1" si="52"/>
        <v>47.294750000000008</v>
      </c>
      <c r="T273" s="3">
        <f t="shared" ca="1" si="55"/>
        <v>4.1348195329088365E-3</v>
      </c>
    </row>
    <row r="274" spans="8:20" x14ac:dyDescent="0.25">
      <c r="H274">
        <v>47.2</v>
      </c>
      <c r="I274" s="11">
        <v>2.2663333333333338</v>
      </c>
      <c r="J274" s="10">
        <f t="shared" si="45"/>
        <v>-6.8999999999999997E-5</v>
      </c>
      <c r="K274" s="17">
        <f t="shared" si="46"/>
        <v>1.36E-4</v>
      </c>
      <c r="L274" s="10">
        <f t="shared" si="47"/>
        <v>6.796E-3</v>
      </c>
      <c r="M274" s="11">
        <f t="shared" si="53"/>
        <v>2.2819101950186806</v>
      </c>
      <c r="N274" s="5">
        <f t="shared" si="48"/>
        <v>6.8731556193617673E-3</v>
      </c>
      <c r="O274">
        <f t="shared" si="49"/>
        <v>12174.210300000001</v>
      </c>
      <c r="P274">
        <f t="shared" ca="1" si="50"/>
        <v>12178</v>
      </c>
      <c r="Q274" t="str">
        <f t="shared" ca="1" si="54"/>
        <v>0010111110010010</v>
      </c>
      <c r="R274">
        <f t="shared" ca="1" si="51"/>
        <v>2.2833749999999999</v>
      </c>
      <c r="S274">
        <f t="shared" ca="1" si="52"/>
        <v>47.400500000000001</v>
      </c>
      <c r="T274" s="3">
        <f t="shared" ca="1" si="55"/>
        <v>4.2478813559321633E-3</v>
      </c>
    </row>
    <row r="275" spans="8:20" x14ac:dyDescent="0.25">
      <c r="H275">
        <v>47.3</v>
      </c>
      <c r="I275" s="11">
        <v>2.2757499999999995</v>
      </c>
      <c r="J275" s="10">
        <f t="shared" si="45"/>
        <v>-6.7999999999999999E-5</v>
      </c>
      <c r="K275" s="17">
        <f t="shared" si="46"/>
        <v>1.37E-4</v>
      </c>
      <c r="L275" s="10">
        <f t="shared" si="47"/>
        <v>6.8269999999999997E-3</v>
      </c>
      <c r="M275" s="11">
        <f t="shared" si="53"/>
        <v>2.2914618097753361</v>
      </c>
      <c r="N275" s="5">
        <f t="shared" si="48"/>
        <v>6.9040139625778738E-3</v>
      </c>
      <c r="O275">
        <f t="shared" si="49"/>
        <v>12225.169099999999</v>
      </c>
      <c r="P275">
        <f t="shared" ca="1" si="50"/>
        <v>12229</v>
      </c>
      <c r="Q275" t="str">
        <f t="shared" ca="1" si="54"/>
        <v>0010111111000101</v>
      </c>
      <c r="R275">
        <f t="shared" ca="1" si="51"/>
        <v>2.2929374999999999</v>
      </c>
      <c r="S275">
        <f t="shared" ca="1" si="52"/>
        <v>47.515250000000002</v>
      </c>
      <c r="T275" s="3">
        <f t="shared" ca="1" si="55"/>
        <v>4.5507399577167998E-3</v>
      </c>
    </row>
    <row r="276" spans="8:20" x14ac:dyDescent="0.25">
      <c r="H276">
        <v>47.400000000000006</v>
      </c>
      <c r="I276" s="11">
        <v>2.2840000000000007</v>
      </c>
      <c r="J276" s="10">
        <f t="shared" si="45"/>
        <v>-6.7000000000000002E-5</v>
      </c>
      <c r="K276" s="17">
        <f t="shared" si="46"/>
        <v>1.37E-4</v>
      </c>
      <c r="L276" s="10">
        <f t="shared" si="47"/>
        <v>6.8570000000000002E-3</v>
      </c>
      <c r="M276" s="11">
        <f t="shared" si="53"/>
        <v>2.2998369821868558</v>
      </c>
      <c r="N276" s="5">
        <f t="shared" si="48"/>
        <v>6.9338801168367502E-3</v>
      </c>
      <c r="O276">
        <f t="shared" si="49"/>
        <v>12269.8514</v>
      </c>
      <c r="P276">
        <f t="shared" ca="1" si="50"/>
        <v>12269</v>
      </c>
      <c r="Q276" t="str">
        <f t="shared" ca="1" si="54"/>
        <v>0010111111101101</v>
      </c>
      <c r="R276">
        <f t="shared" ca="1" si="51"/>
        <v>2.3004375000000001</v>
      </c>
      <c r="S276">
        <f t="shared" ca="1" si="52"/>
        <v>47.605250000000005</v>
      </c>
      <c r="T276" s="3">
        <f t="shared" ca="1" si="55"/>
        <v>4.3301687763712968E-3</v>
      </c>
    </row>
    <row r="277" spans="8:20" x14ac:dyDescent="0.25">
      <c r="H277">
        <v>47.5</v>
      </c>
      <c r="I277" s="11">
        <v>2.2924166666666661</v>
      </c>
      <c r="J277" s="10">
        <f t="shared" si="45"/>
        <v>-6.7000000000000002E-5</v>
      </c>
      <c r="K277" s="17">
        <f t="shared" si="46"/>
        <v>1.3799999999999999E-4</v>
      </c>
      <c r="L277" s="10">
        <f t="shared" si="47"/>
        <v>6.888E-3</v>
      </c>
      <c r="M277" s="11">
        <f t="shared" si="53"/>
        <v>2.3083838143801163</v>
      </c>
      <c r="N277" s="5">
        <f t="shared" si="48"/>
        <v>6.9652031175761559E-3</v>
      </c>
      <c r="O277">
        <f t="shared" si="49"/>
        <v>12315.4496</v>
      </c>
      <c r="P277">
        <f t="shared" ca="1" si="50"/>
        <v>12317</v>
      </c>
      <c r="Q277" t="str">
        <f t="shared" ca="1" si="54"/>
        <v>0011000000011101</v>
      </c>
      <c r="R277">
        <f t="shared" ca="1" si="51"/>
        <v>2.3094375</v>
      </c>
      <c r="S277">
        <f t="shared" ca="1" si="52"/>
        <v>47.713250000000002</v>
      </c>
      <c r="T277" s="3">
        <f t="shared" ca="1" si="55"/>
        <v>4.4894736842105718E-3</v>
      </c>
    </row>
    <row r="278" spans="8:20" x14ac:dyDescent="0.25">
      <c r="H278">
        <v>47.6</v>
      </c>
      <c r="I278" s="11">
        <v>2.2991666666666664</v>
      </c>
      <c r="J278" s="10">
        <f t="shared" si="45"/>
        <v>-6.6000000000000005E-5</v>
      </c>
      <c r="K278" s="17">
        <f t="shared" si="46"/>
        <v>1.3799999999999999E-4</v>
      </c>
      <c r="L278" s="10">
        <f t="shared" si="47"/>
        <v>6.9179999999999997E-3</v>
      </c>
      <c r="M278" s="11">
        <f t="shared" si="53"/>
        <v>2.3152495631445</v>
      </c>
      <c r="N278" s="5">
        <f t="shared" si="48"/>
        <v>6.9950981418631436E-3</v>
      </c>
      <c r="O278">
        <f t="shared" si="49"/>
        <v>12352.079</v>
      </c>
      <c r="P278">
        <f t="shared" ca="1" si="50"/>
        <v>12352</v>
      </c>
      <c r="Q278" t="str">
        <f t="shared" ca="1" si="54"/>
        <v>0011000001000000</v>
      </c>
      <c r="R278">
        <f t="shared" ca="1" si="51"/>
        <v>2.3159999999999998</v>
      </c>
      <c r="S278">
        <f t="shared" ca="1" si="52"/>
        <v>47.792000000000002</v>
      </c>
      <c r="T278" s="3">
        <f t="shared" ca="1" si="55"/>
        <v>4.0336134453781546E-3</v>
      </c>
    </row>
    <row r="279" spans="8:20" x14ac:dyDescent="0.25">
      <c r="H279">
        <v>47.7</v>
      </c>
      <c r="I279" s="11">
        <v>2.3081666666666667</v>
      </c>
      <c r="J279" s="10">
        <f t="shared" si="45"/>
        <v>-6.6000000000000005E-5</v>
      </c>
      <c r="K279" s="17">
        <f t="shared" si="46"/>
        <v>1.3899999999999999E-4</v>
      </c>
      <c r="L279" s="10">
        <f t="shared" si="47"/>
        <v>6.9490000000000003E-3</v>
      </c>
      <c r="M279" s="11">
        <f t="shared" si="53"/>
        <v>2.3243848167583203</v>
      </c>
      <c r="N279" s="5">
        <f t="shared" si="48"/>
        <v>7.0264207199019204E-3</v>
      </c>
      <c r="O279">
        <f t="shared" si="49"/>
        <v>12400.816500000001</v>
      </c>
      <c r="P279">
        <f t="shared" ca="1" si="50"/>
        <v>12401</v>
      </c>
      <c r="Q279" t="str">
        <f t="shared" ca="1" si="54"/>
        <v>0011000001110001</v>
      </c>
      <c r="R279">
        <f t="shared" ca="1" si="51"/>
        <v>2.3251875000000002</v>
      </c>
      <c r="S279">
        <f t="shared" ca="1" si="52"/>
        <v>47.902250000000009</v>
      </c>
      <c r="T279" s="3">
        <f t="shared" ca="1" si="55"/>
        <v>4.2400419287213099E-3</v>
      </c>
    </row>
    <row r="280" spans="8:20" x14ac:dyDescent="0.25">
      <c r="H280">
        <v>47.8</v>
      </c>
      <c r="I280" s="11">
        <v>2.317333333333333</v>
      </c>
      <c r="J280" s="10">
        <f t="shared" si="45"/>
        <v>-6.4999999999999994E-5</v>
      </c>
      <c r="K280" s="17">
        <f t="shared" si="46"/>
        <v>1.3899999999999999E-4</v>
      </c>
      <c r="L280" s="10">
        <f t="shared" si="47"/>
        <v>6.979E-3</v>
      </c>
      <c r="M280" s="11">
        <f t="shared" si="53"/>
        <v>2.3336851217983638</v>
      </c>
      <c r="N280" s="5">
        <f t="shared" si="48"/>
        <v>7.0562953675334409E-3</v>
      </c>
      <c r="O280">
        <f t="shared" si="49"/>
        <v>12450.434499999999</v>
      </c>
      <c r="P280">
        <f t="shared" ca="1" si="50"/>
        <v>12454</v>
      </c>
      <c r="Q280" t="str">
        <f t="shared" ca="1" si="54"/>
        <v>0011000010100110</v>
      </c>
      <c r="R280">
        <f t="shared" ca="1" si="51"/>
        <v>2.3351250000000001</v>
      </c>
      <c r="S280">
        <f t="shared" ca="1" si="52"/>
        <v>48.021500000000003</v>
      </c>
      <c r="T280" s="3">
        <f t="shared" ca="1" si="55"/>
        <v>4.6338912133892475E-3</v>
      </c>
    </row>
    <row r="281" spans="8:20" x14ac:dyDescent="0.25">
      <c r="H281">
        <v>47.900000000000006</v>
      </c>
      <c r="I281" s="11">
        <v>2.324416666666667</v>
      </c>
      <c r="J281" s="10">
        <f t="shared" si="45"/>
        <v>-6.4999999999999994E-5</v>
      </c>
      <c r="K281" s="17">
        <f t="shared" si="46"/>
        <v>1.3999999999999999E-4</v>
      </c>
      <c r="L281" s="10">
        <f t="shared" si="47"/>
        <v>7.0099999999999997E-3</v>
      </c>
      <c r="M281" s="11">
        <f t="shared" si="53"/>
        <v>2.3408913147832981</v>
      </c>
      <c r="N281" s="5">
        <f t="shared" si="48"/>
        <v>7.0876484207354363E-3</v>
      </c>
      <c r="O281">
        <f t="shared" si="49"/>
        <v>12488.8802</v>
      </c>
      <c r="P281">
        <f t="shared" ca="1" si="50"/>
        <v>12487</v>
      </c>
      <c r="Q281" t="str">
        <f t="shared" ca="1" si="54"/>
        <v>0011000011000111</v>
      </c>
      <c r="R281">
        <f t="shared" ca="1" si="51"/>
        <v>2.3413124999999999</v>
      </c>
      <c r="S281">
        <f t="shared" ca="1" si="52"/>
        <v>48.095750000000002</v>
      </c>
      <c r="T281" s="3">
        <f t="shared" ca="1" si="55"/>
        <v>4.0866388308976355E-3</v>
      </c>
    </row>
    <row r="282" spans="8:20" x14ac:dyDescent="0.25">
      <c r="H282">
        <v>48</v>
      </c>
      <c r="I282" s="11">
        <v>2.3341666666666656</v>
      </c>
      <c r="J282" s="10">
        <f t="shared" si="45"/>
        <v>-6.3999999999999997E-5</v>
      </c>
      <c r="K282" s="17">
        <f t="shared" si="46"/>
        <v>1.3999999999999999E-4</v>
      </c>
      <c r="L282" s="10">
        <f t="shared" si="47"/>
        <v>7.0400000000000003E-3</v>
      </c>
      <c r="M282" s="11">
        <f t="shared" si="53"/>
        <v>2.3507801589859265</v>
      </c>
      <c r="N282" s="5">
        <f t="shared" si="48"/>
        <v>7.1175261631963912E-3</v>
      </c>
      <c r="O282">
        <f t="shared" si="49"/>
        <v>12541.638199999999</v>
      </c>
      <c r="P282">
        <f t="shared" ca="1" si="50"/>
        <v>12543</v>
      </c>
      <c r="Q282" t="str">
        <f t="shared" ca="1" si="54"/>
        <v>0011000011111111</v>
      </c>
      <c r="R282">
        <f t="shared" ca="1" si="51"/>
        <v>2.3518124999999999</v>
      </c>
      <c r="S282">
        <f t="shared" ca="1" si="52"/>
        <v>48.22175</v>
      </c>
      <c r="T282" s="3">
        <f t="shared" ca="1" si="55"/>
        <v>4.6197916666666687E-3</v>
      </c>
    </row>
    <row r="283" spans="8:20" x14ac:dyDescent="0.25">
      <c r="H283">
        <v>48.1</v>
      </c>
      <c r="I283" s="11">
        <v>2.3409166666666659</v>
      </c>
      <c r="J283" s="10">
        <f t="shared" si="45"/>
        <v>-6.3E-5</v>
      </c>
      <c r="K283" s="17">
        <f t="shared" si="46"/>
        <v>1.4100000000000001E-4</v>
      </c>
      <c r="L283" s="10">
        <f t="shared" si="47"/>
        <v>7.071E-3</v>
      </c>
      <c r="M283" s="11">
        <f t="shared" si="53"/>
        <v>2.3576506141593869</v>
      </c>
      <c r="N283" s="5">
        <f t="shared" si="48"/>
        <v>7.1484592899025579E-3</v>
      </c>
      <c r="O283">
        <f t="shared" si="49"/>
        <v>12578.2927</v>
      </c>
      <c r="P283">
        <f t="shared" ca="1" si="50"/>
        <v>12579</v>
      </c>
      <c r="Q283" t="str">
        <f t="shared" ca="1" si="54"/>
        <v>0011000100100011</v>
      </c>
      <c r="R283">
        <f t="shared" ca="1" si="51"/>
        <v>2.3585625000000001</v>
      </c>
      <c r="S283">
        <f t="shared" ca="1" si="52"/>
        <v>48.302750000000003</v>
      </c>
      <c r="T283" s="3">
        <f t="shared" ca="1" si="55"/>
        <v>4.2151767151767513E-3</v>
      </c>
    </row>
    <row r="284" spans="8:20" x14ac:dyDescent="0.25">
      <c r="H284">
        <v>48.2</v>
      </c>
      <c r="I284" s="11">
        <v>2.3495833333333325</v>
      </c>
      <c r="J284" s="10">
        <f t="shared" si="45"/>
        <v>-6.3E-5</v>
      </c>
      <c r="K284" s="17">
        <f t="shared" si="46"/>
        <v>1.4100000000000001E-4</v>
      </c>
      <c r="L284" s="10">
        <f t="shared" si="47"/>
        <v>7.1009999999999997E-3</v>
      </c>
      <c r="M284" s="11">
        <f t="shared" si="53"/>
        <v>2.3664504983219166</v>
      </c>
      <c r="N284" s="5">
        <f t="shared" si="48"/>
        <v>7.178789851498819E-3</v>
      </c>
      <c r="O284">
        <f t="shared" si="49"/>
        <v>12625.240900000001</v>
      </c>
      <c r="P284">
        <f t="shared" ca="1" si="50"/>
        <v>12623</v>
      </c>
      <c r="Q284" t="str">
        <f t="shared" ca="1" si="54"/>
        <v>0011000101001111</v>
      </c>
      <c r="R284">
        <f t="shared" ca="1" si="51"/>
        <v>2.3668125</v>
      </c>
      <c r="S284">
        <f t="shared" ca="1" si="52"/>
        <v>48.401750000000007</v>
      </c>
      <c r="T284" s="3">
        <f t="shared" ca="1" si="55"/>
        <v>4.1856846473029893E-3</v>
      </c>
    </row>
    <row r="285" spans="8:20" x14ac:dyDescent="0.25">
      <c r="H285">
        <v>48.3</v>
      </c>
      <c r="I285" s="11">
        <v>2.3585833333333328</v>
      </c>
      <c r="J285" s="10">
        <f t="shared" si="45"/>
        <v>-6.2000000000000003E-5</v>
      </c>
      <c r="K285" s="17">
        <f t="shared" si="46"/>
        <v>1.4200000000000001E-4</v>
      </c>
      <c r="L285" s="10">
        <f t="shared" si="47"/>
        <v>7.1320000000000003E-3</v>
      </c>
      <c r="M285" s="11">
        <f t="shared" si="53"/>
        <v>2.3755880271429159</v>
      </c>
      <c r="N285" s="5">
        <f t="shared" si="48"/>
        <v>7.2097065934705754E-3</v>
      </c>
      <c r="O285">
        <f t="shared" si="49"/>
        <v>12673.9905</v>
      </c>
      <c r="P285">
        <f t="shared" ca="1" si="50"/>
        <v>12673</v>
      </c>
      <c r="Q285" t="str">
        <f t="shared" ca="1" si="54"/>
        <v>0011000110000001</v>
      </c>
      <c r="R285">
        <f t="shared" ca="1" si="51"/>
        <v>2.3761874999999999</v>
      </c>
      <c r="S285">
        <f t="shared" ca="1" si="52"/>
        <v>48.514249999999997</v>
      </c>
      <c r="T285" s="3">
        <f t="shared" ca="1" si="55"/>
        <v>4.4358178053830197E-3</v>
      </c>
    </row>
    <row r="286" spans="8:20" x14ac:dyDescent="0.25">
      <c r="H286">
        <v>48.400000000000006</v>
      </c>
      <c r="I286" s="11">
        <v>2.3674166666666663</v>
      </c>
      <c r="J286" s="10">
        <f t="shared" si="45"/>
        <v>-6.2000000000000003E-5</v>
      </c>
      <c r="K286" s="17">
        <f t="shared" si="46"/>
        <v>1.4200000000000001E-4</v>
      </c>
      <c r="L286" s="10">
        <f t="shared" si="47"/>
        <v>7.162E-3</v>
      </c>
      <c r="M286" s="11">
        <f t="shared" si="53"/>
        <v>2.3845568629188914</v>
      </c>
      <c r="N286" s="5">
        <f t="shared" si="48"/>
        <v>7.2400420650744791E-3</v>
      </c>
      <c r="O286">
        <f t="shared" si="49"/>
        <v>12721.840099999999</v>
      </c>
      <c r="P286">
        <f t="shared" ca="1" si="50"/>
        <v>12719</v>
      </c>
      <c r="Q286" t="str">
        <f t="shared" ca="1" si="54"/>
        <v>0011000110101111</v>
      </c>
      <c r="R286">
        <f t="shared" ca="1" si="51"/>
        <v>2.3848125000000002</v>
      </c>
      <c r="S286">
        <f t="shared" ca="1" si="52"/>
        <v>48.617750000000001</v>
      </c>
      <c r="T286" s="3">
        <f t="shared" ca="1" si="55"/>
        <v>4.4989669421486612E-3</v>
      </c>
    </row>
    <row r="287" spans="8:20" x14ac:dyDescent="0.25">
      <c r="H287">
        <v>48.5</v>
      </c>
      <c r="I287" s="11">
        <v>2.3743333333333325</v>
      </c>
      <c r="J287" s="10">
        <f t="shared" si="45"/>
        <v>-6.0999999999999999E-5</v>
      </c>
      <c r="K287" s="17">
        <f t="shared" si="46"/>
        <v>1.4300000000000001E-4</v>
      </c>
      <c r="L287" s="10">
        <f t="shared" si="47"/>
        <v>7.1929999999999997E-3</v>
      </c>
      <c r="M287" s="11">
        <f t="shared" si="53"/>
        <v>2.391597091210409</v>
      </c>
      <c r="N287" s="5">
        <f t="shared" si="48"/>
        <v>7.270991665201375E-3</v>
      </c>
      <c r="O287">
        <f t="shared" si="49"/>
        <v>12759.4004</v>
      </c>
      <c r="P287">
        <f t="shared" ca="1" si="50"/>
        <v>12762</v>
      </c>
      <c r="Q287" t="str">
        <f t="shared" ca="1" si="54"/>
        <v>0011000111011010</v>
      </c>
      <c r="R287">
        <f t="shared" ca="1" si="51"/>
        <v>2.3928750000000001</v>
      </c>
      <c r="S287">
        <f t="shared" ca="1" si="52"/>
        <v>48.714500000000008</v>
      </c>
      <c r="T287" s="3">
        <f t="shared" ca="1" si="55"/>
        <v>4.4226804123713021E-3</v>
      </c>
    </row>
    <row r="288" spans="8:20" x14ac:dyDescent="0.25">
      <c r="H288">
        <v>48.6</v>
      </c>
      <c r="I288" s="11">
        <v>2.3829166666666657</v>
      </c>
      <c r="J288" s="10">
        <f t="shared" si="45"/>
        <v>-6.0999999999999999E-5</v>
      </c>
      <c r="K288" s="17">
        <f t="shared" si="46"/>
        <v>1.4300000000000001E-4</v>
      </c>
      <c r="L288" s="10">
        <f t="shared" si="47"/>
        <v>7.2230000000000003E-3</v>
      </c>
      <c r="M288" s="11">
        <f t="shared" si="53"/>
        <v>2.4003151429441512</v>
      </c>
      <c r="N288" s="5">
        <f t="shared" si="48"/>
        <v>7.301336433985864E-3</v>
      </c>
      <c r="O288">
        <f t="shared" si="49"/>
        <v>12805.9121</v>
      </c>
      <c r="P288">
        <f t="shared" ca="1" si="50"/>
        <v>12808</v>
      </c>
      <c r="Q288" t="str">
        <f t="shared" ca="1" si="54"/>
        <v>0011001000001000</v>
      </c>
      <c r="R288">
        <f t="shared" ca="1" si="51"/>
        <v>2.4015</v>
      </c>
      <c r="S288">
        <f t="shared" ca="1" si="52"/>
        <v>48.817999999999998</v>
      </c>
      <c r="T288" s="3">
        <f t="shared" ca="1" si="55"/>
        <v>4.4855967078188562E-3</v>
      </c>
    </row>
    <row r="289" spans="8:20" x14ac:dyDescent="0.25">
      <c r="H289">
        <v>48.7</v>
      </c>
      <c r="I289" s="11">
        <v>2.3919999999999995</v>
      </c>
      <c r="J289" s="10">
        <f t="shared" si="45"/>
        <v>-6.0000000000000002E-5</v>
      </c>
      <c r="K289" s="17">
        <f t="shared" si="46"/>
        <v>1.44E-4</v>
      </c>
      <c r="L289" s="10">
        <f t="shared" si="47"/>
        <v>7.254E-3</v>
      </c>
      <c r="M289" s="11">
        <f t="shared" si="53"/>
        <v>2.4095387944146833</v>
      </c>
      <c r="N289" s="5">
        <f t="shared" si="48"/>
        <v>7.3322719124932568E-3</v>
      </c>
      <c r="O289">
        <f t="shared" si="49"/>
        <v>12855.1211</v>
      </c>
      <c r="P289">
        <f t="shared" ca="1" si="50"/>
        <v>12855</v>
      </c>
      <c r="Q289" t="str">
        <f t="shared" ca="1" si="54"/>
        <v>0011001000110111</v>
      </c>
      <c r="R289">
        <f t="shared" ca="1" si="51"/>
        <v>2.4103124999999999</v>
      </c>
      <c r="S289">
        <f t="shared" ca="1" si="52"/>
        <v>48.923750000000005</v>
      </c>
      <c r="T289" s="3">
        <f t="shared" ca="1" si="55"/>
        <v>4.5944558521561095E-3</v>
      </c>
    </row>
    <row r="290" spans="8:20" x14ac:dyDescent="0.25">
      <c r="H290">
        <v>48.8</v>
      </c>
      <c r="I290" s="11">
        <v>2.3996666666666657</v>
      </c>
      <c r="J290" s="10">
        <f t="shared" si="45"/>
        <v>-5.8999999999999998E-5</v>
      </c>
      <c r="K290" s="17">
        <f t="shared" si="46"/>
        <v>1.44E-4</v>
      </c>
      <c r="L290" s="10">
        <f t="shared" si="47"/>
        <v>7.2839999999999997E-3</v>
      </c>
      <c r="M290" s="11">
        <f t="shared" si="53"/>
        <v>2.4173335240558886</v>
      </c>
      <c r="N290" s="5">
        <f t="shared" si="48"/>
        <v>7.3622131084412771E-3</v>
      </c>
      <c r="O290">
        <f t="shared" si="49"/>
        <v>12896.7068</v>
      </c>
      <c r="P290">
        <f t="shared" ca="1" si="50"/>
        <v>12894</v>
      </c>
      <c r="Q290" t="str">
        <f t="shared" ca="1" si="54"/>
        <v>0011001001011110</v>
      </c>
      <c r="R290">
        <f t="shared" ca="1" si="51"/>
        <v>2.4176250000000001</v>
      </c>
      <c r="S290">
        <f t="shared" ca="1" si="52"/>
        <v>49.011500000000005</v>
      </c>
      <c r="T290" s="3">
        <f t="shared" ca="1" si="55"/>
        <v>4.3340163934427875E-3</v>
      </c>
    </row>
    <row r="291" spans="8:20" x14ac:dyDescent="0.25">
      <c r="H291">
        <v>48.900000000000006</v>
      </c>
      <c r="I291" s="11">
        <v>2.4088333333333329</v>
      </c>
      <c r="J291" s="10">
        <f t="shared" si="45"/>
        <v>-5.8999999999999998E-5</v>
      </c>
      <c r="K291" s="17">
        <f t="shared" si="46"/>
        <v>1.45E-4</v>
      </c>
      <c r="L291" s="10">
        <f t="shared" si="47"/>
        <v>7.3150000000000003E-3</v>
      </c>
      <c r="M291" s="11">
        <f t="shared" si="53"/>
        <v>2.4266432285501773</v>
      </c>
      <c r="N291" s="5">
        <f t="shared" si="48"/>
        <v>7.393577202038773E-3</v>
      </c>
      <c r="O291">
        <f t="shared" si="49"/>
        <v>12946.374900000001</v>
      </c>
      <c r="P291">
        <f t="shared" ca="1" si="50"/>
        <v>12948</v>
      </c>
      <c r="Q291" t="str">
        <f t="shared" ca="1" si="54"/>
        <v>0011001010010100</v>
      </c>
      <c r="R291">
        <f t="shared" ca="1" si="51"/>
        <v>2.4277500000000001</v>
      </c>
      <c r="S291">
        <f t="shared" ca="1" si="52"/>
        <v>49.133000000000003</v>
      </c>
      <c r="T291" s="3">
        <f t="shared" ca="1" si="55"/>
        <v>4.7648261758690587E-3</v>
      </c>
    </row>
    <row r="292" spans="8:20" x14ac:dyDescent="0.25">
      <c r="H292">
        <v>49</v>
      </c>
      <c r="I292" s="11">
        <v>2.4167499999999995</v>
      </c>
      <c r="J292" s="10">
        <f t="shared" si="45"/>
        <v>-5.8E-5</v>
      </c>
      <c r="K292" s="17">
        <f t="shared" si="46"/>
        <v>1.45E-4</v>
      </c>
      <c r="L292" s="10">
        <f t="shared" si="47"/>
        <v>7.345E-3</v>
      </c>
      <c r="M292" s="11">
        <f t="shared" si="53"/>
        <v>2.4346908039550494</v>
      </c>
      <c r="N292" s="5">
        <f t="shared" si="48"/>
        <v>7.4235249632977913E-3</v>
      </c>
      <c r="O292">
        <f t="shared" si="49"/>
        <v>12989.309499999999</v>
      </c>
      <c r="P292">
        <f t="shared" ca="1" si="50"/>
        <v>12992</v>
      </c>
      <c r="Q292" t="str">
        <f t="shared" ca="1" si="54"/>
        <v>0011001011000000</v>
      </c>
      <c r="R292">
        <f t="shared" ca="1" si="51"/>
        <v>2.4359999999999999</v>
      </c>
      <c r="S292">
        <f t="shared" ca="1" si="52"/>
        <v>49.232000000000006</v>
      </c>
      <c r="T292" s="3">
        <f t="shared" ca="1" si="55"/>
        <v>4.7346938775511514E-3</v>
      </c>
    </row>
    <row r="293" spans="8:20" x14ac:dyDescent="0.25">
      <c r="H293">
        <v>49.1</v>
      </c>
      <c r="I293" s="11">
        <v>2.4256666666666664</v>
      </c>
      <c r="J293" s="10">
        <f t="shared" si="45"/>
        <v>-5.8E-5</v>
      </c>
      <c r="K293" s="17">
        <f t="shared" si="46"/>
        <v>1.46E-4</v>
      </c>
      <c r="L293" s="10">
        <f t="shared" si="47"/>
        <v>7.3759999999999997E-3</v>
      </c>
      <c r="M293" s="11">
        <f t="shared" si="53"/>
        <v>2.4437497649328113</v>
      </c>
      <c r="N293" s="5">
        <f t="shared" si="48"/>
        <v>7.4548982820440493E-3</v>
      </c>
      <c r="O293">
        <f t="shared" si="49"/>
        <v>13037.64</v>
      </c>
      <c r="P293">
        <f t="shared" ca="1" si="50"/>
        <v>13036</v>
      </c>
      <c r="Q293" t="str">
        <f t="shared" ca="1" si="54"/>
        <v>0011001011101100</v>
      </c>
      <c r="R293">
        <f t="shared" ca="1" si="51"/>
        <v>2.4442500000000003</v>
      </c>
      <c r="S293">
        <f t="shared" ca="1" si="52"/>
        <v>49.33100000000001</v>
      </c>
      <c r="T293" s="3">
        <f t="shared" ca="1" si="55"/>
        <v>4.704684317719119E-3</v>
      </c>
    </row>
    <row r="294" spans="8:20" x14ac:dyDescent="0.25">
      <c r="H294">
        <v>49.2</v>
      </c>
      <c r="I294" s="11">
        <v>2.4341666666666661</v>
      </c>
      <c r="J294" s="10">
        <f t="shared" si="45"/>
        <v>-5.7000000000000003E-5</v>
      </c>
      <c r="K294" s="17">
        <f t="shared" si="46"/>
        <v>1.46E-4</v>
      </c>
      <c r="L294" s="10">
        <f t="shared" si="47"/>
        <v>7.4060000000000003E-3</v>
      </c>
      <c r="M294" s="11">
        <f t="shared" si="53"/>
        <v>2.4523860376615878</v>
      </c>
      <c r="N294" s="5">
        <f t="shared" si="48"/>
        <v>7.4848494330386831E-3</v>
      </c>
      <c r="O294">
        <f t="shared" si="49"/>
        <v>13083.7153</v>
      </c>
      <c r="P294">
        <f t="shared" ca="1" si="50"/>
        <v>13084</v>
      </c>
      <c r="Q294" t="str">
        <f t="shared" ca="1" si="54"/>
        <v>0011001100011100</v>
      </c>
      <c r="R294">
        <f t="shared" ca="1" si="51"/>
        <v>2.4532500000000002</v>
      </c>
      <c r="S294">
        <f t="shared" ca="1" si="52"/>
        <v>49.439</v>
      </c>
      <c r="T294" s="3">
        <f t="shared" ca="1" si="55"/>
        <v>4.8577235772357154E-3</v>
      </c>
    </row>
    <row r="295" spans="8:20" x14ac:dyDescent="0.25">
      <c r="H295">
        <v>49.3</v>
      </c>
      <c r="I295" s="11">
        <v>2.440833333333333</v>
      </c>
      <c r="J295" s="10">
        <f t="shared" si="45"/>
        <v>-5.7000000000000003E-5</v>
      </c>
      <c r="K295" s="17">
        <f t="shared" si="46"/>
        <v>1.47E-4</v>
      </c>
      <c r="L295" s="10">
        <f t="shared" si="47"/>
        <v>7.437E-3</v>
      </c>
      <c r="M295" s="11">
        <f t="shared" si="53"/>
        <v>2.4591792494112039</v>
      </c>
      <c r="N295" s="5">
        <f t="shared" si="48"/>
        <v>7.5162510390731109E-3</v>
      </c>
      <c r="O295">
        <f t="shared" si="49"/>
        <v>13119.957700000001</v>
      </c>
      <c r="P295">
        <f t="shared" ca="1" si="50"/>
        <v>13118</v>
      </c>
      <c r="Q295" t="str">
        <f t="shared" ca="1" si="54"/>
        <v>0011001100111110</v>
      </c>
      <c r="R295">
        <f t="shared" ca="1" si="51"/>
        <v>2.459625</v>
      </c>
      <c r="S295">
        <f t="shared" ca="1" si="52"/>
        <v>49.515500000000003</v>
      </c>
      <c r="T295" s="3">
        <f t="shared" ca="1" si="55"/>
        <v>4.3711967545640128E-3</v>
      </c>
    </row>
    <row r="296" spans="8:20" x14ac:dyDescent="0.25">
      <c r="H296">
        <v>49.400000000000006</v>
      </c>
      <c r="I296" s="11">
        <v>2.4498333333333333</v>
      </c>
      <c r="J296" s="10">
        <f t="shared" si="45"/>
        <v>-5.5999999999999999E-5</v>
      </c>
      <c r="K296" s="17">
        <f t="shared" si="46"/>
        <v>1.47E-4</v>
      </c>
      <c r="L296" s="10">
        <f t="shared" si="47"/>
        <v>7.4669999999999997E-3</v>
      </c>
      <c r="M296" s="11">
        <f t="shared" si="53"/>
        <v>2.4683202808705937</v>
      </c>
      <c r="N296" s="5">
        <f t="shared" si="48"/>
        <v>7.5462062197130825E-3</v>
      </c>
      <c r="O296">
        <f t="shared" si="49"/>
        <v>13168.726000000001</v>
      </c>
      <c r="P296">
        <f t="shared" ca="1" si="50"/>
        <v>13171</v>
      </c>
      <c r="Q296" t="str">
        <f t="shared" ca="1" si="54"/>
        <v>0011001101110011</v>
      </c>
      <c r="R296">
        <f t="shared" ca="1" si="51"/>
        <v>2.4695624999999999</v>
      </c>
      <c r="S296">
        <f t="shared" ca="1" si="52"/>
        <v>49.634749999999997</v>
      </c>
      <c r="T296" s="3">
        <f t="shared" ca="1" si="55"/>
        <v>4.752024291497796E-3</v>
      </c>
    </row>
    <row r="297" spans="8:20" x14ac:dyDescent="0.25">
      <c r="H297">
        <v>49.5</v>
      </c>
      <c r="I297" s="11">
        <v>2.4579166666666659</v>
      </c>
      <c r="J297" s="10">
        <f t="shared" si="45"/>
        <v>-5.5000000000000002E-5</v>
      </c>
      <c r="K297" s="17">
        <f t="shared" si="46"/>
        <v>1.4799999999999999E-4</v>
      </c>
      <c r="L297" s="10">
        <f t="shared" si="47"/>
        <v>7.4980000000000003E-3</v>
      </c>
      <c r="M297" s="11">
        <f t="shared" si="53"/>
        <v>2.4765407693552919</v>
      </c>
      <c r="N297" s="5">
        <f t="shared" si="48"/>
        <v>7.5771904479916032E-3</v>
      </c>
      <c r="O297">
        <f t="shared" si="49"/>
        <v>13212.5831</v>
      </c>
      <c r="P297">
        <f t="shared" ca="1" si="50"/>
        <v>13216</v>
      </c>
      <c r="Q297" t="str">
        <f t="shared" ca="1" si="54"/>
        <v>0011001110100000</v>
      </c>
      <c r="R297">
        <f t="shared" ca="1" si="51"/>
        <v>2.4780000000000002</v>
      </c>
      <c r="S297">
        <f t="shared" ca="1" si="52"/>
        <v>49.736000000000004</v>
      </c>
      <c r="T297" s="3">
        <f t="shared" ca="1" si="55"/>
        <v>4.7676767676768528E-3</v>
      </c>
    </row>
    <row r="298" spans="8:20" x14ac:dyDescent="0.25">
      <c r="H298">
        <v>49.6</v>
      </c>
      <c r="I298" s="11">
        <v>2.4661666666666662</v>
      </c>
      <c r="J298" s="10">
        <f t="shared" si="45"/>
        <v>-5.5000000000000002E-5</v>
      </c>
      <c r="K298" s="17">
        <f t="shared" si="46"/>
        <v>1.4799999999999999E-4</v>
      </c>
      <c r="L298" s="10">
        <f t="shared" si="47"/>
        <v>7.528E-3</v>
      </c>
      <c r="M298" s="11">
        <f t="shared" si="53"/>
        <v>2.4849282062029623</v>
      </c>
      <c r="N298" s="5">
        <f t="shared" si="48"/>
        <v>7.6075716170694533E-3</v>
      </c>
      <c r="O298">
        <f t="shared" si="49"/>
        <v>13257.330900000001</v>
      </c>
      <c r="P298">
        <f t="shared" ca="1" si="50"/>
        <v>13261</v>
      </c>
      <c r="Q298" t="str">
        <f t="shared" ca="1" si="54"/>
        <v>0011001111001101</v>
      </c>
      <c r="R298">
        <f t="shared" ca="1" si="51"/>
        <v>2.4864375000000001</v>
      </c>
      <c r="S298">
        <f t="shared" ca="1" si="52"/>
        <v>49.837250000000004</v>
      </c>
      <c r="T298" s="3">
        <f t="shared" ca="1" si="55"/>
        <v>4.78326612903232E-3</v>
      </c>
    </row>
    <row r="299" spans="8:20" x14ac:dyDescent="0.25">
      <c r="H299">
        <v>49.7</v>
      </c>
      <c r="I299" s="11">
        <v>2.4754166666666668</v>
      </c>
      <c r="J299" s="10">
        <f t="shared" si="45"/>
        <v>-5.3999999999999998E-5</v>
      </c>
      <c r="K299" s="17">
        <f t="shared" si="46"/>
        <v>1.4899999999999999E-4</v>
      </c>
      <c r="L299" s="10">
        <f t="shared" si="47"/>
        <v>7.5589999999999997E-3</v>
      </c>
      <c r="M299" s="11">
        <f t="shared" si="53"/>
        <v>2.4943252713931274</v>
      </c>
      <c r="N299" s="5">
        <f t="shared" si="48"/>
        <v>7.6385543416100758E-3</v>
      </c>
      <c r="O299">
        <f t="shared" si="49"/>
        <v>13307.465099999999</v>
      </c>
      <c r="P299">
        <f t="shared" ca="1" si="50"/>
        <v>13308</v>
      </c>
      <c r="Q299" t="str">
        <f t="shared" ca="1" si="54"/>
        <v>0011001111111100</v>
      </c>
      <c r="R299">
        <f t="shared" ca="1" si="51"/>
        <v>2.49525</v>
      </c>
      <c r="S299">
        <f t="shared" ca="1" si="52"/>
        <v>49.942999999999998</v>
      </c>
      <c r="T299" s="3">
        <f t="shared" ca="1" si="55"/>
        <v>4.8893360160964785E-3</v>
      </c>
    </row>
    <row r="300" spans="8:20" x14ac:dyDescent="0.25">
      <c r="H300">
        <v>49.8</v>
      </c>
      <c r="I300" s="11">
        <v>2.4839166666666657</v>
      </c>
      <c r="J300" s="10">
        <f t="shared" si="45"/>
        <v>-5.3999999999999998E-5</v>
      </c>
      <c r="K300" s="17">
        <f t="shared" si="46"/>
        <v>1.4899999999999999E-4</v>
      </c>
      <c r="L300" s="10">
        <f t="shared" si="47"/>
        <v>7.5890000000000003E-3</v>
      </c>
      <c r="M300" s="11">
        <f t="shared" si="53"/>
        <v>2.5029656731602787</v>
      </c>
      <c r="N300" s="5">
        <f t="shared" si="48"/>
        <v>7.6689394411835138E-3</v>
      </c>
      <c r="O300">
        <f t="shared" si="49"/>
        <v>13353.5625</v>
      </c>
      <c r="P300">
        <f t="shared" ca="1" si="50"/>
        <v>13355</v>
      </c>
      <c r="Q300" t="str">
        <f t="shared" ca="1" si="54"/>
        <v>0011010000101011</v>
      </c>
      <c r="R300">
        <f t="shared" ca="1" si="51"/>
        <v>2.5040624999999999</v>
      </c>
      <c r="S300">
        <f t="shared" ca="1" si="52"/>
        <v>50.048750000000005</v>
      </c>
      <c r="T300" s="3">
        <f t="shared" ca="1" si="55"/>
        <v>4.9949799196788809E-3</v>
      </c>
    </row>
    <row r="301" spans="8:20" x14ac:dyDescent="0.25">
      <c r="H301">
        <v>49.900000000000006</v>
      </c>
      <c r="I301" s="11">
        <v>2.4922499999999994</v>
      </c>
      <c r="J301" s="10">
        <f t="shared" si="45"/>
        <v>-5.3000000000000001E-5</v>
      </c>
      <c r="K301" s="17">
        <f t="shared" si="46"/>
        <v>1.4999999999999999E-4</v>
      </c>
      <c r="L301" s="10">
        <f t="shared" si="47"/>
        <v>7.62E-3</v>
      </c>
      <c r="M301" s="11">
        <f t="shared" si="53"/>
        <v>2.5114401741268457</v>
      </c>
      <c r="N301" s="5">
        <f t="shared" si="48"/>
        <v>7.6999394630740577E-3</v>
      </c>
      <c r="O301">
        <f t="shared" si="49"/>
        <v>13398.774799999999</v>
      </c>
      <c r="P301">
        <f t="shared" ca="1" si="50"/>
        <v>13398</v>
      </c>
      <c r="Q301" t="str">
        <f t="shared" ca="1" si="54"/>
        <v>0011010001010110</v>
      </c>
      <c r="R301">
        <f t="shared" ca="1" si="51"/>
        <v>2.5121250000000002</v>
      </c>
      <c r="S301">
        <f t="shared" ca="1" si="52"/>
        <v>50.145500000000006</v>
      </c>
      <c r="T301" s="3">
        <f t="shared" ca="1" si="55"/>
        <v>4.9198396793587139E-3</v>
      </c>
    </row>
    <row r="302" spans="8:20" x14ac:dyDescent="0.25">
      <c r="H302">
        <v>50</v>
      </c>
      <c r="I302" s="11">
        <v>2.4998333333333322</v>
      </c>
      <c r="J302" s="10">
        <f t="shared" si="45"/>
        <v>-5.3000000000000001E-5</v>
      </c>
      <c r="K302" s="17">
        <f t="shared" si="46"/>
        <v>1.4999999999999999E-4</v>
      </c>
      <c r="L302" s="10">
        <f t="shared" si="47"/>
        <v>7.6499999999999997E-3</v>
      </c>
      <c r="M302" s="11">
        <f t="shared" si="53"/>
        <v>2.51915789120102</v>
      </c>
      <c r="N302" s="5">
        <f t="shared" si="48"/>
        <v>7.7303385029752897E-3</v>
      </c>
      <c r="O302">
        <f t="shared" si="49"/>
        <v>13439.9496</v>
      </c>
      <c r="P302">
        <f t="shared" ca="1" si="50"/>
        <v>13441</v>
      </c>
      <c r="Q302" t="str">
        <f t="shared" ca="1" si="54"/>
        <v>0011010010000001</v>
      </c>
      <c r="R302">
        <f t="shared" ca="1" si="51"/>
        <v>2.5201875</v>
      </c>
      <c r="S302">
        <f t="shared" ca="1" si="52"/>
        <v>50.242249999999999</v>
      </c>
      <c r="T302" s="3">
        <f t="shared" ca="1" si="55"/>
        <v>4.8449999999999709E-3</v>
      </c>
    </row>
    <row r="303" spans="8:20" x14ac:dyDescent="0.25">
      <c r="H303">
        <v>50.1</v>
      </c>
      <c r="I303" s="11">
        <v>2.5078333333333331</v>
      </c>
      <c r="J303" s="10">
        <f t="shared" si="45"/>
        <v>-5.1999999999999997E-5</v>
      </c>
      <c r="K303" s="17">
        <f t="shared" si="46"/>
        <v>1.5100000000000001E-4</v>
      </c>
      <c r="L303" s="10">
        <f t="shared" si="47"/>
        <v>7.6810000000000003E-3</v>
      </c>
      <c r="M303" s="11">
        <f t="shared" si="53"/>
        <v>2.5272975054728706</v>
      </c>
      <c r="N303" s="5">
        <f t="shared" si="48"/>
        <v>7.761349959275912E-3</v>
      </c>
      <c r="O303">
        <f t="shared" si="49"/>
        <v>13483.3752</v>
      </c>
      <c r="P303">
        <f t="shared" ca="1" si="50"/>
        <v>13483</v>
      </c>
      <c r="Q303" t="str">
        <f t="shared" ca="1" si="54"/>
        <v>0011010010101011</v>
      </c>
      <c r="R303">
        <f t="shared" ca="1" si="51"/>
        <v>2.5280624999999999</v>
      </c>
      <c r="S303">
        <f t="shared" ca="1" si="52"/>
        <v>50.336750000000002</v>
      </c>
      <c r="T303" s="3">
        <f t="shared" ca="1" si="55"/>
        <v>4.7255489021956225E-3</v>
      </c>
    </row>
    <row r="304" spans="8:20" x14ac:dyDescent="0.25">
      <c r="H304">
        <v>50.2</v>
      </c>
      <c r="I304" s="11">
        <v>2.5174999999999992</v>
      </c>
      <c r="J304" s="10">
        <f t="shared" si="45"/>
        <v>-5.1E-5</v>
      </c>
      <c r="K304" s="17">
        <f t="shared" si="46"/>
        <v>1.5100000000000001E-4</v>
      </c>
      <c r="L304" s="10">
        <f t="shared" si="47"/>
        <v>7.711E-3</v>
      </c>
      <c r="M304" s="11">
        <f t="shared" si="53"/>
        <v>2.5371146913852711</v>
      </c>
      <c r="N304" s="5">
        <f t="shared" si="48"/>
        <v>7.791337193752512E-3</v>
      </c>
      <c r="O304">
        <f t="shared" si="49"/>
        <v>13535.7508</v>
      </c>
      <c r="P304">
        <f t="shared" ca="1" si="50"/>
        <v>13537</v>
      </c>
      <c r="Q304" t="str">
        <f t="shared" ca="1" si="54"/>
        <v>0011010011100001</v>
      </c>
      <c r="R304">
        <f t="shared" ca="1" si="51"/>
        <v>2.5381875000000003</v>
      </c>
      <c r="S304">
        <f t="shared" ca="1" si="52"/>
        <v>50.458250000000007</v>
      </c>
      <c r="T304" s="3">
        <f t="shared" ca="1" si="55"/>
        <v>5.1444223107570486E-3</v>
      </c>
    </row>
    <row r="305" spans="8:20" x14ac:dyDescent="0.25">
      <c r="H305">
        <v>50.3</v>
      </c>
      <c r="I305" s="11">
        <v>2.5242499999999994</v>
      </c>
      <c r="J305" s="10">
        <f t="shared" si="45"/>
        <v>-5.1E-5</v>
      </c>
      <c r="K305" s="17">
        <f t="shared" si="46"/>
        <v>1.5200000000000001E-4</v>
      </c>
      <c r="L305" s="10">
        <f t="shared" si="47"/>
        <v>7.7419999999999998E-3</v>
      </c>
      <c r="M305" s="11">
        <f t="shared" si="53"/>
        <v>2.5439966218463339</v>
      </c>
      <c r="N305" s="5">
        <f t="shared" si="48"/>
        <v>7.822767890000781E-3</v>
      </c>
      <c r="O305">
        <f t="shared" si="49"/>
        <v>13572.4666</v>
      </c>
      <c r="P305">
        <f t="shared" ca="1" si="50"/>
        <v>13571</v>
      </c>
      <c r="Q305" t="str">
        <f t="shared" ca="1" si="54"/>
        <v>0011010100000011</v>
      </c>
      <c r="R305">
        <f t="shared" ca="1" si="51"/>
        <v>2.5445625000000001</v>
      </c>
      <c r="S305">
        <f t="shared" ca="1" si="52"/>
        <v>50.534750000000003</v>
      </c>
      <c r="T305" s="3">
        <f t="shared" ca="1" si="55"/>
        <v>4.6669980119285357E-3</v>
      </c>
    </row>
    <row r="306" spans="8:20" x14ac:dyDescent="0.25">
      <c r="H306">
        <v>50.400000000000006</v>
      </c>
      <c r="I306" s="11">
        <v>2.5332499999999998</v>
      </c>
      <c r="J306" s="10">
        <f t="shared" si="45"/>
        <v>-5.0000000000000002E-5</v>
      </c>
      <c r="K306" s="17">
        <f t="shared" si="46"/>
        <v>1.5200000000000001E-4</v>
      </c>
      <c r="L306" s="10">
        <f t="shared" si="47"/>
        <v>7.7720000000000003E-3</v>
      </c>
      <c r="M306" s="11">
        <f t="shared" si="53"/>
        <v>2.5531430276105893</v>
      </c>
      <c r="N306" s="5">
        <f t="shared" si="48"/>
        <v>7.8527692136936868E-3</v>
      </c>
      <c r="O306">
        <f t="shared" si="49"/>
        <v>13621.263499999999</v>
      </c>
      <c r="P306">
        <f t="shared" ca="1" si="50"/>
        <v>13625</v>
      </c>
      <c r="Q306" t="str">
        <f t="shared" ca="1" si="54"/>
        <v>0011010100111001</v>
      </c>
      <c r="R306">
        <f t="shared" ca="1" si="51"/>
        <v>2.5546875</v>
      </c>
      <c r="S306">
        <f t="shared" ca="1" si="52"/>
        <v>50.656250000000007</v>
      </c>
      <c r="T306" s="3">
        <f t="shared" ca="1" si="55"/>
        <v>5.0843253968254247E-3</v>
      </c>
    </row>
    <row r="307" spans="8:20" x14ac:dyDescent="0.25">
      <c r="H307">
        <v>50.5</v>
      </c>
      <c r="I307" s="11">
        <v>2.5419999999999989</v>
      </c>
      <c r="J307" s="10">
        <f t="shared" si="45"/>
        <v>-5.0000000000000002E-5</v>
      </c>
      <c r="K307" s="17">
        <f t="shared" si="46"/>
        <v>1.5300000000000001E-4</v>
      </c>
      <c r="L307" s="10">
        <f t="shared" si="47"/>
        <v>7.803E-3</v>
      </c>
      <c r="M307" s="11">
        <f t="shared" si="53"/>
        <v>2.5620416106881989</v>
      </c>
      <c r="N307" s="5">
        <f t="shared" si="48"/>
        <v>7.8841898852084948E-3</v>
      </c>
      <c r="O307">
        <f t="shared" si="49"/>
        <v>13668.738300000001</v>
      </c>
      <c r="P307">
        <f t="shared" ca="1" si="50"/>
        <v>13670</v>
      </c>
      <c r="Q307" t="str">
        <f t="shared" ca="1" si="54"/>
        <v>0011010101100110</v>
      </c>
      <c r="R307">
        <f t="shared" ca="1" si="51"/>
        <v>2.5631249999999999</v>
      </c>
      <c r="S307">
        <f t="shared" ca="1" si="52"/>
        <v>50.7575</v>
      </c>
      <c r="T307" s="3">
        <f t="shared" ca="1" si="55"/>
        <v>5.0990099009901044E-3</v>
      </c>
    </row>
    <row r="308" spans="8:20" x14ac:dyDescent="0.25">
      <c r="H308">
        <v>50.6</v>
      </c>
      <c r="I308" s="11">
        <v>2.5506666666666664</v>
      </c>
      <c r="J308" s="10">
        <f t="shared" si="45"/>
        <v>-4.8999999999999998E-5</v>
      </c>
      <c r="K308" s="17">
        <f t="shared" si="46"/>
        <v>1.5300000000000001E-4</v>
      </c>
      <c r="L308" s="10">
        <f t="shared" si="47"/>
        <v>7.8329999999999997E-3</v>
      </c>
      <c r="M308" s="11">
        <f t="shared" si="53"/>
        <v>2.5708531594647539</v>
      </c>
      <c r="N308" s="5">
        <f t="shared" si="48"/>
        <v>7.9142026129459565E-3</v>
      </c>
      <c r="O308">
        <f t="shared" si="49"/>
        <v>13715.748799999999</v>
      </c>
      <c r="P308">
        <f t="shared" ca="1" si="50"/>
        <v>13719</v>
      </c>
      <c r="Q308" t="str">
        <f t="shared" ca="1" si="54"/>
        <v>0011010110010111</v>
      </c>
      <c r="R308">
        <f t="shared" ca="1" si="51"/>
        <v>2.5723125000000002</v>
      </c>
      <c r="S308">
        <f t="shared" ca="1" si="52"/>
        <v>50.867750000000001</v>
      </c>
      <c r="T308" s="3">
        <f t="shared" ca="1" si="55"/>
        <v>5.2915019762845746E-3</v>
      </c>
    </row>
    <row r="309" spans="8:20" x14ac:dyDescent="0.25">
      <c r="H309">
        <v>50.7</v>
      </c>
      <c r="I309" s="11">
        <v>2.5582500000000001</v>
      </c>
      <c r="J309" s="10">
        <f t="shared" si="45"/>
        <v>-4.8000000000000001E-5</v>
      </c>
      <c r="K309" s="17">
        <f t="shared" si="46"/>
        <v>1.54E-4</v>
      </c>
      <c r="L309" s="10">
        <f t="shared" si="47"/>
        <v>7.8639999999999995E-3</v>
      </c>
      <c r="M309" s="11">
        <f t="shared" si="53"/>
        <v>2.578575921043083</v>
      </c>
      <c r="N309" s="5">
        <f t="shared" si="48"/>
        <v>7.9452442267498643E-3</v>
      </c>
      <c r="O309">
        <f t="shared" si="49"/>
        <v>13756.950500000001</v>
      </c>
      <c r="P309">
        <f t="shared" ca="1" si="50"/>
        <v>13761</v>
      </c>
      <c r="Q309" t="str">
        <f t="shared" ca="1" si="54"/>
        <v>0011010111000001</v>
      </c>
      <c r="R309">
        <f t="shared" ca="1" si="51"/>
        <v>2.5801875000000001</v>
      </c>
      <c r="S309">
        <f t="shared" ca="1" si="52"/>
        <v>50.962250000000004</v>
      </c>
      <c r="T309" s="3">
        <f t="shared" ca="1" si="55"/>
        <v>5.1725838264300127E-3</v>
      </c>
    </row>
    <row r="310" spans="8:20" x14ac:dyDescent="0.25">
      <c r="H310">
        <v>50.8</v>
      </c>
      <c r="I310" s="11">
        <v>2.566583333333333</v>
      </c>
      <c r="J310" s="10">
        <f t="shared" si="45"/>
        <v>-4.8000000000000001E-5</v>
      </c>
      <c r="K310" s="17">
        <f t="shared" si="46"/>
        <v>1.54E-4</v>
      </c>
      <c r="L310" s="10">
        <f t="shared" si="47"/>
        <v>7.894E-3</v>
      </c>
      <c r="M310" s="11">
        <f t="shared" si="53"/>
        <v>2.5870535339301779</v>
      </c>
      <c r="N310" s="5">
        <f t="shared" si="48"/>
        <v>7.9756617799973655E-3</v>
      </c>
      <c r="O310">
        <f t="shared" si="49"/>
        <v>13802.1793</v>
      </c>
      <c r="P310">
        <f t="shared" ca="1" si="50"/>
        <v>13801</v>
      </c>
      <c r="Q310" t="str">
        <f t="shared" ca="1" si="54"/>
        <v>0011010111101001</v>
      </c>
      <c r="R310">
        <f t="shared" ca="1" si="51"/>
        <v>2.5876874999999999</v>
      </c>
      <c r="S310">
        <f t="shared" ca="1" si="52"/>
        <v>51.052250000000001</v>
      </c>
      <c r="T310" s="3">
        <f t="shared" ca="1" si="55"/>
        <v>4.9655511811024337E-3</v>
      </c>
    </row>
    <row r="311" spans="8:20" x14ac:dyDescent="0.25">
      <c r="H311">
        <v>50.900000000000006</v>
      </c>
      <c r="I311" s="11">
        <v>2.5754166666666665</v>
      </c>
      <c r="J311" s="10">
        <f t="shared" si="45"/>
        <v>-4.6999999999999997E-5</v>
      </c>
      <c r="K311" s="17">
        <f t="shared" si="46"/>
        <v>1.55E-4</v>
      </c>
      <c r="L311" s="10">
        <f t="shared" si="47"/>
        <v>7.9249999999999998E-3</v>
      </c>
      <c r="M311" s="11">
        <f t="shared" si="53"/>
        <v>2.5960372619677607</v>
      </c>
      <c r="N311" s="5">
        <f t="shared" si="48"/>
        <v>8.0067025922385179E-3</v>
      </c>
      <c r="O311">
        <f t="shared" si="49"/>
        <v>13850.108399999999</v>
      </c>
      <c r="P311">
        <f t="shared" ca="1" si="50"/>
        <v>13850</v>
      </c>
      <c r="Q311" t="str">
        <f t="shared" ca="1" si="54"/>
        <v>0011011000011010</v>
      </c>
      <c r="R311">
        <f t="shared" ca="1" si="51"/>
        <v>2.5968750000000003</v>
      </c>
      <c r="S311">
        <f t="shared" ca="1" si="52"/>
        <v>51.162500000000001</v>
      </c>
      <c r="T311" s="3">
        <f t="shared" ca="1" si="55"/>
        <v>5.1571709233790902E-3</v>
      </c>
    </row>
    <row r="312" spans="8:20" x14ac:dyDescent="0.25">
      <c r="H312">
        <v>51</v>
      </c>
      <c r="I312" s="11">
        <v>2.5839999999999996</v>
      </c>
      <c r="J312" s="10">
        <f t="shared" si="45"/>
        <v>-4.6999999999999997E-5</v>
      </c>
      <c r="K312" s="17">
        <f t="shared" si="46"/>
        <v>1.55E-4</v>
      </c>
      <c r="L312" s="10">
        <f t="shared" si="47"/>
        <v>7.9550000000000003E-3</v>
      </c>
      <c r="M312" s="11">
        <f t="shared" si="53"/>
        <v>2.6047679288741938</v>
      </c>
      <c r="N312" s="5">
        <f t="shared" si="48"/>
        <v>8.0371241773197419E-3</v>
      </c>
      <c r="O312">
        <f t="shared" si="49"/>
        <v>13896.6873</v>
      </c>
      <c r="P312">
        <f t="shared" ca="1" si="50"/>
        <v>13897</v>
      </c>
      <c r="Q312" t="str">
        <f t="shared" ca="1" si="54"/>
        <v>0011011001001001</v>
      </c>
      <c r="R312">
        <f t="shared" ca="1" si="51"/>
        <v>2.6056875000000002</v>
      </c>
      <c r="S312">
        <f t="shared" ca="1" si="52"/>
        <v>51.268250000000009</v>
      </c>
      <c r="T312" s="3">
        <f t="shared" ca="1" si="55"/>
        <v>5.2598039215688034E-3</v>
      </c>
    </row>
    <row r="313" spans="8:20" x14ac:dyDescent="0.25">
      <c r="H313">
        <v>51.1</v>
      </c>
      <c r="I313" s="11">
        <v>2.5912499999999996</v>
      </c>
      <c r="J313" s="10">
        <f t="shared" si="45"/>
        <v>-4.6E-5</v>
      </c>
      <c r="K313" s="17">
        <f t="shared" si="46"/>
        <v>1.56E-4</v>
      </c>
      <c r="L313" s="10">
        <f t="shared" si="47"/>
        <v>7.986E-3</v>
      </c>
      <c r="M313" s="11">
        <f t="shared" si="53"/>
        <v>2.6121566832726151</v>
      </c>
      <c r="N313" s="5">
        <f t="shared" si="48"/>
        <v>8.0681845721622663E-3</v>
      </c>
      <c r="O313">
        <f t="shared" si="49"/>
        <v>13936.107099999999</v>
      </c>
      <c r="P313">
        <f t="shared" ca="1" si="50"/>
        <v>13938</v>
      </c>
      <c r="Q313" t="str">
        <f t="shared" ca="1" si="54"/>
        <v>0011011001110010</v>
      </c>
      <c r="R313">
        <f t="shared" ca="1" si="51"/>
        <v>2.613375</v>
      </c>
      <c r="S313">
        <f t="shared" ca="1" si="52"/>
        <v>51.360500000000002</v>
      </c>
      <c r="T313" s="3">
        <f t="shared" ca="1" si="55"/>
        <v>5.0978473581213381E-3</v>
      </c>
    </row>
    <row r="314" spans="8:20" x14ac:dyDescent="0.25">
      <c r="H314">
        <v>51.2</v>
      </c>
      <c r="I314" s="11">
        <v>2.5994166666666665</v>
      </c>
      <c r="J314" s="10">
        <f t="shared" si="45"/>
        <v>-4.6E-5</v>
      </c>
      <c r="K314" s="17">
        <f t="shared" si="46"/>
        <v>1.56E-4</v>
      </c>
      <c r="L314" s="10">
        <f t="shared" si="47"/>
        <v>8.0160000000000006E-3</v>
      </c>
      <c r="M314" s="11">
        <f t="shared" si="53"/>
        <v>2.6204683408872187</v>
      </c>
      <c r="N314" s="5">
        <f t="shared" si="48"/>
        <v>8.0986147740398969E-3</v>
      </c>
      <c r="O314">
        <f t="shared" si="49"/>
        <v>13980.4506</v>
      </c>
      <c r="P314">
        <f t="shared" ca="1" si="50"/>
        <v>13979</v>
      </c>
      <c r="Q314" t="str">
        <f t="shared" ca="1" si="54"/>
        <v>0011011010011011</v>
      </c>
      <c r="R314">
        <f t="shared" ca="1" si="51"/>
        <v>2.6210624999999999</v>
      </c>
      <c r="S314">
        <f t="shared" ca="1" si="52"/>
        <v>51.452750000000002</v>
      </c>
      <c r="T314" s="3">
        <f t="shared" ca="1" si="55"/>
        <v>4.9365234374999789E-3</v>
      </c>
    </row>
    <row r="315" spans="8:20" x14ac:dyDescent="0.25">
      <c r="H315">
        <v>51.3</v>
      </c>
      <c r="I315" s="11">
        <v>2.607499999999999</v>
      </c>
      <c r="J315" s="10">
        <f t="shared" si="45"/>
        <v>-4.5000000000000003E-5</v>
      </c>
      <c r="K315" s="17">
        <f t="shared" si="46"/>
        <v>1.5699999999999999E-4</v>
      </c>
      <c r="L315" s="10">
        <f t="shared" si="47"/>
        <v>8.0470000000000003E-3</v>
      </c>
      <c r="M315" s="11">
        <f t="shared" si="53"/>
        <v>2.6286981338833586</v>
      </c>
      <c r="N315" s="5">
        <f t="shared" si="48"/>
        <v>8.1296774241072164E-3</v>
      </c>
      <c r="O315">
        <f t="shared" si="49"/>
        <v>14024.3573</v>
      </c>
      <c r="P315">
        <f t="shared" ca="1" si="50"/>
        <v>14026</v>
      </c>
      <c r="Q315" t="str">
        <f t="shared" ca="1" si="54"/>
        <v>0011011011001010</v>
      </c>
      <c r="R315">
        <f t="shared" ca="1" si="51"/>
        <v>2.6298750000000002</v>
      </c>
      <c r="S315">
        <f t="shared" ca="1" si="52"/>
        <v>51.558500000000009</v>
      </c>
      <c r="T315" s="3">
        <f t="shared" ca="1" si="55"/>
        <v>5.0389863547760658E-3</v>
      </c>
    </row>
    <row r="316" spans="8:20" x14ac:dyDescent="0.25">
      <c r="H316">
        <v>51.400000000000006</v>
      </c>
      <c r="I316" s="11">
        <v>2.6160833333333331</v>
      </c>
      <c r="J316" s="10">
        <f t="shared" si="45"/>
        <v>-4.3999999999999999E-5</v>
      </c>
      <c r="K316" s="17">
        <f t="shared" si="46"/>
        <v>1.5699999999999999E-4</v>
      </c>
      <c r="L316" s="10">
        <f t="shared" si="47"/>
        <v>8.0770000000000008E-3</v>
      </c>
      <c r="M316" s="11">
        <f t="shared" si="53"/>
        <v>2.6374298542662413</v>
      </c>
      <c r="N316" s="5">
        <f t="shared" si="48"/>
        <v>8.1597251360143591E-3</v>
      </c>
      <c r="O316">
        <f t="shared" si="49"/>
        <v>14070.9419</v>
      </c>
      <c r="P316">
        <f t="shared" ca="1" si="50"/>
        <v>14071</v>
      </c>
      <c r="Q316" t="str">
        <f t="shared" ca="1" si="54"/>
        <v>0011011011110111</v>
      </c>
      <c r="R316">
        <f t="shared" ca="1" si="51"/>
        <v>2.6383125000000001</v>
      </c>
      <c r="S316">
        <f t="shared" ca="1" si="52"/>
        <v>51.659750000000003</v>
      </c>
      <c r="T316" s="3">
        <f t="shared" ca="1" si="55"/>
        <v>5.0535019455252295E-3</v>
      </c>
    </row>
    <row r="317" spans="8:20" x14ac:dyDescent="0.25">
      <c r="H317">
        <v>51.5</v>
      </c>
      <c r="I317" s="11">
        <v>2.6247499999999997</v>
      </c>
      <c r="J317" s="10">
        <f t="shared" si="45"/>
        <v>-4.3999999999999999E-5</v>
      </c>
      <c r="K317" s="17">
        <f t="shared" si="46"/>
        <v>1.5799999999999999E-4</v>
      </c>
      <c r="L317" s="10">
        <f t="shared" si="47"/>
        <v>8.1080000000000006E-3</v>
      </c>
      <c r="M317" s="11">
        <f t="shared" si="53"/>
        <v>2.646249793324273</v>
      </c>
      <c r="N317" s="5">
        <f t="shared" si="48"/>
        <v>8.1911775690154572E-3</v>
      </c>
      <c r="O317">
        <f t="shared" si="49"/>
        <v>14117.997100000001</v>
      </c>
      <c r="P317">
        <f t="shared" ca="1" si="50"/>
        <v>14121</v>
      </c>
      <c r="Q317" t="str">
        <f t="shared" ca="1" si="54"/>
        <v>0011011100101001</v>
      </c>
      <c r="R317">
        <f t="shared" ca="1" si="51"/>
        <v>2.6476875</v>
      </c>
      <c r="S317">
        <f t="shared" ca="1" si="52"/>
        <v>51.772250000000007</v>
      </c>
      <c r="T317" s="3">
        <f t="shared" ca="1" si="55"/>
        <v>5.2864077669904225E-3</v>
      </c>
    </row>
    <row r="318" spans="8:20" x14ac:dyDescent="0.25">
      <c r="H318">
        <v>51.6</v>
      </c>
      <c r="I318" s="11">
        <v>2.633916666666666</v>
      </c>
      <c r="J318" s="10">
        <f t="shared" si="45"/>
        <v>-4.3000000000000002E-5</v>
      </c>
      <c r="K318" s="17">
        <f t="shared" si="46"/>
        <v>1.5799999999999999E-4</v>
      </c>
      <c r="L318" s="10">
        <f t="shared" si="47"/>
        <v>8.1379999999999994E-3</v>
      </c>
      <c r="M318" s="11">
        <f t="shared" si="53"/>
        <v>2.6555707010316616</v>
      </c>
      <c r="N318" s="5">
        <f t="shared" si="48"/>
        <v>8.2212298661672092E-3</v>
      </c>
      <c r="O318">
        <f t="shared" si="49"/>
        <v>14167.725</v>
      </c>
      <c r="P318">
        <f t="shared" ca="1" si="50"/>
        <v>14170</v>
      </c>
      <c r="Q318" t="str">
        <f t="shared" ca="1" si="54"/>
        <v>0011011101011010</v>
      </c>
      <c r="R318">
        <f t="shared" ca="1" si="51"/>
        <v>2.6568749999999999</v>
      </c>
      <c r="S318">
        <f t="shared" ca="1" si="52"/>
        <v>51.8825</v>
      </c>
      <c r="T318" s="3">
        <f t="shared" ca="1" si="55"/>
        <v>5.4748062015503654E-3</v>
      </c>
    </row>
    <row r="319" spans="8:20" x14ac:dyDescent="0.25">
      <c r="H319">
        <v>51.7</v>
      </c>
      <c r="I319" s="11">
        <v>2.6417499999999992</v>
      </c>
      <c r="J319" s="10">
        <f t="shared" si="45"/>
        <v>-4.3000000000000002E-5</v>
      </c>
      <c r="K319" s="17">
        <f t="shared" si="46"/>
        <v>1.5899999999999999E-4</v>
      </c>
      <c r="L319" s="10">
        <f t="shared" si="47"/>
        <v>8.1689999999999992E-3</v>
      </c>
      <c r="M319" s="11">
        <f t="shared" si="53"/>
        <v>2.6635515526334617</v>
      </c>
      <c r="N319" s="5">
        <f t="shared" si="48"/>
        <v>8.2526933409529726E-3</v>
      </c>
      <c r="O319">
        <f t="shared" si="49"/>
        <v>14210.303599999999</v>
      </c>
      <c r="P319">
        <f t="shared" ca="1" si="50"/>
        <v>14211</v>
      </c>
      <c r="Q319" t="str">
        <f t="shared" ca="1" si="54"/>
        <v>0011011110000011</v>
      </c>
      <c r="R319">
        <f t="shared" ca="1" si="51"/>
        <v>2.6645625000000002</v>
      </c>
      <c r="S319">
        <f t="shared" ca="1" si="52"/>
        <v>51.97475</v>
      </c>
      <c r="T319" s="3">
        <f t="shared" ca="1" si="55"/>
        <v>5.3143133462281887E-3</v>
      </c>
    </row>
    <row r="320" spans="8:20" x14ac:dyDescent="0.25">
      <c r="H320">
        <v>51.8</v>
      </c>
      <c r="I320" s="11">
        <v>2.6502499999999989</v>
      </c>
      <c r="J320" s="10">
        <f t="shared" si="45"/>
        <v>-4.1999999999999998E-5</v>
      </c>
      <c r="K320" s="17">
        <f t="shared" si="46"/>
        <v>1.5899999999999999E-4</v>
      </c>
      <c r="L320" s="10">
        <f t="shared" si="47"/>
        <v>8.1989999999999997E-3</v>
      </c>
      <c r="M320" s="11">
        <f t="shared" si="53"/>
        <v>2.6722013791072996</v>
      </c>
      <c r="N320" s="5">
        <f t="shared" si="48"/>
        <v>8.2827578935197529E-3</v>
      </c>
      <c r="O320">
        <f t="shared" si="49"/>
        <v>14256.451300000001</v>
      </c>
      <c r="P320">
        <f t="shared" ca="1" si="50"/>
        <v>14256</v>
      </c>
      <c r="Q320" t="str">
        <f t="shared" ca="1" si="54"/>
        <v>0011011110110000</v>
      </c>
      <c r="R320">
        <f t="shared" ca="1" si="51"/>
        <v>2.673</v>
      </c>
      <c r="S320">
        <f t="shared" ca="1" si="52"/>
        <v>52.076000000000008</v>
      </c>
      <c r="T320" s="3">
        <f t="shared" ca="1" si="55"/>
        <v>5.32818532818553E-3</v>
      </c>
    </row>
    <row r="321" spans="8:20" x14ac:dyDescent="0.25">
      <c r="H321">
        <v>51.900000000000006</v>
      </c>
      <c r="I321" s="11">
        <v>2.657916666666666</v>
      </c>
      <c r="J321" s="10">
        <f t="shared" si="45"/>
        <v>-4.1999999999999998E-5</v>
      </c>
      <c r="K321" s="17">
        <f t="shared" si="46"/>
        <v>1.6000000000000001E-4</v>
      </c>
      <c r="L321" s="10">
        <f t="shared" si="47"/>
        <v>8.2299999999999995E-3</v>
      </c>
      <c r="M321" s="11">
        <f t="shared" si="53"/>
        <v>2.6800151916943102</v>
      </c>
      <c r="N321" s="5">
        <f t="shared" si="48"/>
        <v>8.3142279458137784E-3</v>
      </c>
      <c r="O321">
        <f t="shared" si="49"/>
        <v>14298.1387</v>
      </c>
      <c r="P321">
        <f t="shared" ca="1" si="50"/>
        <v>14302</v>
      </c>
      <c r="Q321" t="str">
        <f t="shared" ca="1" si="54"/>
        <v>0011011111011110</v>
      </c>
      <c r="R321">
        <f t="shared" ca="1" si="51"/>
        <v>2.6816249999999999</v>
      </c>
      <c r="S321">
        <f t="shared" ca="1" si="52"/>
        <v>52.179499999999997</v>
      </c>
      <c r="T321" s="3">
        <f t="shared" ca="1" si="55"/>
        <v>5.3853564547204549E-3</v>
      </c>
    </row>
    <row r="322" spans="8:20" x14ac:dyDescent="0.25">
      <c r="H322">
        <v>52</v>
      </c>
      <c r="I322" s="11">
        <v>2.6669166666666664</v>
      </c>
      <c r="J322" s="10">
        <f t="shared" si="45"/>
        <v>-4.1E-5</v>
      </c>
      <c r="K322" s="17">
        <f t="shared" si="46"/>
        <v>1.6000000000000001E-4</v>
      </c>
      <c r="L322" s="10">
        <f t="shared" si="47"/>
        <v>8.26E-3</v>
      </c>
      <c r="M322" s="11">
        <f t="shared" si="53"/>
        <v>2.689170212622932</v>
      </c>
      <c r="N322" s="5">
        <f t="shared" si="48"/>
        <v>8.3442974557131309E-3</v>
      </c>
      <c r="O322">
        <f t="shared" si="49"/>
        <v>14346.981599999999</v>
      </c>
      <c r="P322">
        <f t="shared" ca="1" si="50"/>
        <v>14345</v>
      </c>
      <c r="Q322" t="str">
        <f t="shared" ca="1" si="54"/>
        <v>0011100000001001</v>
      </c>
      <c r="R322">
        <f t="shared" ca="1" si="51"/>
        <v>2.6896875000000002</v>
      </c>
      <c r="S322">
        <f t="shared" ca="1" si="52"/>
        <v>52.276250000000005</v>
      </c>
      <c r="T322" s="3">
        <f t="shared" ca="1" si="55"/>
        <v>5.3125000000000871E-3</v>
      </c>
    </row>
    <row r="323" spans="8:20" x14ac:dyDescent="0.25">
      <c r="H323">
        <v>52.1</v>
      </c>
      <c r="I323" s="11">
        <v>2.6745833333333326</v>
      </c>
      <c r="J323" s="10">
        <f t="shared" ref="J323:J386" si="56">ROUND(H323*0.00000575 -0.00034,6)</f>
        <v>-4.0000000000000003E-5</v>
      </c>
      <c r="K323" s="17">
        <f t="shared" ref="K323:K386" si="57">ROUND(H323*0.000005-0.0001,6)</f>
        <v>1.6100000000000001E-4</v>
      </c>
      <c r="L323" s="10">
        <f t="shared" ref="L323:L386" si="58">ROUND(K323+($C$24*(H323-25)),6)</f>
        <v>8.2909999999999998E-3</v>
      </c>
      <c r="M323" s="11">
        <f t="shared" si="53"/>
        <v>2.6969840279087238</v>
      </c>
      <c r="N323" s="5">
        <f t="shared" ref="N323:N386" si="59">ABS(I323-M323)/I323</f>
        <v>8.3753960088703595E-3</v>
      </c>
      <c r="O323">
        <f t="shared" ref="O323:O386" si="60">ROUND((M323*(2^($C$12-1)))/$C$44,4)</f>
        <v>14388.669099999999</v>
      </c>
      <c r="P323">
        <f t="shared" ref="P323:P386" ca="1" si="61">ROUND(O323+$C$47+$C$49+RANDBETWEEN($B$45,$D$45),0)</f>
        <v>14387</v>
      </c>
      <c r="Q323" t="str">
        <f t="shared" ca="1" si="54"/>
        <v>0011100000110011</v>
      </c>
      <c r="R323">
        <f t="shared" ref="R323:R386" ca="1" si="62">($C$16/2^($C$12-1)) * P323</f>
        <v>2.6975625000000001</v>
      </c>
      <c r="S323">
        <f t="shared" ref="S323:S386" ca="1" si="63">(R323+5/3)/(1/12)</f>
        <v>52.370750000000008</v>
      </c>
      <c r="T323" s="3">
        <f t="shared" ca="1" si="55"/>
        <v>5.1967370441460018E-3</v>
      </c>
    </row>
    <row r="324" spans="8:20" x14ac:dyDescent="0.25">
      <c r="H324">
        <v>52.2</v>
      </c>
      <c r="I324" s="11">
        <v>2.6829166666666664</v>
      </c>
      <c r="J324" s="10">
        <f t="shared" si="56"/>
        <v>-4.0000000000000003E-5</v>
      </c>
      <c r="K324" s="17">
        <f t="shared" si="57"/>
        <v>1.6100000000000001E-4</v>
      </c>
      <c r="L324" s="10">
        <f t="shared" si="58"/>
        <v>8.3210000000000003E-3</v>
      </c>
      <c r="M324" s="11">
        <f t="shared" ref="M324:M387" si="64">(I324-J324)/(1-L324)</f>
        <v>2.7054688731602328</v>
      </c>
      <c r="N324" s="5">
        <f t="shared" si="59"/>
        <v>8.4058542606863344E-3</v>
      </c>
      <c r="O324">
        <f t="shared" si="60"/>
        <v>14433.936600000001</v>
      </c>
      <c r="P324">
        <f t="shared" ca="1" si="61"/>
        <v>14437</v>
      </c>
      <c r="Q324" t="str">
        <f t="shared" ref="Q324:Q387" ca="1" si="65">_xlfn.BASE(P324,2,16)</f>
        <v>0011100001100101</v>
      </c>
      <c r="R324">
        <f t="shared" ca="1" si="62"/>
        <v>2.7069375</v>
      </c>
      <c r="S324">
        <f t="shared" ca="1" si="63"/>
        <v>52.483249999999998</v>
      </c>
      <c r="T324" s="3">
        <f t="shared" ref="T324:T387" ca="1" si="66">ABS(H324-S324)/H324</f>
        <v>5.4262452107278801E-3</v>
      </c>
    </row>
    <row r="325" spans="8:20" x14ac:dyDescent="0.25">
      <c r="H325">
        <v>52.300000000000004</v>
      </c>
      <c r="I325" s="11">
        <v>2.690833333333333</v>
      </c>
      <c r="J325" s="10">
        <f t="shared" si="56"/>
        <v>-3.8999999999999999E-5</v>
      </c>
      <c r="K325" s="17">
        <f t="shared" si="57"/>
        <v>1.6200000000000001E-4</v>
      </c>
      <c r="L325" s="10">
        <f t="shared" si="58"/>
        <v>8.352E-3</v>
      </c>
      <c r="M325" s="11">
        <f t="shared" si="64"/>
        <v>2.7135357842029966</v>
      </c>
      <c r="N325" s="5">
        <f t="shared" si="59"/>
        <v>8.43695913397223E-3</v>
      </c>
      <c r="O325">
        <f t="shared" si="60"/>
        <v>14476.9743</v>
      </c>
      <c r="P325">
        <f t="shared" ca="1" si="61"/>
        <v>14477</v>
      </c>
      <c r="Q325" t="str">
        <f t="shared" ca="1" si="65"/>
        <v>0011100010001101</v>
      </c>
      <c r="R325">
        <f t="shared" ca="1" si="62"/>
        <v>2.7144374999999998</v>
      </c>
      <c r="S325">
        <f t="shared" ca="1" si="63"/>
        <v>52.573250000000002</v>
      </c>
      <c r="T325" s="3">
        <f t="shared" ca="1" si="66"/>
        <v>5.2246653919693561E-3</v>
      </c>
    </row>
    <row r="326" spans="8:20" x14ac:dyDescent="0.25">
      <c r="H326">
        <v>52.4</v>
      </c>
      <c r="I326" s="11">
        <v>2.6998333333333324</v>
      </c>
      <c r="J326" s="10">
        <f t="shared" si="56"/>
        <v>-3.8999999999999999E-5</v>
      </c>
      <c r="K326" s="17">
        <f t="shared" si="57"/>
        <v>1.6200000000000001E-4</v>
      </c>
      <c r="L326" s="10">
        <f t="shared" si="58"/>
        <v>8.3820000000000006E-3</v>
      </c>
      <c r="M326" s="11">
        <f t="shared" si="64"/>
        <v>2.7226939540562318</v>
      </c>
      <c r="N326" s="5">
        <f t="shared" si="59"/>
        <v>8.4674192442370805E-3</v>
      </c>
      <c r="O326">
        <f t="shared" si="60"/>
        <v>14525.834000000001</v>
      </c>
      <c r="P326">
        <f t="shared" ca="1" si="61"/>
        <v>14524</v>
      </c>
      <c r="Q326" t="str">
        <f t="shared" ca="1" si="65"/>
        <v>0011100010111100</v>
      </c>
      <c r="R326">
        <f t="shared" ca="1" si="62"/>
        <v>2.7232500000000002</v>
      </c>
      <c r="S326">
        <f t="shared" ca="1" si="63"/>
        <v>52.679000000000009</v>
      </c>
      <c r="T326" s="3">
        <f t="shared" ca="1" si="66"/>
        <v>5.3244274809162327E-3</v>
      </c>
    </row>
    <row r="327" spans="8:20" x14ac:dyDescent="0.25">
      <c r="H327">
        <v>52.5</v>
      </c>
      <c r="I327" s="11">
        <v>2.7080833333333327</v>
      </c>
      <c r="J327" s="10">
        <f t="shared" si="56"/>
        <v>-3.8000000000000002E-5</v>
      </c>
      <c r="K327" s="17">
        <f t="shared" si="57"/>
        <v>1.63E-4</v>
      </c>
      <c r="L327" s="10">
        <f t="shared" si="58"/>
        <v>8.4130000000000003E-3</v>
      </c>
      <c r="M327" s="11">
        <f t="shared" si="64"/>
        <v>2.7310980613232454</v>
      </c>
      <c r="N327" s="5">
        <f t="shared" si="59"/>
        <v>8.4985301990630532E-3</v>
      </c>
      <c r="O327">
        <f t="shared" si="60"/>
        <v>14570.670700000001</v>
      </c>
      <c r="P327">
        <f t="shared" ca="1" si="61"/>
        <v>14574</v>
      </c>
      <c r="Q327" t="str">
        <f t="shared" ca="1" si="65"/>
        <v>0011100011101110</v>
      </c>
      <c r="R327">
        <f t="shared" ca="1" si="62"/>
        <v>2.7326250000000001</v>
      </c>
      <c r="S327">
        <f t="shared" ca="1" si="63"/>
        <v>52.791499999999999</v>
      </c>
      <c r="T327" s="3">
        <f t="shared" ca="1" si="66"/>
        <v>5.5523809523809371E-3</v>
      </c>
    </row>
    <row r="328" spans="8:20" x14ac:dyDescent="0.25">
      <c r="H328">
        <v>52.6</v>
      </c>
      <c r="I328" s="11">
        <v>2.7168333333333328</v>
      </c>
      <c r="J328" s="10">
        <f t="shared" si="56"/>
        <v>-3.8000000000000002E-5</v>
      </c>
      <c r="K328" s="17">
        <f t="shared" si="57"/>
        <v>1.63E-4</v>
      </c>
      <c r="L328" s="10">
        <f t="shared" si="58"/>
        <v>8.4430000000000009E-3</v>
      </c>
      <c r="M328" s="11">
        <f t="shared" si="64"/>
        <v>2.7400051972134056</v>
      </c>
      <c r="N328" s="5">
        <f t="shared" si="59"/>
        <v>8.5289971952909154E-3</v>
      </c>
      <c r="O328">
        <f t="shared" si="60"/>
        <v>14618.191199999999</v>
      </c>
      <c r="P328">
        <f t="shared" ca="1" si="61"/>
        <v>14617</v>
      </c>
      <c r="Q328" t="str">
        <f t="shared" ca="1" si="65"/>
        <v>0011100100011001</v>
      </c>
      <c r="R328">
        <f t="shared" ca="1" si="62"/>
        <v>2.7406874999999999</v>
      </c>
      <c r="S328">
        <f t="shared" ca="1" si="63"/>
        <v>52.888250000000006</v>
      </c>
      <c r="T328" s="3">
        <f t="shared" ca="1" si="66"/>
        <v>5.4800380228137834E-3</v>
      </c>
    </row>
    <row r="329" spans="8:20" x14ac:dyDescent="0.25">
      <c r="H329">
        <v>52.7</v>
      </c>
      <c r="I329" s="11">
        <v>2.7248333333333328</v>
      </c>
      <c r="J329" s="10">
        <f t="shared" si="56"/>
        <v>-3.6999999999999998E-5</v>
      </c>
      <c r="K329" s="17">
        <f t="shared" si="57"/>
        <v>1.64E-4</v>
      </c>
      <c r="L329" s="10">
        <f t="shared" si="58"/>
        <v>8.4740000000000006E-3</v>
      </c>
      <c r="M329" s="11">
        <f t="shared" si="64"/>
        <v>2.7481582261416571</v>
      </c>
      <c r="N329" s="5">
        <f t="shared" si="59"/>
        <v>8.5601172456997807E-3</v>
      </c>
      <c r="O329">
        <f t="shared" si="60"/>
        <v>14661.688399999999</v>
      </c>
      <c r="P329">
        <f t="shared" ca="1" si="61"/>
        <v>14665</v>
      </c>
      <c r="Q329" t="str">
        <f t="shared" ca="1" si="65"/>
        <v>0011100101001001</v>
      </c>
      <c r="R329">
        <f t="shared" ca="1" si="62"/>
        <v>2.7496874999999998</v>
      </c>
      <c r="S329">
        <f t="shared" ca="1" si="63"/>
        <v>52.996249999999996</v>
      </c>
      <c r="T329" s="3">
        <f t="shared" ca="1" si="66"/>
        <v>5.6214421252370672E-3</v>
      </c>
    </row>
    <row r="330" spans="8:20" x14ac:dyDescent="0.25">
      <c r="H330">
        <v>52.800000000000004</v>
      </c>
      <c r="I330" s="11">
        <v>2.7329999999999997</v>
      </c>
      <c r="J330" s="10">
        <f t="shared" si="56"/>
        <v>-3.6000000000000001E-5</v>
      </c>
      <c r="K330" s="17">
        <f t="shared" si="57"/>
        <v>1.64E-4</v>
      </c>
      <c r="L330" s="10">
        <f t="shared" si="58"/>
        <v>8.5039999999999994E-3</v>
      </c>
      <c r="M330" s="11">
        <f t="shared" si="64"/>
        <v>2.7564770810976542</v>
      </c>
      <c r="N330" s="5">
        <f t="shared" si="59"/>
        <v>8.5902235995808877E-3</v>
      </c>
      <c r="O330">
        <f t="shared" si="60"/>
        <v>14706.070299999999</v>
      </c>
      <c r="P330">
        <f t="shared" ca="1" si="61"/>
        <v>14706</v>
      </c>
      <c r="Q330" t="str">
        <f t="shared" ca="1" si="65"/>
        <v>0011100101110010</v>
      </c>
      <c r="R330">
        <f t="shared" ca="1" si="62"/>
        <v>2.7573750000000001</v>
      </c>
      <c r="S330">
        <f t="shared" ca="1" si="63"/>
        <v>53.088500000000003</v>
      </c>
      <c r="T330" s="3">
        <f t="shared" ca="1" si="66"/>
        <v>5.4640151515151338E-3</v>
      </c>
    </row>
    <row r="331" spans="8:20" x14ac:dyDescent="0.25">
      <c r="H331">
        <v>52.9</v>
      </c>
      <c r="I331" s="11">
        <v>2.7409166666666662</v>
      </c>
      <c r="J331" s="10">
        <f t="shared" si="56"/>
        <v>-3.6000000000000001E-5</v>
      </c>
      <c r="K331" s="17">
        <f t="shared" si="57"/>
        <v>1.65E-4</v>
      </c>
      <c r="L331" s="10">
        <f t="shared" si="58"/>
        <v>8.5349999999999992E-3</v>
      </c>
      <c r="M331" s="11">
        <f t="shared" si="64"/>
        <v>2.764548084568458</v>
      </c>
      <c r="N331" s="5">
        <f t="shared" si="59"/>
        <v>8.6217206780426735E-3</v>
      </c>
      <c r="O331">
        <f t="shared" si="60"/>
        <v>14749.129800000001</v>
      </c>
      <c r="P331">
        <f t="shared" ca="1" si="61"/>
        <v>14748</v>
      </c>
      <c r="Q331" t="str">
        <f t="shared" ca="1" si="65"/>
        <v>0011100110011100</v>
      </c>
      <c r="R331">
        <f t="shared" ca="1" si="62"/>
        <v>2.76525</v>
      </c>
      <c r="S331">
        <f t="shared" ca="1" si="63"/>
        <v>53.183000000000007</v>
      </c>
      <c r="T331" s="3">
        <f t="shared" ca="1" si="66"/>
        <v>5.3497164461249217E-3</v>
      </c>
    </row>
    <row r="332" spans="8:20" x14ac:dyDescent="0.25">
      <c r="H332">
        <v>53</v>
      </c>
      <c r="I332" s="11">
        <v>2.7492499999999991</v>
      </c>
      <c r="J332" s="10">
        <f t="shared" si="56"/>
        <v>-3.4999999999999997E-5</v>
      </c>
      <c r="K332" s="17">
        <f t="shared" si="57"/>
        <v>1.65E-4</v>
      </c>
      <c r="L332" s="10">
        <f t="shared" si="58"/>
        <v>8.5649999999999997E-3</v>
      </c>
      <c r="M332" s="11">
        <f t="shared" si="64"/>
        <v>2.7730360538008032</v>
      </c>
      <c r="N332" s="5">
        <f t="shared" si="59"/>
        <v>8.651833700392516E-3</v>
      </c>
      <c r="O332">
        <f t="shared" si="60"/>
        <v>14794.414000000001</v>
      </c>
      <c r="P332">
        <f t="shared" ca="1" si="61"/>
        <v>14798</v>
      </c>
      <c r="Q332" t="str">
        <f t="shared" ca="1" si="65"/>
        <v>0011100111001110</v>
      </c>
      <c r="R332">
        <f t="shared" ca="1" si="62"/>
        <v>2.7746249999999999</v>
      </c>
      <c r="S332">
        <f t="shared" ca="1" si="63"/>
        <v>53.295499999999997</v>
      </c>
      <c r="T332" s="3">
        <f t="shared" ca="1" si="66"/>
        <v>5.5754716981131509E-3</v>
      </c>
    </row>
    <row r="333" spans="8:20" x14ac:dyDescent="0.25">
      <c r="H333">
        <v>53.1</v>
      </c>
      <c r="I333" s="11">
        <v>2.758916666666666</v>
      </c>
      <c r="J333" s="10">
        <f t="shared" si="56"/>
        <v>-3.4999999999999997E-5</v>
      </c>
      <c r="K333" s="17">
        <f t="shared" si="57"/>
        <v>1.66E-4</v>
      </c>
      <c r="L333" s="10">
        <f t="shared" si="58"/>
        <v>8.5959999999999995E-3</v>
      </c>
      <c r="M333" s="11">
        <f t="shared" si="64"/>
        <v>2.7828732450813858</v>
      </c>
      <c r="N333" s="5">
        <f t="shared" si="59"/>
        <v>8.6833280265997299E-3</v>
      </c>
      <c r="O333">
        <f t="shared" si="60"/>
        <v>14846.8963</v>
      </c>
      <c r="P333">
        <f t="shared" ca="1" si="61"/>
        <v>14848</v>
      </c>
      <c r="Q333" t="str">
        <f t="shared" ca="1" si="65"/>
        <v>0011101000000000</v>
      </c>
      <c r="R333">
        <f t="shared" ca="1" si="62"/>
        <v>2.7840000000000003</v>
      </c>
      <c r="S333">
        <f t="shared" ca="1" si="63"/>
        <v>53.408000000000001</v>
      </c>
      <c r="T333" s="3">
        <f t="shared" ca="1" si="66"/>
        <v>5.8003766478342718E-3</v>
      </c>
    </row>
    <row r="334" spans="8:20" x14ac:dyDescent="0.25">
      <c r="H334">
        <v>53.2</v>
      </c>
      <c r="I334" s="11">
        <v>2.7669999999999995</v>
      </c>
      <c r="J334" s="10">
        <f t="shared" si="56"/>
        <v>-3.4E-5</v>
      </c>
      <c r="K334" s="17">
        <f t="shared" si="57"/>
        <v>1.66E-4</v>
      </c>
      <c r="L334" s="10">
        <f t="shared" si="58"/>
        <v>8.626E-3</v>
      </c>
      <c r="M334" s="11">
        <f t="shared" si="64"/>
        <v>2.7911101158594027</v>
      </c>
      <c r="N334" s="5">
        <f t="shared" si="59"/>
        <v>8.7134498949776873E-3</v>
      </c>
      <c r="O334">
        <f t="shared" si="60"/>
        <v>14890.8408</v>
      </c>
      <c r="P334">
        <f t="shared" ca="1" si="61"/>
        <v>14893</v>
      </c>
      <c r="Q334" t="str">
        <f t="shared" ca="1" si="65"/>
        <v>0011101000101101</v>
      </c>
      <c r="R334">
        <f t="shared" ca="1" si="62"/>
        <v>2.7924375000000001</v>
      </c>
      <c r="S334">
        <f t="shared" ca="1" si="63"/>
        <v>53.509250000000009</v>
      </c>
      <c r="T334" s="3">
        <f t="shared" ca="1" si="66"/>
        <v>5.8129699248121386E-3</v>
      </c>
    </row>
    <row r="335" spans="8:20" x14ac:dyDescent="0.25">
      <c r="H335">
        <v>53.300000000000004</v>
      </c>
      <c r="I335" s="11">
        <v>2.7754166666666666</v>
      </c>
      <c r="J335" s="10">
        <f t="shared" si="56"/>
        <v>-3.4E-5</v>
      </c>
      <c r="K335" s="17">
        <f t="shared" si="57"/>
        <v>1.6699999999999999E-4</v>
      </c>
      <c r="L335" s="10">
        <f t="shared" si="58"/>
        <v>8.6569999999999998E-3</v>
      </c>
      <c r="M335" s="11">
        <f t="shared" si="64"/>
        <v>2.7996875618899479</v>
      </c>
      <c r="N335" s="5">
        <f t="shared" si="59"/>
        <v>8.7449554925499336E-3</v>
      </c>
      <c r="O335">
        <f t="shared" si="60"/>
        <v>14936.6023</v>
      </c>
      <c r="P335">
        <f t="shared" ca="1" si="61"/>
        <v>14936</v>
      </c>
      <c r="Q335" t="str">
        <f t="shared" ca="1" si="65"/>
        <v>0011101001011000</v>
      </c>
      <c r="R335">
        <f t="shared" ca="1" si="62"/>
        <v>2.8005</v>
      </c>
      <c r="S335">
        <f t="shared" ca="1" si="63"/>
        <v>53.606000000000002</v>
      </c>
      <c r="T335" s="3">
        <f t="shared" ca="1" si="66"/>
        <v>5.7410881801125205E-3</v>
      </c>
    </row>
    <row r="336" spans="8:20" x14ac:dyDescent="0.25">
      <c r="H336">
        <v>53.4</v>
      </c>
      <c r="I336" s="11">
        <v>2.7826666666666657</v>
      </c>
      <c r="J336" s="10">
        <f t="shared" si="56"/>
        <v>-3.3000000000000003E-5</v>
      </c>
      <c r="K336" s="17">
        <f t="shared" si="57"/>
        <v>1.6699999999999999E-4</v>
      </c>
      <c r="L336" s="10">
        <f t="shared" si="58"/>
        <v>8.6870000000000003E-3</v>
      </c>
      <c r="M336" s="11">
        <f t="shared" si="64"/>
        <v>2.8070848124322652</v>
      </c>
      <c r="N336" s="5">
        <f t="shared" si="59"/>
        <v>8.7750883201722901E-3</v>
      </c>
      <c r="O336">
        <f t="shared" si="60"/>
        <v>14976.0674</v>
      </c>
      <c r="P336">
        <f t="shared" ca="1" si="61"/>
        <v>14977</v>
      </c>
      <c r="Q336" t="str">
        <f t="shared" ca="1" si="65"/>
        <v>0011101010000001</v>
      </c>
      <c r="R336">
        <f t="shared" ca="1" si="62"/>
        <v>2.8081874999999998</v>
      </c>
      <c r="S336">
        <f t="shared" ca="1" si="63"/>
        <v>53.698250000000002</v>
      </c>
      <c r="T336" s="3">
        <f t="shared" ca="1" si="66"/>
        <v>5.5852059925094195E-3</v>
      </c>
    </row>
    <row r="337" spans="8:20" x14ac:dyDescent="0.25">
      <c r="H337">
        <v>53.5</v>
      </c>
      <c r="I337" s="11">
        <v>2.7914999999999992</v>
      </c>
      <c r="J337" s="10">
        <f t="shared" si="56"/>
        <v>-3.1999999999999999E-5</v>
      </c>
      <c r="K337" s="17">
        <f t="shared" si="57"/>
        <v>1.6799999999999999E-4</v>
      </c>
      <c r="L337" s="10">
        <f t="shared" si="58"/>
        <v>8.7180000000000001E-3</v>
      </c>
      <c r="M337" s="11">
        <f t="shared" si="64"/>
        <v>2.8160826081780961</v>
      </c>
      <c r="N337" s="5">
        <f t="shared" si="59"/>
        <v>8.8062361375951578E-3</v>
      </c>
      <c r="O337">
        <f t="shared" si="60"/>
        <v>15024.0715</v>
      </c>
      <c r="P337">
        <f t="shared" ca="1" si="61"/>
        <v>15024</v>
      </c>
      <c r="Q337" t="str">
        <f t="shared" ca="1" si="65"/>
        <v>0011101010110000</v>
      </c>
      <c r="R337">
        <f t="shared" ca="1" si="62"/>
        <v>2.8170000000000002</v>
      </c>
      <c r="S337">
        <f t="shared" ca="1" si="63"/>
        <v>53.804000000000009</v>
      </c>
      <c r="T337" s="3">
        <f t="shared" ca="1" si="66"/>
        <v>5.6822429906543768E-3</v>
      </c>
    </row>
    <row r="338" spans="8:20" x14ac:dyDescent="0.25">
      <c r="H338">
        <v>53.6</v>
      </c>
      <c r="I338" s="11">
        <v>2.7993333333333323</v>
      </c>
      <c r="J338" s="10">
        <f t="shared" si="56"/>
        <v>-3.1999999999999999E-5</v>
      </c>
      <c r="K338" s="17">
        <f t="shared" si="57"/>
        <v>1.6799999999999999E-4</v>
      </c>
      <c r="L338" s="10">
        <f t="shared" si="58"/>
        <v>8.7480000000000006E-3</v>
      </c>
      <c r="M338" s="11">
        <f t="shared" si="64"/>
        <v>2.8240703003205363</v>
      </c>
      <c r="N338" s="5">
        <f t="shared" si="59"/>
        <v>8.8367350513946057E-3</v>
      </c>
      <c r="O338">
        <f t="shared" si="60"/>
        <v>15066.686600000001</v>
      </c>
      <c r="P338">
        <f t="shared" ca="1" si="61"/>
        <v>15064</v>
      </c>
      <c r="Q338" t="str">
        <f t="shared" ca="1" si="65"/>
        <v>0011101011011000</v>
      </c>
      <c r="R338">
        <f t="shared" ca="1" si="62"/>
        <v>2.8245</v>
      </c>
      <c r="S338">
        <f t="shared" ca="1" si="63"/>
        <v>53.893999999999998</v>
      </c>
      <c r="T338" s="3">
        <f t="shared" ca="1" si="66"/>
        <v>5.4850746268656145E-3</v>
      </c>
    </row>
    <row r="339" spans="8:20" x14ac:dyDescent="0.25">
      <c r="H339">
        <v>53.7</v>
      </c>
      <c r="I339" s="11">
        <v>2.8090833333333327</v>
      </c>
      <c r="J339" s="10">
        <f t="shared" si="56"/>
        <v>-3.1000000000000001E-5</v>
      </c>
      <c r="K339" s="17">
        <f t="shared" si="57"/>
        <v>1.6899999999999999E-4</v>
      </c>
      <c r="L339" s="10">
        <f t="shared" si="58"/>
        <v>8.7790000000000003E-3</v>
      </c>
      <c r="M339" s="11">
        <f t="shared" si="64"/>
        <v>2.8339939663640425</v>
      </c>
      <c r="N339" s="5">
        <f t="shared" si="59"/>
        <v>8.8678868067435437E-3</v>
      </c>
      <c r="O339">
        <f t="shared" si="60"/>
        <v>15119.630300000001</v>
      </c>
      <c r="P339">
        <f t="shared" ca="1" si="61"/>
        <v>15117</v>
      </c>
      <c r="Q339" t="str">
        <f t="shared" ca="1" si="65"/>
        <v>0011101100001101</v>
      </c>
      <c r="R339">
        <f t="shared" ca="1" si="62"/>
        <v>2.8344374999999999</v>
      </c>
      <c r="S339">
        <f t="shared" ca="1" si="63"/>
        <v>54.013250000000006</v>
      </c>
      <c r="T339" s="3">
        <f t="shared" ca="1" si="66"/>
        <v>5.8333333333333995E-3</v>
      </c>
    </row>
    <row r="340" spans="8:20" x14ac:dyDescent="0.25">
      <c r="H340">
        <v>53.800000000000004</v>
      </c>
      <c r="I340" s="11">
        <v>2.8161666666666667</v>
      </c>
      <c r="J340" s="10">
        <f t="shared" si="56"/>
        <v>-3.1000000000000001E-5</v>
      </c>
      <c r="K340" s="17">
        <f t="shared" si="57"/>
        <v>1.6899999999999999E-4</v>
      </c>
      <c r="L340" s="10">
        <f t="shared" si="58"/>
        <v>8.8090000000000009E-3</v>
      </c>
      <c r="M340" s="11">
        <f t="shared" si="64"/>
        <v>2.8412260267361855</v>
      </c>
      <c r="N340" s="5">
        <f t="shared" si="59"/>
        <v>8.8983938224011863E-3</v>
      </c>
      <c r="O340">
        <f t="shared" si="60"/>
        <v>15158.214</v>
      </c>
      <c r="P340">
        <f t="shared" ca="1" si="61"/>
        <v>15159</v>
      </c>
      <c r="Q340" t="str">
        <f t="shared" ca="1" si="65"/>
        <v>0011101100110111</v>
      </c>
      <c r="R340">
        <f t="shared" ca="1" si="62"/>
        <v>2.8423125000000002</v>
      </c>
      <c r="S340">
        <f t="shared" ca="1" si="63"/>
        <v>54.10775000000001</v>
      </c>
      <c r="T340" s="3">
        <f t="shared" ca="1" si="66"/>
        <v>5.7202602230484335E-3</v>
      </c>
    </row>
    <row r="341" spans="8:20" x14ac:dyDescent="0.25">
      <c r="H341">
        <v>53.9</v>
      </c>
      <c r="I341" s="11">
        <v>2.8257499999999993</v>
      </c>
      <c r="J341" s="10">
        <f t="shared" si="56"/>
        <v>-3.0000000000000001E-5</v>
      </c>
      <c r="K341" s="17">
        <f t="shared" si="57"/>
        <v>1.7000000000000001E-4</v>
      </c>
      <c r="L341" s="10">
        <f t="shared" si="58"/>
        <v>8.8400000000000006E-3</v>
      </c>
      <c r="M341" s="11">
        <f t="shared" si="64"/>
        <v>2.8509826869526611</v>
      </c>
      <c r="N341" s="5">
        <f t="shared" si="59"/>
        <v>8.9295539069846209E-3</v>
      </c>
      <c r="O341">
        <f t="shared" si="60"/>
        <v>15210.2667</v>
      </c>
      <c r="P341">
        <f t="shared" ca="1" si="61"/>
        <v>15212</v>
      </c>
      <c r="Q341" t="str">
        <f t="shared" ca="1" si="65"/>
        <v>0011101101101100</v>
      </c>
      <c r="R341">
        <f t="shared" ca="1" si="62"/>
        <v>2.8522500000000002</v>
      </c>
      <c r="S341">
        <f t="shared" ca="1" si="63"/>
        <v>54.227000000000004</v>
      </c>
      <c r="T341" s="3">
        <f t="shared" ca="1" si="66"/>
        <v>6.0667903525047362E-3</v>
      </c>
    </row>
    <row r="342" spans="8:20" x14ac:dyDescent="0.25">
      <c r="H342">
        <v>54</v>
      </c>
      <c r="I342" s="11">
        <v>2.8324999999999996</v>
      </c>
      <c r="J342" s="10">
        <f t="shared" si="56"/>
        <v>-3.0000000000000001E-5</v>
      </c>
      <c r="K342" s="17">
        <f t="shared" si="57"/>
        <v>1.7000000000000001E-4</v>
      </c>
      <c r="L342" s="10">
        <f t="shared" si="58"/>
        <v>8.8699999999999994E-3</v>
      </c>
      <c r="M342" s="11">
        <f t="shared" si="64"/>
        <v>2.8578793901909938</v>
      </c>
      <c r="N342" s="5">
        <f t="shared" si="59"/>
        <v>8.960067145982074E-3</v>
      </c>
      <c r="O342">
        <f t="shared" si="60"/>
        <v>15247.061299999999</v>
      </c>
      <c r="P342">
        <f t="shared" ca="1" si="61"/>
        <v>15246</v>
      </c>
      <c r="Q342" t="str">
        <f t="shared" ca="1" si="65"/>
        <v>0011101110001110</v>
      </c>
      <c r="R342">
        <f t="shared" ca="1" si="62"/>
        <v>2.858625</v>
      </c>
      <c r="S342">
        <f t="shared" ca="1" si="63"/>
        <v>54.303500000000007</v>
      </c>
      <c r="T342" s="3">
        <f t="shared" ca="1" si="66"/>
        <v>5.620370370370496E-3</v>
      </c>
    </row>
    <row r="343" spans="8:20" x14ac:dyDescent="0.25">
      <c r="H343">
        <v>54.1</v>
      </c>
      <c r="I343" s="11">
        <v>2.8419166666666662</v>
      </c>
      <c r="J343" s="10">
        <f t="shared" si="56"/>
        <v>-2.9E-5</v>
      </c>
      <c r="K343" s="17">
        <f t="shared" si="57"/>
        <v>1.7100000000000001E-4</v>
      </c>
      <c r="L343" s="10">
        <f t="shared" si="58"/>
        <v>8.9009999999999992E-3</v>
      </c>
      <c r="M343" s="11">
        <f t="shared" si="64"/>
        <v>2.8674690083096306</v>
      </c>
      <c r="N343" s="5">
        <f t="shared" si="59"/>
        <v>8.9912353668466886E-3</v>
      </c>
      <c r="O343">
        <f t="shared" si="60"/>
        <v>15298.222900000001</v>
      </c>
      <c r="P343">
        <f t="shared" ca="1" si="61"/>
        <v>15297</v>
      </c>
      <c r="Q343" t="str">
        <f t="shared" ca="1" si="65"/>
        <v>0011101111000001</v>
      </c>
      <c r="R343">
        <f t="shared" ca="1" si="62"/>
        <v>2.8681874999999999</v>
      </c>
      <c r="S343">
        <f t="shared" ca="1" si="63"/>
        <v>54.41825</v>
      </c>
      <c r="T343" s="3">
        <f t="shared" ca="1" si="66"/>
        <v>5.8826247689463774E-3</v>
      </c>
    </row>
    <row r="344" spans="8:20" x14ac:dyDescent="0.25">
      <c r="H344">
        <v>54.2</v>
      </c>
      <c r="I344" s="11">
        <v>2.8505833333333328</v>
      </c>
      <c r="J344" s="10">
        <f t="shared" si="56"/>
        <v>-2.8E-5</v>
      </c>
      <c r="K344" s="17">
        <f t="shared" si="57"/>
        <v>1.7100000000000001E-4</v>
      </c>
      <c r="L344" s="10">
        <f t="shared" si="58"/>
        <v>8.9309999999999997E-3</v>
      </c>
      <c r="M344" s="11">
        <f t="shared" si="64"/>
        <v>2.8762995647460801</v>
      </c>
      <c r="N344" s="5">
        <f t="shared" si="59"/>
        <v>9.0213926083248207E-3</v>
      </c>
      <c r="O344">
        <f t="shared" si="60"/>
        <v>15345.334699999999</v>
      </c>
      <c r="P344">
        <f t="shared" ca="1" si="61"/>
        <v>15346</v>
      </c>
      <c r="Q344" t="str">
        <f t="shared" ca="1" si="65"/>
        <v>0011101111110010</v>
      </c>
      <c r="R344">
        <f t="shared" ca="1" si="62"/>
        <v>2.8773750000000002</v>
      </c>
      <c r="S344">
        <f t="shared" ca="1" si="63"/>
        <v>54.528500000000001</v>
      </c>
      <c r="T344" s="3">
        <f t="shared" ca="1" si="66"/>
        <v>6.0608856088560561E-3</v>
      </c>
    </row>
    <row r="345" spans="8:20" x14ac:dyDescent="0.25">
      <c r="H345">
        <v>54.300000000000004</v>
      </c>
      <c r="I345" s="11">
        <v>2.8585833333333328</v>
      </c>
      <c r="J345" s="10">
        <f t="shared" si="56"/>
        <v>-2.8E-5</v>
      </c>
      <c r="K345" s="17">
        <f t="shared" si="57"/>
        <v>1.7200000000000001E-4</v>
      </c>
      <c r="L345" s="10">
        <f t="shared" si="58"/>
        <v>8.9619999999999995E-3</v>
      </c>
      <c r="M345" s="11">
        <f t="shared" si="64"/>
        <v>2.8844618807082401</v>
      </c>
      <c r="N345" s="5">
        <f t="shared" si="59"/>
        <v>9.0529273969882224E-3</v>
      </c>
      <c r="O345">
        <f t="shared" si="60"/>
        <v>15388.8815</v>
      </c>
      <c r="P345">
        <f t="shared" ca="1" si="61"/>
        <v>15391</v>
      </c>
      <c r="Q345" t="str">
        <f t="shared" ca="1" si="65"/>
        <v>0011110000011111</v>
      </c>
      <c r="R345">
        <f t="shared" ca="1" si="62"/>
        <v>2.8858125000000001</v>
      </c>
      <c r="S345">
        <f t="shared" ca="1" si="63"/>
        <v>54.629750000000008</v>
      </c>
      <c r="T345" s="3">
        <f t="shared" ca="1" si="66"/>
        <v>6.0727440147330418E-3</v>
      </c>
    </row>
    <row r="346" spans="8:20" x14ac:dyDescent="0.25">
      <c r="H346">
        <v>54.4</v>
      </c>
      <c r="I346" s="11">
        <v>2.8674999999999988</v>
      </c>
      <c r="J346" s="10">
        <f t="shared" si="56"/>
        <v>-2.6999999999999999E-5</v>
      </c>
      <c r="K346" s="17">
        <f t="shared" si="57"/>
        <v>1.7200000000000001E-4</v>
      </c>
      <c r="L346" s="10">
        <f t="shared" si="58"/>
        <v>8.992E-3</v>
      </c>
      <c r="M346" s="11">
        <f t="shared" si="64"/>
        <v>2.8935457635054398</v>
      </c>
      <c r="N346" s="5">
        <f t="shared" si="59"/>
        <v>9.0830910219497733E-3</v>
      </c>
      <c r="O346">
        <f t="shared" si="60"/>
        <v>15437.3449</v>
      </c>
      <c r="P346">
        <f t="shared" ca="1" si="61"/>
        <v>15440</v>
      </c>
      <c r="Q346" t="str">
        <f t="shared" ca="1" si="65"/>
        <v>0011110001010000</v>
      </c>
      <c r="R346">
        <f t="shared" ca="1" si="62"/>
        <v>2.895</v>
      </c>
      <c r="S346">
        <f t="shared" ca="1" si="63"/>
        <v>54.74</v>
      </c>
      <c r="T346" s="3">
        <f t="shared" ca="1" si="66"/>
        <v>6.2500000000000628E-3</v>
      </c>
    </row>
    <row r="347" spans="8:20" x14ac:dyDescent="0.25">
      <c r="H347">
        <v>54.5</v>
      </c>
      <c r="I347" s="11">
        <v>2.8749166666666666</v>
      </c>
      <c r="J347" s="10">
        <f t="shared" si="56"/>
        <v>-2.6999999999999999E-5</v>
      </c>
      <c r="K347" s="17">
        <f t="shared" si="57"/>
        <v>1.73E-4</v>
      </c>
      <c r="L347" s="10">
        <f t="shared" si="58"/>
        <v>9.0229999999999998E-3</v>
      </c>
      <c r="M347" s="11">
        <f t="shared" si="64"/>
        <v>2.9011204767281851</v>
      </c>
      <c r="N347" s="5">
        <f t="shared" si="59"/>
        <v>9.1146329093081558E-3</v>
      </c>
      <c r="O347">
        <f t="shared" si="60"/>
        <v>15477.7567</v>
      </c>
      <c r="P347">
        <f t="shared" ca="1" si="61"/>
        <v>15478</v>
      </c>
      <c r="Q347" t="str">
        <f t="shared" ca="1" si="65"/>
        <v>0011110001110110</v>
      </c>
      <c r="R347">
        <f t="shared" ca="1" si="62"/>
        <v>2.9021249999999998</v>
      </c>
      <c r="S347">
        <f t="shared" ca="1" si="63"/>
        <v>54.825500000000005</v>
      </c>
      <c r="T347" s="3">
        <f t="shared" ca="1" si="66"/>
        <v>5.9724770642202796E-3</v>
      </c>
    </row>
    <row r="348" spans="8:20" x14ac:dyDescent="0.25">
      <c r="H348">
        <v>54.6</v>
      </c>
      <c r="I348" s="11">
        <v>2.8827499999999997</v>
      </c>
      <c r="J348" s="10">
        <f t="shared" si="56"/>
        <v>-2.5999999999999998E-5</v>
      </c>
      <c r="K348" s="17">
        <f t="shared" si="57"/>
        <v>1.73E-4</v>
      </c>
      <c r="L348" s="10">
        <f t="shared" si="58"/>
        <v>9.0530000000000003E-3</v>
      </c>
      <c r="M348" s="11">
        <f t="shared" si="64"/>
        <v>2.9091121926803347</v>
      </c>
      <c r="N348" s="5">
        <f t="shared" si="59"/>
        <v>9.1448071044436807E-3</v>
      </c>
      <c r="O348">
        <f t="shared" si="60"/>
        <v>15520.3933</v>
      </c>
      <c r="P348">
        <f t="shared" ca="1" si="61"/>
        <v>15518</v>
      </c>
      <c r="Q348" t="str">
        <f t="shared" ca="1" si="65"/>
        <v>0011110010011110</v>
      </c>
      <c r="R348">
        <f t="shared" ca="1" si="62"/>
        <v>2.9096250000000001</v>
      </c>
      <c r="S348">
        <f t="shared" ca="1" si="63"/>
        <v>54.915500000000009</v>
      </c>
      <c r="T348" s="3">
        <f t="shared" ca="1" si="66"/>
        <v>5.7783882783884102E-3</v>
      </c>
    </row>
    <row r="349" spans="8:20" x14ac:dyDescent="0.25">
      <c r="H349">
        <v>54.7</v>
      </c>
      <c r="I349" s="11">
        <v>2.8913333333333329</v>
      </c>
      <c r="J349" s="10">
        <f t="shared" si="56"/>
        <v>-2.5000000000000001E-5</v>
      </c>
      <c r="K349" s="17">
        <f t="shared" si="57"/>
        <v>1.74E-4</v>
      </c>
      <c r="L349" s="10">
        <f t="shared" si="58"/>
        <v>9.0840000000000001E-3</v>
      </c>
      <c r="M349" s="11">
        <f t="shared" si="64"/>
        <v>2.9178642118336295</v>
      </c>
      <c r="N349" s="5">
        <f t="shared" si="59"/>
        <v>9.1760013259038539E-3</v>
      </c>
      <c r="O349">
        <f t="shared" si="60"/>
        <v>15567.0861</v>
      </c>
      <c r="P349">
        <f t="shared" ca="1" si="61"/>
        <v>15565</v>
      </c>
      <c r="Q349" t="str">
        <f t="shared" ca="1" si="65"/>
        <v>0011110011001101</v>
      </c>
      <c r="R349">
        <f t="shared" ca="1" si="62"/>
        <v>2.9184375</v>
      </c>
      <c r="S349">
        <f t="shared" ca="1" si="63"/>
        <v>55.021250000000002</v>
      </c>
      <c r="T349" s="3">
        <f t="shared" ca="1" si="66"/>
        <v>5.8729433272394719E-3</v>
      </c>
    </row>
    <row r="350" spans="8:20" x14ac:dyDescent="0.25">
      <c r="H350">
        <v>54.800000000000004</v>
      </c>
      <c r="I350" s="11">
        <v>2.9006666666666669</v>
      </c>
      <c r="J350" s="10">
        <f t="shared" si="56"/>
        <v>-2.5000000000000001E-5</v>
      </c>
      <c r="K350" s="17">
        <f t="shared" si="57"/>
        <v>1.74E-4</v>
      </c>
      <c r="L350" s="10">
        <f t="shared" si="58"/>
        <v>9.1140000000000006E-3</v>
      </c>
      <c r="M350" s="11">
        <f t="shared" si="64"/>
        <v>2.9273717326379289</v>
      </c>
      <c r="N350" s="5">
        <f t="shared" si="59"/>
        <v>9.2065269953787582E-3</v>
      </c>
      <c r="O350">
        <f t="shared" si="60"/>
        <v>15617.8097</v>
      </c>
      <c r="P350">
        <f t="shared" ca="1" si="61"/>
        <v>15615</v>
      </c>
      <c r="Q350" t="str">
        <f t="shared" ca="1" si="65"/>
        <v>0011110011111111</v>
      </c>
      <c r="R350">
        <f t="shared" ca="1" si="62"/>
        <v>2.9278124999999999</v>
      </c>
      <c r="S350">
        <f t="shared" ca="1" si="63"/>
        <v>55.133750000000006</v>
      </c>
      <c r="T350" s="3">
        <f t="shared" ca="1" si="66"/>
        <v>6.0903284671533203E-3</v>
      </c>
    </row>
    <row r="351" spans="8:20" x14ac:dyDescent="0.25">
      <c r="H351">
        <v>54.9</v>
      </c>
      <c r="I351" s="11">
        <v>2.9090833333333324</v>
      </c>
      <c r="J351" s="10">
        <f t="shared" si="56"/>
        <v>-2.4000000000000001E-5</v>
      </c>
      <c r="K351" s="17">
        <f t="shared" si="57"/>
        <v>1.75E-4</v>
      </c>
      <c r="L351" s="10">
        <f t="shared" si="58"/>
        <v>9.1450000000000004E-3</v>
      </c>
      <c r="M351" s="11">
        <f t="shared" si="64"/>
        <v>2.9359566569612428</v>
      </c>
      <c r="N351" s="5">
        <f t="shared" si="59"/>
        <v>9.2377290536802791E-3</v>
      </c>
      <c r="O351">
        <f t="shared" si="60"/>
        <v>15663.611000000001</v>
      </c>
      <c r="P351">
        <f t="shared" ca="1" si="61"/>
        <v>15665</v>
      </c>
      <c r="Q351" t="str">
        <f t="shared" ca="1" si="65"/>
        <v>0011110100110001</v>
      </c>
      <c r="R351">
        <f t="shared" ca="1" si="62"/>
        <v>2.9371874999999998</v>
      </c>
      <c r="S351">
        <f t="shared" ca="1" si="63"/>
        <v>55.246249999999996</v>
      </c>
      <c r="T351" s="3">
        <f t="shared" ca="1" si="66"/>
        <v>6.3069216757740939E-3</v>
      </c>
    </row>
    <row r="352" spans="8:20" x14ac:dyDescent="0.25">
      <c r="H352">
        <v>55</v>
      </c>
      <c r="I352" s="11">
        <v>2.9174166666666661</v>
      </c>
      <c r="J352" s="10">
        <f t="shared" si="56"/>
        <v>-2.4000000000000001E-5</v>
      </c>
      <c r="K352" s="17">
        <f t="shared" si="57"/>
        <v>1.75E-4</v>
      </c>
      <c r="L352" s="10">
        <f t="shared" si="58"/>
        <v>9.1750000000000009E-3</v>
      </c>
      <c r="M352" s="11">
        <f t="shared" si="64"/>
        <v>2.9444560509339852</v>
      </c>
      <c r="N352" s="5">
        <f t="shared" si="59"/>
        <v>9.2682627669407689E-3</v>
      </c>
      <c r="O352">
        <f t="shared" si="60"/>
        <v>15708.956099999999</v>
      </c>
      <c r="P352">
        <f t="shared" ca="1" si="61"/>
        <v>15711</v>
      </c>
      <c r="Q352" t="str">
        <f t="shared" ca="1" si="65"/>
        <v>0011110101011111</v>
      </c>
      <c r="R352">
        <f t="shared" ca="1" si="62"/>
        <v>2.9458125000000002</v>
      </c>
      <c r="S352">
        <f t="shared" ca="1" si="63"/>
        <v>55.34975</v>
      </c>
      <c r="T352" s="3">
        <f t="shared" ca="1" si="66"/>
        <v>6.3590909090909132E-3</v>
      </c>
    </row>
    <row r="353" spans="8:20" x14ac:dyDescent="0.25">
      <c r="H353">
        <v>55.1</v>
      </c>
      <c r="I353" s="11">
        <v>2.9247499999999995</v>
      </c>
      <c r="J353" s="10">
        <f t="shared" si="56"/>
        <v>-2.3E-5</v>
      </c>
      <c r="K353" s="17">
        <f t="shared" si="57"/>
        <v>1.76E-4</v>
      </c>
      <c r="L353" s="10">
        <f t="shared" si="58"/>
        <v>9.2060000000000006E-3</v>
      </c>
      <c r="M353" s="11">
        <f t="shared" si="64"/>
        <v>2.9519486391722194</v>
      </c>
      <c r="N353" s="5">
        <f t="shared" si="59"/>
        <v>9.2994748857919071E-3</v>
      </c>
      <c r="O353">
        <f t="shared" si="60"/>
        <v>15748.9298</v>
      </c>
      <c r="P353">
        <f t="shared" ca="1" si="61"/>
        <v>15753</v>
      </c>
      <c r="Q353" t="str">
        <f t="shared" ca="1" si="65"/>
        <v>0011110110001001</v>
      </c>
      <c r="R353">
        <f t="shared" ca="1" si="62"/>
        <v>2.9536875</v>
      </c>
      <c r="S353">
        <f t="shared" ca="1" si="63"/>
        <v>55.444250000000004</v>
      </c>
      <c r="T353" s="3">
        <f t="shared" ca="1" si="66"/>
        <v>6.2477313974592082E-3</v>
      </c>
    </row>
    <row r="354" spans="8:20" x14ac:dyDescent="0.25">
      <c r="H354">
        <v>55.2</v>
      </c>
      <c r="I354" s="11">
        <v>2.9334166666666661</v>
      </c>
      <c r="J354" s="10">
        <f t="shared" si="56"/>
        <v>-2.3E-5</v>
      </c>
      <c r="K354" s="17">
        <f t="shared" si="57"/>
        <v>1.76E-4</v>
      </c>
      <c r="L354" s="10">
        <f t="shared" si="58"/>
        <v>9.2359999999999994E-3</v>
      </c>
      <c r="M354" s="11">
        <f t="shared" si="64"/>
        <v>2.960785481372624</v>
      </c>
      <c r="N354" s="5">
        <f t="shared" si="59"/>
        <v>9.3300126834889481E-3</v>
      </c>
      <c r="O354">
        <f t="shared" si="60"/>
        <v>15796.075199999999</v>
      </c>
      <c r="P354">
        <f t="shared" ca="1" si="61"/>
        <v>15796</v>
      </c>
      <c r="Q354" t="str">
        <f t="shared" ca="1" si="65"/>
        <v>0011110110110100</v>
      </c>
      <c r="R354">
        <f t="shared" ca="1" si="62"/>
        <v>2.9617499999999999</v>
      </c>
      <c r="S354">
        <f t="shared" ca="1" si="63"/>
        <v>55.540999999999997</v>
      </c>
      <c r="T354" s="3">
        <f t="shared" ca="1" si="66"/>
        <v>6.1775362318839486E-3</v>
      </c>
    </row>
    <row r="355" spans="8:20" x14ac:dyDescent="0.25">
      <c r="H355">
        <v>55.300000000000004</v>
      </c>
      <c r="I355" s="11">
        <v>2.9412499999999993</v>
      </c>
      <c r="J355" s="10">
        <f t="shared" si="56"/>
        <v>-2.1999999999999999E-5</v>
      </c>
      <c r="K355" s="17">
        <f t="shared" si="57"/>
        <v>1.7699999999999999E-4</v>
      </c>
      <c r="L355" s="10">
        <f t="shared" si="58"/>
        <v>9.2669999999999992E-3</v>
      </c>
      <c r="M355" s="11">
        <f t="shared" si="64"/>
        <v>2.9687837187213906</v>
      </c>
      <c r="N355" s="5">
        <f t="shared" si="59"/>
        <v>9.3612303345146884E-3</v>
      </c>
      <c r="O355">
        <f t="shared" si="60"/>
        <v>15838.7466</v>
      </c>
      <c r="P355">
        <f t="shared" ca="1" si="61"/>
        <v>15836</v>
      </c>
      <c r="Q355" t="str">
        <f t="shared" ca="1" si="65"/>
        <v>0011110111011100</v>
      </c>
      <c r="R355">
        <f t="shared" ca="1" si="62"/>
        <v>2.9692500000000002</v>
      </c>
      <c r="S355">
        <f t="shared" ca="1" si="63"/>
        <v>55.631</v>
      </c>
      <c r="T355" s="3">
        <f t="shared" ca="1" si="66"/>
        <v>5.9855334538878105E-3</v>
      </c>
    </row>
    <row r="356" spans="8:20" x14ac:dyDescent="0.25">
      <c r="H356">
        <v>55.4</v>
      </c>
      <c r="I356" s="11">
        <v>2.949749999999999</v>
      </c>
      <c r="J356" s="10">
        <f t="shared" si="56"/>
        <v>-2.0999999999999999E-5</v>
      </c>
      <c r="K356" s="17">
        <f t="shared" si="57"/>
        <v>1.7699999999999999E-4</v>
      </c>
      <c r="L356" s="10">
        <f t="shared" si="58"/>
        <v>9.2969999999999997E-3</v>
      </c>
      <c r="M356" s="11">
        <f t="shared" si="64"/>
        <v>2.9774523747278434</v>
      </c>
      <c r="N356" s="5">
        <f t="shared" si="59"/>
        <v>9.3914313849798921E-3</v>
      </c>
      <c r="O356">
        <f t="shared" si="60"/>
        <v>15884.994699999999</v>
      </c>
      <c r="P356">
        <f t="shared" ca="1" si="61"/>
        <v>15885</v>
      </c>
      <c r="Q356" t="str">
        <f t="shared" ca="1" si="65"/>
        <v>0011111000001101</v>
      </c>
      <c r="R356">
        <f t="shared" ca="1" si="62"/>
        <v>2.9784375000000001</v>
      </c>
      <c r="S356">
        <f t="shared" ca="1" si="63"/>
        <v>55.741250000000008</v>
      </c>
      <c r="T356" s="3">
        <f t="shared" ca="1" si="66"/>
        <v>6.1597472924189416E-3</v>
      </c>
    </row>
    <row r="357" spans="8:20" x14ac:dyDescent="0.25">
      <c r="H357">
        <v>55.5</v>
      </c>
      <c r="I357" s="11">
        <v>2.9581666666666662</v>
      </c>
      <c r="J357" s="10">
        <f t="shared" si="56"/>
        <v>-2.0999999999999999E-5</v>
      </c>
      <c r="K357" s="17">
        <f t="shared" si="57"/>
        <v>1.7799999999999999E-4</v>
      </c>
      <c r="L357" s="10">
        <f t="shared" si="58"/>
        <v>9.3279999999999995E-3</v>
      </c>
      <c r="M357" s="11">
        <f t="shared" si="64"/>
        <v>2.9860414614187802</v>
      </c>
      <c r="N357" s="5">
        <f t="shared" si="59"/>
        <v>9.4229967047543221E-3</v>
      </c>
      <c r="O357">
        <f t="shared" si="60"/>
        <v>15930.818300000001</v>
      </c>
      <c r="P357">
        <f t="shared" ca="1" si="61"/>
        <v>15934</v>
      </c>
      <c r="Q357" t="str">
        <f t="shared" ca="1" si="65"/>
        <v>0011111000111110</v>
      </c>
      <c r="R357">
        <f t="shared" ca="1" si="62"/>
        <v>2.987625</v>
      </c>
      <c r="S357">
        <f t="shared" ca="1" si="63"/>
        <v>55.851500000000001</v>
      </c>
      <c r="T357" s="3">
        <f t="shared" ca="1" si="66"/>
        <v>6.3333333333333601E-3</v>
      </c>
    </row>
    <row r="358" spans="8:20" x14ac:dyDescent="0.25">
      <c r="H358">
        <v>55.6</v>
      </c>
      <c r="I358" s="11">
        <v>2.966499999999999</v>
      </c>
      <c r="J358" s="10">
        <f t="shared" si="56"/>
        <v>-2.0000000000000002E-5</v>
      </c>
      <c r="K358" s="17">
        <f t="shared" si="57"/>
        <v>1.7799999999999999E-4</v>
      </c>
      <c r="L358" s="10">
        <f t="shared" si="58"/>
        <v>9.358E-3</v>
      </c>
      <c r="M358" s="11">
        <f t="shared" si="64"/>
        <v>2.9945429327648121</v>
      </c>
      <c r="N358" s="5">
        <f t="shared" si="59"/>
        <v>9.4532050446024182E-3</v>
      </c>
      <c r="O358">
        <f t="shared" si="60"/>
        <v>15976.174499999999</v>
      </c>
      <c r="P358">
        <f t="shared" ca="1" si="61"/>
        <v>15975</v>
      </c>
      <c r="Q358" t="str">
        <f t="shared" ca="1" si="65"/>
        <v>0011111001100111</v>
      </c>
      <c r="R358">
        <f t="shared" ca="1" si="62"/>
        <v>2.9953125000000003</v>
      </c>
      <c r="S358">
        <f t="shared" ca="1" si="63"/>
        <v>55.943750000000001</v>
      </c>
      <c r="T358" s="3">
        <f t="shared" ca="1" si="66"/>
        <v>6.1825539568345321E-3</v>
      </c>
    </row>
    <row r="359" spans="8:20" x14ac:dyDescent="0.25">
      <c r="H359">
        <v>55.7</v>
      </c>
      <c r="I359" s="11">
        <v>2.9744166666666665</v>
      </c>
      <c r="J359" s="10">
        <f t="shared" si="56"/>
        <v>-2.0000000000000002E-5</v>
      </c>
      <c r="K359" s="17">
        <f t="shared" si="57"/>
        <v>1.7899999999999999E-4</v>
      </c>
      <c r="L359" s="10">
        <f t="shared" si="58"/>
        <v>9.3889999999999998E-3</v>
      </c>
      <c r="M359" s="11">
        <f t="shared" si="64"/>
        <v>3.0026283441902688</v>
      </c>
      <c r="N359" s="5">
        <f t="shared" si="59"/>
        <v>9.4847765747689411E-3</v>
      </c>
      <c r="O359">
        <f t="shared" si="60"/>
        <v>16019.3109</v>
      </c>
      <c r="P359">
        <f t="shared" ca="1" si="61"/>
        <v>16023</v>
      </c>
      <c r="Q359" t="str">
        <f t="shared" ca="1" si="65"/>
        <v>0011111010010111</v>
      </c>
      <c r="R359">
        <f t="shared" ca="1" si="62"/>
        <v>3.0043125000000002</v>
      </c>
      <c r="S359">
        <f t="shared" ca="1" si="63"/>
        <v>56.051750000000006</v>
      </c>
      <c r="T359" s="3">
        <f t="shared" ca="1" si="66"/>
        <v>6.3150807899461873E-3</v>
      </c>
    </row>
    <row r="360" spans="8:20" x14ac:dyDescent="0.25">
      <c r="H360">
        <v>55.800000000000004</v>
      </c>
      <c r="I360" s="11">
        <v>2.9835000000000003</v>
      </c>
      <c r="J360" s="10">
        <f t="shared" si="56"/>
        <v>-1.9000000000000001E-5</v>
      </c>
      <c r="K360" s="17">
        <f t="shared" si="57"/>
        <v>1.7899999999999999E-4</v>
      </c>
      <c r="L360" s="10">
        <f t="shared" si="58"/>
        <v>9.4190000000000003E-3</v>
      </c>
      <c r="M360" s="11">
        <f t="shared" si="64"/>
        <v>3.0118879728159538</v>
      </c>
      <c r="N360" s="5">
        <f t="shared" si="59"/>
        <v>9.5149900505961151E-3</v>
      </c>
      <c r="O360">
        <f t="shared" si="60"/>
        <v>16068.7119</v>
      </c>
      <c r="P360">
        <f t="shared" ca="1" si="61"/>
        <v>16066</v>
      </c>
      <c r="Q360" t="str">
        <f t="shared" ca="1" si="65"/>
        <v>0011111011000010</v>
      </c>
      <c r="R360">
        <f t="shared" ca="1" si="62"/>
        <v>3.012375</v>
      </c>
      <c r="S360">
        <f t="shared" ca="1" si="63"/>
        <v>56.148499999999999</v>
      </c>
      <c r="T360" s="3">
        <f t="shared" ca="1" si="66"/>
        <v>6.245519713261545E-3</v>
      </c>
    </row>
    <row r="361" spans="8:20" x14ac:dyDescent="0.25">
      <c r="H361">
        <v>55.9</v>
      </c>
      <c r="I361" s="11">
        <v>2.9910833333333331</v>
      </c>
      <c r="J361" s="10">
        <f t="shared" si="56"/>
        <v>-1.9000000000000001E-5</v>
      </c>
      <c r="K361" s="17">
        <f t="shared" si="57"/>
        <v>1.8000000000000001E-4</v>
      </c>
      <c r="L361" s="10">
        <f t="shared" si="58"/>
        <v>9.4500000000000001E-3</v>
      </c>
      <c r="M361" s="11">
        <f t="shared" si="64"/>
        <v>3.0196379115979335</v>
      </c>
      <c r="N361" s="5">
        <f t="shared" si="59"/>
        <v>9.546567274265309E-3</v>
      </c>
      <c r="O361">
        <f t="shared" si="60"/>
        <v>16110.0586</v>
      </c>
      <c r="P361">
        <f t="shared" ca="1" si="61"/>
        <v>16109</v>
      </c>
      <c r="Q361" t="str">
        <f t="shared" ca="1" si="65"/>
        <v>0011111011101101</v>
      </c>
      <c r="R361">
        <f t="shared" ca="1" si="62"/>
        <v>3.0204374999999999</v>
      </c>
      <c r="S361">
        <f t="shared" ca="1" si="63"/>
        <v>56.245250000000006</v>
      </c>
      <c r="T361" s="3">
        <f t="shared" ca="1" si="66"/>
        <v>6.1762075134169439E-3</v>
      </c>
    </row>
    <row r="362" spans="8:20" x14ac:dyDescent="0.25">
      <c r="H362">
        <v>56</v>
      </c>
      <c r="I362" s="11">
        <v>2.9992499999999991</v>
      </c>
      <c r="J362" s="10">
        <f t="shared" si="56"/>
        <v>-1.8E-5</v>
      </c>
      <c r="K362" s="17">
        <f t="shared" si="57"/>
        <v>1.8000000000000001E-4</v>
      </c>
      <c r="L362" s="10">
        <f t="shared" si="58"/>
        <v>9.4800000000000006E-3</v>
      </c>
      <c r="M362" s="11">
        <f t="shared" si="64"/>
        <v>3.0279731858013963</v>
      </c>
      <c r="N362" s="5">
        <f t="shared" si="59"/>
        <v>9.5767894644985304E-3</v>
      </c>
      <c r="O362">
        <f t="shared" si="60"/>
        <v>16154.5281</v>
      </c>
      <c r="P362">
        <f t="shared" ca="1" si="61"/>
        <v>16152</v>
      </c>
      <c r="Q362" t="str">
        <f t="shared" ca="1" si="65"/>
        <v>0011111100011000</v>
      </c>
      <c r="R362">
        <f t="shared" ca="1" si="62"/>
        <v>3.0285000000000002</v>
      </c>
      <c r="S362">
        <f t="shared" ca="1" si="63"/>
        <v>56.342000000000006</v>
      </c>
      <c r="T362" s="3">
        <f t="shared" ca="1" si="66"/>
        <v>6.1071428571429619E-3</v>
      </c>
    </row>
    <row r="363" spans="8:20" x14ac:dyDescent="0.25">
      <c r="H363">
        <v>56.1</v>
      </c>
      <c r="I363" s="11">
        <v>3.0075833333333328</v>
      </c>
      <c r="J363" s="10">
        <f t="shared" si="56"/>
        <v>-1.7E-5</v>
      </c>
      <c r="K363" s="17">
        <f t="shared" si="57"/>
        <v>1.8100000000000001E-4</v>
      </c>
      <c r="L363" s="10">
        <f t="shared" si="58"/>
        <v>9.5110000000000004E-3</v>
      </c>
      <c r="M363" s="11">
        <f t="shared" si="64"/>
        <v>3.0364802974423069</v>
      </c>
      <c r="N363" s="5">
        <f t="shared" si="59"/>
        <v>9.6080343938291634E-3</v>
      </c>
      <c r="O363">
        <f t="shared" si="60"/>
        <v>16199.9143</v>
      </c>
      <c r="P363">
        <f t="shared" ca="1" si="61"/>
        <v>16204</v>
      </c>
      <c r="Q363" t="str">
        <f t="shared" ca="1" si="65"/>
        <v>0011111101001100</v>
      </c>
      <c r="R363">
        <f t="shared" ca="1" si="62"/>
        <v>3.0382500000000001</v>
      </c>
      <c r="S363">
        <f t="shared" ca="1" si="63"/>
        <v>56.459000000000003</v>
      </c>
      <c r="T363" s="3">
        <f t="shared" ca="1" si="66"/>
        <v>6.3992869875223127E-3</v>
      </c>
    </row>
    <row r="364" spans="8:20" x14ac:dyDescent="0.25">
      <c r="H364">
        <v>56.2</v>
      </c>
      <c r="I364" s="11">
        <v>3.016916666666666</v>
      </c>
      <c r="J364" s="10">
        <f t="shared" si="56"/>
        <v>-1.7E-5</v>
      </c>
      <c r="K364" s="17">
        <f t="shared" si="57"/>
        <v>1.8100000000000001E-4</v>
      </c>
      <c r="L364" s="10">
        <f t="shared" si="58"/>
        <v>9.5409999999999991E-3</v>
      </c>
      <c r="M364" s="11">
        <f t="shared" si="64"/>
        <v>3.0459955098259153</v>
      </c>
      <c r="N364" s="5">
        <f t="shared" si="59"/>
        <v>9.6385967436674047E-3</v>
      </c>
      <c r="O364">
        <f t="shared" si="60"/>
        <v>16250.678900000001</v>
      </c>
      <c r="P364">
        <f t="shared" ca="1" si="61"/>
        <v>16254</v>
      </c>
      <c r="Q364" t="str">
        <f t="shared" ca="1" si="65"/>
        <v>0011111101111110</v>
      </c>
      <c r="R364">
        <f t="shared" ca="1" si="62"/>
        <v>3.047625</v>
      </c>
      <c r="S364">
        <f t="shared" ca="1" si="63"/>
        <v>56.571500000000007</v>
      </c>
      <c r="T364" s="3">
        <f t="shared" ca="1" si="66"/>
        <v>6.6103202846975904E-3</v>
      </c>
    </row>
    <row r="365" spans="8:20" x14ac:dyDescent="0.25">
      <c r="H365">
        <v>56.300000000000004</v>
      </c>
      <c r="I365" s="11">
        <v>3.0256666666666669</v>
      </c>
      <c r="J365" s="10">
        <f t="shared" si="56"/>
        <v>-1.5999999999999999E-5</v>
      </c>
      <c r="K365" s="17">
        <f t="shared" si="57"/>
        <v>1.8200000000000001E-4</v>
      </c>
      <c r="L365" s="10">
        <f t="shared" si="58"/>
        <v>9.5720000000000006E-3</v>
      </c>
      <c r="M365" s="11">
        <f t="shared" si="64"/>
        <v>3.0549244030526874</v>
      </c>
      <c r="N365" s="5">
        <f t="shared" si="59"/>
        <v>9.6698478746349466E-3</v>
      </c>
      <c r="O365">
        <f t="shared" si="60"/>
        <v>16298.315399999999</v>
      </c>
      <c r="P365">
        <f t="shared" ca="1" si="61"/>
        <v>16299</v>
      </c>
      <c r="Q365" t="str">
        <f t="shared" ca="1" si="65"/>
        <v>0011111110101011</v>
      </c>
      <c r="R365">
        <f t="shared" ca="1" si="62"/>
        <v>3.0560624999999999</v>
      </c>
      <c r="S365">
        <f t="shared" ca="1" si="63"/>
        <v>56.672750000000001</v>
      </c>
      <c r="T365" s="3">
        <f t="shared" ca="1" si="66"/>
        <v>6.6207815275310181E-3</v>
      </c>
    </row>
    <row r="366" spans="8:20" x14ac:dyDescent="0.25">
      <c r="H366">
        <v>56.4</v>
      </c>
      <c r="I366" s="11">
        <v>3.0333333333333323</v>
      </c>
      <c r="J366" s="10">
        <f t="shared" si="56"/>
        <v>-1.5999999999999999E-5</v>
      </c>
      <c r="K366" s="17">
        <f t="shared" si="57"/>
        <v>1.8200000000000001E-4</v>
      </c>
      <c r="L366" s="10">
        <f t="shared" si="58"/>
        <v>9.6019999999999994E-3</v>
      </c>
      <c r="M366" s="11">
        <f t="shared" si="64"/>
        <v>3.0627579350254468</v>
      </c>
      <c r="N366" s="5">
        <f t="shared" si="59"/>
        <v>9.7004181402575215E-3</v>
      </c>
      <c r="O366">
        <f t="shared" si="60"/>
        <v>16340.108099999999</v>
      </c>
      <c r="P366">
        <f t="shared" ca="1" si="61"/>
        <v>16344</v>
      </c>
      <c r="Q366" t="str">
        <f t="shared" ca="1" si="65"/>
        <v>0011111111011000</v>
      </c>
      <c r="R366">
        <f t="shared" ca="1" si="62"/>
        <v>3.0645000000000002</v>
      </c>
      <c r="S366">
        <f t="shared" ca="1" si="63"/>
        <v>56.774000000000001</v>
      </c>
      <c r="T366" s="3">
        <f t="shared" ca="1" si="66"/>
        <v>6.6312056737589066E-3</v>
      </c>
    </row>
    <row r="367" spans="8:20" x14ac:dyDescent="0.25">
      <c r="H367">
        <v>56.5</v>
      </c>
      <c r="I367" s="11">
        <v>3.0408333333333326</v>
      </c>
      <c r="J367" s="10">
        <f t="shared" si="56"/>
        <v>-1.5E-5</v>
      </c>
      <c r="K367" s="17">
        <f t="shared" si="57"/>
        <v>1.83E-4</v>
      </c>
      <c r="L367" s="10">
        <f t="shared" si="58"/>
        <v>9.6329999999999992E-3</v>
      </c>
      <c r="M367" s="11">
        <f t="shared" si="64"/>
        <v>3.070425744530394</v>
      </c>
      <c r="N367" s="5">
        <f t="shared" si="59"/>
        <v>9.7316781135855391E-3</v>
      </c>
      <c r="O367">
        <f t="shared" si="60"/>
        <v>16381.016600000001</v>
      </c>
      <c r="P367">
        <f t="shared" ca="1" si="61"/>
        <v>16385</v>
      </c>
      <c r="Q367" t="str">
        <f t="shared" ca="1" si="65"/>
        <v>0100000000000001</v>
      </c>
      <c r="R367">
        <f t="shared" ca="1" si="62"/>
        <v>3.0721875000000001</v>
      </c>
      <c r="S367">
        <f t="shared" ca="1" si="63"/>
        <v>56.866250000000008</v>
      </c>
      <c r="T367" s="3">
        <f t="shared" ca="1" si="66"/>
        <v>6.4823008849558932E-3</v>
      </c>
    </row>
    <row r="368" spans="8:20" x14ac:dyDescent="0.25">
      <c r="H368">
        <v>56.6</v>
      </c>
      <c r="I368" s="11">
        <v>3.0500833333333324</v>
      </c>
      <c r="J368" s="10">
        <f t="shared" si="56"/>
        <v>-1.5E-5</v>
      </c>
      <c r="K368" s="17">
        <f t="shared" si="57"/>
        <v>1.83E-4</v>
      </c>
      <c r="L368" s="10">
        <f t="shared" si="58"/>
        <v>9.6629999999999997E-3</v>
      </c>
      <c r="M368" s="11">
        <f t="shared" si="64"/>
        <v>3.0798590109562021</v>
      </c>
      <c r="N368" s="5">
        <f t="shared" si="59"/>
        <v>9.7622505252434773E-3</v>
      </c>
      <c r="O368">
        <f t="shared" si="60"/>
        <v>16431.3439</v>
      </c>
      <c r="P368">
        <f t="shared" ca="1" si="61"/>
        <v>16435</v>
      </c>
      <c r="Q368" t="str">
        <f t="shared" ca="1" si="65"/>
        <v>0100000000110011</v>
      </c>
      <c r="R368">
        <f t="shared" ca="1" si="62"/>
        <v>3.0815625</v>
      </c>
      <c r="S368">
        <f t="shared" ca="1" si="63"/>
        <v>56.978749999999998</v>
      </c>
      <c r="T368" s="3">
        <f t="shared" ca="1" si="66"/>
        <v>6.6916961130741442E-3</v>
      </c>
    </row>
    <row r="369" spans="8:20" x14ac:dyDescent="0.25">
      <c r="H369">
        <v>56.7</v>
      </c>
      <c r="I369" s="11">
        <v>3.0577499999999995</v>
      </c>
      <c r="J369" s="10">
        <f t="shared" si="56"/>
        <v>-1.4E-5</v>
      </c>
      <c r="K369" s="17">
        <f t="shared" si="57"/>
        <v>1.84E-4</v>
      </c>
      <c r="L369" s="10">
        <f t="shared" si="58"/>
        <v>9.6939999999999995E-3</v>
      </c>
      <c r="M369" s="11">
        <f t="shared" si="64"/>
        <v>3.0876961262478462</v>
      </c>
      <c r="N369" s="5">
        <f t="shared" si="59"/>
        <v>9.7935168826250203E-3</v>
      </c>
      <c r="O369">
        <f t="shared" si="60"/>
        <v>16473.155699999999</v>
      </c>
      <c r="P369">
        <f t="shared" ca="1" si="61"/>
        <v>16471</v>
      </c>
      <c r="Q369" t="str">
        <f t="shared" ca="1" si="65"/>
        <v>0100000001010111</v>
      </c>
      <c r="R369">
        <f t="shared" ca="1" si="62"/>
        <v>3.0883125000000002</v>
      </c>
      <c r="S369">
        <f t="shared" ca="1" si="63"/>
        <v>57.059750000000001</v>
      </c>
      <c r="T369" s="3">
        <f t="shared" ca="1" si="66"/>
        <v>6.3447971781304801E-3</v>
      </c>
    </row>
    <row r="370" spans="8:20" x14ac:dyDescent="0.25">
      <c r="H370">
        <v>56.800000000000004</v>
      </c>
      <c r="I370" s="11">
        <v>3.0664999999999996</v>
      </c>
      <c r="J370" s="10">
        <f t="shared" si="56"/>
        <v>-1.2999999999999999E-5</v>
      </c>
      <c r="K370" s="17">
        <f t="shared" si="57"/>
        <v>1.84E-4</v>
      </c>
      <c r="L370" s="10">
        <f t="shared" si="58"/>
        <v>9.724E-3</v>
      </c>
      <c r="M370" s="11">
        <f t="shared" si="64"/>
        <v>3.096624577390545</v>
      </c>
      <c r="N370" s="5">
        <f t="shared" si="59"/>
        <v>9.8237656580940549E-3</v>
      </c>
      <c r="O370">
        <f t="shared" si="60"/>
        <v>16520.7899</v>
      </c>
      <c r="P370">
        <f t="shared" ca="1" si="61"/>
        <v>16524</v>
      </c>
      <c r="Q370" t="str">
        <f t="shared" ca="1" si="65"/>
        <v>0100000010001100</v>
      </c>
      <c r="R370">
        <f t="shared" ca="1" si="62"/>
        <v>3.0982500000000002</v>
      </c>
      <c r="S370">
        <f t="shared" ca="1" si="63"/>
        <v>57.179000000000009</v>
      </c>
      <c r="T370" s="3">
        <f t="shared" ca="1" si="66"/>
        <v>6.6725352112676911E-3</v>
      </c>
    </row>
    <row r="371" spans="8:20" x14ac:dyDescent="0.25">
      <c r="H371">
        <v>56.9</v>
      </c>
      <c r="I371" s="11">
        <v>3.0744999999999996</v>
      </c>
      <c r="J371" s="10">
        <f t="shared" si="56"/>
        <v>-1.2999999999999999E-5</v>
      </c>
      <c r="K371" s="17">
        <f t="shared" si="57"/>
        <v>1.85E-4</v>
      </c>
      <c r="L371" s="10">
        <f t="shared" si="58"/>
        <v>9.7549999999999998E-3</v>
      </c>
      <c r="M371" s="11">
        <f t="shared" si="64"/>
        <v>3.104800327191755</v>
      </c>
      <c r="N371" s="5">
        <f t="shared" si="59"/>
        <v>9.8553674391788793E-3</v>
      </c>
      <c r="O371">
        <f t="shared" si="60"/>
        <v>16564.408299999999</v>
      </c>
      <c r="P371">
        <f t="shared" ca="1" si="61"/>
        <v>16568</v>
      </c>
      <c r="Q371" t="str">
        <f t="shared" ca="1" si="65"/>
        <v>0100000010111000</v>
      </c>
      <c r="R371">
        <f t="shared" ca="1" si="62"/>
        <v>3.1065</v>
      </c>
      <c r="S371">
        <f t="shared" ca="1" si="63"/>
        <v>57.277999999999999</v>
      </c>
      <c r="T371" s="3">
        <f t="shared" ca="1" si="66"/>
        <v>6.6432337434094921E-3</v>
      </c>
    </row>
    <row r="372" spans="8:20" x14ac:dyDescent="0.25">
      <c r="H372">
        <v>57</v>
      </c>
      <c r="I372" s="11">
        <v>3.0836666666666659</v>
      </c>
      <c r="J372" s="10">
        <f t="shared" si="56"/>
        <v>-1.2E-5</v>
      </c>
      <c r="K372" s="17">
        <f t="shared" si="57"/>
        <v>1.85E-4</v>
      </c>
      <c r="L372" s="10">
        <f t="shared" si="58"/>
        <v>9.7850000000000003E-3</v>
      </c>
      <c r="M372" s="11">
        <f t="shared" si="64"/>
        <v>3.1141506305869595</v>
      </c>
      <c r="N372" s="5">
        <f t="shared" si="59"/>
        <v>9.8856222852535813E-3</v>
      </c>
      <c r="O372">
        <f t="shared" si="60"/>
        <v>16614.293000000001</v>
      </c>
      <c r="P372">
        <f t="shared" ca="1" si="61"/>
        <v>16614</v>
      </c>
      <c r="Q372" t="str">
        <f t="shared" ca="1" si="65"/>
        <v>0100000011100110</v>
      </c>
      <c r="R372">
        <f t="shared" ca="1" si="62"/>
        <v>3.1151249999999999</v>
      </c>
      <c r="S372">
        <f t="shared" ca="1" si="63"/>
        <v>57.381500000000003</v>
      </c>
      <c r="T372" s="3">
        <f t="shared" ca="1" si="66"/>
        <v>6.6929824561403964E-3</v>
      </c>
    </row>
    <row r="373" spans="8:20" x14ac:dyDescent="0.25">
      <c r="H373">
        <v>57.1</v>
      </c>
      <c r="I373" s="11">
        <v>3.0917499999999993</v>
      </c>
      <c r="J373" s="10">
        <f t="shared" si="56"/>
        <v>-1.2E-5</v>
      </c>
      <c r="K373" s="17">
        <f t="shared" si="57"/>
        <v>1.8599999999999999E-4</v>
      </c>
      <c r="L373" s="10">
        <f t="shared" si="58"/>
        <v>9.8160000000000001E-3</v>
      </c>
      <c r="M373" s="11">
        <f t="shared" si="64"/>
        <v>3.1224115921889259</v>
      </c>
      <c r="N373" s="5">
        <f t="shared" si="59"/>
        <v>9.9172288150486346E-3</v>
      </c>
      <c r="O373">
        <f t="shared" si="60"/>
        <v>16658.366099999999</v>
      </c>
      <c r="P373">
        <f t="shared" ca="1" si="61"/>
        <v>16662</v>
      </c>
      <c r="Q373" t="str">
        <f t="shared" ca="1" si="65"/>
        <v>0100000100010110</v>
      </c>
      <c r="R373">
        <f t="shared" ca="1" si="62"/>
        <v>3.1241250000000003</v>
      </c>
      <c r="S373">
        <f t="shared" ca="1" si="63"/>
        <v>57.489500000000007</v>
      </c>
      <c r="T373" s="3">
        <f t="shared" ca="1" si="66"/>
        <v>6.8213660245184816E-3</v>
      </c>
    </row>
    <row r="374" spans="8:20" x14ac:dyDescent="0.25">
      <c r="H374">
        <v>57.2</v>
      </c>
      <c r="I374" s="11">
        <v>3.0991666666666662</v>
      </c>
      <c r="J374" s="10">
        <f t="shared" si="56"/>
        <v>-1.1E-5</v>
      </c>
      <c r="K374" s="17">
        <f t="shared" si="57"/>
        <v>1.8599999999999999E-4</v>
      </c>
      <c r="L374" s="10">
        <f t="shared" si="58"/>
        <v>9.8460000000000006E-3</v>
      </c>
      <c r="M374" s="11">
        <f t="shared" si="64"/>
        <v>3.1299956033775214</v>
      </c>
      <c r="N374" s="5">
        <f t="shared" si="59"/>
        <v>9.9474923509078311E-3</v>
      </c>
      <c r="O374">
        <f t="shared" si="60"/>
        <v>16698.827499999999</v>
      </c>
      <c r="P374">
        <f t="shared" ca="1" si="61"/>
        <v>16697</v>
      </c>
      <c r="Q374" t="str">
        <f t="shared" ca="1" si="65"/>
        <v>0100000100111001</v>
      </c>
      <c r="R374">
        <f t="shared" ca="1" si="62"/>
        <v>3.1306875000000001</v>
      </c>
      <c r="S374">
        <f t="shared" ca="1" si="63"/>
        <v>57.568249999999999</v>
      </c>
      <c r="T374" s="3">
        <f t="shared" ca="1" si="66"/>
        <v>6.4379370629369962E-3</v>
      </c>
    </row>
    <row r="375" spans="8:20" x14ac:dyDescent="0.25">
      <c r="H375">
        <v>57.300000000000004</v>
      </c>
      <c r="I375" s="11">
        <v>3.1076666666666659</v>
      </c>
      <c r="J375" s="10">
        <f t="shared" si="56"/>
        <v>-1.1E-5</v>
      </c>
      <c r="K375" s="17">
        <f t="shared" si="57"/>
        <v>1.8699999999999999E-4</v>
      </c>
      <c r="L375" s="10">
        <f t="shared" si="58"/>
        <v>9.8770000000000004E-3</v>
      </c>
      <c r="M375" s="11">
        <f t="shared" si="64"/>
        <v>3.1386783931558666</v>
      </c>
      <c r="N375" s="5">
        <f t="shared" si="59"/>
        <v>9.9791032358256052E-3</v>
      </c>
      <c r="O375">
        <f t="shared" si="60"/>
        <v>16745.151000000002</v>
      </c>
      <c r="P375">
        <f t="shared" ca="1" si="61"/>
        <v>16744</v>
      </c>
      <c r="Q375" t="str">
        <f t="shared" ca="1" si="65"/>
        <v>0100000101101000</v>
      </c>
      <c r="R375">
        <f t="shared" ca="1" si="62"/>
        <v>3.1395</v>
      </c>
      <c r="S375">
        <f t="shared" ca="1" si="63"/>
        <v>57.674000000000007</v>
      </c>
      <c r="T375" s="3">
        <f t="shared" ca="1" si="66"/>
        <v>6.5270506108202845E-3</v>
      </c>
    </row>
    <row r="376" spans="8:20" x14ac:dyDescent="0.25">
      <c r="H376">
        <v>57.4</v>
      </c>
      <c r="I376" s="11">
        <v>3.1167499999999988</v>
      </c>
      <c r="J376" s="10">
        <f t="shared" si="56"/>
        <v>-1.0000000000000001E-5</v>
      </c>
      <c r="K376" s="17">
        <f t="shared" si="57"/>
        <v>1.8699999999999999E-4</v>
      </c>
      <c r="L376" s="10">
        <f t="shared" si="58"/>
        <v>9.9069999999999991E-3</v>
      </c>
      <c r="M376" s="11">
        <f t="shared" si="64"/>
        <v>3.1479467080365167</v>
      </c>
      <c r="N376" s="5">
        <f t="shared" si="59"/>
        <v>1.0009371311949266E-2</v>
      </c>
      <c r="O376">
        <f t="shared" si="60"/>
        <v>16794.598399999999</v>
      </c>
      <c r="P376">
        <f t="shared" ca="1" si="61"/>
        <v>16796</v>
      </c>
      <c r="Q376" t="str">
        <f t="shared" ca="1" si="65"/>
        <v>0100000110011100</v>
      </c>
      <c r="R376">
        <f t="shared" ca="1" si="62"/>
        <v>3.1492499999999999</v>
      </c>
      <c r="S376">
        <f t="shared" ca="1" si="63"/>
        <v>57.790999999999997</v>
      </c>
      <c r="T376" s="3">
        <f t="shared" ca="1" si="66"/>
        <v>6.8118466898954401E-3</v>
      </c>
    </row>
    <row r="377" spans="8:20" x14ac:dyDescent="0.25">
      <c r="H377">
        <v>57.5</v>
      </c>
      <c r="I377" s="11">
        <v>3.1249166666666666</v>
      </c>
      <c r="J377" s="10">
        <f t="shared" si="56"/>
        <v>-9.0000000000000002E-6</v>
      </c>
      <c r="K377" s="17">
        <f t="shared" si="57"/>
        <v>1.8799999999999999E-4</v>
      </c>
      <c r="L377" s="10">
        <f t="shared" si="58"/>
        <v>9.9380000000000007E-3</v>
      </c>
      <c r="M377" s="11">
        <f t="shared" si="64"/>
        <v>3.1562929055621431</v>
      </c>
      <c r="N377" s="5">
        <f t="shared" si="59"/>
        <v>1.0040664197597776E-2</v>
      </c>
      <c r="O377">
        <f t="shared" si="60"/>
        <v>16839.126100000001</v>
      </c>
      <c r="P377">
        <f t="shared" ca="1" si="61"/>
        <v>16841</v>
      </c>
      <c r="Q377" t="str">
        <f t="shared" ca="1" si="65"/>
        <v>0100000111001001</v>
      </c>
      <c r="R377">
        <f t="shared" ca="1" si="62"/>
        <v>3.1576875000000002</v>
      </c>
      <c r="S377">
        <f t="shared" ca="1" si="63"/>
        <v>57.892250000000004</v>
      </c>
      <c r="T377" s="3">
        <f t="shared" ca="1" si="66"/>
        <v>6.8217391304348559E-3</v>
      </c>
    </row>
    <row r="378" spans="8:20" x14ac:dyDescent="0.25">
      <c r="H378">
        <v>57.6</v>
      </c>
      <c r="I378" s="11">
        <v>3.1325833333333328</v>
      </c>
      <c r="J378" s="10">
        <f t="shared" si="56"/>
        <v>-9.0000000000000002E-6</v>
      </c>
      <c r="K378" s="17">
        <f t="shared" si="57"/>
        <v>1.8799999999999999E-4</v>
      </c>
      <c r="L378" s="10">
        <f t="shared" si="58"/>
        <v>9.9679999999999994E-3</v>
      </c>
      <c r="M378" s="11">
        <f t="shared" si="64"/>
        <v>3.1641324051478463</v>
      </c>
      <c r="N378" s="5">
        <f t="shared" si="59"/>
        <v>1.0071263381505201E-2</v>
      </c>
      <c r="O378">
        <f t="shared" si="60"/>
        <v>16880.9506</v>
      </c>
      <c r="P378">
        <f t="shared" ca="1" si="61"/>
        <v>16885</v>
      </c>
      <c r="Q378" t="str">
        <f t="shared" ca="1" si="65"/>
        <v>0100000111110101</v>
      </c>
      <c r="R378">
        <f t="shared" ca="1" si="62"/>
        <v>3.1659375000000001</v>
      </c>
      <c r="S378">
        <f t="shared" ca="1" si="63"/>
        <v>57.991250000000008</v>
      </c>
      <c r="T378" s="3">
        <f t="shared" ca="1" si="66"/>
        <v>6.7925347222223351E-3</v>
      </c>
    </row>
    <row r="379" spans="8:20" x14ac:dyDescent="0.25">
      <c r="H379">
        <v>57.7</v>
      </c>
      <c r="I379" s="11">
        <v>3.1414166666666663</v>
      </c>
      <c r="J379" s="10">
        <f t="shared" si="56"/>
        <v>-7.9999999999999996E-6</v>
      </c>
      <c r="K379" s="17">
        <f t="shared" si="57"/>
        <v>1.8900000000000001E-4</v>
      </c>
      <c r="L379" s="10">
        <f t="shared" si="58"/>
        <v>9.9989999999999992E-3</v>
      </c>
      <c r="M379" s="11">
        <f t="shared" si="64"/>
        <v>3.1731530237511536</v>
      </c>
      <c r="N379" s="5">
        <f t="shared" si="59"/>
        <v>1.0102562140590699E-2</v>
      </c>
      <c r="O379">
        <f t="shared" si="60"/>
        <v>16929.076499999999</v>
      </c>
      <c r="P379">
        <f t="shared" ca="1" si="61"/>
        <v>16928</v>
      </c>
      <c r="Q379" t="str">
        <f t="shared" ca="1" si="65"/>
        <v>0100001000100000</v>
      </c>
      <c r="R379">
        <f t="shared" ca="1" si="62"/>
        <v>3.1739999999999999</v>
      </c>
      <c r="S379">
        <f t="shared" ca="1" si="63"/>
        <v>58.088000000000001</v>
      </c>
      <c r="T379" s="3">
        <f t="shared" ca="1" si="66"/>
        <v>6.7244367417677317E-3</v>
      </c>
    </row>
    <row r="380" spans="8:20" x14ac:dyDescent="0.25">
      <c r="H380">
        <v>57.800000000000004</v>
      </c>
      <c r="I380" s="11">
        <v>3.1505000000000001</v>
      </c>
      <c r="J380" s="10">
        <f t="shared" si="56"/>
        <v>-7.9999999999999996E-6</v>
      </c>
      <c r="K380" s="17">
        <f t="shared" si="57"/>
        <v>1.8900000000000001E-4</v>
      </c>
      <c r="L380" s="10">
        <f t="shared" si="58"/>
        <v>1.0029E-2</v>
      </c>
      <c r="M380" s="11">
        <f t="shared" si="64"/>
        <v>3.1824245356682161</v>
      </c>
      <c r="N380" s="5">
        <f t="shared" si="59"/>
        <v>1.0133164789149681E-2</v>
      </c>
      <c r="O380">
        <f t="shared" si="60"/>
        <v>16978.5409</v>
      </c>
      <c r="P380">
        <f t="shared" ca="1" si="61"/>
        <v>16982</v>
      </c>
      <c r="Q380" t="str">
        <f t="shared" ca="1" si="65"/>
        <v>0100001001010110</v>
      </c>
      <c r="R380">
        <f t="shared" ca="1" si="62"/>
        <v>3.1841249999999999</v>
      </c>
      <c r="S380">
        <f t="shared" ca="1" si="63"/>
        <v>58.209500000000006</v>
      </c>
      <c r="T380" s="3">
        <f t="shared" ca="1" si="66"/>
        <v>7.0847750865052125E-3</v>
      </c>
    </row>
    <row r="381" spans="8:20" x14ac:dyDescent="0.25">
      <c r="H381">
        <v>57.9</v>
      </c>
      <c r="I381" s="11">
        <v>3.1584166666666658</v>
      </c>
      <c r="J381" s="10">
        <f t="shared" si="56"/>
        <v>-6.9999999999999999E-6</v>
      </c>
      <c r="K381" s="17">
        <f t="shared" si="57"/>
        <v>1.9000000000000001E-4</v>
      </c>
      <c r="L381" s="10">
        <f t="shared" si="58"/>
        <v>1.0059999999999999E-2</v>
      </c>
      <c r="M381" s="11">
        <f t="shared" si="64"/>
        <v>3.190520300893656</v>
      </c>
      <c r="N381" s="5">
        <f t="shared" si="59"/>
        <v>1.0164470877388015E-2</v>
      </c>
      <c r="O381">
        <f t="shared" si="60"/>
        <v>17021.732599999999</v>
      </c>
      <c r="P381">
        <f t="shared" ca="1" si="61"/>
        <v>17023</v>
      </c>
      <c r="Q381" t="str">
        <f t="shared" ca="1" si="65"/>
        <v>0100001001111111</v>
      </c>
      <c r="R381">
        <f t="shared" ca="1" si="62"/>
        <v>3.1918125000000002</v>
      </c>
      <c r="S381">
        <f t="shared" ca="1" si="63"/>
        <v>58.301750000000006</v>
      </c>
      <c r="T381" s="3">
        <f t="shared" ca="1" si="66"/>
        <v>6.938687392055388E-3</v>
      </c>
    </row>
    <row r="382" spans="8:20" x14ac:dyDescent="0.25">
      <c r="H382">
        <v>58</v>
      </c>
      <c r="I382" s="11">
        <v>3.1664166666666658</v>
      </c>
      <c r="J382" s="10">
        <f t="shared" si="56"/>
        <v>-6.9999999999999999E-6</v>
      </c>
      <c r="K382" s="17">
        <f t="shared" si="57"/>
        <v>1.9000000000000001E-4</v>
      </c>
      <c r="L382" s="10">
        <f t="shared" si="58"/>
        <v>1.009E-2</v>
      </c>
      <c r="M382" s="11">
        <f t="shared" si="64"/>
        <v>3.1986985348836421</v>
      </c>
      <c r="N382" s="5">
        <f t="shared" si="59"/>
        <v>1.0195079048443717E-2</v>
      </c>
      <c r="O382">
        <f t="shared" si="60"/>
        <v>17065.3642</v>
      </c>
      <c r="P382">
        <f t="shared" ca="1" si="61"/>
        <v>17063</v>
      </c>
      <c r="Q382" t="str">
        <f t="shared" ca="1" si="65"/>
        <v>0100001010100111</v>
      </c>
      <c r="R382">
        <f t="shared" ca="1" si="62"/>
        <v>3.1993125</v>
      </c>
      <c r="S382">
        <f t="shared" ca="1" si="63"/>
        <v>58.391750000000002</v>
      </c>
      <c r="T382" s="3">
        <f t="shared" ca="1" si="66"/>
        <v>6.7543103448276173E-3</v>
      </c>
    </row>
    <row r="383" spans="8:20" x14ac:dyDescent="0.25">
      <c r="H383">
        <v>58.1</v>
      </c>
      <c r="I383" s="11">
        <v>3.1744999999999992</v>
      </c>
      <c r="J383" s="10">
        <f t="shared" si="56"/>
        <v>-6.0000000000000002E-6</v>
      </c>
      <c r="K383" s="17">
        <f t="shared" si="57"/>
        <v>1.9100000000000001E-4</v>
      </c>
      <c r="L383" s="10">
        <f t="shared" si="58"/>
        <v>1.0121E-2</v>
      </c>
      <c r="M383" s="11">
        <f t="shared" si="64"/>
        <v>3.2069636793991987</v>
      </c>
      <c r="N383" s="5">
        <f t="shared" si="59"/>
        <v>1.0226391368467312E-2</v>
      </c>
      <c r="O383">
        <f t="shared" si="60"/>
        <v>17109.459599999998</v>
      </c>
      <c r="P383">
        <f t="shared" ca="1" si="61"/>
        <v>17113</v>
      </c>
      <c r="Q383" t="str">
        <f t="shared" ca="1" si="65"/>
        <v>0100001011011001</v>
      </c>
      <c r="R383">
        <f t="shared" ca="1" si="62"/>
        <v>3.2086874999999999</v>
      </c>
      <c r="S383">
        <f t="shared" ca="1" si="63"/>
        <v>58.504250000000006</v>
      </c>
      <c r="T383" s="3">
        <f t="shared" ca="1" si="66"/>
        <v>6.9578313253012853E-3</v>
      </c>
    </row>
    <row r="384" spans="8:20" x14ac:dyDescent="0.25">
      <c r="H384">
        <v>58.2</v>
      </c>
      <c r="I384" s="11">
        <v>3.1825833333333327</v>
      </c>
      <c r="J384" s="10">
        <f t="shared" si="56"/>
        <v>-5.0000000000000004E-6</v>
      </c>
      <c r="K384" s="17">
        <f t="shared" si="57"/>
        <v>1.9100000000000001E-4</v>
      </c>
      <c r="L384" s="10">
        <f t="shared" si="58"/>
        <v>1.0151E-2</v>
      </c>
      <c r="M384" s="11">
        <f t="shared" si="64"/>
        <v>3.2152260934075123</v>
      </c>
      <c r="N384" s="5">
        <f t="shared" si="59"/>
        <v>1.0256686677231702E-2</v>
      </c>
      <c r="O384">
        <f t="shared" si="60"/>
        <v>17153.540300000001</v>
      </c>
      <c r="P384">
        <f t="shared" ca="1" si="61"/>
        <v>17151</v>
      </c>
      <c r="Q384" t="str">
        <f t="shared" ca="1" si="65"/>
        <v>0100001011111111</v>
      </c>
      <c r="R384">
        <f t="shared" ca="1" si="62"/>
        <v>3.2158125000000002</v>
      </c>
      <c r="S384">
        <f t="shared" ca="1" si="63"/>
        <v>58.589750000000009</v>
      </c>
      <c r="T384" s="3">
        <f t="shared" ca="1" si="66"/>
        <v>6.6967353951891146E-3</v>
      </c>
    </row>
    <row r="385" spans="8:20" x14ac:dyDescent="0.25">
      <c r="H385">
        <v>58.300000000000004</v>
      </c>
      <c r="I385" s="11">
        <v>3.1911666666666667</v>
      </c>
      <c r="J385" s="10">
        <f t="shared" si="56"/>
        <v>-5.0000000000000004E-6</v>
      </c>
      <c r="K385" s="17">
        <f t="shared" si="57"/>
        <v>1.92E-4</v>
      </c>
      <c r="L385" s="10">
        <f t="shared" si="58"/>
        <v>1.0182E-2</v>
      </c>
      <c r="M385" s="11">
        <f t="shared" si="64"/>
        <v>3.2239984185644901</v>
      </c>
      <c r="N385" s="5">
        <f t="shared" si="59"/>
        <v>1.0288322525039972E-2</v>
      </c>
      <c r="O385">
        <f t="shared" si="60"/>
        <v>17200.341499999999</v>
      </c>
      <c r="P385">
        <f t="shared" ca="1" si="61"/>
        <v>17200</v>
      </c>
      <c r="Q385" t="str">
        <f t="shared" ca="1" si="65"/>
        <v>0100001100110000</v>
      </c>
      <c r="R385">
        <f t="shared" ca="1" si="62"/>
        <v>3.2250000000000001</v>
      </c>
      <c r="S385">
        <f t="shared" ca="1" si="63"/>
        <v>58.7</v>
      </c>
      <c r="T385" s="3">
        <f t="shared" ca="1" si="66"/>
        <v>6.8610634648370245E-3</v>
      </c>
    </row>
    <row r="386" spans="8:20" x14ac:dyDescent="0.25">
      <c r="H386">
        <v>58.400000000000006</v>
      </c>
      <c r="I386" s="11">
        <v>3.2008333333333328</v>
      </c>
      <c r="J386" s="10">
        <f t="shared" si="56"/>
        <v>-3.9999999999999998E-6</v>
      </c>
      <c r="K386" s="17">
        <f t="shared" si="57"/>
        <v>1.92E-4</v>
      </c>
      <c r="L386" s="10">
        <f t="shared" si="58"/>
        <v>1.0212000000000001E-2</v>
      </c>
      <c r="M386" s="11">
        <f t="shared" si="64"/>
        <v>3.2338615272496058</v>
      </c>
      <c r="N386" s="5">
        <f t="shared" si="59"/>
        <v>1.0318623457310003E-2</v>
      </c>
      <c r="O386">
        <f t="shared" si="60"/>
        <v>17252.962200000002</v>
      </c>
      <c r="P386">
        <f t="shared" ca="1" si="61"/>
        <v>17257</v>
      </c>
      <c r="Q386" t="str">
        <f t="shared" ca="1" si="65"/>
        <v>0100001101101001</v>
      </c>
      <c r="R386">
        <f t="shared" ca="1" si="62"/>
        <v>3.2356875</v>
      </c>
      <c r="S386">
        <f t="shared" ca="1" si="63"/>
        <v>58.828250000000004</v>
      </c>
      <c r="T386" s="3">
        <f t="shared" ca="1" si="66"/>
        <v>7.3330479452054526E-3</v>
      </c>
    </row>
    <row r="387" spans="8:20" x14ac:dyDescent="0.25">
      <c r="H387">
        <v>58.5</v>
      </c>
      <c r="I387" s="11">
        <v>3.208333333333333</v>
      </c>
      <c r="J387" s="10">
        <f t="shared" ref="J387:J450" si="67">ROUND(H387*0.00000575 -0.00034,6)</f>
        <v>-3.9999999999999998E-6</v>
      </c>
      <c r="K387" s="17">
        <f t="shared" ref="K387:K450" si="68">ROUND(H387*0.000005-0.0001,6)</f>
        <v>1.93E-4</v>
      </c>
      <c r="L387" s="10">
        <f t="shared" ref="L387:L450" si="69">ROUND(K387+($C$24*(H387-25)),6)</f>
        <v>1.0243E-2</v>
      </c>
      <c r="M387" s="11">
        <f t="shared" si="64"/>
        <v>3.2415404319780845</v>
      </c>
      <c r="N387" s="5">
        <f t="shared" ref="N387:N450" si="70">ABS(I387-M387)/I387</f>
        <v>1.0350264512649808E-2</v>
      </c>
      <c r="O387">
        <f t="shared" ref="O387:O450" si="71">ROUND((M387*(2^($C$12-1)))/$C$44,4)</f>
        <v>17293.929899999999</v>
      </c>
      <c r="P387">
        <f t="shared" ref="P387:P450" ca="1" si="72">ROUND(O387+$C$47+$C$49+RANDBETWEEN($B$45,$D$45),0)</f>
        <v>17297</v>
      </c>
      <c r="Q387" t="str">
        <f t="shared" ca="1" si="65"/>
        <v>0100001110010001</v>
      </c>
      <c r="R387">
        <f t="shared" ref="R387:R450" ca="1" si="73">($C$16/2^($C$12-1)) * P387</f>
        <v>3.2431874999999999</v>
      </c>
      <c r="S387">
        <f t="shared" ref="S387:S450" ca="1" si="74">(R387+5/3)/(1/12)</f>
        <v>58.91825</v>
      </c>
      <c r="T387" s="3">
        <f t="shared" ca="1" si="66"/>
        <v>7.1495726495726577E-3</v>
      </c>
    </row>
    <row r="388" spans="8:20" x14ac:dyDescent="0.25">
      <c r="H388">
        <v>58.6</v>
      </c>
      <c r="I388" s="11">
        <v>3.2170833333333331</v>
      </c>
      <c r="J388" s="10">
        <f t="shared" si="67"/>
        <v>-3.0000000000000001E-6</v>
      </c>
      <c r="K388" s="17">
        <f t="shared" si="68"/>
        <v>1.93E-4</v>
      </c>
      <c r="L388" s="10">
        <f t="shared" si="69"/>
        <v>1.0272999999999999E-2</v>
      </c>
      <c r="M388" s="11">
        <f t="shared" ref="M388:M451" si="75">(I388-J388)/(1-L388)</f>
        <v>3.2504784989530777</v>
      </c>
      <c r="N388" s="5">
        <f t="shared" si="70"/>
        <v>1.0380572139280814E-2</v>
      </c>
      <c r="O388">
        <f t="shared" si="71"/>
        <v>17341.615300000001</v>
      </c>
      <c r="P388">
        <f t="shared" ca="1" si="72"/>
        <v>17343</v>
      </c>
      <c r="Q388" t="str">
        <f t="shared" ref="Q388:Q451" ca="1" si="76">_xlfn.BASE(P388,2,16)</f>
        <v>0100001110111111</v>
      </c>
      <c r="R388">
        <f t="shared" ca="1" si="73"/>
        <v>3.2518125000000002</v>
      </c>
      <c r="S388">
        <f t="shared" ca="1" si="74"/>
        <v>59.021750000000004</v>
      </c>
      <c r="T388" s="3">
        <f t="shared" ref="T388:T451" ca="1" si="77">ABS(H388-S388)/H388</f>
        <v>7.1970989761092653E-3</v>
      </c>
    </row>
    <row r="389" spans="8:20" x14ac:dyDescent="0.25">
      <c r="H389">
        <v>58.7</v>
      </c>
      <c r="I389" s="11">
        <v>3.2246666666666668</v>
      </c>
      <c r="J389" s="10">
        <f t="shared" si="67"/>
        <v>-1.9999999999999999E-6</v>
      </c>
      <c r="K389" s="17">
        <f t="shared" si="68"/>
        <v>1.94E-4</v>
      </c>
      <c r="L389" s="10">
        <f t="shared" si="69"/>
        <v>1.0304000000000001E-2</v>
      </c>
      <c r="M389" s="11">
        <f t="shared" si="75"/>
        <v>3.2582415879893083</v>
      </c>
      <c r="N389" s="5">
        <f t="shared" si="70"/>
        <v>1.041190448293617E-2</v>
      </c>
      <c r="O389">
        <f t="shared" si="71"/>
        <v>17383.0321</v>
      </c>
      <c r="P389">
        <f t="shared" ca="1" si="72"/>
        <v>17383</v>
      </c>
      <c r="Q389" t="str">
        <f t="shared" ca="1" si="76"/>
        <v>0100001111100111</v>
      </c>
      <c r="R389">
        <f t="shared" ca="1" si="73"/>
        <v>3.2593125000000001</v>
      </c>
      <c r="S389">
        <f t="shared" ca="1" si="74"/>
        <v>59.111750000000008</v>
      </c>
      <c r="T389" s="3">
        <f t="shared" ca="1" si="77"/>
        <v>7.0144804088586874E-3</v>
      </c>
    </row>
    <row r="390" spans="8:20" x14ac:dyDescent="0.25">
      <c r="H390">
        <v>58.800000000000004</v>
      </c>
      <c r="I390" s="11">
        <v>3.2331666666666665</v>
      </c>
      <c r="J390" s="10">
        <f t="shared" si="67"/>
        <v>-1.9999999999999999E-6</v>
      </c>
      <c r="K390" s="17">
        <f t="shared" si="68"/>
        <v>1.94E-4</v>
      </c>
      <c r="L390" s="10">
        <f t="shared" si="69"/>
        <v>1.0333999999999999E-2</v>
      </c>
      <c r="M390" s="11">
        <f t="shared" si="75"/>
        <v>3.2669291121112236</v>
      </c>
      <c r="N390" s="5">
        <f t="shared" si="70"/>
        <v>1.0442531711291435E-2</v>
      </c>
      <c r="O390">
        <f t="shared" si="71"/>
        <v>17429.3809</v>
      </c>
      <c r="P390">
        <f t="shared" ca="1" si="72"/>
        <v>17432</v>
      </c>
      <c r="Q390" t="str">
        <f t="shared" ca="1" si="76"/>
        <v>0100010000011000</v>
      </c>
      <c r="R390">
        <f t="shared" ca="1" si="73"/>
        <v>3.2685</v>
      </c>
      <c r="S390">
        <f t="shared" ca="1" si="74"/>
        <v>59.222000000000001</v>
      </c>
      <c r="T390" s="3">
        <f t="shared" ca="1" si="77"/>
        <v>7.176870748299269E-3</v>
      </c>
    </row>
    <row r="391" spans="8:20" x14ac:dyDescent="0.25">
      <c r="H391">
        <v>58.900000000000006</v>
      </c>
      <c r="I391" s="11">
        <v>3.2416666666666663</v>
      </c>
      <c r="J391" s="10">
        <f t="shared" si="67"/>
        <v>-9.9999999999999995E-7</v>
      </c>
      <c r="K391" s="17">
        <f t="shared" si="68"/>
        <v>1.95E-4</v>
      </c>
      <c r="L391" s="10">
        <f t="shared" si="69"/>
        <v>1.0364999999999999E-2</v>
      </c>
      <c r="M391" s="11">
        <f t="shared" si="75"/>
        <v>3.275619462394384</v>
      </c>
      <c r="N391" s="5">
        <f t="shared" si="70"/>
        <v>1.047387014736793E-2</v>
      </c>
      <c r="O391">
        <f t="shared" si="71"/>
        <v>17475.7448</v>
      </c>
      <c r="P391">
        <f t="shared" ca="1" si="72"/>
        <v>17475</v>
      </c>
      <c r="Q391" t="str">
        <f t="shared" ca="1" si="76"/>
        <v>0100010001000011</v>
      </c>
      <c r="R391">
        <f t="shared" ca="1" si="73"/>
        <v>3.2765625000000003</v>
      </c>
      <c r="S391">
        <f t="shared" ca="1" si="74"/>
        <v>59.318750000000001</v>
      </c>
      <c r="T391" s="3">
        <f t="shared" ca="1" si="77"/>
        <v>7.1095076400678383E-3</v>
      </c>
    </row>
    <row r="392" spans="8:20" x14ac:dyDescent="0.25">
      <c r="H392">
        <v>59</v>
      </c>
      <c r="I392" s="11">
        <v>3.2499999999999991</v>
      </c>
      <c r="J392" s="10">
        <f t="shared" si="67"/>
        <v>-9.9999999999999995E-7</v>
      </c>
      <c r="K392" s="17">
        <f t="shared" si="68"/>
        <v>1.95E-4</v>
      </c>
      <c r="L392" s="10">
        <f t="shared" si="69"/>
        <v>1.0395E-2</v>
      </c>
      <c r="M392" s="11">
        <f t="shared" si="75"/>
        <v>3.2841396314691207</v>
      </c>
      <c r="N392" s="5">
        <f t="shared" si="70"/>
        <v>1.050450199049895E-2</v>
      </c>
      <c r="O392">
        <f t="shared" si="71"/>
        <v>17521.200700000001</v>
      </c>
      <c r="P392">
        <f t="shared" ca="1" si="72"/>
        <v>17523</v>
      </c>
      <c r="Q392" t="str">
        <f t="shared" ca="1" si="76"/>
        <v>0100010001110011</v>
      </c>
      <c r="R392">
        <f t="shared" ca="1" si="73"/>
        <v>3.2855625000000002</v>
      </c>
      <c r="S392">
        <f t="shared" ca="1" si="74"/>
        <v>59.426750000000006</v>
      </c>
      <c r="T392" s="3">
        <f t="shared" ca="1" si="77"/>
        <v>7.2330508474577207E-3</v>
      </c>
    </row>
    <row r="393" spans="8:20" x14ac:dyDescent="0.25">
      <c r="H393">
        <v>59.1</v>
      </c>
      <c r="I393" s="11">
        <v>3.2585833333333332</v>
      </c>
      <c r="J393" s="10">
        <f t="shared" si="67"/>
        <v>0</v>
      </c>
      <c r="K393" s="17">
        <f t="shared" si="68"/>
        <v>1.9599999999999999E-4</v>
      </c>
      <c r="L393" s="10">
        <f t="shared" si="69"/>
        <v>1.0426E-2</v>
      </c>
      <c r="M393" s="11">
        <f t="shared" si="75"/>
        <v>3.2929152679166322</v>
      </c>
      <c r="N393" s="5">
        <f t="shared" si="70"/>
        <v>1.0535846738091426E-2</v>
      </c>
      <c r="O393">
        <f t="shared" si="71"/>
        <v>17568.0196</v>
      </c>
      <c r="P393">
        <f t="shared" ca="1" si="72"/>
        <v>17566</v>
      </c>
      <c r="Q393" t="str">
        <f t="shared" ca="1" si="76"/>
        <v>0100010010011110</v>
      </c>
      <c r="R393">
        <f t="shared" ca="1" si="73"/>
        <v>3.293625</v>
      </c>
      <c r="S393">
        <f t="shared" ca="1" si="74"/>
        <v>59.523499999999999</v>
      </c>
      <c r="T393" s="3">
        <f t="shared" ca="1" si="77"/>
        <v>7.1658206429779546E-3</v>
      </c>
    </row>
    <row r="394" spans="8:20" x14ac:dyDescent="0.25">
      <c r="H394">
        <v>59.2</v>
      </c>
      <c r="I394" s="11">
        <v>3.2658333333333331</v>
      </c>
      <c r="J394" s="10">
        <f t="shared" si="67"/>
        <v>0</v>
      </c>
      <c r="K394" s="17">
        <f t="shared" si="68"/>
        <v>1.9599999999999999E-4</v>
      </c>
      <c r="L394" s="10">
        <f t="shared" si="69"/>
        <v>1.0456E-2</v>
      </c>
      <c r="M394" s="11">
        <f t="shared" si="75"/>
        <v>3.3003417062135014</v>
      </c>
      <c r="N394" s="5">
        <f t="shared" si="70"/>
        <v>1.05664831477933E-2</v>
      </c>
      <c r="O394">
        <f t="shared" si="71"/>
        <v>17607.640299999999</v>
      </c>
      <c r="P394">
        <f t="shared" ca="1" si="72"/>
        <v>17605</v>
      </c>
      <c r="Q394" t="str">
        <f t="shared" ca="1" si="76"/>
        <v>0100010011000101</v>
      </c>
      <c r="R394">
        <f t="shared" ca="1" si="73"/>
        <v>3.3009374999999999</v>
      </c>
      <c r="S394">
        <f t="shared" ca="1" si="74"/>
        <v>59.611250000000005</v>
      </c>
      <c r="T394" s="3">
        <f t="shared" ca="1" si="77"/>
        <v>6.9467905405405832E-3</v>
      </c>
    </row>
    <row r="395" spans="8:20" x14ac:dyDescent="0.25">
      <c r="H395">
        <v>59.300000000000004</v>
      </c>
      <c r="I395" s="11">
        <v>3.27475</v>
      </c>
      <c r="J395" s="10">
        <f t="shared" si="67"/>
        <v>9.9999999999999995E-7</v>
      </c>
      <c r="K395" s="17">
        <f t="shared" si="68"/>
        <v>1.9699999999999999E-4</v>
      </c>
      <c r="L395" s="10">
        <f t="shared" si="69"/>
        <v>1.0487E-2</v>
      </c>
      <c r="M395" s="11">
        <f t="shared" si="75"/>
        <v>3.3094552572831279</v>
      </c>
      <c r="N395" s="5">
        <f t="shared" si="70"/>
        <v>1.0597834119590166E-2</v>
      </c>
      <c r="O395">
        <f t="shared" si="71"/>
        <v>17656.261999999999</v>
      </c>
      <c r="P395">
        <f t="shared" ca="1" si="72"/>
        <v>17654</v>
      </c>
      <c r="Q395" t="str">
        <f t="shared" ca="1" si="76"/>
        <v>0100010011110110</v>
      </c>
      <c r="R395">
        <f t="shared" ca="1" si="73"/>
        <v>3.3101250000000002</v>
      </c>
      <c r="S395">
        <f t="shared" ca="1" si="74"/>
        <v>59.721500000000006</v>
      </c>
      <c r="T395" s="3">
        <f t="shared" ca="1" si="77"/>
        <v>7.1079258010118334E-3</v>
      </c>
    </row>
    <row r="396" spans="8:20" x14ac:dyDescent="0.25">
      <c r="H396">
        <v>59.400000000000006</v>
      </c>
      <c r="I396" s="11">
        <v>3.2825833333333332</v>
      </c>
      <c r="J396" s="10">
        <f t="shared" si="67"/>
        <v>1.9999999999999999E-6</v>
      </c>
      <c r="K396" s="17">
        <f t="shared" si="68"/>
        <v>1.9699999999999999E-4</v>
      </c>
      <c r="L396" s="10">
        <f t="shared" si="69"/>
        <v>1.0517E-2</v>
      </c>
      <c r="M396" s="11">
        <f t="shared" si="75"/>
        <v>3.3174711777093022</v>
      </c>
      <c r="N396" s="5">
        <f t="shared" si="70"/>
        <v>1.0628167157767725E-2</v>
      </c>
      <c r="O396">
        <f t="shared" si="71"/>
        <v>17699.027699999999</v>
      </c>
      <c r="P396">
        <f t="shared" ca="1" si="72"/>
        <v>17702</v>
      </c>
      <c r="Q396" t="str">
        <f t="shared" ca="1" si="76"/>
        <v>0100010100100110</v>
      </c>
      <c r="R396">
        <f t="shared" ca="1" si="73"/>
        <v>3.3191250000000001</v>
      </c>
      <c r="S396">
        <f t="shared" ca="1" si="74"/>
        <v>59.829500000000003</v>
      </c>
      <c r="T396" s="3">
        <f t="shared" ca="1" si="77"/>
        <v>7.2306397306396847E-3</v>
      </c>
    </row>
    <row r="397" spans="8:20" x14ac:dyDescent="0.25">
      <c r="H397">
        <v>59.5</v>
      </c>
      <c r="I397" s="11">
        <v>3.2914999999999992</v>
      </c>
      <c r="J397" s="10">
        <f t="shared" si="67"/>
        <v>1.9999999999999999E-6</v>
      </c>
      <c r="K397" s="17">
        <f t="shared" si="68"/>
        <v>1.9799999999999999E-4</v>
      </c>
      <c r="L397" s="10">
        <f t="shared" si="69"/>
        <v>1.0548E-2</v>
      </c>
      <c r="M397" s="11">
        <f t="shared" si="75"/>
        <v>3.3265868379668739</v>
      </c>
      <c r="N397" s="5">
        <f t="shared" si="70"/>
        <v>1.0659832285242211E-2</v>
      </c>
      <c r="O397">
        <f t="shared" si="71"/>
        <v>17747.660599999999</v>
      </c>
      <c r="P397">
        <f t="shared" ca="1" si="72"/>
        <v>17751</v>
      </c>
      <c r="Q397" t="str">
        <f t="shared" ca="1" si="76"/>
        <v>0100010101010111</v>
      </c>
      <c r="R397">
        <f t="shared" ca="1" si="73"/>
        <v>3.3283125</v>
      </c>
      <c r="S397">
        <f t="shared" ca="1" si="74"/>
        <v>59.939750000000004</v>
      </c>
      <c r="T397" s="3">
        <f t="shared" ca="1" si="77"/>
        <v>7.3907563025210699E-3</v>
      </c>
    </row>
    <row r="398" spans="8:20" x14ac:dyDescent="0.25">
      <c r="H398">
        <v>59.6</v>
      </c>
      <c r="I398" s="11">
        <v>3.2996666666666661</v>
      </c>
      <c r="J398" s="10">
        <f t="shared" si="67"/>
        <v>3.0000000000000001E-6</v>
      </c>
      <c r="K398" s="17">
        <f t="shared" si="68"/>
        <v>1.9799999999999999E-4</v>
      </c>
      <c r="L398" s="10">
        <f t="shared" si="69"/>
        <v>1.0578000000000001E-2</v>
      </c>
      <c r="M398" s="11">
        <f t="shared" si="75"/>
        <v>3.3349406690640251</v>
      </c>
      <c r="N398" s="5">
        <f t="shared" si="70"/>
        <v>1.0690171450861404E-2</v>
      </c>
      <c r="O398">
        <f t="shared" si="71"/>
        <v>17792.2291</v>
      </c>
      <c r="P398">
        <f t="shared" ca="1" si="72"/>
        <v>17795</v>
      </c>
      <c r="Q398" t="str">
        <f t="shared" ca="1" si="76"/>
        <v>0100010110000011</v>
      </c>
      <c r="R398">
        <f t="shared" ca="1" si="73"/>
        <v>3.3365624999999999</v>
      </c>
      <c r="S398">
        <f t="shared" ca="1" si="74"/>
        <v>60.03875</v>
      </c>
      <c r="T398" s="3">
        <f t="shared" ca="1" si="77"/>
        <v>7.361577181208034E-3</v>
      </c>
    </row>
    <row r="399" spans="8:20" x14ac:dyDescent="0.25">
      <c r="H399">
        <v>59.7</v>
      </c>
      <c r="I399" s="11">
        <v>3.307833333333333</v>
      </c>
      <c r="J399" s="10">
        <f t="shared" si="67"/>
        <v>3.0000000000000001E-6</v>
      </c>
      <c r="K399" s="17">
        <f t="shared" si="68"/>
        <v>1.9900000000000001E-4</v>
      </c>
      <c r="L399" s="10">
        <f t="shared" si="69"/>
        <v>1.0609E-2</v>
      </c>
      <c r="M399" s="11">
        <f t="shared" si="75"/>
        <v>3.343299396632204</v>
      </c>
      <c r="N399" s="5">
        <f t="shared" si="70"/>
        <v>1.0721841073876465E-2</v>
      </c>
      <c r="O399">
        <f t="shared" si="71"/>
        <v>17836.823700000001</v>
      </c>
      <c r="P399">
        <f t="shared" ca="1" si="72"/>
        <v>17834</v>
      </c>
      <c r="Q399" t="str">
        <f t="shared" ca="1" si="76"/>
        <v>0100010110101010</v>
      </c>
      <c r="R399">
        <f t="shared" ca="1" si="73"/>
        <v>3.3438750000000002</v>
      </c>
      <c r="S399">
        <f t="shared" ca="1" si="74"/>
        <v>60.1265</v>
      </c>
      <c r="T399" s="3">
        <f t="shared" ca="1" si="77"/>
        <v>7.1440536013399865E-3</v>
      </c>
    </row>
    <row r="400" spans="8:20" x14ac:dyDescent="0.25">
      <c r="H400">
        <v>59.800000000000004</v>
      </c>
      <c r="I400" s="11">
        <v>3.3159999999999998</v>
      </c>
      <c r="J400" s="10">
        <f t="shared" si="67"/>
        <v>3.9999999999999998E-6</v>
      </c>
      <c r="K400" s="17">
        <f t="shared" si="68"/>
        <v>1.9900000000000001E-4</v>
      </c>
      <c r="L400" s="10">
        <f t="shared" si="69"/>
        <v>1.0638999999999999E-2</v>
      </c>
      <c r="M400" s="11">
        <f t="shared" si="75"/>
        <v>3.3516542495610797</v>
      </c>
      <c r="N400" s="5">
        <f t="shared" si="70"/>
        <v>1.075218623675509E-2</v>
      </c>
      <c r="O400">
        <f t="shared" si="71"/>
        <v>17881.397700000001</v>
      </c>
      <c r="P400">
        <f t="shared" ca="1" si="72"/>
        <v>17880</v>
      </c>
      <c r="Q400" t="str">
        <f t="shared" ca="1" si="76"/>
        <v>0100010111011000</v>
      </c>
      <c r="R400">
        <f t="shared" ca="1" si="73"/>
        <v>3.3525</v>
      </c>
      <c r="S400">
        <f t="shared" ca="1" si="74"/>
        <v>60.230000000000004</v>
      </c>
      <c r="T400" s="3">
        <f t="shared" ca="1" si="77"/>
        <v>7.1906354515050112E-3</v>
      </c>
    </row>
    <row r="401" spans="8:20" x14ac:dyDescent="0.25">
      <c r="H401">
        <v>59.900000000000006</v>
      </c>
      <c r="I401" s="11">
        <v>3.3254999999999999</v>
      </c>
      <c r="J401" s="10">
        <f t="shared" si="67"/>
        <v>3.9999999999999998E-6</v>
      </c>
      <c r="K401" s="17">
        <f t="shared" si="68"/>
        <v>2.0000000000000001E-4</v>
      </c>
      <c r="L401" s="10">
        <f t="shared" si="69"/>
        <v>1.0670000000000001E-2</v>
      </c>
      <c r="M401" s="11">
        <f t="shared" si="75"/>
        <v>3.3613617296554228</v>
      </c>
      <c r="N401" s="5">
        <f t="shared" si="70"/>
        <v>1.0783860969906148E-2</v>
      </c>
      <c r="O401">
        <f t="shared" si="71"/>
        <v>17933.187999999998</v>
      </c>
      <c r="P401">
        <f t="shared" ca="1" si="72"/>
        <v>17935</v>
      </c>
      <c r="Q401" t="str">
        <f t="shared" ca="1" si="76"/>
        <v>0100011000001111</v>
      </c>
      <c r="R401">
        <f t="shared" ca="1" si="73"/>
        <v>3.3628125</v>
      </c>
      <c r="S401">
        <f t="shared" ca="1" si="74"/>
        <v>60.353749999999998</v>
      </c>
      <c r="T401" s="3">
        <f t="shared" ca="1" si="77"/>
        <v>7.5751252086810068E-3</v>
      </c>
    </row>
    <row r="402" spans="8:20" x14ac:dyDescent="0.25">
      <c r="H402">
        <v>60</v>
      </c>
      <c r="I402" s="11">
        <v>3.3326666666666656</v>
      </c>
      <c r="J402" s="10">
        <f t="shared" si="67"/>
        <v>5.0000000000000004E-6</v>
      </c>
      <c r="K402" s="17">
        <f t="shared" si="68"/>
        <v>2.0000000000000001E-4</v>
      </c>
      <c r="L402" s="10">
        <f t="shared" si="69"/>
        <v>1.0699999999999999E-2</v>
      </c>
      <c r="M402" s="11">
        <f t="shared" si="75"/>
        <v>3.3687068297449367</v>
      </c>
      <c r="N402" s="5">
        <f t="shared" si="70"/>
        <v>1.0814211765834525E-2</v>
      </c>
      <c r="O402">
        <f t="shared" si="71"/>
        <v>17972.374800000001</v>
      </c>
      <c r="P402">
        <f t="shared" ca="1" si="72"/>
        <v>17971</v>
      </c>
      <c r="Q402" t="str">
        <f t="shared" ca="1" si="76"/>
        <v>0100011000110011</v>
      </c>
      <c r="R402">
        <f t="shared" ca="1" si="73"/>
        <v>3.3695625000000002</v>
      </c>
      <c r="S402">
        <f t="shared" ca="1" si="74"/>
        <v>60.434750000000001</v>
      </c>
      <c r="T402" s="3">
        <f t="shared" ca="1" si="77"/>
        <v>7.2458333333333515E-3</v>
      </c>
    </row>
    <row r="403" spans="8:20" x14ac:dyDescent="0.25">
      <c r="H403">
        <v>60.1</v>
      </c>
      <c r="I403" s="11">
        <v>3.3421666666666665</v>
      </c>
      <c r="J403" s="10">
        <f t="shared" si="67"/>
        <v>6.0000000000000002E-6</v>
      </c>
      <c r="K403" s="17">
        <f t="shared" si="68"/>
        <v>2.0100000000000001E-4</v>
      </c>
      <c r="L403" s="10">
        <f t="shared" si="69"/>
        <v>1.0730999999999999E-2</v>
      </c>
      <c r="M403" s="11">
        <f t="shared" si="75"/>
        <v>3.3784144319357696</v>
      </c>
      <c r="N403" s="5">
        <f t="shared" si="70"/>
        <v>1.0845588770489139E-2</v>
      </c>
      <c r="O403">
        <f t="shared" si="71"/>
        <v>18024.165799999999</v>
      </c>
      <c r="P403">
        <f t="shared" ca="1" si="72"/>
        <v>18022</v>
      </c>
      <c r="Q403" t="str">
        <f t="shared" ca="1" si="76"/>
        <v>0100011001100110</v>
      </c>
      <c r="R403">
        <f t="shared" ca="1" si="73"/>
        <v>3.3791250000000002</v>
      </c>
      <c r="S403">
        <f t="shared" ca="1" si="74"/>
        <v>60.549500000000009</v>
      </c>
      <c r="T403" s="3">
        <f t="shared" ca="1" si="77"/>
        <v>7.4792013311149345E-3</v>
      </c>
    </row>
    <row r="404" spans="8:20" x14ac:dyDescent="0.25">
      <c r="H404">
        <v>60.2</v>
      </c>
      <c r="I404" s="11">
        <v>3.3507499999999997</v>
      </c>
      <c r="J404" s="10">
        <f t="shared" si="67"/>
        <v>6.0000000000000002E-6</v>
      </c>
      <c r="K404" s="17">
        <f t="shared" si="68"/>
        <v>2.0100000000000001E-4</v>
      </c>
      <c r="L404" s="10">
        <f t="shared" si="69"/>
        <v>1.0761E-2</v>
      </c>
      <c r="M404" s="11">
        <f t="shared" si="75"/>
        <v>3.3871935902244048</v>
      </c>
      <c r="N404" s="5">
        <f t="shared" si="70"/>
        <v>1.0876248668031078E-2</v>
      </c>
      <c r="O404">
        <f t="shared" si="71"/>
        <v>18071.003499999999</v>
      </c>
      <c r="P404">
        <f t="shared" ca="1" si="72"/>
        <v>18074</v>
      </c>
      <c r="Q404" t="str">
        <f t="shared" ca="1" si="76"/>
        <v>0100011010011010</v>
      </c>
      <c r="R404">
        <f t="shared" ca="1" si="73"/>
        <v>3.3888750000000001</v>
      </c>
      <c r="S404">
        <f t="shared" ca="1" si="74"/>
        <v>60.666499999999999</v>
      </c>
      <c r="T404" s="3">
        <f t="shared" ca="1" si="77"/>
        <v>7.7491694352158861E-3</v>
      </c>
    </row>
    <row r="405" spans="8:20" x14ac:dyDescent="0.25">
      <c r="H405">
        <v>60.300000000000004</v>
      </c>
      <c r="I405" s="11">
        <v>3.3585833333333328</v>
      </c>
      <c r="J405" s="10">
        <f t="shared" si="67"/>
        <v>6.9999999999999999E-6</v>
      </c>
      <c r="K405" s="17">
        <f t="shared" si="68"/>
        <v>2.02E-4</v>
      </c>
      <c r="L405" s="10">
        <f t="shared" si="69"/>
        <v>1.0792E-2</v>
      </c>
      <c r="M405" s="11">
        <f t="shared" si="75"/>
        <v>3.3952175208180009</v>
      </c>
      <c r="N405" s="5">
        <f t="shared" si="70"/>
        <v>1.0907630941022178E-2</v>
      </c>
      <c r="O405">
        <f t="shared" si="71"/>
        <v>18113.811900000001</v>
      </c>
      <c r="P405">
        <f t="shared" ca="1" si="72"/>
        <v>18115</v>
      </c>
      <c r="Q405" t="str">
        <f t="shared" ca="1" si="76"/>
        <v>0100011011000011</v>
      </c>
      <c r="R405">
        <f t="shared" ca="1" si="73"/>
        <v>3.3965624999999999</v>
      </c>
      <c r="S405">
        <f t="shared" ca="1" si="74"/>
        <v>60.758750000000006</v>
      </c>
      <c r="T405" s="3">
        <f t="shared" ca="1" si="77"/>
        <v>7.6077943615257375E-3</v>
      </c>
    </row>
    <row r="406" spans="8:20" x14ac:dyDescent="0.25">
      <c r="H406">
        <v>60.400000000000006</v>
      </c>
      <c r="I406" s="11">
        <v>3.3659166666666662</v>
      </c>
      <c r="J406" s="10">
        <f t="shared" si="67"/>
        <v>6.9999999999999999E-6</v>
      </c>
      <c r="K406" s="17">
        <f t="shared" si="68"/>
        <v>2.02E-4</v>
      </c>
      <c r="L406" s="10">
        <f t="shared" si="69"/>
        <v>1.0822E-2</v>
      </c>
      <c r="M406" s="11">
        <f t="shared" si="75"/>
        <v>3.4027340546056082</v>
      </c>
      <c r="N406" s="5">
        <f t="shared" si="70"/>
        <v>1.0938294552432561E-2</v>
      </c>
      <c r="O406">
        <f t="shared" si="71"/>
        <v>18153.9133</v>
      </c>
      <c r="P406">
        <f t="shared" ca="1" si="72"/>
        <v>18158</v>
      </c>
      <c r="Q406" t="str">
        <f t="shared" ca="1" si="76"/>
        <v>0100011011101110</v>
      </c>
      <c r="R406">
        <f t="shared" ca="1" si="73"/>
        <v>3.4046250000000002</v>
      </c>
      <c r="S406">
        <f t="shared" ca="1" si="74"/>
        <v>60.855500000000006</v>
      </c>
      <c r="T406" s="3">
        <f t="shared" ca="1" si="77"/>
        <v>7.5413907284768321E-3</v>
      </c>
    </row>
    <row r="407" spans="8:20" x14ac:dyDescent="0.25">
      <c r="H407">
        <v>60.5</v>
      </c>
      <c r="I407" s="11">
        <v>3.3754166666666663</v>
      </c>
      <c r="J407" s="10">
        <f t="shared" si="67"/>
        <v>7.9999999999999996E-6</v>
      </c>
      <c r="K407" s="17">
        <f t="shared" si="68"/>
        <v>2.03E-4</v>
      </c>
      <c r="L407" s="10">
        <f t="shared" si="69"/>
        <v>1.0853E-2</v>
      </c>
      <c r="M407" s="11">
        <f t="shared" si="75"/>
        <v>3.4124439205362465</v>
      </c>
      <c r="N407" s="5">
        <f t="shared" si="70"/>
        <v>1.0969683901616147E-2</v>
      </c>
      <c r="O407">
        <f t="shared" si="71"/>
        <v>18205.716400000001</v>
      </c>
      <c r="P407">
        <f t="shared" ca="1" si="72"/>
        <v>18205</v>
      </c>
      <c r="Q407" t="str">
        <f t="shared" ca="1" si="76"/>
        <v>0100011100011101</v>
      </c>
      <c r="R407">
        <f t="shared" ca="1" si="73"/>
        <v>3.4134375000000001</v>
      </c>
      <c r="S407">
        <f t="shared" ca="1" si="74"/>
        <v>60.96125</v>
      </c>
      <c r="T407" s="3">
        <f t="shared" ca="1" si="77"/>
        <v>7.623966942148756E-3</v>
      </c>
    </row>
    <row r="408" spans="8:20" x14ac:dyDescent="0.25">
      <c r="H408">
        <v>60.6</v>
      </c>
      <c r="I408" s="11">
        <v>3.383166666666666</v>
      </c>
      <c r="J408" s="10">
        <f t="shared" si="67"/>
        <v>7.9999999999999996E-6</v>
      </c>
      <c r="K408" s="17">
        <f t="shared" si="68"/>
        <v>2.03E-4</v>
      </c>
      <c r="L408" s="10">
        <f t="shared" si="69"/>
        <v>1.0883E-2</v>
      </c>
      <c r="M408" s="11">
        <f t="shared" si="75"/>
        <v>3.4203826914982414</v>
      </c>
      <c r="N408" s="5">
        <f t="shared" si="70"/>
        <v>1.1000352184317075E-2</v>
      </c>
      <c r="O408">
        <f t="shared" si="71"/>
        <v>18248.070500000002</v>
      </c>
      <c r="P408">
        <f t="shared" ca="1" si="72"/>
        <v>18248</v>
      </c>
      <c r="Q408" t="str">
        <f t="shared" ca="1" si="76"/>
        <v>0100011101001000</v>
      </c>
      <c r="R408">
        <f t="shared" ca="1" si="73"/>
        <v>3.4215</v>
      </c>
      <c r="S408">
        <f t="shared" ca="1" si="74"/>
        <v>61.058000000000007</v>
      </c>
      <c r="T408" s="3">
        <f t="shared" ca="1" si="77"/>
        <v>7.5577557755776483E-3</v>
      </c>
    </row>
    <row r="409" spans="8:20" x14ac:dyDescent="0.25">
      <c r="H409">
        <v>60.7</v>
      </c>
      <c r="I409" s="11">
        <v>3.3914166666666663</v>
      </c>
      <c r="J409" s="10">
        <f t="shared" si="67"/>
        <v>9.0000000000000002E-6</v>
      </c>
      <c r="K409" s="17">
        <f t="shared" si="68"/>
        <v>2.04E-4</v>
      </c>
      <c r="L409" s="10">
        <f t="shared" si="69"/>
        <v>1.0914E-2</v>
      </c>
      <c r="M409" s="11">
        <f t="shared" si="75"/>
        <v>3.4288299163739717</v>
      </c>
      <c r="N409" s="5">
        <f t="shared" si="70"/>
        <v>1.1031746725499792E-2</v>
      </c>
      <c r="O409">
        <f t="shared" si="71"/>
        <v>18293.137299999999</v>
      </c>
      <c r="P409">
        <f t="shared" ca="1" si="72"/>
        <v>18297</v>
      </c>
      <c r="Q409" t="str">
        <f t="shared" ca="1" si="76"/>
        <v>0100011101111001</v>
      </c>
      <c r="R409">
        <f t="shared" ca="1" si="73"/>
        <v>3.4306874999999999</v>
      </c>
      <c r="S409">
        <f t="shared" ca="1" si="74"/>
        <v>61.16825</v>
      </c>
      <c r="T409" s="3">
        <f t="shared" ca="1" si="77"/>
        <v>7.7141680395386757E-3</v>
      </c>
    </row>
    <row r="410" spans="8:20" x14ac:dyDescent="0.25">
      <c r="H410">
        <v>60.800000000000004</v>
      </c>
      <c r="I410" s="11">
        <v>3.3994999999999997</v>
      </c>
      <c r="J410" s="10">
        <f t="shared" si="67"/>
        <v>1.0000000000000001E-5</v>
      </c>
      <c r="K410" s="17">
        <f t="shared" si="68"/>
        <v>2.04E-4</v>
      </c>
      <c r="L410" s="10">
        <f t="shared" si="69"/>
        <v>1.0944000000000001E-2</v>
      </c>
      <c r="M410" s="11">
        <f t="shared" si="75"/>
        <v>3.4371056846123977</v>
      </c>
      <c r="N410" s="5">
        <f t="shared" si="70"/>
        <v>1.1062122256919545E-2</v>
      </c>
      <c r="O410">
        <f t="shared" si="71"/>
        <v>18337.2893</v>
      </c>
      <c r="P410">
        <f t="shared" ca="1" si="72"/>
        <v>18340</v>
      </c>
      <c r="Q410" t="str">
        <f t="shared" ca="1" si="76"/>
        <v>0100011110100100</v>
      </c>
      <c r="R410">
        <f t="shared" ca="1" si="73"/>
        <v>3.4387500000000002</v>
      </c>
      <c r="S410">
        <f t="shared" ca="1" si="74"/>
        <v>61.265000000000001</v>
      </c>
      <c r="T410" s="3">
        <f t="shared" ca="1" si="77"/>
        <v>7.6480263157894125E-3</v>
      </c>
    </row>
    <row r="411" spans="8:20" x14ac:dyDescent="0.25">
      <c r="H411">
        <v>60.900000000000006</v>
      </c>
      <c r="I411" s="11">
        <v>3.4085000000000001</v>
      </c>
      <c r="J411" s="10">
        <f t="shared" si="67"/>
        <v>1.0000000000000001E-5</v>
      </c>
      <c r="K411" s="17">
        <f t="shared" si="68"/>
        <v>2.05E-4</v>
      </c>
      <c r="L411" s="10">
        <f t="shared" si="69"/>
        <v>1.0975E-2</v>
      </c>
      <c r="M411" s="11">
        <f t="shared" si="75"/>
        <v>3.446313288339526</v>
      </c>
      <c r="N411" s="5">
        <f t="shared" si="70"/>
        <v>1.1093820841873525E-2</v>
      </c>
      <c r="O411">
        <f t="shared" si="71"/>
        <v>18386.412700000001</v>
      </c>
      <c r="P411">
        <f t="shared" ca="1" si="72"/>
        <v>18390</v>
      </c>
      <c r="Q411" t="str">
        <f t="shared" ca="1" si="76"/>
        <v>0100011111010110</v>
      </c>
      <c r="R411">
        <f t="shared" ca="1" si="73"/>
        <v>3.4481250000000001</v>
      </c>
      <c r="S411">
        <f t="shared" ca="1" si="74"/>
        <v>61.377500000000005</v>
      </c>
      <c r="T411" s="3">
        <f t="shared" ca="1" si="77"/>
        <v>7.8407224958948942E-3</v>
      </c>
    </row>
    <row r="412" spans="8:20" x14ac:dyDescent="0.25">
      <c r="H412">
        <v>61</v>
      </c>
      <c r="I412" s="11">
        <v>3.4160833333333329</v>
      </c>
      <c r="J412" s="10">
        <f t="shared" si="67"/>
        <v>1.1E-5</v>
      </c>
      <c r="K412" s="17">
        <f t="shared" si="68"/>
        <v>2.05E-4</v>
      </c>
      <c r="L412" s="10">
        <f t="shared" si="69"/>
        <v>1.1004999999999999E-2</v>
      </c>
      <c r="M412" s="11">
        <f t="shared" si="75"/>
        <v>3.4540845336258856</v>
      </c>
      <c r="N412" s="5">
        <f t="shared" si="70"/>
        <v>1.1124201778611779E-2</v>
      </c>
      <c r="O412">
        <f t="shared" si="71"/>
        <v>18427.873100000001</v>
      </c>
      <c r="P412">
        <f t="shared" ca="1" si="72"/>
        <v>18431</v>
      </c>
      <c r="Q412" t="str">
        <f t="shared" ca="1" si="76"/>
        <v>0100011111111111</v>
      </c>
      <c r="R412">
        <f t="shared" ca="1" si="73"/>
        <v>3.4558125</v>
      </c>
      <c r="S412">
        <f t="shared" ca="1" si="74"/>
        <v>61.469749999999998</v>
      </c>
      <c r="T412" s="3">
        <f t="shared" ca="1" si="77"/>
        <v>7.7008196721311097E-3</v>
      </c>
    </row>
    <row r="413" spans="8:20" x14ac:dyDescent="0.25">
      <c r="H413">
        <v>61.1</v>
      </c>
      <c r="I413" s="11">
        <v>3.4254166666666661</v>
      </c>
      <c r="J413" s="10">
        <f t="shared" si="67"/>
        <v>1.1E-5</v>
      </c>
      <c r="K413" s="17">
        <f t="shared" si="68"/>
        <v>2.0599999999999999E-4</v>
      </c>
      <c r="L413" s="10">
        <f t="shared" si="69"/>
        <v>1.1036000000000001E-2</v>
      </c>
      <c r="M413" s="11">
        <f t="shared" si="75"/>
        <v>3.4636302905532115</v>
      </c>
      <c r="N413" s="5">
        <f t="shared" si="70"/>
        <v>1.115590528253362E-2</v>
      </c>
      <c r="O413">
        <f t="shared" si="71"/>
        <v>18478.800599999999</v>
      </c>
      <c r="P413">
        <f t="shared" ca="1" si="72"/>
        <v>18479</v>
      </c>
      <c r="Q413" t="str">
        <f t="shared" ca="1" si="76"/>
        <v>0100100000101111</v>
      </c>
      <c r="R413">
        <f t="shared" ca="1" si="73"/>
        <v>3.4648124999999999</v>
      </c>
      <c r="S413">
        <f t="shared" ca="1" si="74"/>
        <v>61.577750000000002</v>
      </c>
      <c r="T413" s="3">
        <f t="shared" ca="1" si="77"/>
        <v>7.8191489361702175E-3</v>
      </c>
    </row>
    <row r="414" spans="8:20" x14ac:dyDescent="0.25">
      <c r="H414">
        <v>61.2</v>
      </c>
      <c r="I414" s="11">
        <v>3.4334999999999996</v>
      </c>
      <c r="J414" s="10">
        <f t="shared" si="67"/>
        <v>1.2E-5</v>
      </c>
      <c r="K414" s="17">
        <f t="shared" si="68"/>
        <v>2.0599999999999999E-4</v>
      </c>
      <c r="L414" s="10">
        <f t="shared" si="69"/>
        <v>1.1065999999999999E-2</v>
      </c>
      <c r="M414" s="11">
        <f t="shared" si="75"/>
        <v>3.4719081354266308</v>
      </c>
      <c r="N414" s="5">
        <f t="shared" si="70"/>
        <v>1.1186292537245157E-2</v>
      </c>
      <c r="O414">
        <f t="shared" si="71"/>
        <v>18522.9637</v>
      </c>
      <c r="P414">
        <f t="shared" ca="1" si="72"/>
        <v>18526</v>
      </c>
      <c r="Q414" t="str">
        <f t="shared" ca="1" si="76"/>
        <v>0100100001011110</v>
      </c>
      <c r="R414">
        <f t="shared" ca="1" si="73"/>
        <v>3.4736250000000002</v>
      </c>
      <c r="S414">
        <f t="shared" ca="1" si="74"/>
        <v>61.683500000000009</v>
      </c>
      <c r="T414" s="3">
        <f t="shared" ca="1" si="77"/>
        <v>7.9003267973857261E-3</v>
      </c>
    </row>
    <row r="415" spans="8:20" x14ac:dyDescent="0.25">
      <c r="H415">
        <v>61.300000000000004</v>
      </c>
      <c r="I415" s="11">
        <v>3.442333333333333</v>
      </c>
      <c r="J415" s="10">
        <f t="shared" si="67"/>
        <v>1.2E-5</v>
      </c>
      <c r="K415" s="17">
        <f t="shared" si="68"/>
        <v>2.0699999999999999E-4</v>
      </c>
      <c r="L415" s="10">
        <f t="shared" si="69"/>
        <v>1.1096999999999999E-2</v>
      </c>
      <c r="M415" s="11">
        <f t="shared" si="75"/>
        <v>3.4809494291485952</v>
      </c>
      <c r="N415" s="5">
        <f t="shared" si="70"/>
        <v>1.1218000140000626E-2</v>
      </c>
      <c r="O415">
        <f t="shared" si="71"/>
        <v>18571.1999</v>
      </c>
      <c r="P415">
        <f t="shared" ca="1" si="72"/>
        <v>18575</v>
      </c>
      <c r="Q415" t="str">
        <f t="shared" ca="1" si="76"/>
        <v>0100100010001111</v>
      </c>
      <c r="R415">
        <f t="shared" ca="1" si="73"/>
        <v>3.4828125000000001</v>
      </c>
      <c r="S415">
        <f t="shared" ca="1" si="74"/>
        <v>61.793750000000003</v>
      </c>
      <c r="T415" s="3">
        <f t="shared" ca="1" si="77"/>
        <v>8.054649265905359E-3</v>
      </c>
    </row>
    <row r="416" spans="8:20" x14ac:dyDescent="0.25">
      <c r="H416">
        <v>61.400000000000006</v>
      </c>
      <c r="I416" s="11">
        <v>3.4502499999999996</v>
      </c>
      <c r="J416" s="10">
        <f t="shared" si="67"/>
        <v>1.2999999999999999E-5</v>
      </c>
      <c r="K416" s="17">
        <f t="shared" si="68"/>
        <v>2.0699999999999999E-4</v>
      </c>
      <c r="L416" s="10">
        <f t="shared" si="69"/>
        <v>1.1127E-2</v>
      </c>
      <c r="M416" s="11">
        <f t="shared" si="75"/>
        <v>3.489059768038969</v>
      </c>
      <c r="N416" s="5">
        <f t="shared" si="70"/>
        <v>1.1248393026293576E-2</v>
      </c>
      <c r="O416">
        <f t="shared" si="71"/>
        <v>18614.469300000001</v>
      </c>
      <c r="P416">
        <f t="shared" ca="1" si="72"/>
        <v>18614</v>
      </c>
      <c r="Q416" t="str">
        <f t="shared" ca="1" si="76"/>
        <v>0100100010110110</v>
      </c>
      <c r="R416">
        <f t="shared" ca="1" si="73"/>
        <v>3.4901249999999999</v>
      </c>
      <c r="S416">
        <f t="shared" ca="1" si="74"/>
        <v>61.881500000000003</v>
      </c>
      <c r="T416" s="3">
        <f t="shared" ca="1" si="77"/>
        <v>7.8420195439738907E-3</v>
      </c>
    </row>
    <row r="417" spans="8:20" x14ac:dyDescent="0.25">
      <c r="H417">
        <v>61.5</v>
      </c>
      <c r="I417" s="11">
        <v>3.4582499999999996</v>
      </c>
      <c r="J417" s="10">
        <f t="shared" si="67"/>
        <v>1.4E-5</v>
      </c>
      <c r="K417" s="17">
        <f t="shared" si="68"/>
        <v>2.0799999999999999E-4</v>
      </c>
      <c r="L417" s="10">
        <f t="shared" si="69"/>
        <v>1.1158E-2</v>
      </c>
      <c r="M417" s="11">
        <f t="shared" si="75"/>
        <v>3.4972584093313182</v>
      </c>
      <c r="N417" s="5">
        <f t="shared" si="70"/>
        <v>1.1279811850305372E-2</v>
      </c>
      <c r="O417">
        <f t="shared" si="71"/>
        <v>18658.209900000002</v>
      </c>
      <c r="P417">
        <f t="shared" ca="1" si="72"/>
        <v>18662</v>
      </c>
      <c r="Q417" t="str">
        <f t="shared" ca="1" si="76"/>
        <v>0100100011100110</v>
      </c>
      <c r="R417">
        <f t="shared" ca="1" si="73"/>
        <v>3.4991250000000003</v>
      </c>
      <c r="S417">
        <f t="shared" ca="1" si="74"/>
        <v>61.989500000000007</v>
      </c>
      <c r="T417" s="3">
        <f t="shared" ca="1" si="77"/>
        <v>7.9593495934960432E-3</v>
      </c>
    </row>
    <row r="418" spans="8:20" x14ac:dyDescent="0.25">
      <c r="H418">
        <v>61.6</v>
      </c>
      <c r="I418" s="11">
        <v>3.4658333333333333</v>
      </c>
      <c r="J418" s="10">
        <f t="shared" si="67"/>
        <v>1.4E-5</v>
      </c>
      <c r="K418" s="17">
        <f t="shared" si="68"/>
        <v>2.0799999999999999E-4</v>
      </c>
      <c r="L418" s="10">
        <f t="shared" si="69"/>
        <v>1.1188E-2</v>
      </c>
      <c r="M418" s="11">
        <f t="shared" si="75"/>
        <v>3.5050336498073782</v>
      </c>
      <c r="N418" s="5">
        <f t="shared" si="70"/>
        <v>1.1310502469068008E-2</v>
      </c>
      <c r="O418">
        <f t="shared" si="71"/>
        <v>18699.691500000001</v>
      </c>
      <c r="P418">
        <f t="shared" ca="1" si="72"/>
        <v>18698</v>
      </c>
      <c r="Q418" t="str">
        <f t="shared" ca="1" si="76"/>
        <v>0100100100001010</v>
      </c>
      <c r="R418">
        <f t="shared" ca="1" si="73"/>
        <v>3.5058750000000001</v>
      </c>
      <c r="S418">
        <f t="shared" ca="1" si="74"/>
        <v>62.070500000000003</v>
      </c>
      <c r="T418" s="3">
        <f t="shared" ca="1" si="77"/>
        <v>7.6379870129870331E-3</v>
      </c>
    </row>
    <row r="419" spans="8:20" x14ac:dyDescent="0.25">
      <c r="H419">
        <v>61.7</v>
      </c>
      <c r="I419" s="11">
        <v>3.4753333333333325</v>
      </c>
      <c r="J419" s="10">
        <f t="shared" si="67"/>
        <v>1.5E-5</v>
      </c>
      <c r="K419" s="17">
        <f t="shared" si="68"/>
        <v>2.0900000000000001E-4</v>
      </c>
      <c r="L419" s="10">
        <f t="shared" si="69"/>
        <v>1.1219E-2</v>
      </c>
      <c r="M419" s="11">
        <f t="shared" si="75"/>
        <v>3.5147503171413415</v>
      </c>
      <c r="N419" s="5">
        <f t="shared" si="70"/>
        <v>1.1341928968350939E-2</v>
      </c>
      <c r="O419">
        <f t="shared" si="71"/>
        <v>18751.530900000002</v>
      </c>
      <c r="P419">
        <f t="shared" ca="1" si="72"/>
        <v>18751</v>
      </c>
      <c r="Q419" t="str">
        <f t="shared" ca="1" si="76"/>
        <v>0100100100111111</v>
      </c>
      <c r="R419">
        <f t="shared" ca="1" si="73"/>
        <v>3.5158125</v>
      </c>
      <c r="S419">
        <f t="shared" ca="1" si="74"/>
        <v>62.189750000000004</v>
      </c>
      <c r="T419" s="3">
        <f t="shared" ca="1" si="77"/>
        <v>7.937601296596446E-3</v>
      </c>
    </row>
    <row r="420" spans="8:20" x14ac:dyDescent="0.25">
      <c r="H420">
        <v>61.800000000000004</v>
      </c>
      <c r="I420" s="11">
        <v>3.48325</v>
      </c>
      <c r="J420" s="10">
        <f t="shared" si="67"/>
        <v>1.5E-5</v>
      </c>
      <c r="K420" s="17">
        <f t="shared" si="68"/>
        <v>2.0900000000000001E-4</v>
      </c>
      <c r="L420" s="10">
        <f t="shared" si="69"/>
        <v>1.1249E-2</v>
      </c>
      <c r="M420" s="11">
        <f t="shared" si="75"/>
        <v>3.5228636936903222</v>
      </c>
      <c r="N420" s="5">
        <f t="shared" si="70"/>
        <v>1.1372624327947231E-2</v>
      </c>
      <c r="O420">
        <f t="shared" si="71"/>
        <v>18794.816500000001</v>
      </c>
      <c r="P420">
        <f t="shared" ca="1" si="72"/>
        <v>18792</v>
      </c>
      <c r="Q420" t="str">
        <f t="shared" ca="1" si="76"/>
        <v>0100100101101000</v>
      </c>
      <c r="R420">
        <f t="shared" ca="1" si="73"/>
        <v>3.5234999999999999</v>
      </c>
      <c r="S420">
        <f t="shared" ca="1" si="74"/>
        <v>62.281999999999996</v>
      </c>
      <c r="T420" s="3">
        <f t="shared" ca="1" si="77"/>
        <v>7.7993527508089348E-3</v>
      </c>
    </row>
    <row r="421" spans="8:20" x14ac:dyDescent="0.25">
      <c r="H421">
        <v>61.900000000000006</v>
      </c>
      <c r="I421" s="11">
        <v>3.4908333333333337</v>
      </c>
      <c r="J421" s="10">
        <f t="shared" si="67"/>
        <v>1.5999999999999999E-5</v>
      </c>
      <c r="K421" s="17">
        <f t="shared" si="68"/>
        <v>2.1000000000000001E-4</v>
      </c>
      <c r="L421" s="10">
        <f t="shared" si="69"/>
        <v>1.128E-2</v>
      </c>
      <c r="M421" s="11">
        <f t="shared" si="75"/>
        <v>3.5306429862178712</v>
      </c>
      <c r="N421" s="5">
        <f t="shared" si="70"/>
        <v>1.1404054299700412E-2</v>
      </c>
      <c r="O421">
        <f t="shared" si="71"/>
        <v>18836.319800000001</v>
      </c>
      <c r="P421">
        <f t="shared" ca="1" si="72"/>
        <v>18836</v>
      </c>
      <c r="Q421" t="str">
        <f t="shared" ca="1" si="76"/>
        <v>0100100110010100</v>
      </c>
      <c r="R421">
        <f t="shared" ca="1" si="73"/>
        <v>3.5317500000000002</v>
      </c>
      <c r="S421">
        <f t="shared" ca="1" si="74"/>
        <v>62.381</v>
      </c>
      <c r="T421" s="3">
        <f t="shared" ca="1" si="77"/>
        <v>7.7705977382874717E-3</v>
      </c>
    </row>
    <row r="422" spans="8:20" x14ac:dyDescent="0.25">
      <c r="H422">
        <v>62</v>
      </c>
      <c r="I422" s="11">
        <v>3.5000833333333325</v>
      </c>
      <c r="J422" s="10">
        <f t="shared" si="67"/>
        <v>1.7E-5</v>
      </c>
      <c r="K422" s="17">
        <f t="shared" si="68"/>
        <v>2.1000000000000001E-4</v>
      </c>
      <c r="L422" s="10">
        <f t="shared" si="69"/>
        <v>1.1310000000000001E-2</v>
      </c>
      <c r="M422" s="11">
        <f t="shared" si="75"/>
        <v>3.5401049199782868</v>
      </c>
      <c r="N422" s="5">
        <f t="shared" si="70"/>
        <v>1.1434466792206166E-2</v>
      </c>
      <c r="O422">
        <f t="shared" si="71"/>
        <v>18886.8001</v>
      </c>
      <c r="P422">
        <f t="shared" ca="1" si="72"/>
        <v>18885</v>
      </c>
      <c r="Q422" t="str">
        <f t="shared" ca="1" si="76"/>
        <v>0100100111000101</v>
      </c>
      <c r="R422">
        <f t="shared" ca="1" si="73"/>
        <v>3.5409375000000001</v>
      </c>
      <c r="S422">
        <f t="shared" ca="1" si="74"/>
        <v>62.491250000000008</v>
      </c>
      <c r="T422" s="3">
        <f t="shared" ca="1" si="77"/>
        <v>7.9233870967743217E-3</v>
      </c>
    </row>
    <row r="423" spans="8:20" x14ac:dyDescent="0.25">
      <c r="H423">
        <v>62.1</v>
      </c>
      <c r="I423" s="11">
        <v>3.5078333333333331</v>
      </c>
      <c r="J423" s="10">
        <f t="shared" si="67"/>
        <v>1.7E-5</v>
      </c>
      <c r="K423" s="17">
        <f t="shared" si="68"/>
        <v>2.1100000000000001E-4</v>
      </c>
      <c r="L423" s="10">
        <f t="shared" si="69"/>
        <v>1.1341E-2</v>
      </c>
      <c r="M423" s="11">
        <f t="shared" si="75"/>
        <v>3.5480548230819049</v>
      </c>
      <c r="N423" s="5">
        <f t="shared" si="70"/>
        <v>1.1466191784645344E-2</v>
      </c>
      <c r="O423">
        <f t="shared" si="71"/>
        <v>18929.213599999999</v>
      </c>
      <c r="P423">
        <f t="shared" ca="1" si="72"/>
        <v>18930</v>
      </c>
      <c r="Q423" t="str">
        <f t="shared" ca="1" si="76"/>
        <v>0100100111110010</v>
      </c>
      <c r="R423">
        <f t="shared" ca="1" si="73"/>
        <v>3.5493749999999999</v>
      </c>
      <c r="S423">
        <f t="shared" ca="1" si="74"/>
        <v>62.592500000000001</v>
      </c>
      <c r="T423" s="3">
        <f t="shared" ca="1" si="77"/>
        <v>7.9307568438003167E-3</v>
      </c>
    </row>
    <row r="424" spans="8:20" x14ac:dyDescent="0.25">
      <c r="H424">
        <v>62.2</v>
      </c>
      <c r="I424" s="11">
        <v>3.5158333333333331</v>
      </c>
      <c r="J424" s="10">
        <f t="shared" si="67"/>
        <v>1.8E-5</v>
      </c>
      <c r="K424" s="17">
        <f t="shared" si="68"/>
        <v>2.1100000000000001E-4</v>
      </c>
      <c r="L424" s="10">
        <f t="shared" si="69"/>
        <v>1.1370999999999999E-2</v>
      </c>
      <c r="M424" s="11">
        <f t="shared" si="75"/>
        <v>3.5562534917884601</v>
      </c>
      <c r="N424" s="5">
        <f t="shared" si="70"/>
        <v>1.1496608235636953E-2</v>
      </c>
      <c r="O424">
        <f t="shared" si="71"/>
        <v>18972.954300000001</v>
      </c>
      <c r="P424">
        <f t="shared" ca="1" si="72"/>
        <v>18975</v>
      </c>
      <c r="Q424" t="str">
        <f t="shared" ca="1" si="76"/>
        <v>0100101000011111</v>
      </c>
      <c r="R424">
        <f t="shared" ca="1" si="73"/>
        <v>3.5578125000000003</v>
      </c>
      <c r="S424">
        <f t="shared" ca="1" si="74"/>
        <v>62.693750000000001</v>
      </c>
      <c r="T424" s="3">
        <f t="shared" ca="1" si="77"/>
        <v>7.9381028938906514E-3</v>
      </c>
    </row>
    <row r="425" spans="8:20" x14ac:dyDescent="0.25">
      <c r="H425">
        <v>62.300000000000004</v>
      </c>
      <c r="I425" s="11">
        <v>3.5257499999999995</v>
      </c>
      <c r="J425" s="10">
        <f t="shared" si="67"/>
        <v>1.8E-5</v>
      </c>
      <c r="K425" s="17">
        <f t="shared" si="68"/>
        <v>2.12E-4</v>
      </c>
      <c r="L425" s="10">
        <f t="shared" si="69"/>
        <v>1.1402000000000001E-2</v>
      </c>
      <c r="M425" s="11">
        <f t="shared" si="75"/>
        <v>3.5663960477362888</v>
      </c>
      <c r="N425" s="5">
        <f t="shared" si="70"/>
        <v>1.1528340845575928E-2</v>
      </c>
      <c r="O425">
        <f t="shared" si="71"/>
        <v>19027.0658</v>
      </c>
      <c r="P425">
        <f t="shared" ca="1" si="72"/>
        <v>19029</v>
      </c>
      <c r="Q425" t="str">
        <f t="shared" ca="1" si="76"/>
        <v>0100101001010101</v>
      </c>
      <c r="R425">
        <f t="shared" ca="1" si="73"/>
        <v>3.5679375000000002</v>
      </c>
      <c r="S425">
        <f t="shared" ca="1" si="74"/>
        <v>62.815250000000006</v>
      </c>
      <c r="T425" s="3">
        <f t="shared" ca="1" si="77"/>
        <v>8.2704654895666401E-3</v>
      </c>
    </row>
    <row r="426" spans="8:20" x14ac:dyDescent="0.25">
      <c r="H426">
        <v>62.400000000000006</v>
      </c>
      <c r="I426" s="11">
        <v>3.5331666666666663</v>
      </c>
      <c r="J426" s="10">
        <f t="shared" si="67"/>
        <v>1.9000000000000001E-5</v>
      </c>
      <c r="K426" s="17">
        <f t="shared" si="68"/>
        <v>2.12E-4</v>
      </c>
      <c r="L426" s="10">
        <f t="shared" si="69"/>
        <v>1.1431999999999999E-2</v>
      </c>
      <c r="M426" s="11">
        <f t="shared" si="75"/>
        <v>3.5740056998270897</v>
      </c>
      <c r="N426" s="5">
        <f t="shared" si="70"/>
        <v>1.1558762156825332E-2</v>
      </c>
      <c r="O426">
        <f t="shared" si="71"/>
        <v>19067.664000000001</v>
      </c>
      <c r="P426">
        <f t="shared" ca="1" si="72"/>
        <v>19066</v>
      </c>
      <c r="Q426" t="str">
        <f t="shared" ca="1" si="76"/>
        <v>0100101001111010</v>
      </c>
      <c r="R426">
        <f t="shared" ca="1" si="73"/>
        <v>3.574875</v>
      </c>
      <c r="S426">
        <f t="shared" ca="1" si="74"/>
        <v>62.898499999999999</v>
      </c>
      <c r="T426" s="3">
        <f t="shared" ca="1" si="77"/>
        <v>7.9887820512819351E-3</v>
      </c>
    </row>
    <row r="427" spans="8:20" x14ac:dyDescent="0.25">
      <c r="H427">
        <v>62.5</v>
      </c>
      <c r="I427" s="11">
        <v>3.5414999999999992</v>
      </c>
      <c r="J427" s="10">
        <f t="shared" si="67"/>
        <v>1.9000000000000001E-5</v>
      </c>
      <c r="K427" s="17">
        <f t="shared" si="68"/>
        <v>2.13E-4</v>
      </c>
      <c r="L427" s="10">
        <f t="shared" si="69"/>
        <v>1.1462999999999999E-2</v>
      </c>
      <c r="M427" s="11">
        <f t="shared" si="75"/>
        <v>3.5825477447986258</v>
      </c>
      <c r="N427" s="5">
        <f t="shared" si="70"/>
        <v>1.1590496907701996E-2</v>
      </c>
      <c r="O427">
        <f t="shared" si="71"/>
        <v>19113.236700000001</v>
      </c>
      <c r="P427">
        <f t="shared" ca="1" si="72"/>
        <v>19116</v>
      </c>
      <c r="Q427" t="str">
        <f t="shared" ca="1" si="76"/>
        <v>0100101010101100</v>
      </c>
      <c r="R427">
        <f t="shared" ca="1" si="73"/>
        <v>3.5842499999999999</v>
      </c>
      <c r="S427">
        <f t="shared" ca="1" si="74"/>
        <v>63.011000000000003</v>
      </c>
      <c r="T427" s="3">
        <f t="shared" ca="1" si="77"/>
        <v>8.1760000000000443E-3</v>
      </c>
    </row>
    <row r="428" spans="8:20" x14ac:dyDescent="0.25">
      <c r="H428">
        <v>62.6</v>
      </c>
      <c r="I428" s="11">
        <v>3.5500833333333324</v>
      </c>
      <c r="J428" s="10">
        <f t="shared" si="67"/>
        <v>2.0000000000000002E-5</v>
      </c>
      <c r="K428" s="17">
        <f t="shared" si="68"/>
        <v>2.13E-4</v>
      </c>
      <c r="L428" s="10">
        <f t="shared" si="69"/>
        <v>1.1493E-2</v>
      </c>
      <c r="M428" s="11">
        <f t="shared" si="75"/>
        <v>3.5913385877220212</v>
      </c>
      <c r="N428" s="5">
        <f t="shared" si="70"/>
        <v>1.1620925627667566E-2</v>
      </c>
      <c r="O428">
        <f t="shared" si="71"/>
        <v>19160.136699999999</v>
      </c>
      <c r="P428">
        <f t="shared" ca="1" si="72"/>
        <v>19159</v>
      </c>
      <c r="Q428" t="str">
        <f t="shared" ca="1" si="76"/>
        <v>0100101011010111</v>
      </c>
      <c r="R428">
        <f t="shared" ca="1" si="73"/>
        <v>3.5923125000000002</v>
      </c>
      <c r="S428">
        <f t="shared" ca="1" si="74"/>
        <v>63.10775000000001</v>
      </c>
      <c r="T428" s="3">
        <f t="shared" ca="1" si="77"/>
        <v>8.1110223642173896E-3</v>
      </c>
    </row>
    <row r="429" spans="8:20" x14ac:dyDescent="0.25">
      <c r="H429">
        <v>62.7</v>
      </c>
      <c r="I429" s="11">
        <v>3.5582500000000001</v>
      </c>
      <c r="J429" s="10">
        <f t="shared" si="67"/>
        <v>2.0999999999999999E-5</v>
      </c>
      <c r="K429" s="17">
        <f t="shared" si="68"/>
        <v>2.14E-4</v>
      </c>
      <c r="L429" s="10">
        <f t="shared" si="69"/>
        <v>1.1524E-2</v>
      </c>
      <c r="M429" s="11">
        <f t="shared" si="75"/>
        <v>3.5997120820333528</v>
      </c>
      <c r="N429" s="5">
        <f t="shared" si="70"/>
        <v>1.1652380252470361E-2</v>
      </c>
      <c r="O429">
        <f t="shared" si="71"/>
        <v>19204.810099999999</v>
      </c>
      <c r="P429">
        <f t="shared" ca="1" si="72"/>
        <v>19205</v>
      </c>
      <c r="Q429" t="str">
        <f t="shared" ca="1" si="76"/>
        <v>0100101100000101</v>
      </c>
      <c r="R429">
        <f t="shared" ca="1" si="73"/>
        <v>3.6009375000000001</v>
      </c>
      <c r="S429">
        <f t="shared" ca="1" si="74"/>
        <v>63.21125</v>
      </c>
      <c r="T429" s="3">
        <f t="shared" ca="1" si="77"/>
        <v>8.1539074960127085E-3</v>
      </c>
    </row>
    <row r="430" spans="8:20" x14ac:dyDescent="0.25">
      <c r="H430">
        <v>62.800000000000004</v>
      </c>
      <c r="I430" s="11">
        <v>3.5674999999999999</v>
      </c>
      <c r="J430" s="10">
        <f t="shared" si="67"/>
        <v>2.0999999999999999E-5</v>
      </c>
      <c r="K430" s="17">
        <f t="shared" si="68"/>
        <v>2.14E-4</v>
      </c>
      <c r="L430" s="10">
        <f t="shared" si="69"/>
        <v>1.1554E-2</v>
      </c>
      <c r="M430" s="11">
        <f t="shared" si="75"/>
        <v>3.6091794594747713</v>
      </c>
      <c r="N430" s="5">
        <f t="shared" si="70"/>
        <v>1.1683100063005289E-2</v>
      </c>
      <c r="O430">
        <f t="shared" si="71"/>
        <v>19255.3194</v>
      </c>
      <c r="P430">
        <f t="shared" ca="1" si="72"/>
        <v>19257</v>
      </c>
      <c r="Q430" t="str">
        <f t="shared" ca="1" si="76"/>
        <v>0100101100111001</v>
      </c>
      <c r="R430">
        <f t="shared" ca="1" si="73"/>
        <v>3.6106875</v>
      </c>
      <c r="S430">
        <f t="shared" ca="1" si="74"/>
        <v>63.328250000000004</v>
      </c>
      <c r="T430" s="3">
        <f t="shared" ca="1" si="77"/>
        <v>8.4116242038216535E-3</v>
      </c>
    </row>
    <row r="431" spans="8:20" x14ac:dyDescent="0.25">
      <c r="H431">
        <v>62.900000000000006</v>
      </c>
      <c r="I431" s="11">
        <v>3.5750000000000002</v>
      </c>
      <c r="J431" s="10">
        <f t="shared" si="67"/>
        <v>2.1999999999999999E-5</v>
      </c>
      <c r="K431" s="17">
        <f t="shared" si="68"/>
        <v>2.1499999999999999E-4</v>
      </c>
      <c r="L431" s="10">
        <f t="shared" si="69"/>
        <v>1.1585E-2</v>
      </c>
      <c r="M431" s="11">
        <f t="shared" si="75"/>
        <v>3.6168795495819066</v>
      </c>
      <c r="N431" s="5">
        <f t="shared" si="70"/>
        <v>1.1714559323610188E-2</v>
      </c>
      <c r="O431">
        <f t="shared" si="71"/>
        <v>19296.4002</v>
      </c>
      <c r="P431">
        <f t="shared" ca="1" si="72"/>
        <v>19297</v>
      </c>
      <c r="Q431" t="str">
        <f t="shared" ca="1" si="76"/>
        <v>0100101101100001</v>
      </c>
      <c r="R431">
        <f t="shared" ca="1" si="73"/>
        <v>3.6181874999999999</v>
      </c>
      <c r="S431">
        <f t="shared" ca="1" si="74"/>
        <v>63.41825</v>
      </c>
      <c r="T431" s="3">
        <f t="shared" ca="1" si="77"/>
        <v>8.2392686804450676E-3</v>
      </c>
    </row>
    <row r="432" spans="8:20" x14ac:dyDescent="0.25">
      <c r="H432">
        <v>63</v>
      </c>
      <c r="I432" s="11">
        <v>3.583333333333333</v>
      </c>
      <c r="J432" s="10">
        <f t="shared" si="67"/>
        <v>2.1999999999999999E-5</v>
      </c>
      <c r="K432" s="17">
        <f t="shared" si="68"/>
        <v>2.1499999999999999E-4</v>
      </c>
      <c r="L432" s="10">
        <f t="shared" si="69"/>
        <v>1.1615E-2</v>
      </c>
      <c r="M432" s="11">
        <f t="shared" si="75"/>
        <v>3.6254205935271511</v>
      </c>
      <c r="N432" s="5">
        <f t="shared" si="70"/>
        <v>1.174528191455387E-2</v>
      </c>
      <c r="O432">
        <f t="shared" si="71"/>
        <v>19341.967400000001</v>
      </c>
      <c r="P432">
        <f t="shared" ca="1" si="72"/>
        <v>19340</v>
      </c>
      <c r="Q432" t="str">
        <f t="shared" ca="1" si="76"/>
        <v>0100101110001100</v>
      </c>
      <c r="R432">
        <f t="shared" ca="1" si="73"/>
        <v>3.6262500000000002</v>
      </c>
      <c r="S432">
        <f t="shared" ca="1" si="74"/>
        <v>63.515000000000001</v>
      </c>
      <c r="T432" s="3">
        <f t="shared" ca="1" si="77"/>
        <v>8.1746031746031834E-3</v>
      </c>
    </row>
    <row r="433" spans="8:20" x14ac:dyDescent="0.25">
      <c r="H433">
        <v>63.1</v>
      </c>
      <c r="I433" s="11">
        <v>3.5924166666666659</v>
      </c>
      <c r="J433" s="10">
        <f t="shared" si="67"/>
        <v>2.3E-5</v>
      </c>
      <c r="K433" s="17">
        <f t="shared" si="68"/>
        <v>2.1599999999999999E-4</v>
      </c>
      <c r="L433" s="10">
        <f t="shared" si="69"/>
        <v>1.1646E-2</v>
      </c>
      <c r="M433" s="11">
        <f t="shared" si="75"/>
        <v>3.6347236583923026</v>
      </c>
      <c r="N433" s="5">
        <f t="shared" si="70"/>
        <v>1.1776749651062197E-2</v>
      </c>
      <c r="O433">
        <f t="shared" si="71"/>
        <v>19391.600200000001</v>
      </c>
      <c r="P433">
        <f t="shared" ca="1" si="72"/>
        <v>19394</v>
      </c>
      <c r="Q433" t="str">
        <f t="shared" ca="1" si="76"/>
        <v>0100101111000010</v>
      </c>
      <c r="R433">
        <f t="shared" ca="1" si="73"/>
        <v>3.6363750000000001</v>
      </c>
      <c r="S433">
        <f t="shared" ca="1" si="74"/>
        <v>63.636500000000005</v>
      </c>
      <c r="T433" s="3">
        <f t="shared" ca="1" si="77"/>
        <v>8.502377179080884E-3</v>
      </c>
    </row>
    <row r="434" spans="8:20" x14ac:dyDescent="0.25">
      <c r="H434">
        <v>63.2</v>
      </c>
      <c r="I434" s="11">
        <v>3.60025</v>
      </c>
      <c r="J434" s="10">
        <f t="shared" si="67"/>
        <v>2.3E-5</v>
      </c>
      <c r="K434" s="17">
        <f t="shared" si="68"/>
        <v>2.1599999999999999E-4</v>
      </c>
      <c r="L434" s="10">
        <f t="shared" si="69"/>
        <v>1.1676000000000001E-2</v>
      </c>
      <c r="M434" s="11">
        <f t="shared" si="75"/>
        <v>3.6427598641740966</v>
      </c>
      <c r="N434" s="5">
        <f t="shared" si="70"/>
        <v>1.1807475640329598E-2</v>
      </c>
      <c r="O434">
        <f t="shared" si="71"/>
        <v>19434.474099999999</v>
      </c>
      <c r="P434">
        <f t="shared" ca="1" si="72"/>
        <v>19436</v>
      </c>
      <c r="Q434" t="str">
        <f t="shared" ca="1" si="76"/>
        <v>0100101111101100</v>
      </c>
      <c r="R434">
        <f t="shared" ca="1" si="73"/>
        <v>3.64425</v>
      </c>
      <c r="S434">
        <f t="shared" ca="1" si="74"/>
        <v>63.731000000000002</v>
      </c>
      <c r="T434" s="3">
        <f t="shared" ca="1" si="77"/>
        <v>8.4018987341771961E-3</v>
      </c>
    </row>
    <row r="435" spans="8:20" x14ac:dyDescent="0.25">
      <c r="H435">
        <v>63.300000000000004</v>
      </c>
      <c r="I435" s="11">
        <v>3.6078333333333328</v>
      </c>
      <c r="J435" s="10">
        <f t="shared" si="67"/>
        <v>2.4000000000000001E-5</v>
      </c>
      <c r="K435" s="17">
        <f t="shared" si="68"/>
        <v>2.1699999999999999E-4</v>
      </c>
      <c r="L435" s="10">
        <f t="shared" si="69"/>
        <v>1.1707E-2</v>
      </c>
      <c r="M435" s="11">
        <f t="shared" si="75"/>
        <v>3.6505462786171035</v>
      </c>
      <c r="N435" s="5">
        <f t="shared" si="70"/>
        <v>1.1838946352964572E-2</v>
      </c>
      <c r="O435">
        <f t="shared" si="71"/>
        <v>19476.0154</v>
      </c>
      <c r="P435">
        <f t="shared" ca="1" si="72"/>
        <v>19475</v>
      </c>
      <c r="Q435" t="str">
        <f t="shared" ca="1" si="76"/>
        <v>0100110000010011</v>
      </c>
      <c r="R435">
        <f t="shared" ca="1" si="73"/>
        <v>3.6515625000000003</v>
      </c>
      <c r="S435">
        <f t="shared" ca="1" si="74"/>
        <v>63.818750000000001</v>
      </c>
      <c r="T435" s="3">
        <f t="shared" ca="1" si="77"/>
        <v>8.1951026856239666E-3</v>
      </c>
    </row>
    <row r="436" spans="8:20" x14ac:dyDescent="0.25">
      <c r="H436">
        <v>63.400000000000006</v>
      </c>
      <c r="I436" s="11">
        <v>3.6164166666666668</v>
      </c>
      <c r="J436" s="10">
        <f t="shared" si="67"/>
        <v>2.5000000000000001E-5</v>
      </c>
      <c r="K436" s="17">
        <f t="shared" si="68"/>
        <v>2.1699999999999999E-4</v>
      </c>
      <c r="L436" s="10">
        <f t="shared" si="69"/>
        <v>1.1736999999999999E-2</v>
      </c>
      <c r="M436" s="11">
        <f t="shared" si="75"/>
        <v>3.6593413561639632</v>
      </c>
      <c r="N436" s="5">
        <f t="shared" si="70"/>
        <v>1.1869398206501739E-2</v>
      </c>
      <c r="O436">
        <f t="shared" si="71"/>
        <v>19522.937999999998</v>
      </c>
      <c r="P436">
        <f t="shared" ca="1" si="72"/>
        <v>19526</v>
      </c>
      <c r="Q436" t="str">
        <f t="shared" ca="1" si="76"/>
        <v>0100110001000110</v>
      </c>
      <c r="R436">
        <f t="shared" ca="1" si="73"/>
        <v>3.6611250000000002</v>
      </c>
      <c r="S436">
        <f t="shared" ca="1" si="74"/>
        <v>63.933500000000009</v>
      </c>
      <c r="T436" s="3">
        <f t="shared" ca="1" si="77"/>
        <v>8.4148264984227703E-3</v>
      </c>
    </row>
    <row r="437" spans="8:20" x14ac:dyDescent="0.25">
      <c r="H437">
        <v>63.5</v>
      </c>
      <c r="I437" s="11">
        <v>3.6245833333333328</v>
      </c>
      <c r="J437" s="10">
        <f t="shared" si="67"/>
        <v>2.5000000000000001E-5</v>
      </c>
      <c r="K437" s="17">
        <f t="shared" si="68"/>
        <v>2.1800000000000001E-4</v>
      </c>
      <c r="L437" s="10">
        <f t="shared" si="69"/>
        <v>1.1768000000000001E-2</v>
      </c>
      <c r="M437" s="11">
        <f t="shared" si="75"/>
        <v>3.6677200630351301</v>
      </c>
      <c r="N437" s="5">
        <f t="shared" si="70"/>
        <v>1.1901155452846703E-2</v>
      </c>
      <c r="O437">
        <f t="shared" si="71"/>
        <v>19567.639200000001</v>
      </c>
      <c r="P437">
        <f t="shared" ca="1" si="72"/>
        <v>19570</v>
      </c>
      <c r="Q437" t="str">
        <f t="shared" ca="1" si="76"/>
        <v>0100110001110010</v>
      </c>
      <c r="R437">
        <f t="shared" ca="1" si="73"/>
        <v>3.6693750000000001</v>
      </c>
      <c r="S437">
        <f t="shared" ca="1" si="74"/>
        <v>64.032499999999999</v>
      </c>
      <c r="T437" s="3">
        <f t="shared" ca="1" si="77"/>
        <v>8.3858267716535248E-3</v>
      </c>
    </row>
    <row r="438" spans="8:20" x14ac:dyDescent="0.25">
      <c r="H438">
        <v>63.6</v>
      </c>
      <c r="I438" s="11">
        <v>3.6339999999999995</v>
      </c>
      <c r="J438" s="10">
        <f t="shared" si="67"/>
        <v>2.5999999999999998E-5</v>
      </c>
      <c r="K438" s="17">
        <f t="shared" si="68"/>
        <v>2.1800000000000001E-4</v>
      </c>
      <c r="L438" s="10">
        <f t="shared" si="69"/>
        <v>1.1797999999999999E-2</v>
      </c>
      <c r="M438" s="11">
        <f t="shared" si="75"/>
        <v>3.6773594872303428</v>
      </c>
      <c r="N438" s="5">
        <f t="shared" si="70"/>
        <v>1.1931614537793983E-2</v>
      </c>
      <c r="O438">
        <f t="shared" si="71"/>
        <v>19619.0664</v>
      </c>
      <c r="P438">
        <f t="shared" ca="1" si="72"/>
        <v>19621</v>
      </c>
      <c r="Q438" t="str">
        <f t="shared" ca="1" si="76"/>
        <v>0100110010100101</v>
      </c>
      <c r="R438">
        <f t="shared" ca="1" si="73"/>
        <v>3.6789375</v>
      </c>
      <c r="S438">
        <f t="shared" ca="1" si="74"/>
        <v>64.147250000000014</v>
      </c>
      <c r="T438" s="3">
        <f t="shared" ca="1" si="77"/>
        <v>8.6045597484278678E-3</v>
      </c>
    </row>
    <row r="439" spans="8:20" x14ac:dyDescent="0.25">
      <c r="H439">
        <v>63.7</v>
      </c>
      <c r="I439" s="11">
        <v>3.6413333333333329</v>
      </c>
      <c r="J439" s="10">
        <f t="shared" si="67"/>
        <v>2.5999999999999998E-5</v>
      </c>
      <c r="K439" s="17">
        <f t="shared" si="68"/>
        <v>2.1900000000000001E-4</v>
      </c>
      <c r="L439" s="10">
        <f t="shared" si="69"/>
        <v>1.1828999999999999E-2</v>
      </c>
      <c r="M439" s="11">
        <f t="shared" si="75"/>
        <v>3.6848959677356778</v>
      </c>
      <c r="N439" s="5">
        <f t="shared" si="70"/>
        <v>1.1963374515473723E-2</v>
      </c>
      <c r="O439">
        <f t="shared" si="71"/>
        <v>19659.274300000001</v>
      </c>
      <c r="P439">
        <f t="shared" ca="1" si="72"/>
        <v>19660</v>
      </c>
      <c r="Q439" t="str">
        <f t="shared" ca="1" si="76"/>
        <v>0100110011001100</v>
      </c>
      <c r="R439">
        <f t="shared" ca="1" si="73"/>
        <v>3.6862500000000002</v>
      </c>
      <c r="S439">
        <f t="shared" ca="1" si="74"/>
        <v>64.235000000000014</v>
      </c>
      <c r="T439" s="3">
        <f t="shared" ca="1" si="77"/>
        <v>8.3987441130299965E-3</v>
      </c>
    </row>
    <row r="440" spans="8:20" x14ac:dyDescent="0.25">
      <c r="H440">
        <v>63.800000000000004</v>
      </c>
      <c r="I440" s="11">
        <v>3.6499166666666669</v>
      </c>
      <c r="J440" s="10">
        <f t="shared" si="67"/>
        <v>2.6999999999999999E-5</v>
      </c>
      <c r="K440" s="17">
        <f t="shared" si="68"/>
        <v>2.1900000000000001E-4</v>
      </c>
      <c r="L440" s="10">
        <f t="shared" si="69"/>
        <v>1.1859E-2</v>
      </c>
      <c r="M440" s="11">
        <f t="shared" si="75"/>
        <v>3.693693174017338</v>
      </c>
      <c r="N440" s="5">
        <f t="shared" si="70"/>
        <v>1.1993837489624256E-2</v>
      </c>
      <c r="O440">
        <f t="shared" si="71"/>
        <v>19706.208200000001</v>
      </c>
      <c r="P440">
        <f t="shared" ca="1" si="72"/>
        <v>19707</v>
      </c>
      <c r="Q440" t="str">
        <f t="shared" ca="1" si="76"/>
        <v>0100110011111011</v>
      </c>
      <c r="R440">
        <f t="shared" ca="1" si="73"/>
        <v>3.6950625000000001</v>
      </c>
      <c r="S440">
        <f t="shared" ca="1" si="74"/>
        <v>64.34075</v>
      </c>
      <c r="T440" s="3">
        <f t="shared" ca="1" si="77"/>
        <v>8.4757053291535361E-3</v>
      </c>
    </row>
    <row r="441" spans="8:20" x14ac:dyDescent="0.25">
      <c r="H441">
        <v>63.900000000000006</v>
      </c>
      <c r="I441" s="11">
        <v>3.6577500000000001</v>
      </c>
      <c r="J441" s="10">
        <f t="shared" si="67"/>
        <v>2.6999999999999999E-5</v>
      </c>
      <c r="K441" s="17">
        <f t="shared" si="68"/>
        <v>2.2000000000000001E-4</v>
      </c>
      <c r="L441" s="10">
        <f t="shared" si="69"/>
        <v>1.189E-2</v>
      </c>
      <c r="M441" s="11">
        <f t="shared" si="75"/>
        <v>3.7017366487536809</v>
      </c>
      <c r="N441" s="5">
        <f t="shared" si="70"/>
        <v>1.2025602830614683E-2</v>
      </c>
      <c r="O441">
        <f t="shared" si="71"/>
        <v>19749.120900000002</v>
      </c>
      <c r="P441">
        <f t="shared" ca="1" si="72"/>
        <v>19748</v>
      </c>
      <c r="Q441" t="str">
        <f t="shared" ca="1" si="76"/>
        <v>0100110100100100</v>
      </c>
      <c r="R441">
        <f t="shared" ca="1" si="73"/>
        <v>3.70275</v>
      </c>
      <c r="S441">
        <f t="shared" ca="1" si="74"/>
        <v>64.433000000000007</v>
      </c>
      <c r="T441" s="3">
        <f t="shared" ca="1" si="77"/>
        <v>8.3411580594679371E-3</v>
      </c>
    </row>
    <row r="442" spans="8:20" x14ac:dyDescent="0.25">
      <c r="H442">
        <v>64</v>
      </c>
      <c r="I442" s="11">
        <v>3.6667499999999995</v>
      </c>
      <c r="J442" s="10">
        <f t="shared" si="67"/>
        <v>2.8E-5</v>
      </c>
      <c r="K442" s="17">
        <f t="shared" si="68"/>
        <v>2.2000000000000001E-4</v>
      </c>
      <c r="L442" s="10">
        <f t="shared" si="69"/>
        <v>1.192E-2</v>
      </c>
      <c r="M442" s="11">
        <f t="shared" si="75"/>
        <v>3.710956602704234</v>
      </c>
      <c r="N442" s="5">
        <f t="shared" si="70"/>
        <v>1.2056072190423262E-2</v>
      </c>
      <c r="O442">
        <f t="shared" si="71"/>
        <v>19798.310300000001</v>
      </c>
      <c r="P442">
        <f t="shared" ca="1" si="72"/>
        <v>19800</v>
      </c>
      <c r="Q442" t="str">
        <f t="shared" ca="1" si="76"/>
        <v>0100110101011000</v>
      </c>
      <c r="R442">
        <f t="shared" ca="1" si="73"/>
        <v>3.7124999999999999</v>
      </c>
      <c r="S442">
        <f t="shared" ca="1" si="74"/>
        <v>64.55</v>
      </c>
      <c r="T442" s="3">
        <f t="shared" ca="1" si="77"/>
        <v>8.5937499999999556E-3</v>
      </c>
    </row>
    <row r="443" spans="8:20" x14ac:dyDescent="0.25">
      <c r="H443">
        <v>64.099999999999994</v>
      </c>
      <c r="I443" s="11">
        <v>3.6749166666666655</v>
      </c>
      <c r="J443" s="10">
        <f t="shared" si="67"/>
        <v>2.9E-5</v>
      </c>
      <c r="K443" s="17">
        <f t="shared" si="68"/>
        <v>2.2100000000000001E-4</v>
      </c>
      <c r="L443" s="10">
        <f t="shared" si="69"/>
        <v>1.1951E-2</v>
      </c>
      <c r="M443" s="11">
        <f t="shared" si="75"/>
        <v>3.7193374687557657</v>
      </c>
      <c r="N443" s="5">
        <f t="shared" si="70"/>
        <v>1.208756717996331E-2</v>
      </c>
      <c r="O443">
        <f t="shared" si="71"/>
        <v>19843.023000000001</v>
      </c>
      <c r="P443">
        <f t="shared" ca="1" si="72"/>
        <v>19846</v>
      </c>
      <c r="Q443" t="str">
        <f t="shared" ca="1" si="76"/>
        <v>0100110110000110</v>
      </c>
      <c r="R443">
        <f t="shared" ca="1" si="73"/>
        <v>3.7211250000000002</v>
      </c>
      <c r="S443">
        <f t="shared" ca="1" si="74"/>
        <v>64.653500000000008</v>
      </c>
      <c r="T443" s="3">
        <f t="shared" ca="1" si="77"/>
        <v>8.6349453978161305E-3</v>
      </c>
    </row>
    <row r="444" spans="8:20" x14ac:dyDescent="0.25">
      <c r="H444">
        <v>64.2</v>
      </c>
      <c r="I444" s="11">
        <v>3.6839999999999993</v>
      </c>
      <c r="J444" s="10">
        <f t="shared" si="67"/>
        <v>2.9E-5</v>
      </c>
      <c r="K444" s="17">
        <f t="shared" si="68"/>
        <v>2.2100000000000001E-4</v>
      </c>
      <c r="L444" s="10">
        <f t="shared" si="69"/>
        <v>1.1981E-2</v>
      </c>
      <c r="M444" s="11">
        <f t="shared" si="75"/>
        <v>3.7286438823544885</v>
      </c>
      <c r="N444" s="5">
        <f t="shared" si="70"/>
        <v>1.2118317685800555E-2</v>
      </c>
      <c r="O444">
        <f t="shared" si="71"/>
        <v>19892.673599999998</v>
      </c>
      <c r="P444">
        <f t="shared" ca="1" si="72"/>
        <v>19893</v>
      </c>
      <c r="Q444" t="str">
        <f t="shared" ca="1" si="76"/>
        <v>0100110110110101</v>
      </c>
      <c r="R444">
        <f t="shared" ca="1" si="73"/>
        <v>3.7299375000000001</v>
      </c>
      <c r="S444">
        <f t="shared" ca="1" si="74"/>
        <v>64.759250000000009</v>
      </c>
      <c r="T444" s="3">
        <f t="shared" ca="1" si="77"/>
        <v>8.7110591900312426E-3</v>
      </c>
    </row>
    <row r="445" spans="8:20" x14ac:dyDescent="0.25">
      <c r="H445">
        <v>64.300000000000011</v>
      </c>
      <c r="I445" s="11">
        <v>3.6913333333333336</v>
      </c>
      <c r="J445" s="10">
        <f t="shared" si="67"/>
        <v>3.0000000000000001E-5</v>
      </c>
      <c r="K445" s="17">
        <f t="shared" si="68"/>
        <v>2.22E-4</v>
      </c>
      <c r="L445" s="10">
        <f t="shared" si="69"/>
        <v>1.2012E-2</v>
      </c>
      <c r="M445" s="11">
        <f t="shared" si="75"/>
        <v>3.736182355791096</v>
      </c>
      <c r="N445" s="5">
        <f t="shared" si="70"/>
        <v>1.2149816450540668E-2</v>
      </c>
      <c r="O445">
        <f t="shared" si="71"/>
        <v>19932.892100000001</v>
      </c>
      <c r="P445">
        <f t="shared" ca="1" si="72"/>
        <v>19935</v>
      </c>
      <c r="Q445" t="str">
        <f t="shared" ca="1" si="76"/>
        <v>0100110111011111</v>
      </c>
      <c r="R445">
        <f t="shared" ca="1" si="73"/>
        <v>3.7378125</v>
      </c>
      <c r="S445">
        <f t="shared" ca="1" si="74"/>
        <v>64.853750000000005</v>
      </c>
      <c r="T445" s="3">
        <f t="shared" ca="1" si="77"/>
        <v>8.6119751166406477E-3</v>
      </c>
    </row>
    <row r="446" spans="8:20" x14ac:dyDescent="0.25">
      <c r="H446">
        <v>64.400000000000006</v>
      </c>
      <c r="I446" s="11">
        <v>3.6994166666666661</v>
      </c>
      <c r="J446" s="10">
        <f t="shared" si="67"/>
        <v>3.0000000000000001E-5</v>
      </c>
      <c r="K446" s="17">
        <f t="shared" si="68"/>
        <v>2.22E-4</v>
      </c>
      <c r="L446" s="10">
        <f t="shared" si="69"/>
        <v>1.2042000000000001E-2</v>
      </c>
      <c r="M446" s="11">
        <f t="shared" si="75"/>
        <v>3.7444776667294217</v>
      </c>
      <c r="N446" s="5">
        <f t="shared" si="70"/>
        <v>1.2180569025591134E-2</v>
      </c>
      <c r="O446">
        <f t="shared" si="71"/>
        <v>19977.148399999998</v>
      </c>
      <c r="P446">
        <f t="shared" ca="1" si="72"/>
        <v>19975</v>
      </c>
      <c r="Q446" t="str">
        <f t="shared" ca="1" si="76"/>
        <v>0100111000000111</v>
      </c>
      <c r="R446">
        <f t="shared" ca="1" si="73"/>
        <v>3.7453125000000003</v>
      </c>
      <c r="S446">
        <f t="shared" ca="1" si="74"/>
        <v>64.943750000000009</v>
      </c>
      <c r="T446" s="3">
        <f t="shared" ca="1" si="77"/>
        <v>8.4433229813665033E-3</v>
      </c>
    </row>
    <row r="447" spans="8:20" x14ac:dyDescent="0.25">
      <c r="H447">
        <v>64.5</v>
      </c>
      <c r="I447" s="11">
        <v>3.7091666666666665</v>
      </c>
      <c r="J447" s="10">
        <f t="shared" si="67"/>
        <v>3.1000000000000001E-5</v>
      </c>
      <c r="K447" s="17">
        <f t="shared" si="68"/>
        <v>2.23E-4</v>
      </c>
      <c r="L447" s="10">
        <f t="shared" si="69"/>
        <v>1.2073E-2</v>
      </c>
      <c r="M447" s="11">
        <f t="shared" si="75"/>
        <v>3.754463302113078</v>
      </c>
      <c r="N447" s="5">
        <f t="shared" si="70"/>
        <v>1.2212078754368411E-2</v>
      </c>
      <c r="O447">
        <f t="shared" si="71"/>
        <v>20030.422699999999</v>
      </c>
      <c r="P447">
        <f t="shared" ca="1" si="72"/>
        <v>20033</v>
      </c>
      <c r="Q447" t="str">
        <f t="shared" ca="1" si="76"/>
        <v>0100111001000001</v>
      </c>
      <c r="R447">
        <f t="shared" ca="1" si="73"/>
        <v>3.7561875000000002</v>
      </c>
      <c r="S447">
        <f t="shared" ca="1" si="74"/>
        <v>65.074250000000006</v>
      </c>
      <c r="T447" s="3">
        <f t="shared" ca="1" si="77"/>
        <v>8.9031007751938975E-3</v>
      </c>
    </row>
    <row r="448" spans="8:20" x14ac:dyDescent="0.25">
      <c r="H448">
        <v>64.599999999999994</v>
      </c>
      <c r="I448" s="11">
        <v>3.7161666666666653</v>
      </c>
      <c r="J448" s="10">
        <f t="shared" si="67"/>
        <v>3.1000000000000001E-5</v>
      </c>
      <c r="K448" s="17">
        <f t="shared" si="68"/>
        <v>2.23E-4</v>
      </c>
      <c r="L448" s="10">
        <f t="shared" si="69"/>
        <v>1.2102999999999999E-2</v>
      </c>
      <c r="M448" s="11">
        <f t="shared" si="75"/>
        <v>3.7616630748617168</v>
      </c>
      <c r="N448" s="5">
        <f t="shared" si="70"/>
        <v>1.2242833079351895E-2</v>
      </c>
      <c r="O448">
        <f t="shared" si="71"/>
        <v>20068.834200000001</v>
      </c>
      <c r="P448">
        <f t="shared" ca="1" si="72"/>
        <v>20072</v>
      </c>
      <c r="Q448" t="str">
        <f t="shared" ca="1" si="76"/>
        <v>0100111001101000</v>
      </c>
      <c r="R448">
        <f t="shared" ca="1" si="73"/>
        <v>3.7635000000000001</v>
      </c>
      <c r="S448">
        <f t="shared" ca="1" si="74"/>
        <v>65.162000000000006</v>
      </c>
      <c r="T448" s="3">
        <f t="shared" ca="1" si="77"/>
        <v>8.6996904024769645E-3</v>
      </c>
    </row>
    <row r="449" spans="8:20" x14ac:dyDescent="0.25">
      <c r="H449">
        <v>64.7</v>
      </c>
      <c r="I449" s="11">
        <v>3.7243333333333331</v>
      </c>
      <c r="J449" s="10">
        <f t="shared" si="67"/>
        <v>3.1999999999999999E-5</v>
      </c>
      <c r="K449" s="17">
        <f t="shared" si="68"/>
        <v>2.24E-4</v>
      </c>
      <c r="L449" s="10">
        <f t="shared" si="69"/>
        <v>1.2134000000000001E-2</v>
      </c>
      <c r="M449" s="11">
        <f t="shared" si="75"/>
        <v>3.7700470846585801</v>
      </c>
      <c r="N449" s="5">
        <f t="shared" si="70"/>
        <v>1.2274344757517324E-2</v>
      </c>
      <c r="O449">
        <f t="shared" si="71"/>
        <v>20113.563699999999</v>
      </c>
      <c r="P449">
        <f t="shared" ca="1" si="72"/>
        <v>20113</v>
      </c>
      <c r="Q449" t="str">
        <f t="shared" ca="1" si="76"/>
        <v>0100111010010001</v>
      </c>
      <c r="R449">
        <f t="shared" ca="1" si="73"/>
        <v>3.7711874999999999</v>
      </c>
      <c r="S449">
        <f t="shared" ca="1" si="74"/>
        <v>65.254250000000013</v>
      </c>
      <c r="T449" s="3">
        <f t="shared" ca="1" si="77"/>
        <v>8.5664605873262793E-3</v>
      </c>
    </row>
    <row r="450" spans="8:20" x14ac:dyDescent="0.25">
      <c r="H450">
        <v>64.800000000000011</v>
      </c>
      <c r="I450" s="11">
        <v>3.7335000000000003</v>
      </c>
      <c r="J450" s="10">
        <f t="shared" si="67"/>
        <v>3.3000000000000003E-5</v>
      </c>
      <c r="K450" s="17">
        <f t="shared" si="68"/>
        <v>2.24E-4</v>
      </c>
      <c r="L450" s="10">
        <f t="shared" si="69"/>
        <v>1.2163999999999999E-2</v>
      </c>
      <c r="M450" s="11">
        <f t="shared" si="75"/>
        <v>3.7794401094918588</v>
      </c>
      <c r="N450" s="5">
        <f t="shared" si="70"/>
        <v>1.2304837147946581E-2</v>
      </c>
      <c r="O450">
        <f t="shared" si="71"/>
        <v>20163.6764</v>
      </c>
      <c r="P450">
        <f t="shared" ca="1" si="72"/>
        <v>20163</v>
      </c>
      <c r="Q450" t="str">
        <f t="shared" ca="1" si="76"/>
        <v>0100111011000011</v>
      </c>
      <c r="R450">
        <f t="shared" ca="1" si="73"/>
        <v>3.7805625000000003</v>
      </c>
      <c r="S450">
        <f t="shared" ca="1" si="74"/>
        <v>65.36675000000001</v>
      </c>
      <c r="T450" s="3">
        <f t="shared" ca="1" si="77"/>
        <v>8.7461419753086245E-3</v>
      </c>
    </row>
    <row r="451" spans="8:20" x14ac:dyDescent="0.25">
      <c r="H451">
        <v>64.900000000000006</v>
      </c>
      <c r="I451" s="11">
        <v>3.742</v>
      </c>
      <c r="J451" s="10">
        <f t="shared" ref="J451:J514" si="78">ROUND(H451*0.00000575 -0.00034,6)</f>
        <v>3.3000000000000003E-5</v>
      </c>
      <c r="K451" s="17">
        <f t="shared" ref="K451:K514" si="79">ROUND(H451*0.000005-0.0001,6)</f>
        <v>2.2499999999999999E-4</v>
      </c>
      <c r="L451" s="10">
        <f t="shared" ref="L451:L514" si="80">ROUND(K451+($C$24*(H451-25)),6)</f>
        <v>1.2194999999999999E-2</v>
      </c>
      <c r="M451" s="11">
        <f t="shared" si="75"/>
        <v>3.7881636557822644</v>
      </c>
      <c r="N451" s="5">
        <f t="shared" ref="N451:N514" si="81">ABS(I451-M451)/I451</f>
        <v>1.2336626344806105E-2</v>
      </c>
      <c r="O451">
        <f t="shared" ref="O451:O514" si="82">ROUND((M451*(2^($C$12-1)))/$C$44,4)</f>
        <v>20210.2173</v>
      </c>
      <c r="P451">
        <f t="shared" ref="P451:P514" ca="1" si="83">ROUND(O451+$C$47+$C$49+RANDBETWEEN($B$45,$D$45),0)</f>
        <v>20209</v>
      </c>
      <c r="Q451" t="str">
        <f t="shared" ca="1" si="76"/>
        <v>0100111011110001</v>
      </c>
      <c r="R451">
        <f t="shared" ref="R451:R514" ca="1" si="84">($C$16/2^($C$12-1)) * P451</f>
        <v>3.7891875000000002</v>
      </c>
      <c r="S451">
        <f t="shared" ref="S451:S514" ca="1" si="85">(R451+5/3)/(1/12)</f>
        <v>65.470250000000007</v>
      </c>
      <c r="T451" s="3">
        <f t="shared" ca="1" si="77"/>
        <v>8.786594761171055E-3</v>
      </c>
    </row>
    <row r="452" spans="8:20" x14ac:dyDescent="0.25">
      <c r="H452">
        <v>65</v>
      </c>
      <c r="I452" s="11">
        <v>3.7508333333333335</v>
      </c>
      <c r="J452" s="10">
        <f t="shared" si="78"/>
        <v>3.4E-5</v>
      </c>
      <c r="K452" s="17">
        <f t="shared" si="79"/>
        <v>2.2499999999999999E-4</v>
      </c>
      <c r="L452" s="10">
        <f t="shared" si="80"/>
        <v>1.2225E-2</v>
      </c>
      <c r="M452" s="11">
        <f t="shared" ref="M452:M515" si="86">(I452-J452)/(1-L452)</f>
        <v>3.7972203521382237</v>
      </c>
      <c r="N452" s="5">
        <f t="shared" si="81"/>
        <v>1.2367123431652593E-2</v>
      </c>
      <c r="O452">
        <f t="shared" si="82"/>
        <v>20258.5357</v>
      </c>
      <c r="P452">
        <f t="shared" ca="1" si="83"/>
        <v>20257</v>
      </c>
      <c r="Q452" t="str">
        <f t="shared" ref="Q452:Q515" ca="1" si="87">_xlfn.BASE(P452,2,16)</f>
        <v>0100111100100001</v>
      </c>
      <c r="R452">
        <f t="shared" ca="1" si="84"/>
        <v>3.7981875</v>
      </c>
      <c r="S452">
        <f t="shared" ca="1" si="85"/>
        <v>65.578250000000011</v>
      </c>
      <c r="T452" s="3">
        <f t="shared" ref="T452:T515" ca="1" si="88">ABS(H452-S452)/H452</f>
        <v>8.8961538461540188E-3</v>
      </c>
    </row>
    <row r="453" spans="8:20" x14ac:dyDescent="0.25">
      <c r="H453">
        <v>65.099999999999994</v>
      </c>
      <c r="I453" s="11">
        <v>3.7591666666666663</v>
      </c>
      <c r="J453" s="10">
        <f t="shared" si="78"/>
        <v>3.4E-5</v>
      </c>
      <c r="K453" s="17">
        <f t="shared" si="79"/>
        <v>2.2599999999999999E-4</v>
      </c>
      <c r="L453" s="10">
        <f t="shared" si="80"/>
        <v>1.2256E-2</v>
      </c>
      <c r="M453" s="11">
        <f t="shared" si="86"/>
        <v>3.805776260515545</v>
      </c>
      <c r="N453" s="5">
        <f t="shared" si="81"/>
        <v>1.2398916563656479E-2</v>
      </c>
      <c r="O453">
        <f t="shared" si="82"/>
        <v>20304.1823</v>
      </c>
      <c r="P453">
        <f t="shared" ca="1" si="83"/>
        <v>20307</v>
      </c>
      <c r="Q453" t="str">
        <f t="shared" ca="1" si="87"/>
        <v>0100111101010011</v>
      </c>
      <c r="R453">
        <f t="shared" ca="1" si="84"/>
        <v>3.8075625</v>
      </c>
      <c r="S453">
        <f t="shared" ca="1" si="85"/>
        <v>65.690750000000008</v>
      </c>
      <c r="T453" s="3">
        <f t="shared" ca="1" si="88"/>
        <v>9.0745007680493733E-3</v>
      </c>
    </row>
    <row r="454" spans="8:20" x14ac:dyDescent="0.25">
      <c r="H454">
        <v>65.2</v>
      </c>
      <c r="I454" s="11">
        <v>3.7668333333333326</v>
      </c>
      <c r="J454" s="10">
        <f t="shared" si="78"/>
        <v>3.4999999999999997E-5</v>
      </c>
      <c r="K454" s="17">
        <f t="shared" si="79"/>
        <v>2.2599999999999999E-4</v>
      </c>
      <c r="L454" s="10">
        <f t="shared" si="80"/>
        <v>1.2286E-2</v>
      </c>
      <c r="M454" s="11">
        <f t="shared" si="86"/>
        <v>3.8136528725251768</v>
      </c>
      <c r="N454" s="5">
        <f t="shared" si="81"/>
        <v>1.2429416182959402E-2</v>
      </c>
      <c r="O454">
        <f t="shared" si="82"/>
        <v>20346.204699999998</v>
      </c>
      <c r="P454">
        <f t="shared" ca="1" si="83"/>
        <v>20346</v>
      </c>
      <c r="Q454" t="str">
        <f t="shared" ca="1" si="87"/>
        <v>0100111101111010</v>
      </c>
      <c r="R454">
        <f t="shared" ca="1" si="84"/>
        <v>3.8148750000000002</v>
      </c>
      <c r="S454">
        <f t="shared" ca="1" si="85"/>
        <v>65.778500000000008</v>
      </c>
      <c r="T454" s="3">
        <f t="shared" ca="1" si="88"/>
        <v>8.8726993865031484E-3</v>
      </c>
    </row>
    <row r="455" spans="8:20" x14ac:dyDescent="0.25">
      <c r="H455">
        <v>65.300000000000011</v>
      </c>
      <c r="I455" s="11">
        <v>3.7748333333333344</v>
      </c>
      <c r="J455" s="10">
        <f t="shared" si="78"/>
        <v>3.4999999999999997E-5</v>
      </c>
      <c r="K455" s="17">
        <f t="shared" si="79"/>
        <v>2.2699999999999999E-4</v>
      </c>
      <c r="L455" s="10">
        <f t="shared" si="80"/>
        <v>1.2317E-2</v>
      </c>
      <c r="M455" s="11">
        <f t="shared" si="86"/>
        <v>3.8218723348820771</v>
      </c>
      <c r="N455" s="5">
        <f t="shared" si="81"/>
        <v>1.2461212825840274E-2</v>
      </c>
      <c r="O455">
        <f t="shared" si="82"/>
        <v>20390.056400000001</v>
      </c>
      <c r="P455">
        <f t="shared" ca="1" si="83"/>
        <v>20393</v>
      </c>
      <c r="Q455" t="str">
        <f t="shared" ca="1" si="87"/>
        <v>0100111110101001</v>
      </c>
      <c r="R455">
        <f t="shared" ca="1" si="84"/>
        <v>3.8236875000000001</v>
      </c>
      <c r="S455">
        <f t="shared" ca="1" si="85"/>
        <v>65.884250000000009</v>
      </c>
      <c r="T455" s="3">
        <f t="shared" ca="1" si="88"/>
        <v>8.9471669218988848E-3</v>
      </c>
    </row>
    <row r="456" spans="8:20" x14ac:dyDescent="0.25">
      <c r="H456">
        <v>65.400000000000006</v>
      </c>
      <c r="I456" s="11">
        <v>3.7834166666666667</v>
      </c>
      <c r="J456" s="10">
        <f t="shared" si="78"/>
        <v>3.6000000000000001E-5</v>
      </c>
      <c r="K456" s="17">
        <f t="shared" si="79"/>
        <v>2.2699999999999999E-4</v>
      </c>
      <c r="L456" s="10">
        <f t="shared" si="80"/>
        <v>1.2347E-2</v>
      </c>
      <c r="M456" s="11">
        <f t="shared" si="86"/>
        <v>3.8306780485318899</v>
      </c>
      <c r="N456" s="5">
        <f t="shared" si="81"/>
        <v>1.2491720058648017E-2</v>
      </c>
      <c r="O456">
        <f t="shared" si="82"/>
        <v>20437.0357</v>
      </c>
      <c r="P456">
        <f t="shared" ca="1" si="83"/>
        <v>20435</v>
      </c>
      <c r="Q456" t="str">
        <f t="shared" ca="1" si="87"/>
        <v>0100111111010011</v>
      </c>
      <c r="R456">
        <f t="shared" ca="1" si="84"/>
        <v>3.8315625</v>
      </c>
      <c r="S456">
        <f t="shared" ca="1" si="85"/>
        <v>65.978750000000005</v>
      </c>
      <c r="T456" s="3">
        <f t="shared" ca="1" si="88"/>
        <v>8.8493883792048842E-3</v>
      </c>
    </row>
    <row r="457" spans="8:20" x14ac:dyDescent="0.25">
      <c r="H457">
        <v>65.5</v>
      </c>
      <c r="I457" s="11">
        <v>3.7916666666666661</v>
      </c>
      <c r="J457" s="10">
        <f t="shared" si="78"/>
        <v>3.6999999999999998E-5</v>
      </c>
      <c r="K457" s="17">
        <f t="shared" si="79"/>
        <v>2.2800000000000001E-4</v>
      </c>
      <c r="L457" s="10">
        <f t="shared" si="80"/>
        <v>1.2378E-2</v>
      </c>
      <c r="M457" s="11">
        <f t="shared" si="86"/>
        <v>3.8391506737057965</v>
      </c>
      <c r="N457" s="5">
        <f t="shared" si="81"/>
        <v>1.2523254603726719E-2</v>
      </c>
      <c r="O457">
        <f t="shared" si="82"/>
        <v>20482.238000000001</v>
      </c>
      <c r="P457">
        <f t="shared" ca="1" si="83"/>
        <v>20485</v>
      </c>
      <c r="Q457" t="str">
        <f t="shared" ca="1" si="87"/>
        <v>0101000000000101</v>
      </c>
      <c r="R457">
        <f t="shared" ca="1" si="84"/>
        <v>3.8409374999999999</v>
      </c>
      <c r="S457">
        <f t="shared" ca="1" si="85"/>
        <v>66.091250000000002</v>
      </c>
      <c r="T457" s="3">
        <f t="shared" ca="1" si="88"/>
        <v>9.0267175572519426E-3</v>
      </c>
    </row>
    <row r="458" spans="8:20" x14ac:dyDescent="0.25">
      <c r="H458">
        <v>65.599999999999994</v>
      </c>
      <c r="I458" s="11">
        <v>3.7997499999999986</v>
      </c>
      <c r="J458" s="10">
        <f t="shared" si="78"/>
        <v>3.6999999999999998E-5</v>
      </c>
      <c r="K458" s="17">
        <f t="shared" si="79"/>
        <v>2.2800000000000001E-4</v>
      </c>
      <c r="L458" s="10">
        <f t="shared" si="80"/>
        <v>1.2408000000000001E-2</v>
      </c>
      <c r="M458" s="11">
        <f t="shared" si="86"/>
        <v>3.8474521867329816</v>
      </c>
      <c r="N458" s="5">
        <f t="shared" si="81"/>
        <v>1.2554032958216462E-2</v>
      </c>
      <c r="O458">
        <f t="shared" si="82"/>
        <v>20526.527300000002</v>
      </c>
      <c r="P458">
        <f t="shared" ca="1" si="83"/>
        <v>20526</v>
      </c>
      <c r="Q458" t="str">
        <f t="shared" ca="1" si="87"/>
        <v>0101000000101110</v>
      </c>
      <c r="R458">
        <f t="shared" ca="1" si="84"/>
        <v>3.8486250000000002</v>
      </c>
      <c r="S458">
        <f t="shared" ca="1" si="85"/>
        <v>66.183500000000009</v>
      </c>
      <c r="T458" s="3">
        <f t="shared" ca="1" si="88"/>
        <v>8.8948170731709617E-3</v>
      </c>
    </row>
    <row r="459" spans="8:20" x14ac:dyDescent="0.25">
      <c r="H459">
        <v>65.7</v>
      </c>
      <c r="I459" s="11">
        <v>3.807833333333333</v>
      </c>
      <c r="J459" s="10">
        <f t="shared" si="78"/>
        <v>3.8000000000000002E-5</v>
      </c>
      <c r="K459" s="17">
        <f t="shared" si="79"/>
        <v>2.2900000000000001E-4</v>
      </c>
      <c r="L459" s="10">
        <f t="shared" si="80"/>
        <v>1.2439E-2</v>
      </c>
      <c r="M459" s="11">
        <f t="shared" si="86"/>
        <v>3.8557570958485936</v>
      </c>
      <c r="N459" s="5">
        <f t="shared" si="81"/>
        <v>1.2585572508056371E-2</v>
      </c>
      <c r="O459">
        <f t="shared" si="82"/>
        <v>20570.834800000001</v>
      </c>
      <c r="P459">
        <f t="shared" ca="1" si="83"/>
        <v>20573</v>
      </c>
      <c r="Q459" t="str">
        <f t="shared" ca="1" si="87"/>
        <v>0101000001011101</v>
      </c>
      <c r="R459">
        <f t="shared" ca="1" si="84"/>
        <v>3.8574375000000001</v>
      </c>
      <c r="S459">
        <f t="shared" ca="1" si="85"/>
        <v>66.28925000000001</v>
      </c>
      <c r="T459" s="3">
        <f t="shared" ca="1" si="88"/>
        <v>8.9687975646880816E-3</v>
      </c>
    </row>
    <row r="460" spans="8:20" x14ac:dyDescent="0.25">
      <c r="H460">
        <v>65.800000000000011</v>
      </c>
      <c r="I460" s="11">
        <v>3.8174166666666673</v>
      </c>
      <c r="J460" s="10">
        <f t="shared" si="78"/>
        <v>3.8000000000000002E-5</v>
      </c>
      <c r="K460" s="17">
        <f t="shared" si="79"/>
        <v>2.2900000000000001E-4</v>
      </c>
      <c r="L460" s="10">
        <f t="shared" si="80"/>
        <v>1.2468999999999999E-2</v>
      </c>
      <c r="M460" s="11">
        <f t="shared" si="86"/>
        <v>3.865578565803673</v>
      </c>
      <c r="N460" s="5">
        <f t="shared" si="81"/>
        <v>1.2616359004651216E-2</v>
      </c>
      <c r="O460">
        <f t="shared" si="82"/>
        <v>20623.2333</v>
      </c>
      <c r="P460">
        <f t="shared" ca="1" si="83"/>
        <v>20622</v>
      </c>
      <c r="Q460" t="str">
        <f t="shared" ca="1" si="87"/>
        <v>0101000010001110</v>
      </c>
      <c r="R460">
        <f t="shared" ca="1" si="84"/>
        <v>3.866625</v>
      </c>
      <c r="S460">
        <f t="shared" ca="1" si="85"/>
        <v>66.399500000000003</v>
      </c>
      <c r="T460" s="3">
        <f t="shared" ca="1" si="88"/>
        <v>9.110942249239997E-3</v>
      </c>
    </row>
    <row r="461" spans="8:20" x14ac:dyDescent="0.25">
      <c r="H461">
        <v>65.900000000000006</v>
      </c>
      <c r="I461" s="11">
        <v>3.8245833333333339</v>
      </c>
      <c r="J461" s="10">
        <f t="shared" si="78"/>
        <v>3.8999999999999999E-5</v>
      </c>
      <c r="K461" s="17">
        <f t="shared" si="79"/>
        <v>2.3000000000000001E-4</v>
      </c>
      <c r="L461" s="10">
        <f t="shared" si="80"/>
        <v>1.2500000000000001E-2</v>
      </c>
      <c r="M461" s="11">
        <f t="shared" si="86"/>
        <v>3.8729562869198313</v>
      </c>
      <c r="N461" s="5">
        <f t="shared" si="81"/>
        <v>1.2647901580520073E-2</v>
      </c>
      <c r="O461">
        <f t="shared" si="82"/>
        <v>20662.5942</v>
      </c>
      <c r="P461">
        <f t="shared" ca="1" si="83"/>
        <v>20663</v>
      </c>
      <c r="Q461" t="str">
        <f t="shared" ca="1" si="87"/>
        <v>0101000010110111</v>
      </c>
      <c r="R461">
        <f t="shared" ca="1" si="84"/>
        <v>3.8743125000000003</v>
      </c>
      <c r="S461">
        <f t="shared" ca="1" si="85"/>
        <v>66.49175000000001</v>
      </c>
      <c r="T461" s="3">
        <f t="shared" ca="1" si="88"/>
        <v>8.9795144157815577E-3</v>
      </c>
    </row>
    <row r="462" spans="8:20" x14ac:dyDescent="0.25">
      <c r="H462">
        <v>66</v>
      </c>
      <c r="I462" s="11">
        <v>3.8338333333333328</v>
      </c>
      <c r="J462" s="10">
        <f t="shared" si="78"/>
        <v>4.0000000000000003E-5</v>
      </c>
      <c r="K462" s="17">
        <f t="shared" si="79"/>
        <v>2.3000000000000001E-4</v>
      </c>
      <c r="L462" s="10">
        <f t="shared" si="80"/>
        <v>1.2529999999999999E-2</v>
      </c>
      <c r="M462" s="11">
        <f t="shared" si="86"/>
        <v>3.8824403104229326</v>
      </c>
      <c r="N462" s="5">
        <f t="shared" si="81"/>
        <v>1.2678427271990566E-2</v>
      </c>
      <c r="O462">
        <f t="shared" si="82"/>
        <v>20713.192299999999</v>
      </c>
      <c r="P462">
        <f t="shared" ca="1" si="83"/>
        <v>20713</v>
      </c>
      <c r="Q462" t="str">
        <f t="shared" ca="1" si="87"/>
        <v>0101000011101001</v>
      </c>
      <c r="R462">
        <f t="shared" ca="1" si="84"/>
        <v>3.8836875000000002</v>
      </c>
      <c r="S462">
        <f t="shared" ca="1" si="85"/>
        <v>66.604250000000008</v>
      </c>
      <c r="T462" s="3">
        <f t="shared" ca="1" si="88"/>
        <v>9.1553030303031437E-3</v>
      </c>
    </row>
    <row r="463" spans="8:20" x14ac:dyDescent="0.25">
      <c r="H463">
        <v>66.099999999999994</v>
      </c>
      <c r="I463" s="11">
        <v>3.8408333333333315</v>
      </c>
      <c r="J463" s="10">
        <f t="shared" si="78"/>
        <v>4.0000000000000003E-5</v>
      </c>
      <c r="K463" s="17">
        <f t="shared" si="79"/>
        <v>2.31E-4</v>
      </c>
      <c r="L463" s="10">
        <f t="shared" si="80"/>
        <v>1.2560999999999999E-2</v>
      </c>
      <c r="M463" s="11">
        <f t="shared" si="86"/>
        <v>3.8896512425915239</v>
      </c>
      <c r="N463" s="5">
        <f t="shared" si="81"/>
        <v>1.2710238904280953E-2</v>
      </c>
      <c r="O463">
        <f t="shared" si="82"/>
        <v>20751.663400000001</v>
      </c>
      <c r="P463">
        <f t="shared" ca="1" si="83"/>
        <v>20750</v>
      </c>
      <c r="Q463" t="str">
        <f t="shared" ca="1" si="87"/>
        <v>0101000100001110</v>
      </c>
      <c r="R463">
        <f t="shared" ca="1" si="84"/>
        <v>3.890625</v>
      </c>
      <c r="S463">
        <f t="shared" ca="1" si="85"/>
        <v>66.687500000000014</v>
      </c>
      <c r="T463" s="3">
        <f t="shared" ca="1" si="88"/>
        <v>8.8880484114980327E-3</v>
      </c>
    </row>
    <row r="464" spans="8:20" x14ac:dyDescent="0.25">
      <c r="H464">
        <v>66.2</v>
      </c>
      <c r="I464" s="11">
        <v>3.8493333333333331</v>
      </c>
      <c r="J464" s="10">
        <f t="shared" si="78"/>
        <v>4.1E-5</v>
      </c>
      <c r="K464" s="17">
        <f t="shared" si="79"/>
        <v>2.31E-4</v>
      </c>
      <c r="L464" s="10">
        <f t="shared" si="80"/>
        <v>1.2591E-2</v>
      </c>
      <c r="M464" s="11">
        <f t="shared" si="86"/>
        <v>3.8983767955663087</v>
      </c>
      <c r="N464" s="5">
        <f t="shared" si="81"/>
        <v>1.2740767812515316E-2</v>
      </c>
      <c r="O464">
        <f t="shared" si="82"/>
        <v>20798.215</v>
      </c>
      <c r="P464">
        <f t="shared" ca="1" si="83"/>
        <v>20798</v>
      </c>
      <c r="Q464" t="str">
        <f t="shared" ca="1" si="87"/>
        <v>0101000100111110</v>
      </c>
      <c r="R464">
        <f t="shared" ca="1" si="84"/>
        <v>3.8996249999999999</v>
      </c>
      <c r="S464">
        <f t="shared" ca="1" si="85"/>
        <v>66.795500000000004</v>
      </c>
      <c r="T464" s="3">
        <f t="shared" ca="1" si="88"/>
        <v>8.9954682779456382E-3</v>
      </c>
    </row>
    <row r="465" spans="8:20" x14ac:dyDescent="0.25">
      <c r="H465">
        <v>66.300000000000011</v>
      </c>
      <c r="I465" s="11">
        <v>3.8584166666666677</v>
      </c>
      <c r="J465" s="10">
        <f t="shared" si="78"/>
        <v>4.1E-5</v>
      </c>
      <c r="K465" s="17">
        <f t="shared" si="79"/>
        <v>2.32E-4</v>
      </c>
      <c r="L465" s="10">
        <f t="shared" si="80"/>
        <v>1.2622E-2</v>
      </c>
      <c r="M465" s="11">
        <f t="shared" si="86"/>
        <v>3.9076986388866959</v>
      </c>
      <c r="N465" s="5">
        <f t="shared" si="81"/>
        <v>1.2772589504337658E-2</v>
      </c>
      <c r="O465">
        <f t="shared" si="82"/>
        <v>20847.948</v>
      </c>
      <c r="P465">
        <f t="shared" ca="1" si="83"/>
        <v>20847</v>
      </c>
      <c r="Q465" t="str">
        <f t="shared" ca="1" si="87"/>
        <v>0101000101101111</v>
      </c>
      <c r="R465">
        <f t="shared" ca="1" si="84"/>
        <v>3.9088125000000002</v>
      </c>
      <c r="S465">
        <f t="shared" ca="1" si="85"/>
        <v>66.905750000000012</v>
      </c>
      <c r="T465" s="3">
        <f t="shared" ca="1" si="88"/>
        <v>9.1365007541478176E-3</v>
      </c>
    </row>
    <row r="466" spans="8:20" x14ac:dyDescent="0.25">
      <c r="H466">
        <v>66.400000000000006</v>
      </c>
      <c r="I466" s="11">
        <v>3.8666666666666663</v>
      </c>
      <c r="J466" s="10">
        <f t="shared" si="78"/>
        <v>4.1999999999999998E-5</v>
      </c>
      <c r="K466" s="17">
        <f t="shared" si="79"/>
        <v>2.32E-4</v>
      </c>
      <c r="L466" s="10">
        <f t="shared" si="80"/>
        <v>1.2652E-2</v>
      </c>
      <c r="M466" s="11">
        <f t="shared" si="86"/>
        <v>3.9161720757692993</v>
      </c>
      <c r="N466" s="5">
        <f t="shared" si="81"/>
        <v>1.2803123043784401E-2</v>
      </c>
      <c r="O466">
        <f t="shared" si="82"/>
        <v>20893.154600000002</v>
      </c>
      <c r="P466">
        <f t="shared" ca="1" si="83"/>
        <v>20892</v>
      </c>
      <c r="Q466" t="str">
        <f t="shared" ca="1" si="87"/>
        <v>0101000110011100</v>
      </c>
      <c r="R466">
        <f t="shared" ca="1" si="84"/>
        <v>3.9172500000000001</v>
      </c>
      <c r="S466">
        <f t="shared" ca="1" si="85"/>
        <v>67.007000000000005</v>
      </c>
      <c r="T466" s="3">
        <f t="shared" ca="1" si="88"/>
        <v>9.1415662650602292E-3</v>
      </c>
    </row>
    <row r="467" spans="8:20" x14ac:dyDescent="0.25">
      <c r="H467">
        <v>66.5</v>
      </c>
      <c r="I467" s="11">
        <v>3.8753333333333329</v>
      </c>
      <c r="J467" s="10">
        <f t="shared" si="78"/>
        <v>4.1999999999999998E-5</v>
      </c>
      <c r="K467" s="17">
        <f t="shared" si="79"/>
        <v>2.33E-4</v>
      </c>
      <c r="L467" s="10">
        <f t="shared" si="80"/>
        <v>1.2683E-2</v>
      </c>
      <c r="M467" s="11">
        <f t="shared" si="86"/>
        <v>3.925073034631565</v>
      </c>
      <c r="N467" s="5">
        <f t="shared" si="81"/>
        <v>1.283494786639398E-2</v>
      </c>
      <c r="O467">
        <f t="shared" si="82"/>
        <v>20940.642</v>
      </c>
      <c r="P467">
        <f t="shared" ca="1" si="83"/>
        <v>20940</v>
      </c>
      <c r="Q467" t="str">
        <f t="shared" ca="1" si="87"/>
        <v>0101000111001100</v>
      </c>
      <c r="R467">
        <f t="shared" ca="1" si="84"/>
        <v>3.92625</v>
      </c>
      <c r="S467">
        <f t="shared" ca="1" si="85"/>
        <v>67.115000000000009</v>
      </c>
      <c r="T467" s="3">
        <f t="shared" ca="1" si="88"/>
        <v>9.2481203007520156E-3</v>
      </c>
    </row>
    <row r="468" spans="8:20" x14ac:dyDescent="0.25">
      <c r="H468">
        <v>66.599999999999994</v>
      </c>
      <c r="I468" s="11">
        <v>3.8835833333333323</v>
      </c>
      <c r="J468" s="10">
        <f t="shared" si="78"/>
        <v>4.3000000000000002E-5</v>
      </c>
      <c r="K468" s="17">
        <f t="shared" si="79"/>
        <v>2.33E-4</v>
      </c>
      <c r="L468" s="10">
        <f t="shared" si="80"/>
        <v>1.2713E-2</v>
      </c>
      <c r="M468" s="11">
        <f t="shared" si="86"/>
        <v>3.9335475229931443</v>
      </c>
      <c r="N468" s="5">
        <f t="shared" si="81"/>
        <v>1.2865486683641479E-2</v>
      </c>
      <c r="O468">
        <f t="shared" si="82"/>
        <v>20985.854200000002</v>
      </c>
      <c r="P468">
        <f t="shared" ca="1" si="83"/>
        <v>20988</v>
      </c>
      <c r="Q468" t="str">
        <f t="shared" ca="1" si="87"/>
        <v>0101000111111100</v>
      </c>
      <c r="R468">
        <f t="shared" ca="1" si="84"/>
        <v>3.9352499999999999</v>
      </c>
      <c r="S468">
        <f t="shared" ca="1" si="85"/>
        <v>67.223000000000013</v>
      </c>
      <c r="T468" s="3">
        <f t="shared" ca="1" si="88"/>
        <v>9.3543543543546381E-3</v>
      </c>
    </row>
    <row r="469" spans="8:20" x14ac:dyDescent="0.25">
      <c r="H469">
        <v>66.7</v>
      </c>
      <c r="I469" s="11">
        <v>3.8913333333333329</v>
      </c>
      <c r="J469" s="10">
        <f t="shared" si="78"/>
        <v>4.3999999999999999E-5</v>
      </c>
      <c r="K469" s="17">
        <f t="shared" si="79"/>
        <v>2.34E-4</v>
      </c>
      <c r="L469" s="10">
        <f t="shared" si="80"/>
        <v>1.2744E-2</v>
      </c>
      <c r="M469" s="11">
        <f t="shared" si="86"/>
        <v>3.9415200650422308</v>
      </c>
      <c r="N469" s="5">
        <f t="shared" si="81"/>
        <v>1.2897052863345379E-2</v>
      </c>
      <c r="O469">
        <f t="shared" si="82"/>
        <v>21028.388500000001</v>
      </c>
      <c r="P469">
        <f t="shared" ca="1" si="83"/>
        <v>21030</v>
      </c>
      <c r="Q469" t="str">
        <f t="shared" ca="1" si="87"/>
        <v>0101001000100110</v>
      </c>
      <c r="R469">
        <f t="shared" ca="1" si="84"/>
        <v>3.9431250000000002</v>
      </c>
      <c r="S469">
        <f t="shared" ca="1" si="85"/>
        <v>67.31750000000001</v>
      </c>
      <c r="T469" s="3">
        <f t="shared" ca="1" si="88"/>
        <v>9.2578710644678677E-3</v>
      </c>
    </row>
    <row r="470" spans="8:20" x14ac:dyDescent="0.25">
      <c r="H470">
        <v>66.800000000000011</v>
      </c>
      <c r="I470" s="11">
        <v>3.8991666666666669</v>
      </c>
      <c r="J470" s="10">
        <f t="shared" si="78"/>
        <v>4.3999999999999999E-5</v>
      </c>
      <c r="K470" s="17">
        <f t="shared" si="79"/>
        <v>2.34E-4</v>
      </c>
      <c r="L470" s="10">
        <f t="shared" si="80"/>
        <v>1.2774000000000001E-2</v>
      </c>
      <c r="M470" s="11">
        <f t="shared" si="86"/>
        <v>3.9495745317350504</v>
      </c>
      <c r="N470" s="5">
        <f t="shared" si="81"/>
        <v>1.292785596966449E-2</v>
      </c>
      <c r="O470">
        <f t="shared" si="82"/>
        <v>21071.359899999999</v>
      </c>
      <c r="P470">
        <f t="shared" ca="1" si="83"/>
        <v>21070</v>
      </c>
      <c r="Q470" t="str">
        <f t="shared" ca="1" si="87"/>
        <v>0101001001001110</v>
      </c>
      <c r="R470">
        <f t="shared" ca="1" si="84"/>
        <v>3.9506250000000001</v>
      </c>
      <c r="S470">
        <f t="shared" ca="1" si="85"/>
        <v>67.407499999999999</v>
      </c>
      <c r="T470" s="3">
        <f t="shared" ca="1" si="88"/>
        <v>9.0943113772453208E-3</v>
      </c>
    </row>
    <row r="471" spans="8:20" x14ac:dyDescent="0.25">
      <c r="H471">
        <v>66.900000000000006</v>
      </c>
      <c r="I471" s="11">
        <v>3.9081666666666672</v>
      </c>
      <c r="J471" s="10">
        <f t="shared" si="78"/>
        <v>4.5000000000000003E-5</v>
      </c>
      <c r="K471" s="17">
        <f t="shared" si="79"/>
        <v>2.3499999999999999E-4</v>
      </c>
      <c r="L471" s="10">
        <f t="shared" si="80"/>
        <v>1.2805E-2</v>
      </c>
      <c r="M471" s="11">
        <f t="shared" si="86"/>
        <v>3.9588142835677522</v>
      </c>
      <c r="N471" s="5">
        <f t="shared" si="81"/>
        <v>1.2959431165785743E-2</v>
      </c>
      <c r="O471">
        <f t="shared" si="82"/>
        <v>21120.6548</v>
      </c>
      <c r="P471">
        <f t="shared" ca="1" si="83"/>
        <v>21120</v>
      </c>
      <c r="Q471" t="str">
        <f t="shared" ca="1" si="87"/>
        <v>0101001010000000</v>
      </c>
      <c r="R471">
        <f t="shared" ca="1" si="84"/>
        <v>3.96</v>
      </c>
      <c r="S471">
        <f t="shared" ca="1" si="85"/>
        <v>67.52000000000001</v>
      </c>
      <c r="T471" s="3">
        <f t="shared" ca="1" si="88"/>
        <v>9.2675635276532817E-3</v>
      </c>
    </row>
    <row r="472" spans="8:20" x14ac:dyDescent="0.25">
      <c r="H472">
        <v>67</v>
      </c>
      <c r="I472" s="11">
        <v>3.9174166666666661</v>
      </c>
      <c r="J472" s="10">
        <f t="shared" si="78"/>
        <v>4.5000000000000003E-5</v>
      </c>
      <c r="K472" s="17">
        <f t="shared" si="79"/>
        <v>2.3499999999999999E-4</v>
      </c>
      <c r="L472" s="10">
        <f t="shared" si="80"/>
        <v>1.2834999999999999E-2</v>
      </c>
      <c r="M472" s="11">
        <f t="shared" si="86"/>
        <v>3.9683048595388475</v>
      </c>
      <c r="N472" s="5">
        <f t="shared" si="81"/>
        <v>1.2990242601760868E-2</v>
      </c>
      <c r="O472">
        <f t="shared" si="82"/>
        <v>21171.288</v>
      </c>
      <c r="P472">
        <f t="shared" ca="1" si="83"/>
        <v>21174</v>
      </c>
      <c r="Q472" t="str">
        <f t="shared" ca="1" si="87"/>
        <v>0101001010110110</v>
      </c>
      <c r="R472">
        <f t="shared" ca="1" si="84"/>
        <v>3.9701249999999999</v>
      </c>
      <c r="S472">
        <f t="shared" ca="1" si="85"/>
        <v>67.641500000000008</v>
      </c>
      <c r="T472" s="3">
        <f t="shared" ca="1" si="88"/>
        <v>9.5746268656717575E-3</v>
      </c>
    </row>
    <row r="473" spans="8:20" x14ac:dyDescent="0.25">
      <c r="H473">
        <v>67.099999999999994</v>
      </c>
      <c r="I473" s="11">
        <v>3.9246666666666652</v>
      </c>
      <c r="J473" s="10">
        <f t="shared" si="78"/>
        <v>4.6E-5</v>
      </c>
      <c r="K473" s="17">
        <f t="shared" si="79"/>
        <v>2.3599999999999999E-4</v>
      </c>
      <c r="L473" s="10">
        <f t="shared" si="80"/>
        <v>1.2866000000000001E-2</v>
      </c>
      <c r="M473" s="11">
        <f t="shared" si="86"/>
        <v>3.9757729615904882</v>
      </c>
      <c r="N473" s="5">
        <f t="shared" si="81"/>
        <v>1.3021817969379065E-2</v>
      </c>
      <c r="O473">
        <f t="shared" si="82"/>
        <v>21211.131000000001</v>
      </c>
      <c r="P473">
        <f t="shared" ca="1" si="83"/>
        <v>21209</v>
      </c>
      <c r="Q473" t="str">
        <f t="shared" ca="1" si="87"/>
        <v>0101001011011001</v>
      </c>
      <c r="R473">
        <f t="shared" ca="1" si="84"/>
        <v>3.9766875000000002</v>
      </c>
      <c r="S473">
        <f t="shared" ca="1" si="85"/>
        <v>67.720250000000007</v>
      </c>
      <c r="T473" s="3">
        <f t="shared" ca="1" si="88"/>
        <v>9.243666169895871E-3</v>
      </c>
    </row>
    <row r="474" spans="8:20" x14ac:dyDescent="0.25">
      <c r="H474">
        <v>67.2</v>
      </c>
      <c r="I474" s="11">
        <v>3.933416666666667</v>
      </c>
      <c r="J474" s="10">
        <f t="shared" si="78"/>
        <v>4.6E-5</v>
      </c>
      <c r="K474" s="17">
        <f t="shared" si="79"/>
        <v>2.3599999999999999E-4</v>
      </c>
      <c r="L474" s="10">
        <f t="shared" si="80"/>
        <v>1.2895999999999999E-2</v>
      </c>
      <c r="M474" s="11">
        <f t="shared" si="86"/>
        <v>3.9847581072173419</v>
      </c>
      <c r="N474" s="5">
        <f t="shared" si="81"/>
        <v>1.3052632075763201E-2</v>
      </c>
      <c r="O474">
        <f t="shared" si="82"/>
        <v>21259.067599999998</v>
      </c>
      <c r="P474">
        <f t="shared" ca="1" si="83"/>
        <v>21260</v>
      </c>
      <c r="Q474" t="str">
        <f t="shared" ca="1" si="87"/>
        <v>0101001100001100</v>
      </c>
      <c r="R474">
        <f t="shared" ca="1" si="84"/>
        <v>3.9862500000000001</v>
      </c>
      <c r="S474">
        <f t="shared" ca="1" si="85"/>
        <v>67.835000000000008</v>
      </c>
      <c r="T474" s="3">
        <f t="shared" ca="1" si="88"/>
        <v>9.4494047619048376E-3</v>
      </c>
    </row>
    <row r="475" spans="8:20" x14ac:dyDescent="0.25">
      <c r="H475">
        <v>67.300000000000011</v>
      </c>
      <c r="I475" s="11">
        <v>3.9420000000000011</v>
      </c>
      <c r="J475" s="10">
        <f t="shared" si="78"/>
        <v>4.6999999999999997E-5</v>
      </c>
      <c r="K475" s="17">
        <f t="shared" si="79"/>
        <v>2.3699999999999999E-4</v>
      </c>
      <c r="L475" s="10">
        <f t="shared" si="80"/>
        <v>1.2926999999999999E-2</v>
      </c>
      <c r="M475" s="11">
        <f t="shared" si="86"/>
        <v>3.9935779825808235</v>
      </c>
      <c r="N475" s="5">
        <f t="shared" si="81"/>
        <v>1.3084216788640907E-2</v>
      </c>
      <c r="O475">
        <f t="shared" si="82"/>
        <v>21306.122500000001</v>
      </c>
      <c r="P475">
        <f t="shared" ca="1" si="83"/>
        <v>21307</v>
      </c>
      <c r="Q475" t="str">
        <f t="shared" ca="1" si="87"/>
        <v>0101001100111011</v>
      </c>
      <c r="R475">
        <f t="shared" ca="1" si="84"/>
        <v>3.9950625</v>
      </c>
      <c r="S475">
        <f t="shared" ca="1" si="85"/>
        <v>67.940750000000008</v>
      </c>
      <c r="T475" s="3">
        <f t="shared" ca="1" si="88"/>
        <v>9.5208023774145164E-3</v>
      </c>
    </row>
    <row r="476" spans="8:20" x14ac:dyDescent="0.25">
      <c r="H476">
        <v>67.400000000000006</v>
      </c>
      <c r="I476" s="11">
        <v>3.9501666666666662</v>
      </c>
      <c r="J476" s="10">
        <f t="shared" si="78"/>
        <v>4.8000000000000001E-5</v>
      </c>
      <c r="K476" s="17">
        <f t="shared" si="79"/>
        <v>2.3699999999999999E-4</v>
      </c>
      <c r="L476" s="10">
        <f t="shared" si="80"/>
        <v>1.2957E-2</v>
      </c>
      <c r="M476" s="11">
        <f t="shared" si="86"/>
        <v>4.0019722207306732</v>
      </c>
      <c r="N476" s="5">
        <f t="shared" si="81"/>
        <v>1.3114776776677863E-2</v>
      </c>
      <c r="O476">
        <f t="shared" si="82"/>
        <v>21350.906599999998</v>
      </c>
      <c r="P476">
        <f t="shared" ca="1" si="83"/>
        <v>21353</v>
      </c>
      <c r="Q476" t="str">
        <f t="shared" ca="1" si="87"/>
        <v>0101001101101001</v>
      </c>
      <c r="R476">
        <f t="shared" ca="1" si="84"/>
        <v>4.0036874999999998</v>
      </c>
      <c r="S476">
        <f t="shared" ca="1" si="85"/>
        <v>68.044250000000005</v>
      </c>
      <c r="T476" s="3">
        <f t="shared" ca="1" si="88"/>
        <v>9.5586053412462825E-3</v>
      </c>
    </row>
    <row r="477" spans="8:20" x14ac:dyDescent="0.25">
      <c r="H477">
        <v>67.5</v>
      </c>
      <c r="I477" s="11">
        <v>3.9580833333333327</v>
      </c>
      <c r="J477" s="10">
        <f t="shared" si="78"/>
        <v>4.8000000000000001E-5</v>
      </c>
      <c r="K477" s="17">
        <f t="shared" si="79"/>
        <v>2.3800000000000001E-4</v>
      </c>
      <c r="L477" s="10">
        <f t="shared" si="80"/>
        <v>1.2988E-2</v>
      </c>
      <c r="M477" s="11">
        <f t="shared" si="86"/>
        <v>4.0101187557327904</v>
      </c>
      <c r="N477" s="5">
        <f t="shared" si="81"/>
        <v>1.3146621234888358E-2</v>
      </c>
      <c r="O477">
        <f t="shared" si="82"/>
        <v>21394.3691</v>
      </c>
      <c r="P477">
        <f t="shared" ca="1" si="83"/>
        <v>21393</v>
      </c>
      <c r="Q477" t="str">
        <f t="shared" ca="1" si="87"/>
        <v>0101001110010001</v>
      </c>
      <c r="R477">
        <f t="shared" ca="1" si="84"/>
        <v>4.0111875000000001</v>
      </c>
      <c r="S477">
        <f t="shared" ca="1" si="85"/>
        <v>68.134250000000009</v>
      </c>
      <c r="T477" s="3">
        <f t="shared" ca="1" si="88"/>
        <v>9.3962962962964251E-3</v>
      </c>
    </row>
    <row r="478" spans="8:20" x14ac:dyDescent="0.25">
      <c r="H478">
        <v>67.599999999999994</v>
      </c>
      <c r="I478" s="11">
        <v>3.9665833333333316</v>
      </c>
      <c r="J478" s="10">
        <f t="shared" si="78"/>
        <v>4.8999999999999998E-5</v>
      </c>
      <c r="K478" s="17">
        <f t="shared" si="79"/>
        <v>2.3800000000000001E-4</v>
      </c>
      <c r="L478" s="10">
        <f t="shared" si="80"/>
        <v>1.3018E-2</v>
      </c>
      <c r="M478" s="11">
        <f t="shared" si="86"/>
        <v>4.018851745354354</v>
      </c>
      <c r="N478" s="5">
        <f t="shared" si="81"/>
        <v>1.3177187425203659E-2</v>
      </c>
      <c r="O478">
        <f t="shared" si="82"/>
        <v>21440.960500000001</v>
      </c>
      <c r="P478">
        <f t="shared" ca="1" si="83"/>
        <v>21440</v>
      </c>
      <c r="Q478" t="str">
        <f t="shared" ca="1" si="87"/>
        <v>0101001111000000</v>
      </c>
      <c r="R478">
        <f t="shared" ca="1" si="84"/>
        <v>4.0200000000000005</v>
      </c>
      <c r="S478">
        <f t="shared" ca="1" si="85"/>
        <v>68.240000000000009</v>
      </c>
      <c r="T478" s="3">
        <f t="shared" ca="1" si="88"/>
        <v>9.4674556213019938E-3</v>
      </c>
    </row>
    <row r="479" spans="8:20" x14ac:dyDescent="0.25">
      <c r="H479">
        <v>67.7</v>
      </c>
      <c r="I479" s="11">
        <v>3.9757499999999997</v>
      </c>
      <c r="J479" s="10">
        <f t="shared" si="78"/>
        <v>4.8999999999999998E-5</v>
      </c>
      <c r="K479" s="17">
        <f t="shared" si="79"/>
        <v>2.3900000000000001E-4</v>
      </c>
      <c r="L479" s="10">
        <f t="shared" si="80"/>
        <v>1.3049E-2</v>
      </c>
      <c r="M479" s="11">
        <f t="shared" si="86"/>
        <v>4.0282658409586691</v>
      </c>
      <c r="N479" s="5">
        <f t="shared" si="81"/>
        <v>1.3209040044939812E-2</v>
      </c>
      <c r="O479">
        <f t="shared" si="82"/>
        <v>21491.185600000001</v>
      </c>
      <c r="P479">
        <f t="shared" ca="1" si="83"/>
        <v>21491</v>
      </c>
      <c r="Q479" t="str">
        <f t="shared" ca="1" si="87"/>
        <v>0101001111110011</v>
      </c>
      <c r="R479">
        <f t="shared" ca="1" si="84"/>
        <v>4.0295624999999999</v>
      </c>
      <c r="S479">
        <f t="shared" ca="1" si="85"/>
        <v>68.35475000000001</v>
      </c>
      <c r="T479" s="3">
        <f t="shared" ca="1" si="88"/>
        <v>9.6713441654358492E-3</v>
      </c>
    </row>
    <row r="480" spans="8:20" x14ac:dyDescent="0.25">
      <c r="H480">
        <v>67.800000000000011</v>
      </c>
      <c r="I480" s="11">
        <v>3.9834166666666677</v>
      </c>
      <c r="J480" s="10">
        <f t="shared" si="78"/>
        <v>5.0000000000000002E-5</v>
      </c>
      <c r="K480" s="17">
        <f t="shared" si="79"/>
        <v>2.3900000000000001E-4</v>
      </c>
      <c r="L480" s="10">
        <f t="shared" si="80"/>
        <v>1.3079E-2</v>
      </c>
      <c r="M480" s="11">
        <f t="shared" si="86"/>
        <v>4.0361555450402493</v>
      </c>
      <c r="N480" s="5">
        <f t="shared" si="81"/>
        <v>1.323960880489904E-2</v>
      </c>
      <c r="O480">
        <f t="shared" si="82"/>
        <v>21533.277900000001</v>
      </c>
      <c r="P480">
        <f t="shared" ca="1" si="83"/>
        <v>21531</v>
      </c>
      <c r="Q480" t="str">
        <f t="shared" ca="1" si="87"/>
        <v>0101010000011011</v>
      </c>
      <c r="R480">
        <f t="shared" ca="1" si="84"/>
        <v>4.0370625000000002</v>
      </c>
      <c r="S480">
        <f t="shared" ca="1" si="85"/>
        <v>68.444750000000013</v>
      </c>
      <c r="T480" s="3">
        <f t="shared" ca="1" si="88"/>
        <v>9.5095870206489946E-3</v>
      </c>
    </row>
    <row r="481" spans="8:20" x14ac:dyDescent="0.25">
      <c r="H481">
        <v>67.900000000000006</v>
      </c>
      <c r="I481" s="11">
        <v>3.9911666666666665</v>
      </c>
      <c r="J481" s="10">
        <f t="shared" si="78"/>
        <v>5.0000000000000002E-5</v>
      </c>
      <c r="K481" s="17">
        <f t="shared" si="79"/>
        <v>2.4000000000000001E-4</v>
      </c>
      <c r="L481" s="10">
        <f t="shared" si="80"/>
        <v>1.311E-2</v>
      </c>
      <c r="M481" s="11">
        <f t="shared" si="86"/>
        <v>4.0441352801899564</v>
      </c>
      <c r="N481" s="5">
        <f t="shared" si="81"/>
        <v>1.3271461190952485E-2</v>
      </c>
      <c r="O481">
        <f t="shared" si="82"/>
        <v>21575.850600000002</v>
      </c>
      <c r="P481">
        <f t="shared" ca="1" si="83"/>
        <v>21573</v>
      </c>
      <c r="Q481" t="str">
        <f t="shared" ca="1" si="87"/>
        <v>0101010001000101</v>
      </c>
      <c r="R481">
        <f t="shared" ca="1" si="84"/>
        <v>4.0449375000000005</v>
      </c>
      <c r="S481">
        <f t="shared" ca="1" si="85"/>
        <v>68.53925000000001</v>
      </c>
      <c r="T481" s="3">
        <f t="shared" ca="1" si="88"/>
        <v>9.4145802650957879E-3</v>
      </c>
    </row>
    <row r="482" spans="8:20" x14ac:dyDescent="0.25">
      <c r="H482">
        <v>68</v>
      </c>
      <c r="I482" s="11">
        <v>3.9998333333333331</v>
      </c>
      <c r="J482" s="10">
        <f t="shared" si="78"/>
        <v>5.1E-5</v>
      </c>
      <c r="K482" s="17">
        <f t="shared" si="79"/>
        <v>2.4000000000000001E-4</v>
      </c>
      <c r="L482" s="10">
        <f t="shared" si="80"/>
        <v>1.3140000000000001E-2</v>
      </c>
      <c r="M482" s="11">
        <f t="shared" si="86"/>
        <v>4.0530392693323609</v>
      </c>
      <c r="N482" s="5">
        <f t="shared" si="81"/>
        <v>1.3302038251350753E-2</v>
      </c>
      <c r="O482">
        <f t="shared" si="82"/>
        <v>21623.354200000002</v>
      </c>
      <c r="P482">
        <f t="shared" ca="1" si="83"/>
        <v>21621</v>
      </c>
      <c r="Q482" t="str">
        <f t="shared" ca="1" si="87"/>
        <v>0101010001110101</v>
      </c>
      <c r="R482">
        <f t="shared" ca="1" si="84"/>
        <v>4.0539375</v>
      </c>
      <c r="S482">
        <f t="shared" ca="1" si="85"/>
        <v>68.647250000000014</v>
      </c>
      <c r="T482" s="3">
        <f t="shared" ca="1" si="88"/>
        <v>9.5183823529413798E-3</v>
      </c>
    </row>
    <row r="483" spans="8:20" x14ac:dyDescent="0.25">
      <c r="H483">
        <v>68.099999999999994</v>
      </c>
      <c r="I483" s="11">
        <v>4.0084166666666663</v>
      </c>
      <c r="J483" s="10">
        <f t="shared" si="78"/>
        <v>5.1999999999999997E-5</v>
      </c>
      <c r="K483" s="17">
        <f t="shared" si="79"/>
        <v>2.41E-4</v>
      </c>
      <c r="L483" s="10">
        <f t="shared" si="80"/>
        <v>1.3171E-2</v>
      </c>
      <c r="M483" s="11">
        <f t="shared" si="86"/>
        <v>4.0618634704357763</v>
      </c>
      <c r="N483" s="5">
        <f t="shared" si="81"/>
        <v>1.3333644731488337E-2</v>
      </c>
      <c r="O483">
        <f t="shared" si="82"/>
        <v>21670.432199999999</v>
      </c>
      <c r="P483">
        <f t="shared" ca="1" si="83"/>
        <v>21673</v>
      </c>
      <c r="Q483" t="str">
        <f t="shared" ca="1" si="87"/>
        <v>0101010010101001</v>
      </c>
      <c r="R483">
        <f t="shared" ca="1" si="84"/>
        <v>4.0636875000000003</v>
      </c>
      <c r="S483">
        <f t="shared" ca="1" si="85"/>
        <v>68.764250000000018</v>
      </c>
      <c r="T483" s="3">
        <f t="shared" ca="1" si="88"/>
        <v>9.7540381791486643E-3</v>
      </c>
    </row>
    <row r="484" spans="8:20" x14ac:dyDescent="0.25">
      <c r="H484">
        <v>68.2</v>
      </c>
      <c r="I484" s="11">
        <v>4.0164166666666663</v>
      </c>
      <c r="J484" s="10">
        <f t="shared" si="78"/>
        <v>5.1999999999999997E-5</v>
      </c>
      <c r="K484" s="17">
        <f t="shared" si="79"/>
        <v>2.41E-4</v>
      </c>
      <c r="L484" s="10">
        <f t="shared" si="80"/>
        <v>1.3200999999999999E-2</v>
      </c>
      <c r="M484" s="11">
        <f t="shared" si="86"/>
        <v>4.0700939772604823</v>
      </c>
      <c r="N484" s="5">
        <f t="shared" si="81"/>
        <v>1.3364477604950345E-2</v>
      </c>
      <c r="O484">
        <f t="shared" si="82"/>
        <v>21714.342700000001</v>
      </c>
      <c r="P484">
        <f t="shared" ca="1" si="83"/>
        <v>21716</v>
      </c>
      <c r="Q484" t="str">
        <f t="shared" ca="1" si="87"/>
        <v>0101010011010100</v>
      </c>
      <c r="R484">
        <f t="shared" ca="1" si="84"/>
        <v>4.0717499999999998</v>
      </c>
      <c r="S484">
        <f t="shared" ca="1" si="85"/>
        <v>68.861000000000004</v>
      </c>
      <c r="T484" s="3">
        <f t="shared" ca="1" si="88"/>
        <v>9.6920821114369702E-3</v>
      </c>
    </row>
    <row r="485" spans="8:20" x14ac:dyDescent="0.25">
      <c r="H485">
        <v>68.300000000000011</v>
      </c>
      <c r="I485" s="11">
        <v>4.0241666666666669</v>
      </c>
      <c r="J485" s="10">
        <f t="shared" si="78"/>
        <v>5.3000000000000001E-5</v>
      </c>
      <c r="K485" s="17">
        <f t="shared" si="79"/>
        <v>2.42E-4</v>
      </c>
      <c r="L485" s="10">
        <f t="shared" si="80"/>
        <v>1.3232000000000001E-2</v>
      </c>
      <c r="M485" s="11">
        <f t="shared" si="86"/>
        <v>4.0780747517822498</v>
      </c>
      <c r="N485" s="5">
        <f t="shared" si="81"/>
        <v>1.3396086589086652E-2</v>
      </c>
      <c r="O485">
        <f t="shared" si="82"/>
        <v>21756.920900000001</v>
      </c>
      <c r="P485">
        <f t="shared" ca="1" si="83"/>
        <v>21756</v>
      </c>
      <c r="Q485" t="str">
        <f t="shared" ca="1" si="87"/>
        <v>0101010011111100</v>
      </c>
      <c r="R485">
        <f t="shared" ca="1" si="84"/>
        <v>4.07925</v>
      </c>
      <c r="S485">
        <f t="shared" ca="1" si="85"/>
        <v>68.951000000000008</v>
      </c>
      <c r="T485" s="3">
        <f t="shared" ca="1" si="88"/>
        <v>9.5314787701317148E-3</v>
      </c>
    </row>
    <row r="486" spans="8:20" x14ac:dyDescent="0.25">
      <c r="H486">
        <v>68.400000000000006</v>
      </c>
      <c r="I486" s="11">
        <v>4.0339166666666673</v>
      </c>
      <c r="J486" s="10">
        <f t="shared" si="78"/>
        <v>5.3000000000000001E-5</v>
      </c>
      <c r="K486" s="17">
        <f t="shared" si="79"/>
        <v>2.42E-4</v>
      </c>
      <c r="L486" s="10">
        <f t="shared" si="80"/>
        <v>1.3261999999999999E-2</v>
      </c>
      <c r="M486" s="11">
        <f t="shared" si="86"/>
        <v>4.088079780718556</v>
      </c>
      <c r="N486" s="5">
        <f t="shared" si="81"/>
        <v>1.3426929341266042E-2</v>
      </c>
      <c r="O486">
        <f t="shared" si="82"/>
        <v>21810.298699999999</v>
      </c>
      <c r="P486">
        <f t="shared" ca="1" si="83"/>
        <v>21808</v>
      </c>
      <c r="Q486" t="str">
        <f t="shared" ca="1" si="87"/>
        <v>0101010100110000</v>
      </c>
      <c r="R486">
        <f t="shared" ca="1" si="84"/>
        <v>4.0890000000000004</v>
      </c>
      <c r="S486">
        <f t="shared" ca="1" si="85"/>
        <v>69.068000000000012</v>
      </c>
      <c r="T486" s="3">
        <f t="shared" ca="1" si="88"/>
        <v>9.7660818713451222E-3</v>
      </c>
    </row>
    <row r="487" spans="8:20" x14ac:dyDescent="0.25">
      <c r="H487">
        <v>68.5</v>
      </c>
      <c r="I487" s="11">
        <v>4.0418333333333321</v>
      </c>
      <c r="J487" s="10">
        <f t="shared" si="78"/>
        <v>5.3999999999999998E-5</v>
      </c>
      <c r="K487" s="17">
        <f t="shared" si="79"/>
        <v>2.43E-4</v>
      </c>
      <c r="L487" s="10">
        <f t="shared" si="80"/>
        <v>1.3292999999999999E-2</v>
      </c>
      <c r="M487" s="11">
        <f t="shared" si="86"/>
        <v>4.0962305257116158</v>
      </c>
      <c r="N487" s="5">
        <f t="shared" si="81"/>
        <v>1.3458544153630892E-2</v>
      </c>
      <c r="O487">
        <f t="shared" si="82"/>
        <v>21853.7837</v>
      </c>
      <c r="P487">
        <f t="shared" ca="1" si="83"/>
        <v>21852</v>
      </c>
      <c r="Q487" t="str">
        <f t="shared" ca="1" si="87"/>
        <v>0101010101011100</v>
      </c>
      <c r="R487">
        <f t="shared" ca="1" si="84"/>
        <v>4.0972499999999998</v>
      </c>
      <c r="S487">
        <f t="shared" ca="1" si="85"/>
        <v>69.167000000000002</v>
      </c>
      <c r="T487" s="3">
        <f t="shared" ca="1" si="88"/>
        <v>9.7372262773722865E-3</v>
      </c>
    </row>
    <row r="488" spans="8:20" x14ac:dyDescent="0.25">
      <c r="H488">
        <v>68.599999999999994</v>
      </c>
      <c r="I488" s="11">
        <v>4.0500833333333324</v>
      </c>
      <c r="J488" s="10">
        <f t="shared" si="78"/>
        <v>5.3999999999999998E-5</v>
      </c>
      <c r="K488" s="17">
        <f t="shared" si="79"/>
        <v>2.43E-4</v>
      </c>
      <c r="L488" s="10">
        <f t="shared" si="80"/>
        <v>1.3323E-2</v>
      </c>
      <c r="M488" s="11">
        <f t="shared" si="86"/>
        <v>4.1047164708747967</v>
      </c>
      <c r="N488" s="5">
        <f t="shared" si="81"/>
        <v>1.3489386031101678E-2</v>
      </c>
      <c r="O488">
        <f t="shared" si="82"/>
        <v>21899.057000000001</v>
      </c>
      <c r="P488">
        <f t="shared" ca="1" si="83"/>
        <v>21898</v>
      </c>
      <c r="Q488" t="str">
        <f t="shared" ca="1" si="87"/>
        <v>0101010110001010</v>
      </c>
      <c r="R488">
        <f t="shared" ca="1" si="84"/>
        <v>4.1058750000000002</v>
      </c>
      <c r="S488">
        <f t="shared" ca="1" si="85"/>
        <v>69.270500000000013</v>
      </c>
      <c r="T488" s="3">
        <f t="shared" ca="1" si="88"/>
        <v>9.7740524781343777E-3</v>
      </c>
    </row>
    <row r="489" spans="8:20" x14ac:dyDescent="0.25">
      <c r="H489">
        <v>68.7</v>
      </c>
      <c r="I489" s="11">
        <v>4.0575833333333327</v>
      </c>
      <c r="J489" s="10">
        <f t="shared" si="78"/>
        <v>5.5000000000000002E-5</v>
      </c>
      <c r="K489" s="17">
        <f t="shared" si="79"/>
        <v>2.4399999999999999E-4</v>
      </c>
      <c r="L489" s="10">
        <f t="shared" si="80"/>
        <v>1.3354E-2</v>
      </c>
      <c r="M489" s="11">
        <f t="shared" si="86"/>
        <v>4.1124459363675854</v>
      </c>
      <c r="N489" s="5">
        <f t="shared" si="81"/>
        <v>1.3521004629418841E-2</v>
      </c>
      <c r="O489">
        <f t="shared" si="82"/>
        <v>21940.2945</v>
      </c>
      <c r="P489">
        <f t="shared" ca="1" si="83"/>
        <v>21940</v>
      </c>
      <c r="Q489" t="str">
        <f t="shared" ca="1" si="87"/>
        <v>0101010110110100</v>
      </c>
      <c r="R489">
        <f t="shared" ca="1" si="84"/>
        <v>4.1137500000000005</v>
      </c>
      <c r="S489">
        <f t="shared" ca="1" si="85"/>
        <v>69.365000000000009</v>
      </c>
      <c r="T489" s="3">
        <f t="shared" ca="1" si="88"/>
        <v>9.6797671033479801E-3</v>
      </c>
    </row>
    <row r="490" spans="8:20" x14ac:dyDescent="0.25">
      <c r="H490">
        <v>68.800000000000011</v>
      </c>
      <c r="I490" s="11">
        <v>4.0668333333333333</v>
      </c>
      <c r="J490" s="10">
        <f t="shared" si="78"/>
        <v>5.5999999999999999E-5</v>
      </c>
      <c r="K490" s="17">
        <f t="shared" si="79"/>
        <v>2.4399999999999999E-4</v>
      </c>
      <c r="L490" s="10">
        <f t="shared" si="80"/>
        <v>1.3384E-2</v>
      </c>
      <c r="M490" s="11">
        <f t="shared" si="86"/>
        <v>4.1219454512529019</v>
      </c>
      <c r="N490" s="5">
        <f t="shared" si="81"/>
        <v>1.3551604750518897E-2</v>
      </c>
      <c r="O490">
        <f t="shared" si="82"/>
        <v>21990.975299999998</v>
      </c>
      <c r="P490">
        <f t="shared" ca="1" si="83"/>
        <v>21993</v>
      </c>
      <c r="Q490" t="str">
        <f t="shared" ca="1" si="87"/>
        <v>0101010111101001</v>
      </c>
      <c r="R490">
        <f t="shared" ca="1" si="84"/>
        <v>4.1236875</v>
      </c>
      <c r="S490">
        <f t="shared" ca="1" si="85"/>
        <v>69.484250000000003</v>
      </c>
      <c r="T490" s="3">
        <f t="shared" ca="1" si="88"/>
        <v>9.9454941860463875E-3</v>
      </c>
    </row>
    <row r="491" spans="8:20" x14ac:dyDescent="0.25">
      <c r="H491">
        <v>68.900000000000006</v>
      </c>
      <c r="I491" s="11">
        <v>4.0745833333333339</v>
      </c>
      <c r="J491" s="10">
        <f t="shared" si="78"/>
        <v>5.5999999999999999E-5</v>
      </c>
      <c r="K491" s="17">
        <f t="shared" si="79"/>
        <v>2.4499999999999999E-4</v>
      </c>
      <c r="L491" s="10">
        <f t="shared" si="80"/>
        <v>1.3415E-2</v>
      </c>
      <c r="M491" s="11">
        <f t="shared" si="86"/>
        <v>4.1299303489646952</v>
      </c>
      <c r="N491" s="5">
        <f t="shared" si="81"/>
        <v>1.3583478629232766E-2</v>
      </c>
      <c r="O491">
        <f t="shared" si="82"/>
        <v>22033.575499999999</v>
      </c>
      <c r="P491">
        <f t="shared" ca="1" si="83"/>
        <v>22032</v>
      </c>
      <c r="Q491" t="str">
        <f t="shared" ca="1" si="87"/>
        <v>0101011000010000</v>
      </c>
      <c r="R491">
        <f t="shared" ca="1" si="84"/>
        <v>4.1310000000000002</v>
      </c>
      <c r="S491">
        <f t="shared" ca="1" si="85"/>
        <v>69.572000000000017</v>
      </c>
      <c r="T491" s="3">
        <f t="shared" ca="1" si="88"/>
        <v>9.7532656023223679E-3</v>
      </c>
    </row>
    <row r="492" spans="8:20" x14ac:dyDescent="0.25">
      <c r="H492">
        <v>69</v>
      </c>
      <c r="I492" s="11">
        <v>4.0835833333333325</v>
      </c>
      <c r="J492" s="10">
        <f t="shared" si="78"/>
        <v>5.7000000000000003E-5</v>
      </c>
      <c r="K492" s="17">
        <f t="shared" si="79"/>
        <v>2.4499999999999999E-4</v>
      </c>
      <c r="L492" s="10">
        <f t="shared" si="80"/>
        <v>1.3445E-2</v>
      </c>
      <c r="M492" s="11">
        <f t="shared" si="86"/>
        <v>4.1391775758405087</v>
      </c>
      <c r="N492" s="5">
        <f t="shared" si="81"/>
        <v>1.361408301708294E-2</v>
      </c>
      <c r="O492">
        <f t="shared" si="82"/>
        <v>22082.9103</v>
      </c>
      <c r="P492">
        <f t="shared" ca="1" si="83"/>
        <v>22084</v>
      </c>
      <c r="Q492" t="str">
        <f t="shared" ca="1" si="87"/>
        <v>0101011001000100</v>
      </c>
      <c r="R492">
        <f t="shared" ca="1" si="84"/>
        <v>4.1407499999999997</v>
      </c>
      <c r="S492">
        <f t="shared" ca="1" si="85"/>
        <v>69.689000000000007</v>
      </c>
      <c r="T492" s="3">
        <f t="shared" ca="1" si="88"/>
        <v>9.9855072463769148E-3</v>
      </c>
    </row>
    <row r="493" spans="8:20" x14ac:dyDescent="0.25">
      <c r="H493">
        <v>69.099999999999994</v>
      </c>
      <c r="I493" s="11">
        <v>4.0921666666666656</v>
      </c>
      <c r="J493" s="10">
        <f t="shared" si="78"/>
        <v>5.7000000000000003E-5</v>
      </c>
      <c r="K493" s="17">
        <f t="shared" si="79"/>
        <v>2.4600000000000002E-4</v>
      </c>
      <c r="L493" s="10">
        <f t="shared" si="80"/>
        <v>1.3476E-2</v>
      </c>
      <c r="M493" s="11">
        <f t="shared" si="86"/>
        <v>4.1480082255136885</v>
      </c>
      <c r="N493" s="5">
        <f t="shared" si="81"/>
        <v>1.3645963958870098E-2</v>
      </c>
      <c r="O493">
        <f t="shared" si="82"/>
        <v>22130.022700000001</v>
      </c>
      <c r="P493">
        <f t="shared" ca="1" si="83"/>
        <v>22132</v>
      </c>
      <c r="Q493" t="str">
        <f t="shared" ca="1" si="87"/>
        <v>0101011001110100</v>
      </c>
      <c r="R493">
        <f t="shared" ca="1" si="84"/>
        <v>4.14975</v>
      </c>
      <c r="S493">
        <f t="shared" ca="1" si="85"/>
        <v>69.797000000000011</v>
      </c>
      <c r="T493" s="3">
        <f t="shared" ca="1" si="88"/>
        <v>1.0086830680173907E-2</v>
      </c>
    </row>
    <row r="494" spans="8:20" x14ac:dyDescent="0.25">
      <c r="H494">
        <v>69.2</v>
      </c>
      <c r="I494" s="11">
        <v>4.0995833333333334</v>
      </c>
      <c r="J494" s="10">
        <f t="shared" si="78"/>
        <v>5.8E-5</v>
      </c>
      <c r="K494" s="17">
        <f t="shared" si="79"/>
        <v>2.4600000000000002E-4</v>
      </c>
      <c r="L494" s="10">
        <f t="shared" si="80"/>
        <v>1.3506000000000001E-2</v>
      </c>
      <c r="M494" s="11">
        <f t="shared" si="86"/>
        <v>4.1556515633479103</v>
      </c>
      <c r="N494" s="5">
        <f t="shared" si="81"/>
        <v>1.3676567947452452E-2</v>
      </c>
      <c r="O494">
        <f t="shared" si="82"/>
        <v>22170.800599999999</v>
      </c>
      <c r="P494">
        <f t="shared" ca="1" si="83"/>
        <v>22171</v>
      </c>
      <c r="Q494" t="str">
        <f t="shared" ca="1" si="87"/>
        <v>0101011010011011</v>
      </c>
      <c r="R494">
        <f t="shared" ca="1" si="84"/>
        <v>4.1570625000000003</v>
      </c>
      <c r="S494">
        <f t="shared" ca="1" si="85"/>
        <v>69.884750000000011</v>
      </c>
      <c r="T494" s="3">
        <f t="shared" ca="1" si="88"/>
        <v>9.8952312138729497E-3</v>
      </c>
    </row>
    <row r="495" spans="8:20" x14ac:dyDescent="0.25">
      <c r="H495">
        <v>69.300000000000011</v>
      </c>
      <c r="I495" s="11">
        <v>4.108833333333334</v>
      </c>
      <c r="J495" s="10">
        <f t="shared" si="78"/>
        <v>5.8E-5</v>
      </c>
      <c r="K495" s="17">
        <f t="shared" si="79"/>
        <v>2.4699999999999999E-4</v>
      </c>
      <c r="L495" s="10">
        <f t="shared" si="80"/>
        <v>1.3537E-2</v>
      </c>
      <c r="M495" s="11">
        <f t="shared" si="86"/>
        <v>4.1651590919612129</v>
      </c>
      <c r="N495" s="5">
        <f t="shared" si="81"/>
        <v>1.3708455432088325E-2</v>
      </c>
      <c r="O495">
        <f t="shared" si="82"/>
        <v>22221.5242</v>
      </c>
      <c r="P495">
        <f t="shared" ca="1" si="83"/>
        <v>22225</v>
      </c>
      <c r="Q495" t="str">
        <f t="shared" ca="1" si="87"/>
        <v>0101011011010001</v>
      </c>
      <c r="R495">
        <f t="shared" ca="1" si="84"/>
        <v>4.1671874999999998</v>
      </c>
      <c r="S495">
        <f t="shared" ca="1" si="85"/>
        <v>70.006250000000009</v>
      </c>
      <c r="T495" s="3">
        <f t="shared" ca="1" si="88"/>
        <v>1.0191197691197649E-2</v>
      </c>
    </row>
    <row r="496" spans="8:20" x14ac:dyDescent="0.25">
      <c r="H496">
        <v>69.400000000000006</v>
      </c>
      <c r="I496" s="11">
        <v>4.1158333333333328</v>
      </c>
      <c r="J496" s="10">
        <f t="shared" si="78"/>
        <v>5.8999999999999998E-5</v>
      </c>
      <c r="K496" s="17">
        <f t="shared" si="79"/>
        <v>2.4699999999999999E-4</v>
      </c>
      <c r="L496" s="10">
        <f t="shared" si="80"/>
        <v>1.3566999999999999E-2</v>
      </c>
      <c r="M496" s="11">
        <f t="shared" si="86"/>
        <v>4.1723810267228822</v>
      </c>
      <c r="N496" s="5">
        <f t="shared" si="81"/>
        <v>1.3739062981870694E-2</v>
      </c>
      <c r="O496">
        <f t="shared" si="82"/>
        <v>22260.053899999999</v>
      </c>
      <c r="P496">
        <f t="shared" ca="1" si="83"/>
        <v>22262</v>
      </c>
      <c r="Q496" t="str">
        <f t="shared" ca="1" si="87"/>
        <v>0101011011110110</v>
      </c>
      <c r="R496">
        <f t="shared" ca="1" si="84"/>
        <v>4.1741250000000001</v>
      </c>
      <c r="S496">
        <f t="shared" ca="1" si="85"/>
        <v>70.089500000000015</v>
      </c>
      <c r="T496" s="3">
        <f t="shared" ca="1" si="88"/>
        <v>9.9351585014410583E-3</v>
      </c>
    </row>
    <row r="497" spans="8:20" x14ac:dyDescent="0.25">
      <c r="H497">
        <v>69.5</v>
      </c>
      <c r="I497" s="11">
        <v>4.1242499999999991</v>
      </c>
      <c r="J497" s="10">
        <f t="shared" si="78"/>
        <v>6.0000000000000002E-5</v>
      </c>
      <c r="K497" s="17">
        <f t="shared" si="79"/>
        <v>2.4800000000000001E-4</v>
      </c>
      <c r="L497" s="10">
        <f t="shared" si="80"/>
        <v>1.3598000000000001E-2</v>
      </c>
      <c r="M497" s="11">
        <f t="shared" si="86"/>
        <v>4.181043834055485</v>
      </c>
      <c r="N497" s="5">
        <f t="shared" si="81"/>
        <v>1.3770705959989306E-2</v>
      </c>
      <c r="O497">
        <f t="shared" si="82"/>
        <v>22306.2709</v>
      </c>
      <c r="P497">
        <f t="shared" ca="1" si="83"/>
        <v>22306</v>
      </c>
      <c r="Q497" t="str">
        <f t="shared" ca="1" si="87"/>
        <v>0101011100100010</v>
      </c>
      <c r="R497">
        <f t="shared" ca="1" si="84"/>
        <v>4.1823750000000004</v>
      </c>
      <c r="S497">
        <f t="shared" ca="1" si="85"/>
        <v>70.188500000000019</v>
      </c>
      <c r="T497" s="3">
        <f t="shared" ca="1" si="88"/>
        <v>9.9064748201441576E-3</v>
      </c>
    </row>
    <row r="498" spans="8:20" x14ac:dyDescent="0.25">
      <c r="H498">
        <v>69.599999999999994</v>
      </c>
      <c r="I498" s="11">
        <v>4.1334166666666663</v>
      </c>
      <c r="J498" s="10">
        <f t="shared" si="78"/>
        <v>6.0000000000000002E-5</v>
      </c>
      <c r="K498" s="17">
        <f t="shared" si="79"/>
        <v>2.4800000000000001E-4</v>
      </c>
      <c r="L498" s="10">
        <f t="shared" si="80"/>
        <v>1.3627999999999999E-2</v>
      </c>
      <c r="M498" s="11">
        <f t="shared" si="86"/>
        <v>4.1904643143425258</v>
      </c>
      <c r="N498" s="5">
        <f t="shared" si="81"/>
        <v>1.3801571986659817E-2</v>
      </c>
      <c r="O498">
        <f t="shared" si="82"/>
        <v>22356.53</v>
      </c>
      <c r="P498">
        <f t="shared" ca="1" si="83"/>
        <v>22354</v>
      </c>
      <c r="Q498" t="str">
        <f t="shared" ca="1" si="87"/>
        <v>0101011101010010</v>
      </c>
      <c r="R498">
        <f t="shared" ca="1" si="84"/>
        <v>4.1913749999999999</v>
      </c>
      <c r="S498">
        <f t="shared" ca="1" si="85"/>
        <v>70.296500000000009</v>
      </c>
      <c r="T498" s="3">
        <f t="shared" ca="1" si="88"/>
        <v>1.0007183908046186E-2</v>
      </c>
    </row>
    <row r="499" spans="8:20" x14ac:dyDescent="0.25">
      <c r="H499">
        <v>69.7</v>
      </c>
      <c r="I499" s="11">
        <v>4.141916666666666</v>
      </c>
      <c r="J499" s="10">
        <f t="shared" si="78"/>
        <v>6.0999999999999999E-5</v>
      </c>
      <c r="K499" s="17">
        <f t="shared" si="79"/>
        <v>2.4899999999999998E-4</v>
      </c>
      <c r="L499" s="10">
        <f t="shared" si="80"/>
        <v>1.3658999999999999E-2</v>
      </c>
      <c r="M499" s="11">
        <f t="shared" si="86"/>
        <v>4.1992127131151058</v>
      </c>
      <c r="N499" s="5">
        <f t="shared" si="81"/>
        <v>1.3833220477260474E-2</v>
      </c>
      <c r="O499">
        <f t="shared" si="82"/>
        <v>22403.203600000001</v>
      </c>
      <c r="P499">
        <f t="shared" ca="1" si="83"/>
        <v>22407</v>
      </c>
      <c r="Q499" t="str">
        <f t="shared" ca="1" si="87"/>
        <v>0101011110000111</v>
      </c>
      <c r="R499">
        <f t="shared" ca="1" si="84"/>
        <v>4.2013125000000002</v>
      </c>
      <c r="S499">
        <f t="shared" ca="1" si="85"/>
        <v>70.415750000000017</v>
      </c>
      <c r="T499" s="3">
        <f t="shared" ca="1" si="88"/>
        <v>1.0269010043041808E-2</v>
      </c>
    </row>
    <row r="500" spans="8:20" x14ac:dyDescent="0.25">
      <c r="H500">
        <v>69.800000000000011</v>
      </c>
      <c r="I500" s="11">
        <v>4.1495833333333341</v>
      </c>
      <c r="J500" s="10">
        <f t="shared" si="78"/>
        <v>6.0999999999999999E-5</v>
      </c>
      <c r="K500" s="17">
        <f t="shared" si="79"/>
        <v>2.4899999999999998E-4</v>
      </c>
      <c r="L500" s="10">
        <f t="shared" si="80"/>
        <v>1.3689E-2</v>
      </c>
      <c r="M500" s="11">
        <f t="shared" si="86"/>
        <v>4.207113510174108</v>
      </c>
      <c r="N500" s="5">
        <f t="shared" si="81"/>
        <v>1.3864085191069114E-2</v>
      </c>
      <c r="O500">
        <f t="shared" si="82"/>
        <v>22445.355100000001</v>
      </c>
      <c r="P500">
        <f t="shared" ca="1" si="83"/>
        <v>22449</v>
      </c>
      <c r="Q500" t="str">
        <f t="shared" ca="1" si="87"/>
        <v>0101011110110001</v>
      </c>
      <c r="R500">
        <f t="shared" ca="1" si="84"/>
        <v>4.2091875000000005</v>
      </c>
      <c r="S500">
        <f t="shared" ca="1" si="85"/>
        <v>70.510250000000013</v>
      </c>
      <c r="T500" s="3">
        <f t="shared" ca="1" si="88"/>
        <v>1.0175501432664784E-2</v>
      </c>
    </row>
    <row r="501" spans="8:20" x14ac:dyDescent="0.25">
      <c r="H501">
        <v>69.900000000000006</v>
      </c>
      <c r="I501" s="11">
        <v>4.1584166666666667</v>
      </c>
      <c r="J501" s="10">
        <f t="shared" si="78"/>
        <v>6.2000000000000003E-5</v>
      </c>
      <c r="K501" s="17">
        <f t="shared" si="79"/>
        <v>2.5000000000000001E-4</v>
      </c>
      <c r="L501" s="10">
        <f t="shared" si="80"/>
        <v>1.372E-2</v>
      </c>
      <c r="M501" s="11">
        <f t="shared" si="86"/>
        <v>4.2162009436130372</v>
      </c>
      <c r="N501" s="5">
        <f t="shared" si="81"/>
        <v>1.3895740032393073E-2</v>
      </c>
      <c r="O501">
        <f t="shared" si="82"/>
        <v>22493.8374</v>
      </c>
      <c r="P501">
        <f t="shared" ca="1" si="83"/>
        <v>22492</v>
      </c>
      <c r="Q501" t="str">
        <f t="shared" ca="1" si="87"/>
        <v>0101011111011100</v>
      </c>
      <c r="R501">
        <f t="shared" ca="1" si="84"/>
        <v>4.2172499999999999</v>
      </c>
      <c r="S501">
        <f t="shared" ca="1" si="85"/>
        <v>70.607000000000014</v>
      </c>
      <c r="T501" s="3">
        <f t="shared" ca="1" si="88"/>
        <v>1.0114449213161771E-2</v>
      </c>
    </row>
    <row r="502" spans="8:20" x14ac:dyDescent="0.25">
      <c r="H502">
        <v>70</v>
      </c>
      <c r="I502" s="11">
        <v>4.1669166666666664</v>
      </c>
      <c r="J502" s="10">
        <f t="shared" si="78"/>
        <v>6.3E-5</v>
      </c>
      <c r="K502" s="17">
        <f t="shared" si="79"/>
        <v>2.5000000000000001E-4</v>
      </c>
      <c r="L502" s="10">
        <f t="shared" si="80"/>
        <v>1.375E-2</v>
      </c>
      <c r="M502" s="11">
        <f t="shared" si="86"/>
        <v>4.2249466835656948</v>
      </c>
      <c r="N502" s="5">
        <f t="shared" si="81"/>
        <v>1.3926368473658404E-2</v>
      </c>
      <c r="O502">
        <f t="shared" si="82"/>
        <v>22540.496800000001</v>
      </c>
      <c r="P502">
        <f t="shared" ca="1" si="83"/>
        <v>22544</v>
      </c>
      <c r="Q502" t="str">
        <f t="shared" ca="1" si="87"/>
        <v>0101100000010000</v>
      </c>
      <c r="R502">
        <f t="shared" ca="1" si="84"/>
        <v>4.2270000000000003</v>
      </c>
      <c r="S502">
        <f t="shared" ca="1" si="85"/>
        <v>70.724000000000018</v>
      </c>
      <c r="T502" s="3">
        <f t="shared" ca="1" si="88"/>
        <v>1.03428571428574E-2</v>
      </c>
    </row>
    <row r="503" spans="8:20" x14ac:dyDescent="0.25">
      <c r="H503">
        <v>70.099999999999994</v>
      </c>
      <c r="I503" s="11">
        <v>4.1752499999999992</v>
      </c>
      <c r="J503" s="10">
        <f t="shared" si="78"/>
        <v>6.3E-5</v>
      </c>
      <c r="K503" s="17">
        <f t="shared" si="79"/>
        <v>2.5099999999999998E-4</v>
      </c>
      <c r="L503" s="10">
        <f t="shared" si="80"/>
        <v>1.3781E-2</v>
      </c>
      <c r="M503" s="11">
        <f t="shared" si="86"/>
        <v>4.2335292668261308</v>
      </c>
      <c r="N503" s="5">
        <f t="shared" si="81"/>
        <v>1.3958270002067329E-2</v>
      </c>
      <c r="O503">
        <f t="shared" si="82"/>
        <v>22586.2857</v>
      </c>
      <c r="P503">
        <f t="shared" ca="1" si="83"/>
        <v>22585</v>
      </c>
      <c r="Q503" t="str">
        <f t="shared" ca="1" si="87"/>
        <v>0101100000111001</v>
      </c>
      <c r="R503">
        <f t="shared" ca="1" si="84"/>
        <v>4.2346874999999997</v>
      </c>
      <c r="S503">
        <f t="shared" ca="1" si="85"/>
        <v>70.816250000000011</v>
      </c>
      <c r="T503" s="3">
        <f t="shared" ca="1" si="88"/>
        <v>1.0217546362339751E-2</v>
      </c>
    </row>
    <row r="504" spans="8:20" x14ac:dyDescent="0.25">
      <c r="H504">
        <v>70.2</v>
      </c>
      <c r="I504" s="11">
        <v>4.183583333333333</v>
      </c>
      <c r="J504" s="10">
        <f t="shared" si="78"/>
        <v>6.3999999999999997E-5</v>
      </c>
      <c r="K504" s="17">
        <f t="shared" si="79"/>
        <v>2.5099999999999998E-4</v>
      </c>
      <c r="L504" s="10">
        <f t="shared" si="80"/>
        <v>1.3811E-2</v>
      </c>
      <c r="M504" s="11">
        <f t="shared" si="86"/>
        <v>4.2421070741342009</v>
      </c>
      <c r="N504" s="5">
        <f t="shared" si="81"/>
        <v>1.3988902846650886E-2</v>
      </c>
      <c r="O504">
        <f t="shared" si="82"/>
        <v>22632.0491</v>
      </c>
      <c r="P504">
        <f t="shared" ca="1" si="83"/>
        <v>22631</v>
      </c>
      <c r="Q504" t="str">
        <f t="shared" ca="1" si="87"/>
        <v>0101100001100111</v>
      </c>
      <c r="R504">
        <f t="shared" ca="1" si="84"/>
        <v>4.2433125</v>
      </c>
      <c r="S504">
        <f t="shared" ca="1" si="85"/>
        <v>70.919750000000008</v>
      </c>
      <c r="T504" s="3">
        <f t="shared" ca="1" si="88"/>
        <v>1.0252849002849071E-2</v>
      </c>
    </row>
    <row r="505" spans="8:20" x14ac:dyDescent="0.25">
      <c r="H505">
        <v>70.300000000000011</v>
      </c>
      <c r="I505" s="11">
        <v>4.1910000000000007</v>
      </c>
      <c r="J505" s="10">
        <f t="shared" si="78"/>
        <v>6.3999999999999997E-5</v>
      </c>
      <c r="K505" s="17">
        <f t="shared" si="79"/>
        <v>2.52E-4</v>
      </c>
      <c r="L505" s="10">
        <f t="shared" si="80"/>
        <v>1.3842E-2</v>
      </c>
      <c r="M505" s="11">
        <f t="shared" si="86"/>
        <v>4.2497611944536278</v>
      </c>
      <c r="N505" s="5">
        <f t="shared" si="81"/>
        <v>1.4020805166696976E-2</v>
      </c>
      <c r="O505">
        <f t="shared" si="82"/>
        <v>22672.884600000001</v>
      </c>
      <c r="P505">
        <f t="shared" ca="1" si="83"/>
        <v>22676</v>
      </c>
      <c r="Q505" t="str">
        <f t="shared" ca="1" si="87"/>
        <v>0101100010010100</v>
      </c>
      <c r="R505">
        <f t="shared" ca="1" si="84"/>
        <v>4.2517500000000004</v>
      </c>
      <c r="S505">
        <f t="shared" ca="1" si="85"/>
        <v>71.021000000000015</v>
      </c>
      <c r="T505" s="3">
        <f t="shared" ca="1" si="88"/>
        <v>1.0256045519203463E-2</v>
      </c>
    </row>
    <row r="506" spans="8:20" x14ac:dyDescent="0.25">
      <c r="H506">
        <v>70.400000000000006</v>
      </c>
      <c r="I506" s="11">
        <v>4.1992500000000001</v>
      </c>
      <c r="J506" s="10">
        <f t="shared" si="78"/>
        <v>6.4999999999999994E-5</v>
      </c>
      <c r="K506" s="17">
        <f t="shared" si="79"/>
        <v>2.52E-4</v>
      </c>
      <c r="L506" s="10">
        <f t="shared" si="80"/>
        <v>1.3872000000000001E-2</v>
      </c>
      <c r="M506" s="11">
        <f t="shared" si="86"/>
        <v>4.2582555205815069</v>
      </c>
      <c r="N506" s="5">
        <f t="shared" si="81"/>
        <v>1.4051442657976249E-2</v>
      </c>
      <c r="O506">
        <f t="shared" si="82"/>
        <v>22718.202600000001</v>
      </c>
      <c r="P506">
        <f t="shared" ca="1" si="83"/>
        <v>22719</v>
      </c>
      <c r="Q506" t="str">
        <f t="shared" ca="1" si="87"/>
        <v>0101100010111111</v>
      </c>
      <c r="R506">
        <f t="shared" ca="1" si="84"/>
        <v>4.2598124999999998</v>
      </c>
      <c r="S506">
        <f t="shared" ca="1" si="85"/>
        <v>71.117750000000001</v>
      </c>
      <c r="T506" s="3">
        <f t="shared" ca="1" si="88"/>
        <v>1.0195312499999932E-2</v>
      </c>
    </row>
    <row r="507" spans="8:20" x14ac:dyDescent="0.25">
      <c r="H507">
        <v>70.5</v>
      </c>
      <c r="I507" s="11">
        <v>4.207583333333333</v>
      </c>
      <c r="J507" s="10">
        <f t="shared" si="78"/>
        <v>6.4999999999999994E-5</v>
      </c>
      <c r="K507" s="17">
        <f t="shared" si="79"/>
        <v>2.5300000000000002E-4</v>
      </c>
      <c r="L507" s="10">
        <f t="shared" si="80"/>
        <v>1.3903E-2</v>
      </c>
      <c r="M507" s="11">
        <f t="shared" si="86"/>
        <v>4.2668402128120588</v>
      </c>
      <c r="N507" s="5">
        <f t="shared" si="81"/>
        <v>1.4083352552825452E-2</v>
      </c>
      <c r="O507">
        <f t="shared" si="82"/>
        <v>22764.002799999998</v>
      </c>
      <c r="P507">
        <f t="shared" ca="1" si="83"/>
        <v>22763</v>
      </c>
      <c r="Q507" t="str">
        <f t="shared" ca="1" si="87"/>
        <v>0101100011101011</v>
      </c>
      <c r="R507">
        <f t="shared" ca="1" si="84"/>
        <v>4.2680625000000001</v>
      </c>
      <c r="S507">
        <f t="shared" ca="1" si="85"/>
        <v>71.216750000000005</v>
      </c>
      <c r="T507" s="3">
        <f t="shared" ca="1" si="88"/>
        <v>1.0166666666666734E-2</v>
      </c>
    </row>
    <row r="508" spans="8:20" x14ac:dyDescent="0.25">
      <c r="H508">
        <v>70.599999999999994</v>
      </c>
      <c r="I508" s="11">
        <v>4.2162499999999996</v>
      </c>
      <c r="J508" s="10">
        <f t="shared" si="78"/>
        <v>6.6000000000000005E-5</v>
      </c>
      <c r="K508" s="17">
        <f t="shared" si="79"/>
        <v>2.5300000000000002E-4</v>
      </c>
      <c r="L508" s="10">
        <f t="shared" si="80"/>
        <v>1.3932999999999999E-2</v>
      </c>
      <c r="M508" s="11">
        <f t="shared" si="86"/>
        <v>4.2757581381386851</v>
      </c>
      <c r="N508" s="5">
        <f t="shared" si="81"/>
        <v>1.4113996593818085E-2</v>
      </c>
      <c r="O508">
        <f t="shared" si="82"/>
        <v>22811.5808</v>
      </c>
      <c r="P508">
        <f t="shared" ca="1" si="83"/>
        <v>22810</v>
      </c>
      <c r="Q508" t="str">
        <f t="shared" ca="1" si="87"/>
        <v>0101100100011010</v>
      </c>
      <c r="R508">
        <f t="shared" ca="1" si="84"/>
        <v>4.2768750000000004</v>
      </c>
      <c r="S508">
        <f t="shared" ca="1" si="85"/>
        <v>71.322500000000019</v>
      </c>
      <c r="T508" s="3">
        <f t="shared" ca="1" si="88"/>
        <v>1.0233711048158995E-2</v>
      </c>
    </row>
    <row r="509" spans="8:20" x14ac:dyDescent="0.25">
      <c r="H509">
        <v>70.7</v>
      </c>
      <c r="I509" s="11">
        <v>4.2244999999999999</v>
      </c>
      <c r="J509" s="10">
        <f t="shared" si="78"/>
        <v>6.7000000000000002E-5</v>
      </c>
      <c r="K509" s="17">
        <f t="shared" si="79"/>
        <v>2.5399999999999999E-4</v>
      </c>
      <c r="L509" s="10">
        <f t="shared" si="80"/>
        <v>1.3964000000000001E-2</v>
      </c>
      <c r="M509" s="11">
        <f t="shared" si="86"/>
        <v>4.2842583840752271</v>
      </c>
      <c r="N509" s="5">
        <f t="shared" si="81"/>
        <v>1.414567027464248E-2</v>
      </c>
      <c r="O509">
        <f t="shared" si="82"/>
        <v>22856.930400000001</v>
      </c>
      <c r="P509">
        <f t="shared" ca="1" si="83"/>
        <v>22855</v>
      </c>
      <c r="Q509" t="str">
        <f t="shared" ca="1" si="87"/>
        <v>0101100101000111</v>
      </c>
      <c r="R509">
        <f t="shared" ca="1" si="84"/>
        <v>4.2853124999999999</v>
      </c>
      <c r="S509">
        <f t="shared" ca="1" si="85"/>
        <v>71.423750000000013</v>
      </c>
      <c r="T509" s="3">
        <f t="shared" ca="1" si="88"/>
        <v>1.0236916548797874E-2</v>
      </c>
    </row>
    <row r="510" spans="8:20" x14ac:dyDescent="0.25">
      <c r="H510">
        <v>70.800000000000011</v>
      </c>
      <c r="I510" s="11">
        <v>4.233833333333334</v>
      </c>
      <c r="J510" s="10">
        <f t="shared" si="78"/>
        <v>6.7000000000000002E-5</v>
      </c>
      <c r="K510" s="17">
        <f t="shared" si="79"/>
        <v>2.5399999999999999E-4</v>
      </c>
      <c r="L510" s="10">
        <f t="shared" si="80"/>
        <v>1.3993999999999999E-2</v>
      </c>
      <c r="M510" s="11">
        <f t="shared" si="86"/>
        <v>4.293854533677619</v>
      </c>
      <c r="N510" s="5">
        <f t="shared" si="81"/>
        <v>1.4176561904724253E-2</v>
      </c>
      <c r="O510">
        <f t="shared" si="82"/>
        <v>22908.126799999998</v>
      </c>
      <c r="P510">
        <f t="shared" ca="1" si="83"/>
        <v>22909</v>
      </c>
      <c r="Q510" t="str">
        <f t="shared" ca="1" si="87"/>
        <v>0101100101111101</v>
      </c>
      <c r="R510">
        <f t="shared" ca="1" si="84"/>
        <v>4.2954375000000002</v>
      </c>
      <c r="S510">
        <f t="shared" ca="1" si="85"/>
        <v>71.54525000000001</v>
      </c>
      <c r="T510" s="3">
        <f t="shared" ca="1" si="88"/>
        <v>1.0526129943502804E-2</v>
      </c>
    </row>
    <row r="511" spans="8:20" x14ac:dyDescent="0.25">
      <c r="H511">
        <v>70.900000000000006</v>
      </c>
      <c r="I511" s="11">
        <v>4.2420833333333325</v>
      </c>
      <c r="J511" s="10">
        <f t="shared" si="78"/>
        <v>6.7999999999999999E-5</v>
      </c>
      <c r="K511" s="17">
        <f t="shared" si="79"/>
        <v>2.5500000000000002E-4</v>
      </c>
      <c r="L511" s="10">
        <f t="shared" si="80"/>
        <v>1.4024999999999999E-2</v>
      </c>
      <c r="M511" s="11">
        <f t="shared" si="86"/>
        <v>4.3023558744728136</v>
      </c>
      <c r="N511" s="5">
        <f t="shared" si="81"/>
        <v>1.4208240716506696E-2</v>
      </c>
      <c r="O511">
        <f t="shared" si="82"/>
        <v>22953.4823</v>
      </c>
      <c r="P511">
        <f t="shared" ca="1" si="83"/>
        <v>22954</v>
      </c>
      <c r="Q511" t="str">
        <f t="shared" ca="1" si="87"/>
        <v>0101100110101010</v>
      </c>
      <c r="R511">
        <f t="shared" ca="1" si="84"/>
        <v>4.3038749999999997</v>
      </c>
      <c r="S511">
        <f t="shared" ca="1" si="85"/>
        <v>71.646500000000003</v>
      </c>
      <c r="T511" s="3">
        <f t="shared" ca="1" si="88"/>
        <v>1.0528913963328597E-2</v>
      </c>
    </row>
    <row r="512" spans="8:20" x14ac:dyDescent="0.25">
      <c r="H512">
        <v>71</v>
      </c>
      <c r="I512" s="11">
        <v>4.250166666666666</v>
      </c>
      <c r="J512" s="10">
        <f t="shared" si="78"/>
        <v>6.7999999999999999E-5</v>
      </c>
      <c r="K512" s="17">
        <f t="shared" si="79"/>
        <v>2.5500000000000002E-4</v>
      </c>
      <c r="L512" s="10">
        <f t="shared" si="80"/>
        <v>1.4055E-2</v>
      </c>
      <c r="M512" s="11">
        <f t="shared" si="86"/>
        <v>4.3106853492503809</v>
      </c>
      <c r="N512" s="5">
        <f t="shared" si="81"/>
        <v>1.4239131622379114E-2</v>
      </c>
      <c r="O512">
        <f t="shared" si="82"/>
        <v>22997.9208</v>
      </c>
      <c r="P512">
        <f t="shared" ca="1" si="83"/>
        <v>23001</v>
      </c>
      <c r="Q512" t="str">
        <f t="shared" ca="1" si="87"/>
        <v>0101100111011001</v>
      </c>
      <c r="R512">
        <f t="shared" ca="1" si="84"/>
        <v>4.3126875</v>
      </c>
      <c r="S512">
        <f t="shared" ca="1" si="85"/>
        <v>71.752250000000004</v>
      </c>
      <c r="T512" s="3">
        <f t="shared" ca="1" si="88"/>
        <v>1.0595070422535262E-2</v>
      </c>
    </row>
    <row r="513" spans="8:20" x14ac:dyDescent="0.25">
      <c r="H513">
        <v>71.099999999999994</v>
      </c>
      <c r="I513" s="11">
        <v>4.2582499999999985</v>
      </c>
      <c r="J513" s="10">
        <f t="shared" si="78"/>
        <v>6.8999999999999997E-5</v>
      </c>
      <c r="K513" s="17">
        <f t="shared" si="79"/>
        <v>2.5599999999999999E-4</v>
      </c>
      <c r="L513" s="10">
        <f t="shared" si="80"/>
        <v>1.4086E-2</v>
      </c>
      <c r="M513" s="11">
        <f t="shared" si="86"/>
        <v>4.3190186973711695</v>
      </c>
      <c r="N513" s="5">
        <f t="shared" si="81"/>
        <v>1.4270814858491396E-2</v>
      </c>
      <c r="O513">
        <f t="shared" si="82"/>
        <v>23042.38</v>
      </c>
      <c r="P513">
        <f t="shared" ca="1" si="83"/>
        <v>23042</v>
      </c>
      <c r="Q513" t="str">
        <f t="shared" ca="1" si="87"/>
        <v>0101101000000010</v>
      </c>
      <c r="R513">
        <f t="shared" ca="1" si="84"/>
        <v>4.3203750000000003</v>
      </c>
      <c r="S513">
        <f t="shared" ca="1" si="85"/>
        <v>71.844500000000011</v>
      </c>
      <c r="T513" s="3">
        <f t="shared" ca="1" si="88"/>
        <v>1.0471167369901778E-2</v>
      </c>
    </row>
    <row r="514" spans="8:20" x14ac:dyDescent="0.25">
      <c r="H514">
        <v>71.2</v>
      </c>
      <c r="I514" s="11">
        <v>4.266916666666666</v>
      </c>
      <c r="J514" s="10">
        <f t="shared" si="78"/>
        <v>6.8999999999999997E-5</v>
      </c>
      <c r="K514" s="17">
        <f t="shared" si="79"/>
        <v>2.5599999999999999E-4</v>
      </c>
      <c r="L514" s="10">
        <f t="shared" si="80"/>
        <v>1.4116E-2</v>
      </c>
      <c r="M514" s="11">
        <f t="shared" si="86"/>
        <v>4.3279408801305896</v>
      </c>
      <c r="N514" s="5">
        <f t="shared" si="81"/>
        <v>1.4301712039667276E-2</v>
      </c>
      <c r="O514">
        <f t="shared" si="82"/>
        <v>23089.9807</v>
      </c>
      <c r="P514">
        <f t="shared" ca="1" si="83"/>
        <v>23090</v>
      </c>
      <c r="Q514" t="str">
        <f t="shared" ca="1" si="87"/>
        <v>0101101000110010</v>
      </c>
      <c r="R514">
        <f t="shared" ca="1" si="84"/>
        <v>4.3293749999999998</v>
      </c>
      <c r="S514">
        <f t="shared" ca="1" si="85"/>
        <v>71.952500000000001</v>
      </c>
      <c r="T514" s="3">
        <f t="shared" ca="1" si="88"/>
        <v>1.0568820224719069E-2</v>
      </c>
    </row>
    <row r="515" spans="8:20" x14ac:dyDescent="0.25">
      <c r="H515">
        <v>71.300000000000011</v>
      </c>
      <c r="I515" s="11">
        <v>4.2758333333333338</v>
      </c>
      <c r="J515" s="10">
        <f t="shared" ref="J515:J578" si="89">ROUND(H515*0.00000575 -0.00034,6)</f>
        <v>6.9999999999999994E-5</v>
      </c>
      <c r="K515" s="17">
        <f t="shared" ref="K515:K578" si="90">ROUND(H515*0.000005-0.0001,6)</f>
        <v>2.5700000000000001E-4</v>
      </c>
      <c r="L515" s="10">
        <f t="shared" ref="L515:L578" si="91">ROUND(K515+($C$24*(H515-25)),6)</f>
        <v>1.4147E-2</v>
      </c>
      <c r="M515" s="11">
        <f t="shared" si="86"/>
        <v>4.3371205781524571</v>
      </c>
      <c r="N515" s="5">
        <f t="shared" ref="N515:N578" si="92">ABS(I515-M515)/I515</f>
        <v>1.4333403582722264E-2</v>
      </c>
      <c r="O515">
        <f t="shared" ref="O515:O578" si="93">ROUND((M515*(2^($C$12-1)))/$C$44,4)</f>
        <v>23138.955300000001</v>
      </c>
      <c r="P515">
        <f t="shared" ref="P515:P578" ca="1" si="94">ROUND(O515+$C$47+$C$49+RANDBETWEEN($B$45,$D$45),0)</f>
        <v>23142</v>
      </c>
      <c r="Q515" t="str">
        <f t="shared" ca="1" si="87"/>
        <v>0101101001100110</v>
      </c>
      <c r="R515">
        <f t="shared" ref="R515:R578" ca="1" si="95">($C$16/2^($C$12-1)) * P515</f>
        <v>4.3391250000000001</v>
      </c>
      <c r="S515">
        <f t="shared" ref="S515:S578" ca="1" si="96">(R515+5/3)/(1/12)</f>
        <v>72.069500000000005</v>
      </c>
      <c r="T515" s="3">
        <f t="shared" ca="1" si="88"/>
        <v>1.079242636746134E-2</v>
      </c>
    </row>
    <row r="516" spans="8:20" x14ac:dyDescent="0.25">
      <c r="H516">
        <v>71.400000000000006</v>
      </c>
      <c r="I516" s="11">
        <v>4.2841666666666667</v>
      </c>
      <c r="J516" s="10">
        <f t="shared" si="89"/>
        <v>7.1000000000000005E-5</v>
      </c>
      <c r="K516" s="17">
        <f t="shared" si="90"/>
        <v>2.5700000000000001E-4</v>
      </c>
      <c r="L516" s="10">
        <f t="shared" si="91"/>
        <v>1.4177E-2</v>
      </c>
      <c r="M516" s="11">
        <f t="shared" ref="M516:M579" si="97">(I516-J516)/(1-L516)</f>
        <v>4.3457047225178016</v>
      </c>
      <c r="N516" s="5">
        <f t="shared" si="92"/>
        <v>1.4364066722692454E-2</v>
      </c>
      <c r="O516">
        <f t="shared" si="93"/>
        <v>23184.752499999999</v>
      </c>
      <c r="P516">
        <f t="shared" ca="1" si="94"/>
        <v>23187</v>
      </c>
      <c r="Q516" t="str">
        <f t="shared" ref="Q516:Q579" ca="1" si="98">_xlfn.BASE(P516,2,16)</f>
        <v>0101101010010011</v>
      </c>
      <c r="R516">
        <f t="shared" ca="1" si="95"/>
        <v>4.3475625000000004</v>
      </c>
      <c r="S516">
        <f t="shared" ca="1" si="96"/>
        <v>72.170750000000012</v>
      </c>
      <c r="T516" s="3">
        <f t="shared" ref="T516:T579" ca="1" si="99">ABS(H516-S516)/H516</f>
        <v>1.0794817927170961E-2</v>
      </c>
    </row>
    <row r="517" spans="8:20" x14ac:dyDescent="0.25">
      <c r="H517">
        <v>71.5</v>
      </c>
      <c r="I517" s="11">
        <v>4.2914166666666658</v>
      </c>
      <c r="J517" s="10">
        <f t="shared" si="89"/>
        <v>7.1000000000000005E-5</v>
      </c>
      <c r="K517" s="17">
        <f t="shared" si="90"/>
        <v>2.5799999999999998E-4</v>
      </c>
      <c r="L517" s="10">
        <f t="shared" si="91"/>
        <v>1.4208E-2</v>
      </c>
      <c r="M517" s="11">
        <f t="shared" si="97"/>
        <v>4.3531958736393337</v>
      </c>
      <c r="N517" s="5">
        <f t="shared" si="92"/>
        <v>1.4395993624327925E-2</v>
      </c>
      <c r="O517">
        <f t="shared" si="93"/>
        <v>23224.718499999999</v>
      </c>
      <c r="P517">
        <f t="shared" ca="1" si="94"/>
        <v>23222</v>
      </c>
      <c r="Q517" t="str">
        <f t="shared" ca="1" si="98"/>
        <v>0101101010110110</v>
      </c>
      <c r="R517">
        <f t="shared" ca="1" si="95"/>
        <v>4.3541249999999998</v>
      </c>
      <c r="S517">
        <f t="shared" ca="1" si="96"/>
        <v>72.249500000000012</v>
      </c>
      <c r="T517" s="3">
        <f t="shared" ca="1" si="99"/>
        <v>1.0482517482517648E-2</v>
      </c>
    </row>
    <row r="518" spans="8:20" x14ac:dyDescent="0.25">
      <c r="H518">
        <v>71.599999999999994</v>
      </c>
      <c r="I518" s="11">
        <v>4.3003333333333327</v>
      </c>
      <c r="J518" s="10">
        <f t="shared" si="89"/>
        <v>7.2000000000000002E-5</v>
      </c>
      <c r="K518" s="17">
        <f t="shared" si="90"/>
        <v>2.5799999999999998E-4</v>
      </c>
      <c r="L518" s="10">
        <f t="shared" si="91"/>
        <v>1.4238000000000001E-2</v>
      </c>
      <c r="M518" s="11">
        <f t="shared" si="97"/>
        <v>4.3623727972201527</v>
      </c>
      <c r="N518" s="5">
        <f t="shared" si="92"/>
        <v>1.4426663953217587E-2</v>
      </c>
      <c r="O518">
        <f t="shared" si="93"/>
        <v>23273.6783</v>
      </c>
      <c r="P518">
        <f t="shared" ca="1" si="94"/>
        <v>23276</v>
      </c>
      <c r="Q518" t="str">
        <f t="shared" ca="1" si="98"/>
        <v>0101101011101100</v>
      </c>
      <c r="R518">
        <f t="shared" ca="1" si="95"/>
        <v>4.3642500000000002</v>
      </c>
      <c r="S518">
        <f t="shared" ca="1" si="96"/>
        <v>72.371000000000009</v>
      </c>
      <c r="T518" s="3">
        <f t="shared" ca="1" si="99"/>
        <v>1.0768156424581217E-2</v>
      </c>
    </row>
    <row r="519" spans="8:20" x14ac:dyDescent="0.25">
      <c r="H519">
        <v>71.7</v>
      </c>
      <c r="I519" s="11">
        <v>4.3086666666666664</v>
      </c>
      <c r="J519" s="10">
        <f t="shared" si="89"/>
        <v>7.2000000000000002E-5</v>
      </c>
      <c r="K519" s="17">
        <f t="shared" si="90"/>
        <v>2.5900000000000001E-4</v>
      </c>
      <c r="L519" s="10">
        <f t="shared" si="91"/>
        <v>1.4269E-2</v>
      </c>
      <c r="M519" s="11">
        <f t="shared" si="97"/>
        <v>4.3709639512875889</v>
      </c>
      <c r="N519" s="5">
        <f t="shared" si="92"/>
        <v>1.4458599246694051E-2</v>
      </c>
      <c r="O519">
        <f t="shared" si="93"/>
        <v>23319.512900000002</v>
      </c>
      <c r="P519">
        <f t="shared" ca="1" si="94"/>
        <v>23318</v>
      </c>
      <c r="Q519" t="str">
        <f t="shared" ca="1" si="98"/>
        <v>0101101100010110</v>
      </c>
      <c r="R519">
        <f t="shared" ca="1" si="95"/>
        <v>4.3721250000000005</v>
      </c>
      <c r="S519">
        <f t="shared" ca="1" si="96"/>
        <v>72.46550000000002</v>
      </c>
      <c r="T519" s="3">
        <f t="shared" ca="1" si="99"/>
        <v>1.0676429567643196E-2</v>
      </c>
    </row>
    <row r="520" spans="8:20" x14ac:dyDescent="0.25">
      <c r="H520">
        <v>71.800000000000011</v>
      </c>
      <c r="I520" s="11">
        <v>4.3166666666666673</v>
      </c>
      <c r="J520" s="10">
        <f t="shared" si="89"/>
        <v>7.2999999999999999E-5</v>
      </c>
      <c r="K520" s="17">
        <f t="shared" si="90"/>
        <v>2.5900000000000001E-4</v>
      </c>
      <c r="L520" s="10">
        <f t="shared" si="91"/>
        <v>1.4298999999999999E-2</v>
      </c>
      <c r="M520" s="11">
        <f t="shared" si="97"/>
        <v>4.3792120193310815</v>
      </c>
      <c r="N520" s="5">
        <f t="shared" si="92"/>
        <v>1.4489270887509077E-2</v>
      </c>
      <c r="O520">
        <f t="shared" si="93"/>
        <v>23363.517199999998</v>
      </c>
      <c r="P520">
        <f t="shared" ca="1" si="94"/>
        <v>23362</v>
      </c>
      <c r="Q520" t="str">
        <f t="shared" ca="1" si="98"/>
        <v>0101101101000010</v>
      </c>
      <c r="R520">
        <f t="shared" ca="1" si="95"/>
        <v>4.3803749999999999</v>
      </c>
      <c r="S520">
        <f t="shared" ca="1" si="96"/>
        <v>72.56450000000001</v>
      </c>
      <c r="T520" s="3">
        <f t="shared" ca="1" si="99"/>
        <v>1.0647632311977689E-2</v>
      </c>
    </row>
    <row r="521" spans="8:20" x14ac:dyDescent="0.25">
      <c r="H521">
        <v>71.900000000000006</v>
      </c>
      <c r="I521" s="11">
        <v>4.3250833333333336</v>
      </c>
      <c r="J521" s="10">
        <f t="shared" si="89"/>
        <v>7.2999999999999999E-5</v>
      </c>
      <c r="K521" s="17">
        <f t="shared" si="90"/>
        <v>2.5999999999999998E-4</v>
      </c>
      <c r="L521" s="10">
        <f t="shared" si="91"/>
        <v>1.4330000000000001E-2</v>
      </c>
      <c r="M521" s="11">
        <f t="shared" si="97"/>
        <v>4.387888779544201</v>
      </c>
      <c r="N521" s="5">
        <f t="shared" si="92"/>
        <v>1.4521210661266803E-2</v>
      </c>
      <c r="O521">
        <f t="shared" si="93"/>
        <v>23409.808499999999</v>
      </c>
      <c r="P521">
        <f t="shared" ca="1" si="94"/>
        <v>23411</v>
      </c>
      <c r="Q521" t="str">
        <f t="shared" ca="1" si="98"/>
        <v>0101101101110011</v>
      </c>
      <c r="R521">
        <f t="shared" ca="1" si="95"/>
        <v>4.3895625000000003</v>
      </c>
      <c r="S521">
        <f t="shared" ca="1" si="96"/>
        <v>72.674750000000017</v>
      </c>
      <c r="T521" s="3">
        <f t="shared" ca="1" si="99"/>
        <v>1.0775382475660801E-2</v>
      </c>
    </row>
    <row r="522" spans="8:20" x14ac:dyDescent="0.25">
      <c r="H522">
        <v>72</v>
      </c>
      <c r="I522" s="11">
        <v>4.3341666666666665</v>
      </c>
      <c r="J522" s="10">
        <f t="shared" si="89"/>
        <v>7.3999999999999996E-5</v>
      </c>
      <c r="K522" s="17">
        <f t="shared" si="90"/>
        <v>2.5999999999999998E-4</v>
      </c>
      <c r="L522" s="10">
        <f t="shared" si="91"/>
        <v>1.436E-2</v>
      </c>
      <c r="M522" s="11">
        <f t="shared" si="97"/>
        <v>4.3972369898407804</v>
      </c>
      <c r="N522" s="5">
        <f t="shared" si="92"/>
        <v>1.455189152257963E-2</v>
      </c>
      <c r="O522">
        <f t="shared" si="93"/>
        <v>23459.682100000002</v>
      </c>
      <c r="P522">
        <f t="shared" ca="1" si="94"/>
        <v>23459</v>
      </c>
      <c r="Q522" t="str">
        <f t="shared" ca="1" si="98"/>
        <v>0101101110100011</v>
      </c>
      <c r="R522">
        <f t="shared" ca="1" si="95"/>
        <v>4.3985624999999997</v>
      </c>
      <c r="S522">
        <f t="shared" ca="1" si="96"/>
        <v>72.782750000000007</v>
      </c>
      <c r="T522" s="3">
        <f t="shared" ca="1" si="99"/>
        <v>1.0871527777777877E-2</v>
      </c>
    </row>
    <row r="523" spans="8:20" x14ac:dyDescent="0.25">
      <c r="H523">
        <v>72.099999999999994</v>
      </c>
      <c r="I523" s="11">
        <v>4.3414166666666656</v>
      </c>
      <c r="J523" s="10">
        <f t="shared" si="89"/>
        <v>7.4999999999999993E-5</v>
      </c>
      <c r="K523" s="17">
        <f t="shared" si="90"/>
        <v>2.61E-4</v>
      </c>
      <c r="L523" s="10">
        <f t="shared" si="91"/>
        <v>1.4390999999999999E-2</v>
      </c>
      <c r="M523" s="11">
        <f t="shared" si="97"/>
        <v>4.4047301380838304</v>
      </c>
      <c r="N523" s="5">
        <f t="shared" si="92"/>
        <v>1.458359707864134E-2</v>
      </c>
      <c r="O523">
        <f t="shared" si="93"/>
        <v>23499.658800000001</v>
      </c>
      <c r="P523">
        <f t="shared" ca="1" si="94"/>
        <v>23502</v>
      </c>
      <c r="Q523" t="str">
        <f t="shared" ca="1" si="98"/>
        <v>0101101111001110</v>
      </c>
      <c r="R523">
        <f t="shared" ca="1" si="95"/>
        <v>4.406625</v>
      </c>
      <c r="S523">
        <f t="shared" ca="1" si="96"/>
        <v>72.879500000000007</v>
      </c>
      <c r="T523" s="3">
        <f t="shared" ca="1" si="99"/>
        <v>1.0811373092926672E-2</v>
      </c>
    </row>
    <row r="524" spans="8:20" x14ac:dyDescent="0.25">
      <c r="H524">
        <v>72.2</v>
      </c>
      <c r="I524" s="11">
        <v>4.3496666666666659</v>
      </c>
      <c r="J524" s="10">
        <f t="shared" si="89"/>
        <v>7.4999999999999993E-5</v>
      </c>
      <c r="K524" s="17">
        <f t="shared" si="90"/>
        <v>2.61E-4</v>
      </c>
      <c r="L524" s="10">
        <f t="shared" si="91"/>
        <v>1.4421E-2</v>
      </c>
      <c r="M524" s="11">
        <f t="shared" si="97"/>
        <v>4.4132349275569656</v>
      </c>
      <c r="N524" s="5">
        <f t="shared" si="92"/>
        <v>1.4614513194183385E-2</v>
      </c>
      <c r="O524">
        <f t="shared" si="93"/>
        <v>23545.0327</v>
      </c>
      <c r="P524">
        <f t="shared" ca="1" si="94"/>
        <v>23548</v>
      </c>
      <c r="Q524" t="str">
        <f t="shared" ca="1" si="98"/>
        <v>0101101111111100</v>
      </c>
      <c r="R524">
        <f t="shared" ca="1" si="95"/>
        <v>4.4152500000000003</v>
      </c>
      <c r="S524">
        <f t="shared" ca="1" si="96"/>
        <v>72.983000000000018</v>
      </c>
      <c r="T524" s="3">
        <f t="shared" ca="1" si="99"/>
        <v>1.0844875346260602E-2</v>
      </c>
    </row>
    <row r="525" spans="8:20" x14ac:dyDescent="0.25">
      <c r="H525">
        <v>72.300000000000011</v>
      </c>
      <c r="I525" s="11">
        <v>4.3574999999999999</v>
      </c>
      <c r="J525" s="10">
        <f t="shared" si="89"/>
        <v>7.6000000000000004E-5</v>
      </c>
      <c r="K525" s="17">
        <f t="shared" si="90"/>
        <v>2.6200000000000003E-4</v>
      </c>
      <c r="L525" s="10">
        <f t="shared" si="91"/>
        <v>1.4452E-2</v>
      </c>
      <c r="M525" s="11">
        <f t="shared" si="97"/>
        <v>4.4213209300815386</v>
      </c>
      <c r="N525" s="5">
        <f t="shared" si="92"/>
        <v>1.4646226065757582E-2</v>
      </c>
      <c r="O525">
        <f t="shared" si="93"/>
        <v>23588.172299999998</v>
      </c>
      <c r="P525">
        <f t="shared" ca="1" si="94"/>
        <v>23586</v>
      </c>
      <c r="Q525" t="str">
        <f t="shared" ca="1" si="98"/>
        <v>0101110000100010</v>
      </c>
      <c r="R525">
        <f t="shared" ca="1" si="95"/>
        <v>4.4223749999999997</v>
      </c>
      <c r="S525">
        <f t="shared" ca="1" si="96"/>
        <v>73.0685</v>
      </c>
      <c r="T525" s="3">
        <f t="shared" ca="1" si="99"/>
        <v>1.0629322268326262E-2</v>
      </c>
    </row>
    <row r="526" spans="8:20" x14ac:dyDescent="0.25">
      <c r="H526">
        <v>72.400000000000006</v>
      </c>
      <c r="I526" s="11">
        <v>4.3669166666666666</v>
      </c>
      <c r="J526" s="10">
        <f t="shared" si="89"/>
        <v>7.6000000000000004E-5</v>
      </c>
      <c r="K526" s="17">
        <f t="shared" si="90"/>
        <v>2.6200000000000003E-4</v>
      </c>
      <c r="L526" s="10">
        <f t="shared" si="91"/>
        <v>1.4482E-2</v>
      </c>
      <c r="M526" s="11">
        <f t="shared" si="97"/>
        <v>4.4310105616200479</v>
      </c>
      <c r="N526" s="5">
        <f t="shared" si="92"/>
        <v>1.4677150915798262E-2</v>
      </c>
      <c r="O526">
        <f t="shared" si="93"/>
        <v>23639.867399999999</v>
      </c>
      <c r="P526">
        <f t="shared" ca="1" si="94"/>
        <v>23640</v>
      </c>
      <c r="Q526" t="str">
        <f t="shared" ca="1" si="98"/>
        <v>0101110001011000</v>
      </c>
      <c r="R526">
        <f t="shared" ca="1" si="95"/>
        <v>4.4325000000000001</v>
      </c>
      <c r="S526">
        <f t="shared" ca="1" si="96"/>
        <v>73.190000000000012</v>
      </c>
      <c r="T526" s="3">
        <f t="shared" ca="1" si="99"/>
        <v>1.0911602209944837E-2</v>
      </c>
    </row>
    <row r="527" spans="8:20" x14ac:dyDescent="0.25">
      <c r="H527">
        <v>72.5</v>
      </c>
      <c r="I527" s="11">
        <v>4.3752499999999994</v>
      </c>
      <c r="J527" s="10">
        <f t="shared" si="89"/>
        <v>7.7000000000000001E-5</v>
      </c>
      <c r="K527" s="17">
        <f t="shared" si="90"/>
        <v>2.63E-4</v>
      </c>
      <c r="L527" s="10">
        <f t="shared" si="91"/>
        <v>1.4513E-2</v>
      </c>
      <c r="M527" s="11">
        <f t="shared" si="97"/>
        <v>4.4396049871789272</v>
      </c>
      <c r="N527" s="5">
        <f t="shared" si="92"/>
        <v>1.4708870848277869E-2</v>
      </c>
      <c r="O527">
        <f t="shared" si="93"/>
        <v>23685.719499999999</v>
      </c>
      <c r="P527">
        <f t="shared" ca="1" si="94"/>
        <v>23687</v>
      </c>
      <c r="Q527" t="str">
        <f t="shared" ca="1" si="98"/>
        <v>0101110010000111</v>
      </c>
      <c r="R527">
        <f t="shared" ca="1" si="95"/>
        <v>4.4413125000000004</v>
      </c>
      <c r="S527">
        <f t="shared" ca="1" si="96"/>
        <v>73.295750000000012</v>
      </c>
      <c r="T527" s="3">
        <f t="shared" ca="1" si="99"/>
        <v>1.0975862068965688E-2</v>
      </c>
    </row>
    <row r="528" spans="8:20" x14ac:dyDescent="0.25">
      <c r="H528">
        <v>72.599999999999994</v>
      </c>
      <c r="I528" s="11">
        <v>4.3828333333333322</v>
      </c>
      <c r="J528" s="10">
        <f t="shared" si="89"/>
        <v>7.7000000000000001E-5</v>
      </c>
      <c r="K528" s="17">
        <f t="shared" si="90"/>
        <v>2.63E-4</v>
      </c>
      <c r="L528" s="10">
        <f t="shared" si="91"/>
        <v>1.4543E-2</v>
      </c>
      <c r="M528" s="11">
        <f t="shared" si="97"/>
        <v>4.4474353861541722</v>
      </c>
      <c r="N528" s="5">
        <f t="shared" si="92"/>
        <v>1.4739792254821461E-2</v>
      </c>
      <c r="O528">
        <f t="shared" si="93"/>
        <v>23727.4954</v>
      </c>
      <c r="P528">
        <f t="shared" ca="1" si="94"/>
        <v>23726</v>
      </c>
      <c r="Q528" t="str">
        <f t="shared" ca="1" si="98"/>
        <v>0101110010101110</v>
      </c>
      <c r="R528">
        <f t="shared" ca="1" si="95"/>
        <v>4.4486249999999998</v>
      </c>
      <c r="S528">
        <f t="shared" ca="1" si="96"/>
        <v>73.383500000000012</v>
      </c>
      <c r="T528" s="3">
        <f t="shared" ca="1" si="99"/>
        <v>1.0792011019283993E-2</v>
      </c>
    </row>
    <row r="529" spans="8:20" x14ac:dyDescent="0.25">
      <c r="H529">
        <v>72.7</v>
      </c>
      <c r="I529" s="11">
        <v>4.3915833333333323</v>
      </c>
      <c r="J529" s="10">
        <f t="shared" si="89"/>
        <v>7.7999999999999999E-5</v>
      </c>
      <c r="K529" s="17">
        <f t="shared" si="90"/>
        <v>2.6400000000000002E-4</v>
      </c>
      <c r="L529" s="10">
        <f t="shared" si="91"/>
        <v>1.4574E-2</v>
      </c>
      <c r="M529" s="11">
        <f t="shared" si="97"/>
        <v>4.4564536894026867</v>
      </c>
      <c r="N529" s="5">
        <f t="shared" si="92"/>
        <v>1.4771518868142722E-2</v>
      </c>
      <c r="O529">
        <f t="shared" si="93"/>
        <v>23775.608899999999</v>
      </c>
      <c r="P529">
        <f t="shared" ca="1" si="94"/>
        <v>23779</v>
      </c>
      <c r="Q529" t="str">
        <f t="shared" ca="1" si="98"/>
        <v>0101110011100011</v>
      </c>
      <c r="R529">
        <f t="shared" ca="1" si="95"/>
        <v>4.4585625000000002</v>
      </c>
      <c r="S529">
        <f t="shared" ca="1" si="96"/>
        <v>73.502750000000006</v>
      </c>
      <c r="T529" s="3">
        <f t="shared" ca="1" si="99"/>
        <v>1.1041953232462216E-2</v>
      </c>
    </row>
    <row r="530" spans="8:20" x14ac:dyDescent="0.25">
      <c r="H530">
        <v>72.800000000000011</v>
      </c>
      <c r="I530" s="11">
        <v>4.4000833333333338</v>
      </c>
      <c r="J530" s="10">
        <f t="shared" si="89"/>
        <v>7.8999999999999996E-5</v>
      </c>
      <c r="K530" s="17">
        <f t="shared" si="90"/>
        <v>2.6400000000000002E-4</v>
      </c>
      <c r="L530" s="10">
        <f t="shared" si="91"/>
        <v>1.4604000000000001E-2</v>
      </c>
      <c r="M530" s="11">
        <f t="shared" si="97"/>
        <v>4.4652143233109669</v>
      </c>
      <c r="N530" s="5">
        <f t="shared" si="92"/>
        <v>1.480221737716326E-2</v>
      </c>
      <c r="O530">
        <f t="shared" si="93"/>
        <v>23822.347699999998</v>
      </c>
      <c r="P530">
        <f t="shared" ca="1" si="94"/>
        <v>23824</v>
      </c>
      <c r="Q530" t="str">
        <f t="shared" ca="1" si="98"/>
        <v>0101110100010000</v>
      </c>
      <c r="R530">
        <f t="shared" ca="1" si="95"/>
        <v>4.4670000000000005</v>
      </c>
      <c r="S530">
        <f t="shared" ca="1" si="96"/>
        <v>73.604000000000013</v>
      </c>
      <c r="T530" s="3">
        <f t="shared" ca="1" si="99"/>
        <v>1.104395604395607E-2</v>
      </c>
    </row>
    <row r="531" spans="8:20" x14ac:dyDescent="0.25">
      <c r="H531">
        <v>72.900000000000006</v>
      </c>
      <c r="I531" s="11">
        <v>4.4089999999999998</v>
      </c>
      <c r="J531" s="10">
        <f t="shared" si="89"/>
        <v>7.8999999999999996E-5</v>
      </c>
      <c r="K531" s="17">
        <f t="shared" si="90"/>
        <v>2.6499999999999999E-4</v>
      </c>
      <c r="L531" s="10">
        <f t="shared" si="91"/>
        <v>1.4635E-2</v>
      </c>
      <c r="M531" s="11">
        <f t="shared" si="97"/>
        <v>4.4744039010924874</v>
      </c>
      <c r="N531" s="5">
        <f t="shared" si="92"/>
        <v>1.483418033397315E-2</v>
      </c>
      <c r="O531">
        <f t="shared" si="93"/>
        <v>23871.375</v>
      </c>
      <c r="P531">
        <f t="shared" ca="1" si="94"/>
        <v>23874</v>
      </c>
      <c r="Q531" t="str">
        <f t="shared" ca="1" si="98"/>
        <v>0101110101000010</v>
      </c>
      <c r="R531">
        <f t="shared" ca="1" si="95"/>
        <v>4.476375</v>
      </c>
      <c r="S531">
        <f t="shared" ca="1" si="96"/>
        <v>73.716500000000011</v>
      </c>
      <c r="T531" s="3">
        <f t="shared" ca="1" si="99"/>
        <v>1.1200274348422563E-2</v>
      </c>
    </row>
    <row r="532" spans="8:20" x14ac:dyDescent="0.25">
      <c r="H532">
        <v>73</v>
      </c>
      <c r="I532" s="11">
        <v>4.4173333333333327</v>
      </c>
      <c r="J532" s="10">
        <f t="shared" si="89"/>
        <v>8.0000000000000007E-5</v>
      </c>
      <c r="K532" s="17">
        <f t="shared" si="90"/>
        <v>2.6499999999999999E-4</v>
      </c>
      <c r="L532" s="10">
        <f t="shared" si="91"/>
        <v>1.4664999999999999E-2</v>
      </c>
      <c r="M532" s="11">
        <f t="shared" si="97"/>
        <v>4.4829964766636046</v>
      </c>
      <c r="N532" s="5">
        <f t="shared" si="92"/>
        <v>1.4864883035829741E-2</v>
      </c>
      <c r="O532">
        <f t="shared" si="93"/>
        <v>23917.217199999999</v>
      </c>
      <c r="P532">
        <f t="shared" ca="1" si="94"/>
        <v>23915</v>
      </c>
      <c r="Q532" t="str">
        <f t="shared" ca="1" si="98"/>
        <v>0101110101101011</v>
      </c>
      <c r="R532">
        <f t="shared" ca="1" si="95"/>
        <v>4.4840625000000003</v>
      </c>
      <c r="S532">
        <f t="shared" ca="1" si="96"/>
        <v>73.808750000000018</v>
      </c>
      <c r="T532" s="3">
        <f t="shared" ca="1" si="99"/>
        <v>1.1078767123287913E-2</v>
      </c>
    </row>
    <row r="533" spans="8:20" x14ac:dyDescent="0.25">
      <c r="H533">
        <v>73.099999999999994</v>
      </c>
      <c r="I533" s="11">
        <v>4.4252499999999992</v>
      </c>
      <c r="J533" s="10">
        <f t="shared" si="89"/>
        <v>8.0000000000000007E-5</v>
      </c>
      <c r="K533" s="17">
        <f t="shared" si="90"/>
        <v>2.6600000000000001E-4</v>
      </c>
      <c r="L533" s="10">
        <f t="shared" si="91"/>
        <v>1.4696000000000001E-2</v>
      </c>
      <c r="M533" s="11">
        <f t="shared" si="97"/>
        <v>4.4911722676453154</v>
      </c>
      <c r="N533" s="5">
        <f t="shared" si="92"/>
        <v>1.4896845973745253E-2</v>
      </c>
      <c r="O533">
        <f t="shared" si="93"/>
        <v>23960.835899999998</v>
      </c>
      <c r="P533">
        <f t="shared" ca="1" si="94"/>
        <v>23962</v>
      </c>
      <c r="Q533" t="str">
        <f t="shared" ca="1" si="98"/>
        <v>0101110110011010</v>
      </c>
      <c r="R533">
        <f t="shared" ca="1" si="95"/>
        <v>4.4928749999999997</v>
      </c>
      <c r="S533">
        <f t="shared" ca="1" si="96"/>
        <v>73.914500000000004</v>
      </c>
      <c r="T533" s="3">
        <f t="shared" ca="1" si="99"/>
        <v>1.1142270861833236E-2</v>
      </c>
    </row>
    <row r="534" spans="8:20" x14ac:dyDescent="0.25">
      <c r="H534">
        <v>73.2</v>
      </c>
      <c r="I534" s="11">
        <v>4.434166666666667</v>
      </c>
      <c r="J534" s="10">
        <f t="shared" si="89"/>
        <v>8.1000000000000004E-5</v>
      </c>
      <c r="K534" s="17">
        <f t="shared" si="90"/>
        <v>2.6600000000000001E-4</v>
      </c>
      <c r="L534" s="10">
        <f t="shared" si="91"/>
        <v>1.4726E-2</v>
      </c>
      <c r="M534" s="11">
        <f t="shared" si="97"/>
        <v>4.5003579376565988</v>
      </c>
      <c r="N534" s="5">
        <f t="shared" si="92"/>
        <v>1.4927555945859435E-2</v>
      </c>
      <c r="O534">
        <f t="shared" si="93"/>
        <v>24009.8423</v>
      </c>
      <c r="P534">
        <f t="shared" ca="1" si="94"/>
        <v>24012</v>
      </c>
      <c r="Q534" t="str">
        <f t="shared" ca="1" si="98"/>
        <v>0101110111001100</v>
      </c>
      <c r="R534">
        <f t="shared" ca="1" si="95"/>
        <v>4.5022500000000001</v>
      </c>
      <c r="S534">
        <f t="shared" ca="1" si="96"/>
        <v>74.027000000000015</v>
      </c>
      <c r="T534" s="3">
        <f t="shared" ca="1" si="99"/>
        <v>1.1297814207650442E-2</v>
      </c>
    </row>
    <row r="535" spans="8:20" x14ac:dyDescent="0.25">
      <c r="H535">
        <v>73.300000000000011</v>
      </c>
      <c r="I535" s="11">
        <v>4.4419166666666667</v>
      </c>
      <c r="J535" s="10">
        <f t="shared" si="89"/>
        <v>8.1000000000000004E-5</v>
      </c>
      <c r="K535" s="17">
        <f t="shared" si="90"/>
        <v>2.6699999999999998E-4</v>
      </c>
      <c r="L535" s="10">
        <f t="shared" si="91"/>
        <v>1.4756999999999999E-2</v>
      </c>
      <c r="M535" s="11">
        <f t="shared" si="97"/>
        <v>4.5083656180928635</v>
      </c>
      <c r="N535" s="5">
        <f t="shared" si="92"/>
        <v>1.4959522299201946E-2</v>
      </c>
      <c r="O535">
        <f t="shared" si="93"/>
        <v>24052.563999999998</v>
      </c>
      <c r="P535">
        <f t="shared" ca="1" si="94"/>
        <v>24052</v>
      </c>
      <c r="Q535" t="str">
        <f t="shared" ca="1" si="98"/>
        <v>0101110111110100</v>
      </c>
      <c r="R535">
        <f t="shared" ca="1" si="95"/>
        <v>4.5097500000000004</v>
      </c>
      <c r="S535">
        <f t="shared" ca="1" si="96"/>
        <v>74.117000000000019</v>
      </c>
      <c r="T535" s="3">
        <f t="shared" ca="1" si="99"/>
        <v>1.1145975443383454E-2</v>
      </c>
    </row>
    <row r="536" spans="8:20" x14ac:dyDescent="0.25">
      <c r="H536">
        <v>73.400000000000006</v>
      </c>
      <c r="I536" s="11">
        <v>4.4500833333333336</v>
      </c>
      <c r="J536" s="10">
        <f t="shared" si="89"/>
        <v>8.2000000000000001E-5</v>
      </c>
      <c r="K536" s="17">
        <f t="shared" si="90"/>
        <v>2.6699999999999998E-4</v>
      </c>
      <c r="L536" s="10">
        <f t="shared" si="91"/>
        <v>1.4787E-2</v>
      </c>
      <c r="M536" s="11">
        <f t="shared" si="97"/>
        <v>4.5167911236791776</v>
      </c>
      <c r="N536" s="5">
        <f t="shared" si="92"/>
        <v>1.4990233968467395E-2</v>
      </c>
      <c r="O536">
        <f t="shared" si="93"/>
        <v>24097.514899999998</v>
      </c>
      <c r="P536">
        <f t="shared" ca="1" si="94"/>
        <v>24100</v>
      </c>
      <c r="Q536" t="str">
        <f t="shared" ca="1" si="98"/>
        <v>0101111000100100</v>
      </c>
      <c r="R536">
        <f t="shared" ca="1" si="95"/>
        <v>4.5187499999999998</v>
      </c>
      <c r="S536">
        <f t="shared" ca="1" si="96"/>
        <v>74.225000000000009</v>
      </c>
      <c r="T536" s="3">
        <f t="shared" ca="1" si="99"/>
        <v>1.1239782016348811E-2</v>
      </c>
    </row>
    <row r="537" spans="8:20" x14ac:dyDescent="0.25">
      <c r="H537">
        <v>73.5</v>
      </c>
      <c r="I537" s="11">
        <v>4.457749999999999</v>
      </c>
      <c r="J537" s="10">
        <f t="shared" si="89"/>
        <v>8.2999999999999998E-5</v>
      </c>
      <c r="K537" s="17">
        <f t="shared" si="90"/>
        <v>2.6800000000000001E-4</v>
      </c>
      <c r="L537" s="10">
        <f t="shared" si="91"/>
        <v>1.4818E-2</v>
      </c>
      <c r="M537" s="11">
        <f t="shared" si="97"/>
        <v>4.5247142152414463</v>
      </c>
      <c r="N537" s="5">
        <f t="shared" si="92"/>
        <v>1.5021976387515535E-2</v>
      </c>
      <c r="O537">
        <f t="shared" si="93"/>
        <v>24139.785400000001</v>
      </c>
      <c r="P537">
        <f t="shared" ca="1" si="94"/>
        <v>24143</v>
      </c>
      <c r="Q537" t="str">
        <f t="shared" ca="1" si="98"/>
        <v>0101111001001111</v>
      </c>
      <c r="R537">
        <f t="shared" ca="1" si="95"/>
        <v>4.5268125000000001</v>
      </c>
      <c r="S537">
        <f t="shared" ca="1" si="96"/>
        <v>74.321750000000009</v>
      </c>
      <c r="T537" s="3">
        <f t="shared" ca="1" si="99"/>
        <v>1.1180272108843654E-2</v>
      </c>
    </row>
    <row r="538" spans="8:20" x14ac:dyDescent="0.25">
      <c r="H538">
        <v>73.599999999999994</v>
      </c>
      <c r="I538" s="11">
        <v>4.4671666666666656</v>
      </c>
      <c r="J538" s="10">
        <f t="shared" si="89"/>
        <v>8.2999999999999998E-5</v>
      </c>
      <c r="K538" s="17">
        <f t="shared" si="90"/>
        <v>2.6800000000000001E-4</v>
      </c>
      <c r="L538" s="10">
        <f t="shared" si="91"/>
        <v>1.4848E-2</v>
      </c>
      <c r="M538" s="11">
        <f t="shared" si="97"/>
        <v>4.5344105951839566</v>
      </c>
      <c r="N538" s="5">
        <f t="shared" si="92"/>
        <v>1.5052925833068912E-2</v>
      </c>
      <c r="O538">
        <f t="shared" si="93"/>
        <v>24191.516500000002</v>
      </c>
      <c r="P538">
        <f t="shared" ca="1" si="94"/>
        <v>24194</v>
      </c>
      <c r="Q538" t="str">
        <f t="shared" ca="1" si="98"/>
        <v>0101111010000010</v>
      </c>
      <c r="R538">
        <f t="shared" ca="1" si="95"/>
        <v>4.5363750000000005</v>
      </c>
      <c r="S538">
        <f t="shared" ca="1" si="96"/>
        <v>74.436500000000009</v>
      </c>
      <c r="T538" s="3">
        <f t="shared" ca="1" si="99"/>
        <v>1.1365489130434989E-2</v>
      </c>
    </row>
    <row r="539" spans="8:20" x14ac:dyDescent="0.25">
      <c r="H539">
        <v>73.7</v>
      </c>
      <c r="I539" s="11">
        <v>4.4751666666666656</v>
      </c>
      <c r="J539" s="10">
        <f t="shared" si="89"/>
        <v>8.3999999999999995E-5</v>
      </c>
      <c r="K539" s="17">
        <f t="shared" si="90"/>
        <v>2.6899999999999998E-4</v>
      </c>
      <c r="L539" s="10">
        <f t="shared" si="91"/>
        <v>1.4879E-2</v>
      </c>
      <c r="M539" s="11">
        <f t="shared" si="97"/>
        <v>4.5426730997173603</v>
      </c>
      <c r="N539" s="5">
        <f t="shared" si="92"/>
        <v>1.508467462307431E-2</v>
      </c>
      <c r="O539">
        <f t="shared" si="93"/>
        <v>24235.5978</v>
      </c>
      <c r="P539">
        <f t="shared" ca="1" si="94"/>
        <v>24236</v>
      </c>
      <c r="Q539" t="str">
        <f t="shared" ca="1" si="98"/>
        <v>0101111010101100</v>
      </c>
      <c r="R539">
        <f t="shared" ca="1" si="95"/>
        <v>4.5442499999999999</v>
      </c>
      <c r="S539">
        <f t="shared" ca="1" si="96"/>
        <v>74.531000000000006</v>
      </c>
      <c r="T539" s="3">
        <f t="shared" ca="1" si="99"/>
        <v>1.1275440976933556E-2</v>
      </c>
    </row>
    <row r="540" spans="8:20" x14ac:dyDescent="0.25">
      <c r="H540">
        <v>73.800000000000011</v>
      </c>
      <c r="I540" s="11">
        <v>4.4835833333333337</v>
      </c>
      <c r="J540" s="10">
        <f t="shared" si="89"/>
        <v>8.3999999999999995E-5</v>
      </c>
      <c r="K540" s="17">
        <f t="shared" si="90"/>
        <v>2.6899999999999998E-4</v>
      </c>
      <c r="L540" s="10">
        <f t="shared" si="91"/>
        <v>1.4909E-2</v>
      </c>
      <c r="M540" s="11">
        <f t="shared" si="97"/>
        <v>4.5513554923690638</v>
      </c>
      <c r="N540" s="5">
        <f t="shared" si="92"/>
        <v>1.5115623820767633E-2</v>
      </c>
      <c r="O540">
        <f t="shared" si="93"/>
        <v>24281.9192</v>
      </c>
      <c r="P540">
        <f t="shared" ca="1" si="94"/>
        <v>24284</v>
      </c>
      <c r="Q540" t="str">
        <f t="shared" ca="1" si="98"/>
        <v>0101111011011100</v>
      </c>
      <c r="R540">
        <f t="shared" ca="1" si="95"/>
        <v>4.5532500000000002</v>
      </c>
      <c r="S540">
        <f t="shared" ca="1" si="96"/>
        <v>74.63900000000001</v>
      </c>
      <c r="T540" s="3">
        <f t="shared" ca="1" si="99"/>
        <v>1.1368563685636835E-2</v>
      </c>
    </row>
    <row r="541" spans="8:20" x14ac:dyDescent="0.25">
      <c r="H541">
        <v>73.900000000000006</v>
      </c>
      <c r="I541" s="11">
        <v>4.4916666666666663</v>
      </c>
      <c r="J541" s="10">
        <f t="shared" si="89"/>
        <v>8.5000000000000006E-5</v>
      </c>
      <c r="K541" s="17">
        <f t="shared" si="90"/>
        <v>2.7E-4</v>
      </c>
      <c r="L541" s="10">
        <f t="shared" si="91"/>
        <v>1.494E-2</v>
      </c>
      <c r="M541" s="11">
        <f t="shared" si="97"/>
        <v>4.559703639033831</v>
      </c>
      <c r="N541" s="5">
        <f t="shared" si="92"/>
        <v>1.5147377892504218E-2</v>
      </c>
      <c r="O541">
        <f t="shared" si="93"/>
        <v>24326.457299999998</v>
      </c>
      <c r="P541">
        <f t="shared" ca="1" si="94"/>
        <v>24324</v>
      </c>
      <c r="Q541" t="str">
        <f t="shared" ca="1" si="98"/>
        <v>0101111100000100</v>
      </c>
      <c r="R541">
        <f t="shared" ca="1" si="95"/>
        <v>4.5607500000000005</v>
      </c>
      <c r="S541">
        <f t="shared" ca="1" si="96"/>
        <v>74.729000000000013</v>
      </c>
      <c r="T541" s="3">
        <f t="shared" ca="1" si="99"/>
        <v>1.1217861975642864E-2</v>
      </c>
    </row>
    <row r="542" spans="8:20" x14ac:dyDescent="0.25">
      <c r="H542">
        <v>74</v>
      </c>
      <c r="I542" s="11">
        <v>4.5002499999999994</v>
      </c>
      <c r="J542" s="10">
        <f t="shared" si="89"/>
        <v>8.6000000000000003E-5</v>
      </c>
      <c r="K542" s="17">
        <f t="shared" si="90"/>
        <v>2.7E-4</v>
      </c>
      <c r="L542" s="10">
        <f t="shared" si="91"/>
        <v>1.4970000000000001E-2</v>
      </c>
      <c r="M542" s="11">
        <f t="shared" si="97"/>
        <v>4.5685552724282505</v>
      </c>
      <c r="N542" s="5">
        <f t="shared" si="92"/>
        <v>1.517810620037801E-2</v>
      </c>
      <c r="O542">
        <f t="shared" si="93"/>
        <v>24373.6816</v>
      </c>
      <c r="P542">
        <f t="shared" ca="1" si="94"/>
        <v>24375</v>
      </c>
      <c r="Q542" t="str">
        <f t="shared" ca="1" si="98"/>
        <v>0101111100110111</v>
      </c>
      <c r="R542">
        <f t="shared" ca="1" si="95"/>
        <v>4.5703125</v>
      </c>
      <c r="S542">
        <f t="shared" ca="1" si="96"/>
        <v>74.843750000000014</v>
      </c>
      <c r="T542" s="3">
        <f t="shared" ca="1" si="99"/>
        <v>1.1402027027027219E-2</v>
      </c>
    </row>
    <row r="543" spans="8:20" x14ac:dyDescent="0.25">
      <c r="H543">
        <v>74.099999999999994</v>
      </c>
      <c r="I543" s="11">
        <v>4.5091666666666663</v>
      </c>
      <c r="J543" s="10">
        <f t="shared" si="89"/>
        <v>8.6000000000000003E-5</v>
      </c>
      <c r="K543" s="17">
        <f t="shared" si="90"/>
        <v>2.7099999999999997E-4</v>
      </c>
      <c r="L543" s="10">
        <f t="shared" si="91"/>
        <v>1.5001E-2</v>
      </c>
      <c r="M543" s="11">
        <f t="shared" si="97"/>
        <v>4.5777515171758214</v>
      </c>
      <c r="N543" s="5">
        <f t="shared" si="92"/>
        <v>1.5210094365364277E-2</v>
      </c>
      <c r="O543">
        <f t="shared" si="93"/>
        <v>24422.744500000001</v>
      </c>
      <c r="P543">
        <f t="shared" ca="1" si="94"/>
        <v>24425</v>
      </c>
      <c r="Q543" t="str">
        <f t="shared" ca="1" si="98"/>
        <v>0101111101101001</v>
      </c>
      <c r="R543">
        <f t="shared" ca="1" si="95"/>
        <v>4.5796875000000004</v>
      </c>
      <c r="S543">
        <f t="shared" ca="1" si="96"/>
        <v>74.956250000000011</v>
      </c>
      <c r="T543" s="3">
        <f t="shared" ca="1" si="99"/>
        <v>1.1555330634278233E-2</v>
      </c>
    </row>
    <row r="544" spans="8:20" x14ac:dyDescent="0.25">
      <c r="H544">
        <v>74.2</v>
      </c>
      <c r="I544" s="11">
        <v>4.5175000000000001</v>
      </c>
      <c r="J544" s="10">
        <f t="shared" si="89"/>
        <v>8.7000000000000001E-5</v>
      </c>
      <c r="K544" s="17">
        <f t="shared" si="90"/>
        <v>2.7099999999999997E-4</v>
      </c>
      <c r="L544" s="10">
        <f t="shared" si="91"/>
        <v>1.5030999999999999E-2</v>
      </c>
      <c r="M544" s="11">
        <f t="shared" si="97"/>
        <v>4.5863504333638927</v>
      </c>
      <c r="N544" s="5">
        <f t="shared" si="92"/>
        <v>1.5240826422555092E-2</v>
      </c>
      <c r="O544">
        <f t="shared" si="93"/>
        <v>24468.620500000001</v>
      </c>
      <c r="P544">
        <f t="shared" ca="1" si="94"/>
        <v>24472</v>
      </c>
      <c r="Q544" t="str">
        <f t="shared" ca="1" si="98"/>
        <v>0101111110011000</v>
      </c>
      <c r="R544">
        <f t="shared" ca="1" si="95"/>
        <v>4.5884999999999998</v>
      </c>
      <c r="S544">
        <f t="shared" ca="1" si="96"/>
        <v>75.062000000000012</v>
      </c>
      <c r="T544" s="3">
        <f t="shared" ca="1" si="99"/>
        <v>1.1617250673854568E-2</v>
      </c>
    </row>
    <row r="545" spans="8:20" x14ac:dyDescent="0.25">
      <c r="H545">
        <v>74.300000000000011</v>
      </c>
      <c r="I545" s="11">
        <v>4.5256666666666669</v>
      </c>
      <c r="J545" s="10">
        <f t="shared" si="89"/>
        <v>8.7000000000000001E-5</v>
      </c>
      <c r="K545" s="17">
        <f t="shared" si="90"/>
        <v>2.72E-4</v>
      </c>
      <c r="L545" s="10">
        <f t="shared" si="91"/>
        <v>1.5062000000000001E-2</v>
      </c>
      <c r="M545" s="11">
        <f t="shared" si="97"/>
        <v>4.5947863384971104</v>
      </c>
      <c r="N545" s="5">
        <f t="shared" si="92"/>
        <v>1.5272815459330506E-2</v>
      </c>
      <c r="O545">
        <f t="shared" si="93"/>
        <v>24513.626899999999</v>
      </c>
      <c r="P545">
        <f t="shared" ca="1" si="94"/>
        <v>24515</v>
      </c>
      <c r="Q545" t="str">
        <f t="shared" ca="1" si="98"/>
        <v>0101111111000011</v>
      </c>
      <c r="R545">
        <f t="shared" ca="1" si="95"/>
        <v>4.5965625000000001</v>
      </c>
      <c r="S545">
        <f t="shared" ca="1" si="96"/>
        <v>75.158750000000012</v>
      </c>
      <c r="T545" s="3">
        <f t="shared" ca="1" si="99"/>
        <v>1.1557873485868108E-2</v>
      </c>
    </row>
    <row r="546" spans="8:20" x14ac:dyDescent="0.25">
      <c r="H546">
        <v>74.400000000000006</v>
      </c>
      <c r="I546" s="11">
        <v>4.533666666666667</v>
      </c>
      <c r="J546" s="10">
        <f t="shared" si="89"/>
        <v>8.7999999999999998E-5</v>
      </c>
      <c r="K546" s="17">
        <f t="shared" si="90"/>
        <v>2.72E-4</v>
      </c>
      <c r="L546" s="10">
        <f t="shared" si="91"/>
        <v>1.5092E-2</v>
      </c>
      <c r="M546" s="11">
        <f t="shared" si="97"/>
        <v>4.6030478650459408</v>
      </c>
      <c r="N546" s="5">
        <f t="shared" si="92"/>
        <v>1.5303550851983047E-2</v>
      </c>
      <c r="O546">
        <f t="shared" si="93"/>
        <v>24557.7029</v>
      </c>
      <c r="P546">
        <f t="shared" ca="1" si="94"/>
        <v>24558</v>
      </c>
      <c r="Q546" t="str">
        <f t="shared" ca="1" si="98"/>
        <v>0101111111101110</v>
      </c>
      <c r="R546">
        <f t="shared" ca="1" si="95"/>
        <v>4.6046250000000004</v>
      </c>
      <c r="S546">
        <f t="shared" ca="1" si="96"/>
        <v>75.255500000000012</v>
      </c>
      <c r="T546" s="3">
        <f t="shared" ca="1" si="99"/>
        <v>1.1498655913978579E-2</v>
      </c>
    </row>
    <row r="547" spans="8:20" x14ac:dyDescent="0.25">
      <c r="H547">
        <v>74.5</v>
      </c>
      <c r="I547" s="11">
        <v>4.5412499999999998</v>
      </c>
      <c r="J547" s="10">
        <f t="shared" si="89"/>
        <v>8.7999999999999998E-5</v>
      </c>
      <c r="K547" s="17">
        <f t="shared" si="90"/>
        <v>2.7300000000000002E-4</v>
      </c>
      <c r="L547" s="10">
        <f t="shared" si="91"/>
        <v>1.5122999999999999E-2</v>
      </c>
      <c r="M547" s="11">
        <f t="shared" si="97"/>
        <v>4.6108925276963522</v>
      </c>
      <c r="N547" s="5">
        <f t="shared" si="92"/>
        <v>1.5335541469056401E-2</v>
      </c>
      <c r="O547">
        <f t="shared" si="93"/>
        <v>24599.555</v>
      </c>
      <c r="P547">
        <f t="shared" ca="1" si="94"/>
        <v>24602</v>
      </c>
      <c r="Q547" t="str">
        <f t="shared" ca="1" si="98"/>
        <v>0110000000011010</v>
      </c>
      <c r="R547">
        <f t="shared" ca="1" si="95"/>
        <v>4.6128749999999998</v>
      </c>
      <c r="S547">
        <f t="shared" ca="1" si="96"/>
        <v>75.354500000000002</v>
      </c>
      <c r="T547" s="3">
        <f t="shared" ca="1" si="99"/>
        <v>1.1469798657718142E-2</v>
      </c>
    </row>
    <row r="548" spans="8:20" x14ac:dyDescent="0.25">
      <c r="H548">
        <v>74.599999999999994</v>
      </c>
      <c r="I548" s="11">
        <v>4.5503333333333327</v>
      </c>
      <c r="J548" s="10">
        <f t="shared" si="89"/>
        <v>8.8999999999999995E-5</v>
      </c>
      <c r="K548" s="17">
        <f t="shared" si="90"/>
        <v>2.7300000000000002E-4</v>
      </c>
      <c r="L548" s="10">
        <f t="shared" si="91"/>
        <v>1.5153E-2</v>
      </c>
      <c r="M548" s="11">
        <f t="shared" si="97"/>
        <v>4.6202550582307023</v>
      </c>
      <c r="N548" s="5">
        <f t="shared" si="92"/>
        <v>1.5366286330093678E-2</v>
      </c>
      <c r="O548">
        <f t="shared" si="93"/>
        <v>24649.505000000001</v>
      </c>
      <c r="P548">
        <f t="shared" ca="1" si="94"/>
        <v>24647</v>
      </c>
      <c r="Q548" t="str">
        <f t="shared" ca="1" si="98"/>
        <v>0110000001000111</v>
      </c>
      <c r="R548">
        <f t="shared" ca="1" si="95"/>
        <v>4.6213125000000002</v>
      </c>
      <c r="S548">
        <f t="shared" ca="1" si="96"/>
        <v>75.455750000000009</v>
      </c>
      <c r="T548" s="3">
        <f t="shared" ca="1" si="99"/>
        <v>1.1471179624665076E-2</v>
      </c>
    </row>
    <row r="549" spans="8:20" x14ac:dyDescent="0.25">
      <c r="H549">
        <v>74.7</v>
      </c>
      <c r="I549" s="11">
        <v>4.5586666666666664</v>
      </c>
      <c r="J549" s="10">
        <f t="shared" si="89"/>
        <v>9.0000000000000006E-5</v>
      </c>
      <c r="K549" s="17">
        <f t="shared" si="90"/>
        <v>2.7399999999999999E-4</v>
      </c>
      <c r="L549" s="10">
        <f t="shared" si="91"/>
        <v>1.5184E-2</v>
      </c>
      <c r="M549" s="11">
        <f t="shared" si="97"/>
        <v>4.6288612965941516</v>
      </c>
      <c r="N549" s="5">
        <f t="shared" si="92"/>
        <v>1.5398061551802827E-2</v>
      </c>
      <c r="O549">
        <f t="shared" si="93"/>
        <v>24695.420099999999</v>
      </c>
      <c r="P549">
        <f t="shared" ca="1" si="94"/>
        <v>24693</v>
      </c>
      <c r="Q549" t="str">
        <f t="shared" ca="1" si="98"/>
        <v>0110000001110101</v>
      </c>
      <c r="R549">
        <f t="shared" ca="1" si="95"/>
        <v>4.6299375000000005</v>
      </c>
      <c r="S549">
        <f t="shared" ca="1" si="96"/>
        <v>75.55925000000002</v>
      </c>
      <c r="T549" s="3">
        <f t="shared" ca="1" si="99"/>
        <v>1.1502677376171581E-2</v>
      </c>
    </row>
    <row r="550" spans="8:20" x14ac:dyDescent="0.25">
      <c r="H550">
        <v>74.800000000000011</v>
      </c>
      <c r="I550" s="11">
        <v>4.5670833333333336</v>
      </c>
      <c r="J550" s="10">
        <f t="shared" si="89"/>
        <v>9.0000000000000006E-5</v>
      </c>
      <c r="K550" s="17">
        <f t="shared" si="90"/>
        <v>2.7399999999999999E-4</v>
      </c>
      <c r="L550" s="10">
        <f t="shared" si="91"/>
        <v>1.5214E-2</v>
      </c>
      <c r="M550" s="11">
        <f t="shared" si="97"/>
        <v>4.6375490038783385</v>
      </c>
      <c r="N550" s="5">
        <f t="shared" si="92"/>
        <v>1.5429031047168291E-2</v>
      </c>
      <c r="O550">
        <f t="shared" si="93"/>
        <v>24741.769799999998</v>
      </c>
      <c r="P550">
        <f t="shared" ca="1" si="94"/>
        <v>24739</v>
      </c>
      <c r="Q550" t="str">
        <f t="shared" ca="1" si="98"/>
        <v>0110000010100011</v>
      </c>
      <c r="R550">
        <f t="shared" ca="1" si="95"/>
        <v>4.6385624999999999</v>
      </c>
      <c r="S550">
        <f t="shared" ca="1" si="96"/>
        <v>75.662750000000003</v>
      </c>
      <c r="T550" s="3">
        <f t="shared" ca="1" si="99"/>
        <v>1.1534090909090791E-2</v>
      </c>
    </row>
    <row r="551" spans="8:20" x14ac:dyDescent="0.25">
      <c r="H551">
        <v>74.900000000000006</v>
      </c>
      <c r="I551" s="11">
        <v>4.5756666666666659</v>
      </c>
      <c r="J551" s="10">
        <f t="shared" si="89"/>
        <v>9.1000000000000003E-5</v>
      </c>
      <c r="K551" s="17">
        <f t="shared" si="90"/>
        <v>2.7500000000000002E-4</v>
      </c>
      <c r="L551" s="10">
        <f t="shared" si="91"/>
        <v>1.5245E-2</v>
      </c>
      <c r="M551" s="11">
        <f t="shared" si="97"/>
        <v>4.6464101900134196</v>
      </c>
      <c r="N551" s="5">
        <f t="shared" si="92"/>
        <v>1.5460812270726392E-2</v>
      </c>
      <c r="O551">
        <f t="shared" si="93"/>
        <v>24789.045099999999</v>
      </c>
      <c r="P551">
        <f t="shared" ca="1" si="94"/>
        <v>24791</v>
      </c>
      <c r="Q551" t="str">
        <f t="shared" ca="1" si="98"/>
        <v>0110000011010111</v>
      </c>
      <c r="R551">
        <f t="shared" ca="1" si="95"/>
        <v>4.6483125000000003</v>
      </c>
      <c r="S551">
        <f t="shared" ca="1" si="96"/>
        <v>75.779750000000007</v>
      </c>
      <c r="T551" s="3">
        <f t="shared" ca="1" si="99"/>
        <v>1.1745660881174918E-2</v>
      </c>
    </row>
    <row r="552" spans="8:20" x14ac:dyDescent="0.25">
      <c r="H552">
        <v>75</v>
      </c>
      <c r="I552" s="11">
        <v>4.5831666666666662</v>
      </c>
      <c r="J552" s="10">
        <f t="shared" si="89"/>
        <v>9.1000000000000003E-5</v>
      </c>
      <c r="K552" s="17">
        <f t="shared" si="90"/>
        <v>2.7500000000000002E-4</v>
      </c>
      <c r="L552" s="10">
        <f t="shared" si="91"/>
        <v>1.5275E-2</v>
      </c>
      <c r="M552" s="11">
        <f t="shared" si="97"/>
        <v>4.6541680841520892</v>
      </c>
      <c r="N552" s="5">
        <f t="shared" si="92"/>
        <v>1.5491781697972216E-2</v>
      </c>
      <c r="O552">
        <f t="shared" si="93"/>
        <v>24830.4342</v>
      </c>
      <c r="P552">
        <f t="shared" ca="1" si="94"/>
        <v>24829</v>
      </c>
      <c r="Q552" t="str">
        <f t="shared" ca="1" si="98"/>
        <v>0110000011111101</v>
      </c>
      <c r="R552">
        <f t="shared" ca="1" si="95"/>
        <v>4.6554374999999997</v>
      </c>
      <c r="S552">
        <f t="shared" ca="1" si="96"/>
        <v>75.865250000000003</v>
      </c>
      <c r="T552" s="3">
        <f t="shared" ca="1" si="99"/>
        <v>1.1536666666666709E-2</v>
      </c>
    </row>
    <row r="553" spans="8:20" x14ac:dyDescent="0.25">
      <c r="H553">
        <v>75.099999999999994</v>
      </c>
      <c r="I553" s="11">
        <v>4.5908333333333315</v>
      </c>
      <c r="J553" s="10">
        <f t="shared" si="89"/>
        <v>9.2E-5</v>
      </c>
      <c r="K553" s="17">
        <f t="shared" si="90"/>
        <v>2.7599999999999999E-4</v>
      </c>
      <c r="L553" s="10">
        <f t="shared" si="91"/>
        <v>1.5306E-2</v>
      </c>
      <c r="M553" s="11">
        <f t="shared" si="97"/>
        <v>4.6620994271655265</v>
      </c>
      <c r="N553" s="5">
        <f t="shared" si="92"/>
        <v>1.5523563731826825E-2</v>
      </c>
      <c r="O553">
        <f t="shared" si="93"/>
        <v>24872.7487</v>
      </c>
      <c r="P553">
        <f t="shared" ca="1" si="94"/>
        <v>24873</v>
      </c>
      <c r="Q553" t="str">
        <f t="shared" ca="1" si="98"/>
        <v>0110000100101001</v>
      </c>
      <c r="R553">
        <f t="shared" ca="1" si="95"/>
        <v>4.6636875</v>
      </c>
      <c r="S553">
        <f t="shared" ca="1" si="96"/>
        <v>75.964250000000007</v>
      </c>
      <c r="T553" s="3">
        <f t="shared" ca="1" si="99"/>
        <v>1.1507989347536787E-2</v>
      </c>
    </row>
    <row r="554" spans="8:20" x14ac:dyDescent="0.25">
      <c r="H554">
        <v>75.2</v>
      </c>
      <c r="I554" s="11">
        <v>4.5996666666666659</v>
      </c>
      <c r="J554" s="10">
        <f t="shared" si="89"/>
        <v>9.2E-5</v>
      </c>
      <c r="K554" s="17">
        <f t="shared" si="90"/>
        <v>2.7599999999999999E-4</v>
      </c>
      <c r="L554" s="10">
        <f t="shared" si="91"/>
        <v>1.5336000000000001E-2</v>
      </c>
      <c r="M554" s="11">
        <f t="shared" si="97"/>
        <v>4.6712123797220837</v>
      </c>
      <c r="N554" s="5">
        <f t="shared" si="92"/>
        <v>1.5554543022411292E-2</v>
      </c>
      <c r="O554">
        <f t="shared" si="93"/>
        <v>24921.367200000001</v>
      </c>
      <c r="P554">
        <f t="shared" ca="1" si="94"/>
        <v>24925</v>
      </c>
      <c r="Q554" t="str">
        <f t="shared" ca="1" si="98"/>
        <v>0110000101011101</v>
      </c>
      <c r="R554">
        <f t="shared" ca="1" si="95"/>
        <v>4.6734375000000004</v>
      </c>
      <c r="S554">
        <f t="shared" ca="1" si="96"/>
        <v>76.081250000000011</v>
      </c>
      <c r="T554" s="3">
        <f t="shared" ca="1" si="99"/>
        <v>1.1718750000000113E-2</v>
      </c>
    </row>
    <row r="555" spans="8:20" x14ac:dyDescent="0.25">
      <c r="H555">
        <v>75.300000000000011</v>
      </c>
      <c r="I555" s="11">
        <v>4.6079166666666671</v>
      </c>
      <c r="J555" s="10">
        <f t="shared" si="89"/>
        <v>9.2999999999999997E-5</v>
      </c>
      <c r="K555" s="17">
        <f t="shared" si="90"/>
        <v>2.7700000000000001E-4</v>
      </c>
      <c r="L555" s="10">
        <f t="shared" si="91"/>
        <v>1.5367E-2</v>
      </c>
      <c r="M555" s="11">
        <f t="shared" si="97"/>
        <v>4.6797371880352046</v>
      </c>
      <c r="N555" s="5">
        <f t="shared" si="92"/>
        <v>1.5586332515099907E-2</v>
      </c>
      <c r="O555">
        <f t="shared" si="93"/>
        <v>24966.8478</v>
      </c>
      <c r="P555">
        <f t="shared" ca="1" si="94"/>
        <v>24968</v>
      </c>
      <c r="Q555" t="str">
        <f t="shared" ca="1" si="98"/>
        <v>0110000110001000</v>
      </c>
      <c r="R555">
        <f t="shared" ca="1" si="95"/>
        <v>4.6814999999999998</v>
      </c>
      <c r="S555">
        <f t="shared" ca="1" si="96"/>
        <v>76.178000000000011</v>
      </c>
      <c r="T555" s="3">
        <f t="shared" ca="1" si="99"/>
        <v>1.1660026560424967E-2</v>
      </c>
    </row>
    <row r="556" spans="8:20" x14ac:dyDescent="0.25">
      <c r="H556">
        <v>75.400000000000006</v>
      </c>
      <c r="I556" s="11">
        <v>4.6160000000000005</v>
      </c>
      <c r="J556" s="10">
        <f t="shared" si="89"/>
        <v>9.3999999999999994E-5</v>
      </c>
      <c r="K556" s="17">
        <f t="shared" si="90"/>
        <v>2.7700000000000001E-4</v>
      </c>
      <c r="L556" s="10">
        <f t="shared" si="91"/>
        <v>1.5396999999999999E-2</v>
      </c>
      <c r="M556" s="11">
        <f t="shared" si="97"/>
        <v>4.6880884986131477</v>
      </c>
      <c r="N556" s="5">
        <f t="shared" si="92"/>
        <v>1.5617092420525809E-2</v>
      </c>
      <c r="O556">
        <f t="shared" si="93"/>
        <v>25011.402900000001</v>
      </c>
      <c r="P556">
        <f t="shared" ca="1" si="94"/>
        <v>25012</v>
      </c>
      <c r="Q556" t="str">
        <f t="shared" ca="1" si="98"/>
        <v>0110000110110100</v>
      </c>
      <c r="R556">
        <f t="shared" ca="1" si="95"/>
        <v>4.6897500000000001</v>
      </c>
      <c r="S556">
        <f t="shared" ca="1" si="96"/>
        <v>76.277000000000015</v>
      </c>
      <c r="T556" s="3">
        <f t="shared" ca="1" si="99"/>
        <v>1.1631299734748137E-2</v>
      </c>
    </row>
    <row r="557" spans="8:20" x14ac:dyDescent="0.25">
      <c r="H557">
        <v>75.5</v>
      </c>
      <c r="I557" s="11">
        <v>4.6245833333333328</v>
      </c>
      <c r="J557" s="10">
        <f t="shared" si="89"/>
        <v>9.3999999999999994E-5</v>
      </c>
      <c r="K557" s="17">
        <f t="shared" si="90"/>
        <v>2.7799999999999998E-4</v>
      </c>
      <c r="L557" s="10">
        <f t="shared" si="91"/>
        <v>1.5428000000000001E-2</v>
      </c>
      <c r="M557" s="11">
        <f t="shared" si="97"/>
        <v>4.6969539386995907</v>
      </c>
      <c r="N557" s="5">
        <f t="shared" si="92"/>
        <v>1.5649108287144681E-2</v>
      </c>
      <c r="O557">
        <f t="shared" si="93"/>
        <v>25058.7009</v>
      </c>
      <c r="P557">
        <f t="shared" ca="1" si="94"/>
        <v>25060</v>
      </c>
      <c r="Q557" t="str">
        <f t="shared" ca="1" si="98"/>
        <v>0110000111100100</v>
      </c>
      <c r="R557">
        <f t="shared" ca="1" si="95"/>
        <v>4.6987500000000004</v>
      </c>
      <c r="S557">
        <f t="shared" ca="1" si="96"/>
        <v>76.385000000000019</v>
      </c>
      <c r="T557" s="3">
        <f t="shared" ca="1" si="99"/>
        <v>1.1721854304636018E-2</v>
      </c>
    </row>
    <row r="558" spans="8:20" x14ac:dyDescent="0.25">
      <c r="H558">
        <v>75.599999999999994</v>
      </c>
      <c r="I558" s="11">
        <v>4.6335833333333323</v>
      </c>
      <c r="J558" s="10">
        <f t="shared" si="89"/>
        <v>9.5000000000000005E-5</v>
      </c>
      <c r="K558" s="17">
        <f t="shared" si="90"/>
        <v>2.7799999999999998E-4</v>
      </c>
      <c r="L558" s="10">
        <f t="shared" si="91"/>
        <v>1.5458E-2</v>
      </c>
      <c r="M558" s="11">
        <f t="shared" si="97"/>
        <v>4.7062373502941792</v>
      </c>
      <c r="N558" s="5">
        <f t="shared" si="92"/>
        <v>1.5679877048543487E-2</v>
      </c>
      <c r="O558">
        <f t="shared" si="93"/>
        <v>25108.228800000001</v>
      </c>
      <c r="P558">
        <f t="shared" ca="1" si="94"/>
        <v>25111</v>
      </c>
      <c r="Q558" t="str">
        <f t="shared" ca="1" si="98"/>
        <v>0110001000010111</v>
      </c>
      <c r="R558">
        <f t="shared" ca="1" si="95"/>
        <v>4.7083124999999999</v>
      </c>
      <c r="S558">
        <f t="shared" ca="1" si="96"/>
        <v>76.499750000000006</v>
      </c>
      <c r="T558" s="3">
        <f t="shared" ca="1" si="99"/>
        <v>1.190145502645518E-2</v>
      </c>
    </row>
    <row r="559" spans="8:20" x14ac:dyDescent="0.25">
      <c r="H559">
        <v>75.7</v>
      </c>
      <c r="I559" s="11">
        <v>4.6424166666666666</v>
      </c>
      <c r="J559" s="10">
        <f t="shared" si="89"/>
        <v>9.5000000000000005E-5</v>
      </c>
      <c r="K559" s="17">
        <f t="shared" si="90"/>
        <v>2.7900000000000001E-4</v>
      </c>
      <c r="L559" s="10">
        <f t="shared" si="91"/>
        <v>1.5488999999999999E-2</v>
      </c>
      <c r="M559" s="11">
        <f t="shared" si="97"/>
        <v>4.715357844317297</v>
      </c>
      <c r="N559" s="5">
        <f t="shared" si="92"/>
        <v>1.5711898109956456E-2</v>
      </c>
      <c r="O559">
        <f t="shared" si="93"/>
        <v>25156.887500000001</v>
      </c>
      <c r="P559">
        <f t="shared" ca="1" si="94"/>
        <v>25158</v>
      </c>
      <c r="Q559" t="str">
        <f t="shared" ca="1" si="98"/>
        <v>0110001001000110</v>
      </c>
      <c r="R559">
        <f t="shared" ca="1" si="95"/>
        <v>4.7171250000000002</v>
      </c>
      <c r="S559">
        <f t="shared" ca="1" si="96"/>
        <v>76.605500000000006</v>
      </c>
      <c r="T559" s="3">
        <f t="shared" ca="1" si="99"/>
        <v>1.1961690885072701E-2</v>
      </c>
    </row>
    <row r="560" spans="8:20" x14ac:dyDescent="0.25">
      <c r="H560">
        <v>75.800000000000011</v>
      </c>
      <c r="I560" s="11">
        <v>4.6495833333333341</v>
      </c>
      <c r="J560" s="10">
        <f t="shared" si="89"/>
        <v>9.6000000000000002E-5</v>
      </c>
      <c r="K560" s="17">
        <f t="shared" si="90"/>
        <v>2.7900000000000001E-4</v>
      </c>
      <c r="L560" s="10">
        <f t="shared" si="91"/>
        <v>1.5519E-2</v>
      </c>
      <c r="M560" s="11">
        <f t="shared" si="97"/>
        <v>4.7227801586148779</v>
      </c>
      <c r="N560" s="5">
        <f t="shared" si="92"/>
        <v>1.5742663381638596E-2</v>
      </c>
      <c r="O560">
        <f t="shared" si="93"/>
        <v>25196.486199999999</v>
      </c>
      <c r="P560">
        <f t="shared" ca="1" si="94"/>
        <v>25199</v>
      </c>
      <c r="Q560" t="str">
        <f t="shared" ca="1" si="98"/>
        <v>0110001001101111</v>
      </c>
      <c r="R560">
        <f t="shared" ca="1" si="95"/>
        <v>4.7248125000000005</v>
      </c>
      <c r="S560">
        <f t="shared" ca="1" si="96"/>
        <v>76.697750000000013</v>
      </c>
      <c r="T560" s="3">
        <f t="shared" ca="1" si="99"/>
        <v>1.1843667546174167E-2</v>
      </c>
    </row>
    <row r="561" spans="8:20" x14ac:dyDescent="0.25">
      <c r="H561">
        <v>75.900000000000006</v>
      </c>
      <c r="I561" s="11">
        <v>4.6577499999999992</v>
      </c>
      <c r="J561" s="10">
        <f t="shared" si="89"/>
        <v>9.6000000000000002E-5</v>
      </c>
      <c r="K561" s="17">
        <f t="shared" si="90"/>
        <v>2.7999999999999998E-4</v>
      </c>
      <c r="L561" s="10">
        <f t="shared" si="91"/>
        <v>1.555E-2</v>
      </c>
      <c r="M561" s="11">
        <f t="shared" si="97"/>
        <v>4.7312245416222245</v>
      </c>
      <c r="N561" s="5">
        <f t="shared" si="92"/>
        <v>1.5774685550367741E-2</v>
      </c>
      <c r="O561">
        <f t="shared" si="93"/>
        <v>25241.537799999998</v>
      </c>
      <c r="P561">
        <f t="shared" ca="1" si="94"/>
        <v>25242</v>
      </c>
      <c r="Q561" t="str">
        <f t="shared" ca="1" si="98"/>
        <v>0110001010011010</v>
      </c>
      <c r="R561">
        <f t="shared" ca="1" si="95"/>
        <v>4.7328749999999999</v>
      </c>
      <c r="S561">
        <f t="shared" ca="1" si="96"/>
        <v>76.794500000000014</v>
      </c>
      <c r="T561" s="3">
        <f t="shared" ca="1" si="99"/>
        <v>1.1785243741765584E-2</v>
      </c>
    </row>
    <row r="562" spans="8:20" x14ac:dyDescent="0.25">
      <c r="H562">
        <v>76</v>
      </c>
      <c r="I562" s="11">
        <v>4.665916666666666</v>
      </c>
      <c r="J562" s="10">
        <f t="shared" si="89"/>
        <v>9.7E-5</v>
      </c>
      <c r="K562" s="17">
        <f t="shared" si="90"/>
        <v>2.7999999999999998E-4</v>
      </c>
      <c r="L562" s="10">
        <f t="shared" si="91"/>
        <v>1.558E-2</v>
      </c>
      <c r="M562" s="11">
        <f t="shared" si="97"/>
        <v>4.7396636259591087</v>
      </c>
      <c r="N562" s="5">
        <f t="shared" si="92"/>
        <v>1.5805460011596727E-2</v>
      </c>
      <c r="O562">
        <f t="shared" si="93"/>
        <v>25286.5612</v>
      </c>
      <c r="P562">
        <f t="shared" ca="1" si="94"/>
        <v>25290</v>
      </c>
      <c r="Q562" t="str">
        <f t="shared" ca="1" si="98"/>
        <v>0110001011001010</v>
      </c>
      <c r="R562">
        <f t="shared" ca="1" si="95"/>
        <v>4.7418750000000003</v>
      </c>
      <c r="S562">
        <f t="shared" ca="1" si="96"/>
        <v>76.902500000000018</v>
      </c>
      <c r="T562" s="3">
        <f t="shared" ca="1" si="99"/>
        <v>1.1875000000000233E-2</v>
      </c>
    </row>
    <row r="563" spans="8:20" x14ac:dyDescent="0.25">
      <c r="H563">
        <v>76.099999999999994</v>
      </c>
      <c r="I563" s="11">
        <v>4.674833333333333</v>
      </c>
      <c r="J563" s="10">
        <f t="shared" si="89"/>
        <v>9.7999999999999997E-5</v>
      </c>
      <c r="K563" s="17">
        <f t="shared" si="90"/>
        <v>2.81E-4</v>
      </c>
      <c r="L563" s="10">
        <f t="shared" si="91"/>
        <v>1.5611E-2</v>
      </c>
      <c r="M563" s="11">
        <f t="shared" si="97"/>
        <v>4.7488699419978611</v>
      </c>
      <c r="N563" s="5">
        <f t="shared" si="92"/>
        <v>1.5837272344367666E-2</v>
      </c>
      <c r="O563">
        <f t="shared" si="93"/>
        <v>25335.6777</v>
      </c>
      <c r="P563">
        <f t="shared" ca="1" si="94"/>
        <v>25334</v>
      </c>
      <c r="Q563" t="str">
        <f t="shared" ca="1" si="98"/>
        <v>0110001011110110</v>
      </c>
      <c r="R563">
        <f t="shared" ca="1" si="95"/>
        <v>4.7501249999999997</v>
      </c>
      <c r="S563">
        <f t="shared" ca="1" si="96"/>
        <v>77.001500000000007</v>
      </c>
      <c r="T563" s="3">
        <f t="shared" ca="1" si="99"/>
        <v>1.1846254927726846E-2</v>
      </c>
    </row>
    <row r="564" spans="8:20" x14ac:dyDescent="0.25">
      <c r="H564">
        <v>76.2</v>
      </c>
      <c r="I564" s="11">
        <v>4.6836666666666664</v>
      </c>
      <c r="J564" s="10">
        <f t="shared" si="89"/>
        <v>9.7999999999999997E-5</v>
      </c>
      <c r="K564" s="17">
        <f t="shared" si="90"/>
        <v>2.81E-4</v>
      </c>
      <c r="L564" s="10">
        <f t="shared" si="91"/>
        <v>1.5640999999999999E-2</v>
      </c>
      <c r="M564" s="11">
        <f t="shared" si="97"/>
        <v>4.7579883626468247</v>
      </c>
      <c r="N564" s="5">
        <f t="shared" si="92"/>
        <v>1.5868271862534679E-2</v>
      </c>
      <c r="O564">
        <f t="shared" si="93"/>
        <v>25384.325400000002</v>
      </c>
      <c r="P564">
        <f t="shared" ca="1" si="94"/>
        <v>25388</v>
      </c>
      <c r="Q564" t="str">
        <f t="shared" ca="1" si="98"/>
        <v>0110001100101100</v>
      </c>
      <c r="R564">
        <f t="shared" ca="1" si="95"/>
        <v>4.7602500000000001</v>
      </c>
      <c r="S564">
        <f t="shared" ca="1" si="96"/>
        <v>77.123000000000005</v>
      </c>
      <c r="T564" s="3">
        <f t="shared" ca="1" si="99"/>
        <v>1.2112860892388475E-2</v>
      </c>
    </row>
    <row r="565" spans="8:20" x14ac:dyDescent="0.25">
      <c r="H565">
        <v>76.300000000000011</v>
      </c>
      <c r="I565" s="11">
        <v>4.6910000000000007</v>
      </c>
      <c r="J565" s="10">
        <f t="shared" si="89"/>
        <v>9.8999999999999994E-5</v>
      </c>
      <c r="K565" s="17">
        <f t="shared" si="90"/>
        <v>2.8200000000000002E-4</v>
      </c>
      <c r="L565" s="10">
        <f t="shared" si="91"/>
        <v>1.5671999999999998E-2</v>
      </c>
      <c r="M565" s="11">
        <f t="shared" si="97"/>
        <v>4.7655872839134936</v>
      </c>
      <c r="N565" s="5">
        <f t="shared" si="92"/>
        <v>1.5900081840437622E-2</v>
      </c>
      <c r="O565">
        <f t="shared" si="93"/>
        <v>25424.866399999999</v>
      </c>
      <c r="P565">
        <f t="shared" ca="1" si="94"/>
        <v>25426</v>
      </c>
      <c r="Q565" t="str">
        <f t="shared" ca="1" si="98"/>
        <v>0110001101010010</v>
      </c>
      <c r="R565">
        <f t="shared" ca="1" si="95"/>
        <v>4.7673750000000004</v>
      </c>
      <c r="S565">
        <f t="shared" ca="1" si="96"/>
        <v>77.208500000000015</v>
      </c>
      <c r="T565" s="3">
        <f t="shared" ca="1" si="99"/>
        <v>1.1906946264744476E-2</v>
      </c>
    </row>
    <row r="566" spans="8:20" x14ac:dyDescent="0.25">
      <c r="H566">
        <v>76.400000000000006</v>
      </c>
      <c r="I566" s="11">
        <v>4.6996666666666664</v>
      </c>
      <c r="J566" s="10">
        <f t="shared" si="89"/>
        <v>9.8999999999999994E-5</v>
      </c>
      <c r="K566" s="17">
        <f t="shared" si="90"/>
        <v>2.8200000000000002E-4</v>
      </c>
      <c r="L566" s="10">
        <f t="shared" si="91"/>
        <v>1.5702000000000001E-2</v>
      </c>
      <c r="M566" s="11">
        <f t="shared" si="97"/>
        <v>4.7745374537656957</v>
      </c>
      <c r="N566" s="5">
        <f t="shared" si="92"/>
        <v>1.5931084566074748E-2</v>
      </c>
      <c r="O566">
        <f t="shared" si="93"/>
        <v>25472.616399999999</v>
      </c>
      <c r="P566">
        <f t="shared" ca="1" si="94"/>
        <v>25470</v>
      </c>
      <c r="Q566" t="str">
        <f t="shared" ca="1" si="98"/>
        <v>0110001101111110</v>
      </c>
      <c r="R566">
        <f t="shared" ca="1" si="95"/>
        <v>4.7756249999999998</v>
      </c>
      <c r="S566">
        <f t="shared" ca="1" si="96"/>
        <v>77.307500000000005</v>
      </c>
      <c r="T566" s="3">
        <f t="shared" ca="1" si="99"/>
        <v>1.1878272251308884E-2</v>
      </c>
    </row>
    <row r="567" spans="8:20" x14ac:dyDescent="0.25">
      <c r="H567">
        <v>76.5</v>
      </c>
      <c r="I567" s="11">
        <v>4.7087499999999993</v>
      </c>
      <c r="J567" s="10">
        <f t="shared" si="89"/>
        <v>1E-4</v>
      </c>
      <c r="K567" s="17">
        <f t="shared" si="90"/>
        <v>2.8299999999999999E-4</v>
      </c>
      <c r="L567" s="10">
        <f t="shared" si="91"/>
        <v>1.5733E-2</v>
      </c>
      <c r="M567" s="11">
        <f t="shared" si="97"/>
        <v>4.7839153400449268</v>
      </c>
      <c r="N567" s="5">
        <f t="shared" si="92"/>
        <v>1.5962907362872841E-2</v>
      </c>
      <c r="O567">
        <f t="shared" si="93"/>
        <v>25522.648300000001</v>
      </c>
      <c r="P567">
        <f t="shared" ca="1" si="94"/>
        <v>25523</v>
      </c>
      <c r="Q567" t="str">
        <f t="shared" ca="1" si="98"/>
        <v>0110001110110011</v>
      </c>
      <c r="R567">
        <f t="shared" ca="1" si="95"/>
        <v>4.7855625000000002</v>
      </c>
      <c r="S567">
        <f t="shared" ca="1" si="96"/>
        <v>77.426750000000013</v>
      </c>
      <c r="T567" s="3">
        <f t="shared" ca="1" si="99"/>
        <v>1.2114379084967486E-2</v>
      </c>
    </row>
    <row r="568" spans="8:20" x14ac:dyDescent="0.25">
      <c r="H568">
        <v>76.599999999999994</v>
      </c>
      <c r="I568" s="11">
        <v>4.716499999999999</v>
      </c>
      <c r="J568" s="10">
        <f t="shared" si="89"/>
        <v>1E-4</v>
      </c>
      <c r="K568" s="17">
        <f t="shared" si="90"/>
        <v>2.8299999999999999E-4</v>
      </c>
      <c r="L568" s="10">
        <f t="shared" si="91"/>
        <v>1.5762999999999999E-2</v>
      </c>
      <c r="M568" s="11">
        <f t="shared" si="97"/>
        <v>4.7919352757516727</v>
      </c>
      <c r="N568" s="5">
        <f t="shared" si="92"/>
        <v>1.5993909838158307E-2</v>
      </c>
      <c r="O568">
        <f t="shared" si="93"/>
        <v>25565.435399999998</v>
      </c>
      <c r="P568">
        <f t="shared" ca="1" si="94"/>
        <v>25564</v>
      </c>
      <c r="Q568" t="str">
        <f t="shared" ca="1" si="98"/>
        <v>0110001111011100</v>
      </c>
      <c r="R568">
        <f t="shared" ca="1" si="95"/>
        <v>4.7932500000000005</v>
      </c>
      <c r="S568">
        <f t="shared" ca="1" si="96"/>
        <v>77.51900000000002</v>
      </c>
      <c r="T568" s="3">
        <f t="shared" ca="1" si="99"/>
        <v>1.1997389033942891E-2</v>
      </c>
    </row>
    <row r="569" spans="8:20" x14ac:dyDescent="0.25">
      <c r="H569">
        <v>76.7</v>
      </c>
      <c r="I569" s="11">
        <v>4.7253333333333334</v>
      </c>
      <c r="J569" s="10">
        <f t="shared" si="89"/>
        <v>1.01E-4</v>
      </c>
      <c r="K569" s="17">
        <f t="shared" si="90"/>
        <v>2.8400000000000002E-4</v>
      </c>
      <c r="L569" s="10">
        <f t="shared" si="91"/>
        <v>1.5793999999999999E-2</v>
      </c>
      <c r="M569" s="11">
        <f t="shared" si="97"/>
        <v>4.8010602793859549</v>
      </c>
      <c r="N569" s="5">
        <f t="shared" si="92"/>
        <v>1.6025736326034466E-2</v>
      </c>
      <c r="O569">
        <f t="shared" si="93"/>
        <v>25614.118200000001</v>
      </c>
      <c r="P569">
        <f t="shared" ca="1" si="94"/>
        <v>25612</v>
      </c>
      <c r="Q569" t="str">
        <f t="shared" ca="1" si="98"/>
        <v>0110010000001100</v>
      </c>
      <c r="R569">
        <f t="shared" ca="1" si="95"/>
        <v>4.8022499999999999</v>
      </c>
      <c r="S569">
        <f t="shared" ca="1" si="96"/>
        <v>77.62700000000001</v>
      </c>
      <c r="T569" s="3">
        <f t="shared" ca="1" si="99"/>
        <v>1.2086049543676749E-2</v>
      </c>
    </row>
    <row r="570" spans="8:20" x14ac:dyDescent="0.25">
      <c r="H570">
        <v>76.800000000000011</v>
      </c>
      <c r="I570" s="11">
        <v>4.7340833333333334</v>
      </c>
      <c r="J570" s="10">
        <f t="shared" si="89"/>
        <v>1.02E-4</v>
      </c>
      <c r="K570" s="17">
        <f t="shared" si="90"/>
        <v>2.8400000000000002E-4</v>
      </c>
      <c r="L570" s="10">
        <f t="shared" si="91"/>
        <v>1.5824000000000001E-2</v>
      </c>
      <c r="M570" s="11">
        <f t="shared" si="97"/>
        <v>4.8100962971392649</v>
      </c>
      <c r="N570" s="5">
        <f t="shared" si="92"/>
        <v>1.6056532691495675E-2</v>
      </c>
      <c r="O570">
        <f t="shared" si="93"/>
        <v>25662.3262</v>
      </c>
      <c r="P570">
        <f t="shared" ca="1" si="94"/>
        <v>25661</v>
      </c>
      <c r="Q570" t="str">
        <f t="shared" ca="1" si="98"/>
        <v>0110010000111101</v>
      </c>
      <c r="R570">
        <f t="shared" ca="1" si="95"/>
        <v>4.8114375000000003</v>
      </c>
      <c r="S570">
        <f t="shared" ca="1" si="96"/>
        <v>77.737250000000017</v>
      </c>
      <c r="T570" s="3">
        <f t="shared" ca="1" si="99"/>
        <v>1.2203776041666742E-2</v>
      </c>
    </row>
    <row r="571" spans="8:20" x14ac:dyDescent="0.25">
      <c r="H571">
        <v>76.900000000000006</v>
      </c>
      <c r="I571" s="11">
        <v>4.7416666666666663</v>
      </c>
      <c r="J571" s="10">
        <f t="shared" si="89"/>
        <v>1.02E-4</v>
      </c>
      <c r="K571" s="17">
        <f t="shared" si="90"/>
        <v>2.8499999999999999E-4</v>
      </c>
      <c r="L571" s="10">
        <f t="shared" si="91"/>
        <v>1.5855000000000001E-2</v>
      </c>
      <c r="M571" s="11">
        <f t="shared" si="97"/>
        <v>4.8179533164997697</v>
      </c>
      <c r="N571" s="5">
        <f t="shared" si="92"/>
        <v>1.6088572899775763E-2</v>
      </c>
      <c r="O571">
        <f t="shared" si="93"/>
        <v>25704.244200000001</v>
      </c>
      <c r="P571">
        <f t="shared" ca="1" si="94"/>
        <v>25702</v>
      </c>
      <c r="Q571" t="str">
        <f t="shared" ca="1" si="98"/>
        <v>0110010001100110</v>
      </c>
      <c r="R571">
        <f t="shared" ca="1" si="95"/>
        <v>4.8191249999999997</v>
      </c>
      <c r="S571">
        <f t="shared" ca="1" si="96"/>
        <v>77.82950000000001</v>
      </c>
      <c r="T571" s="3">
        <f t="shared" ca="1" si="99"/>
        <v>1.2087126137841409E-2</v>
      </c>
    </row>
    <row r="572" spans="8:20" x14ac:dyDescent="0.25">
      <c r="H572">
        <v>77</v>
      </c>
      <c r="I572" s="11">
        <v>4.749416666666666</v>
      </c>
      <c r="J572" s="10">
        <f t="shared" si="89"/>
        <v>1.03E-4</v>
      </c>
      <c r="K572" s="17">
        <f t="shared" si="90"/>
        <v>2.8499999999999999E-4</v>
      </c>
      <c r="L572" s="10">
        <f t="shared" si="91"/>
        <v>1.5885E-2</v>
      </c>
      <c r="M572" s="11">
        <f t="shared" si="97"/>
        <v>4.8259742679124553</v>
      </c>
      <c r="N572" s="5">
        <f t="shared" si="92"/>
        <v>1.6119369307625017E-2</v>
      </c>
      <c r="O572">
        <f t="shared" si="93"/>
        <v>25747.036700000001</v>
      </c>
      <c r="P572">
        <f t="shared" ca="1" si="94"/>
        <v>25751</v>
      </c>
      <c r="Q572" t="str">
        <f t="shared" ca="1" si="98"/>
        <v>0110010010010111</v>
      </c>
      <c r="R572">
        <f t="shared" ca="1" si="95"/>
        <v>4.8283125</v>
      </c>
      <c r="S572">
        <f t="shared" ca="1" si="96"/>
        <v>77.939750000000004</v>
      </c>
      <c r="T572" s="3">
        <f t="shared" ca="1" si="99"/>
        <v>1.2204545454545503E-2</v>
      </c>
    </row>
    <row r="573" spans="8:20" x14ac:dyDescent="0.25">
      <c r="H573">
        <v>77.099999999999994</v>
      </c>
      <c r="I573" s="11">
        <v>4.7577499999999988</v>
      </c>
      <c r="J573" s="10">
        <f t="shared" si="89"/>
        <v>1.03E-4</v>
      </c>
      <c r="K573" s="17">
        <f t="shared" si="90"/>
        <v>2.8600000000000001E-4</v>
      </c>
      <c r="L573" s="10">
        <f t="shared" si="91"/>
        <v>1.5916E-2</v>
      </c>
      <c r="M573" s="11">
        <f t="shared" si="97"/>
        <v>4.8345944045427007</v>
      </c>
      <c r="N573" s="5">
        <f t="shared" si="92"/>
        <v>1.6151417065356929E-2</v>
      </c>
      <c r="O573">
        <f t="shared" si="93"/>
        <v>25793.026000000002</v>
      </c>
      <c r="P573">
        <f t="shared" ca="1" si="94"/>
        <v>25796</v>
      </c>
      <c r="Q573" t="str">
        <f t="shared" ca="1" si="98"/>
        <v>0110010011000100</v>
      </c>
      <c r="R573">
        <f t="shared" ca="1" si="95"/>
        <v>4.8367500000000003</v>
      </c>
      <c r="S573">
        <f t="shared" ca="1" si="96"/>
        <v>78.041000000000011</v>
      </c>
      <c r="T573" s="3">
        <f t="shared" ca="1" si="99"/>
        <v>1.2204928664072851E-2</v>
      </c>
    </row>
    <row r="574" spans="8:20" x14ac:dyDescent="0.25">
      <c r="H574">
        <v>77.2</v>
      </c>
      <c r="I574" s="11">
        <v>4.7672499999999998</v>
      </c>
      <c r="J574" s="10">
        <f t="shared" si="89"/>
        <v>1.0399999999999999E-4</v>
      </c>
      <c r="K574" s="17">
        <f t="shared" si="90"/>
        <v>2.8600000000000001E-4</v>
      </c>
      <c r="L574" s="10">
        <f t="shared" si="91"/>
        <v>1.5945999999999998E-2</v>
      </c>
      <c r="M574" s="11">
        <f t="shared" si="97"/>
        <v>4.8443947181760345</v>
      </c>
      <c r="N574" s="5">
        <f t="shared" si="92"/>
        <v>1.6182226267981489E-2</v>
      </c>
      <c r="O574">
        <f t="shared" si="93"/>
        <v>25845.311600000001</v>
      </c>
      <c r="P574">
        <f t="shared" ca="1" si="94"/>
        <v>25849</v>
      </c>
      <c r="Q574" t="str">
        <f t="shared" ca="1" si="98"/>
        <v>0110010011111001</v>
      </c>
      <c r="R574">
        <f t="shared" ca="1" si="95"/>
        <v>4.8466874999999998</v>
      </c>
      <c r="S574">
        <f t="shared" ca="1" si="96"/>
        <v>78.160250000000005</v>
      </c>
      <c r="T574" s="3">
        <f t="shared" ca="1" si="99"/>
        <v>1.24384715025907E-2</v>
      </c>
    </row>
    <row r="575" spans="8:20" x14ac:dyDescent="0.25">
      <c r="H575">
        <v>77.300000000000011</v>
      </c>
      <c r="I575" s="11">
        <v>4.7755000000000001</v>
      </c>
      <c r="J575" s="10">
        <f t="shared" si="89"/>
        <v>1.0399999999999999E-4</v>
      </c>
      <c r="K575" s="17">
        <f t="shared" si="90"/>
        <v>2.8699999999999998E-4</v>
      </c>
      <c r="L575" s="10">
        <f t="shared" si="91"/>
        <v>1.5977000000000002E-2</v>
      </c>
      <c r="M575" s="11">
        <f t="shared" si="97"/>
        <v>4.8529312831102525</v>
      </c>
      <c r="N575" s="5">
        <f t="shared" si="92"/>
        <v>1.621427769034706E-2</v>
      </c>
      <c r="O575">
        <f t="shared" si="93"/>
        <v>25890.855</v>
      </c>
      <c r="P575">
        <f t="shared" ca="1" si="94"/>
        <v>25893</v>
      </c>
      <c r="Q575" t="str">
        <f t="shared" ca="1" si="98"/>
        <v>0110010100100101</v>
      </c>
      <c r="R575">
        <f t="shared" ca="1" si="95"/>
        <v>4.8549375000000001</v>
      </c>
      <c r="S575">
        <f t="shared" ca="1" si="96"/>
        <v>78.259250000000009</v>
      </c>
      <c r="T575" s="3">
        <f t="shared" ca="1" si="99"/>
        <v>1.2409443725743818E-2</v>
      </c>
    </row>
    <row r="576" spans="8:20" x14ac:dyDescent="0.25">
      <c r="H576">
        <v>77.400000000000006</v>
      </c>
      <c r="I576" s="11">
        <v>4.7830833333333329</v>
      </c>
      <c r="J576" s="10">
        <f t="shared" si="89"/>
        <v>1.05E-4</v>
      </c>
      <c r="K576" s="17">
        <f t="shared" si="90"/>
        <v>2.8699999999999998E-4</v>
      </c>
      <c r="L576" s="10">
        <f t="shared" si="91"/>
        <v>1.6007E-2</v>
      </c>
      <c r="M576" s="11">
        <f t="shared" si="97"/>
        <v>4.8607849175078819</v>
      </c>
      <c r="N576" s="5">
        <f t="shared" si="92"/>
        <v>1.6245082671473905E-2</v>
      </c>
      <c r="O576">
        <f t="shared" si="93"/>
        <v>25932.7549</v>
      </c>
      <c r="P576">
        <f t="shared" ca="1" si="94"/>
        <v>25932</v>
      </c>
      <c r="Q576" t="str">
        <f t="shared" ca="1" si="98"/>
        <v>0110010101001100</v>
      </c>
      <c r="R576">
        <f t="shared" ca="1" si="95"/>
        <v>4.8622500000000004</v>
      </c>
      <c r="S576">
        <f t="shared" ca="1" si="96"/>
        <v>78.347000000000008</v>
      </c>
      <c r="T576" s="3">
        <f t="shared" ca="1" si="99"/>
        <v>1.2235142118863084E-2</v>
      </c>
    </row>
    <row r="577" spans="8:20" x14ac:dyDescent="0.25">
      <c r="H577">
        <v>77.5</v>
      </c>
      <c r="I577" s="11">
        <v>4.7918333333333321</v>
      </c>
      <c r="J577" s="10">
        <f t="shared" si="89"/>
        <v>1.06E-4</v>
      </c>
      <c r="K577" s="17">
        <f t="shared" si="90"/>
        <v>2.8800000000000001E-4</v>
      </c>
      <c r="L577" s="10">
        <f t="shared" si="91"/>
        <v>1.6038E-2</v>
      </c>
      <c r="M577" s="11">
        <f t="shared" si="97"/>
        <v>4.8698296614435641</v>
      </c>
      <c r="N577" s="5">
        <f t="shared" si="92"/>
        <v>1.6276928408103804E-2</v>
      </c>
      <c r="O577">
        <f t="shared" si="93"/>
        <v>25981.0095</v>
      </c>
      <c r="P577">
        <f t="shared" ca="1" si="94"/>
        <v>25985</v>
      </c>
      <c r="Q577" t="str">
        <f t="shared" ca="1" si="98"/>
        <v>0110010110000001</v>
      </c>
      <c r="R577">
        <f t="shared" ca="1" si="95"/>
        <v>4.8721874999999999</v>
      </c>
      <c r="S577">
        <f t="shared" ca="1" si="96"/>
        <v>78.466250000000002</v>
      </c>
      <c r="T577" s="3">
        <f t="shared" ca="1" si="99"/>
        <v>1.24677419354839E-2</v>
      </c>
    </row>
    <row r="578" spans="8:20" x14ac:dyDescent="0.25">
      <c r="H578">
        <v>77.599999999999994</v>
      </c>
      <c r="I578" s="11">
        <v>4.7996666666666652</v>
      </c>
      <c r="J578" s="10">
        <f t="shared" si="89"/>
        <v>1.06E-4</v>
      </c>
      <c r="K578" s="17">
        <f t="shared" si="90"/>
        <v>2.8800000000000001E-4</v>
      </c>
      <c r="L578" s="10">
        <f t="shared" si="91"/>
        <v>1.6067999999999999E-2</v>
      </c>
      <c r="M578" s="11">
        <f t="shared" si="97"/>
        <v>4.8779393968959903</v>
      </c>
      <c r="N578" s="5">
        <f t="shared" si="92"/>
        <v>1.630795129439374E-2</v>
      </c>
      <c r="O578">
        <f t="shared" si="93"/>
        <v>26024.275699999998</v>
      </c>
      <c r="P578">
        <f t="shared" ca="1" si="94"/>
        <v>26026</v>
      </c>
      <c r="Q578" t="str">
        <f t="shared" ca="1" si="98"/>
        <v>0110010110101010</v>
      </c>
      <c r="R578">
        <f t="shared" ca="1" si="95"/>
        <v>4.8798750000000002</v>
      </c>
      <c r="S578">
        <f t="shared" ca="1" si="96"/>
        <v>78.558500000000009</v>
      </c>
      <c r="T578" s="3">
        <f t="shared" ca="1" si="99"/>
        <v>1.2351804123711535E-2</v>
      </c>
    </row>
    <row r="579" spans="8:20" x14ac:dyDescent="0.25">
      <c r="H579">
        <v>77.7</v>
      </c>
      <c r="I579" s="11">
        <v>4.808416666666667</v>
      </c>
      <c r="J579" s="10">
        <f t="shared" ref="J579:J602" si="100">ROUND(H579*0.00000575 -0.00034,6)</f>
        <v>1.07E-4</v>
      </c>
      <c r="K579" s="17">
        <f t="shared" ref="K579:K602" si="101">ROUND(H579*0.000005-0.0001,6)</f>
        <v>2.8899999999999998E-4</v>
      </c>
      <c r="L579" s="10">
        <f t="shared" ref="L579:L602" si="102">ROUND(K579+($C$24*(H579-25)),6)</f>
        <v>1.6098999999999999E-2</v>
      </c>
      <c r="M579" s="11">
        <f t="shared" si="97"/>
        <v>4.8869852420788948</v>
      </c>
      <c r="N579" s="5">
        <f t="shared" ref="N579:N602" si="103">ABS(I579-M579)/I579</f>
        <v>1.6339801822268834E-2</v>
      </c>
      <c r="O579">
        <f t="shared" ref="O579:O602" si="104">ROUND((M579*(2^($C$12-1)))/$C$44,4)</f>
        <v>26072.536100000001</v>
      </c>
      <c r="P579">
        <f t="shared" ref="P579:P602" ca="1" si="105">ROUND(O579+$C$47+$C$49+RANDBETWEEN($B$45,$D$45),0)</f>
        <v>26074</v>
      </c>
      <c r="Q579" t="str">
        <f t="shared" ca="1" si="98"/>
        <v>0110010111011010</v>
      </c>
      <c r="R579">
        <f t="shared" ref="R579:R602" ca="1" si="106">($C$16/2^($C$12-1)) * P579</f>
        <v>4.8888750000000005</v>
      </c>
      <c r="S579">
        <f t="shared" ref="S579:S602" ca="1" si="107">(R579+5/3)/(1/12)</f>
        <v>78.666500000000013</v>
      </c>
      <c r="T579" s="3">
        <f t="shared" ca="1" si="99"/>
        <v>1.2438867438867575E-2</v>
      </c>
    </row>
    <row r="580" spans="8:20" x14ac:dyDescent="0.25">
      <c r="H580">
        <v>77.800000000000011</v>
      </c>
      <c r="I580" s="11">
        <v>4.8172500000000005</v>
      </c>
      <c r="J580" s="10">
        <f t="shared" si="100"/>
        <v>1.07E-4</v>
      </c>
      <c r="K580" s="17">
        <f t="shared" si="101"/>
        <v>2.8899999999999998E-4</v>
      </c>
      <c r="L580" s="10">
        <f t="shared" si="102"/>
        <v>1.6129000000000001E-2</v>
      </c>
      <c r="M580" s="11">
        <f t="shared" ref="M580:M602" si="108">(I580-J580)/(1-L580)</f>
        <v>4.8961123968487739</v>
      </c>
      <c r="N580" s="5">
        <f t="shared" si="103"/>
        <v>1.6370833327889019E-2</v>
      </c>
      <c r="O580">
        <f t="shared" si="104"/>
        <v>26121.2304</v>
      </c>
      <c r="P580">
        <f t="shared" ca="1" si="105"/>
        <v>26119</v>
      </c>
      <c r="Q580" t="str">
        <f t="shared" ref="Q580:Q602" ca="1" si="109">_xlfn.BASE(P580,2,16)</f>
        <v>0110011000000111</v>
      </c>
      <c r="R580">
        <f t="shared" ca="1" si="106"/>
        <v>4.8973125</v>
      </c>
      <c r="S580">
        <f t="shared" ca="1" si="107"/>
        <v>78.767750000000007</v>
      </c>
      <c r="T580" s="3">
        <f t="shared" ref="T580:T602" ca="1" si="110">ABS(H580-S580)/H580</f>
        <v>1.2438946015424101E-2</v>
      </c>
    </row>
    <row r="581" spans="8:20" x14ac:dyDescent="0.25">
      <c r="H581">
        <v>77.900000000000006</v>
      </c>
      <c r="I581" s="11">
        <v>4.8246666666666664</v>
      </c>
      <c r="J581" s="10">
        <f t="shared" si="100"/>
        <v>1.08E-4</v>
      </c>
      <c r="K581" s="17">
        <f t="shared" si="101"/>
        <v>2.9E-4</v>
      </c>
      <c r="L581" s="10">
        <f t="shared" si="102"/>
        <v>1.6160000000000001E-2</v>
      </c>
      <c r="M581" s="11">
        <f t="shared" si="108"/>
        <v>4.903804141594839</v>
      </c>
      <c r="N581" s="5">
        <f t="shared" si="103"/>
        <v>1.6402682381132912E-2</v>
      </c>
      <c r="O581">
        <f t="shared" si="104"/>
        <v>26162.266599999999</v>
      </c>
      <c r="P581">
        <f t="shared" ca="1" si="105"/>
        <v>26163</v>
      </c>
      <c r="Q581" t="str">
        <f t="shared" ca="1" si="109"/>
        <v>0110011000110011</v>
      </c>
      <c r="R581">
        <f t="shared" ca="1" si="106"/>
        <v>4.9055625000000003</v>
      </c>
      <c r="S581">
        <f t="shared" ca="1" si="107"/>
        <v>78.86675000000001</v>
      </c>
      <c r="T581" s="3">
        <f t="shared" ca="1" si="110"/>
        <v>1.2410141206675284E-2</v>
      </c>
    </row>
    <row r="582" spans="8:20" x14ac:dyDescent="0.25">
      <c r="H582">
        <v>78</v>
      </c>
      <c r="I582" s="11">
        <v>4.833333333333333</v>
      </c>
      <c r="J582" s="10">
        <f t="shared" si="100"/>
        <v>1.0900000000000001E-4</v>
      </c>
      <c r="K582" s="17">
        <f t="shared" si="101"/>
        <v>2.9E-4</v>
      </c>
      <c r="L582" s="10">
        <f t="shared" si="102"/>
        <v>1.619E-2</v>
      </c>
      <c r="M582" s="11">
        <f t="shared" si="108"/>
        <v>4.9127619492923769</v>
      </c>
      <c r="N582" s="5">
        <f t="shared" si="103"/>
        <v>1.6433506750147001E-2</v>
      </c>
      <c r="O582">
        <f t="shared" si="104"/>
        <v>26210.0573</v>
      </c>
      <c r="P582">
        <f t="shared" ca="1" si="105"/>
        <v>26213</v>
      </c>
      <c r="Q582" t="str">
        <f t="shared" ca="1" si="109"/>
        <v>0110011001100101</v>
      </c>
      <c r="R582">
        <f t="shared" ca="1" si="106"/>
        <v>4.9149374999999997</v>
      </c>
      <c r="S582">
        <f t="shared" ca="1" si="107"/>
        <v>78.979250000000008</v>
      </c>
      <c r="T582" s="3">
        <f t="shared" ca="1" si="110"/>
        <v>1.2554487179487275E-2</v>
      </c>
    </row>
    <row r="583" spans="8:20" x14ac:dyDescent="0.25">
      <c r="H583">
        <v>78.099999999999994</v>
      </c>
      <c r="I583" s="11">
        <v>4.8413333333333322</v>
      </c>
      <c r="J583" s="10">
        <f t="shared" si="100"/>
        <v>1.0900000000000001E-4</v>
      </c>
      <c r="K583" s="17">
        <f t="shared" si="101"/>
        <v>2.9100000000000003E-4</v>
      </c>
      <c r="L583" s="10">
        <f t="shared" si="102"/>
        <v>1.6220999999999999E-2</v>
      </c>
      <c r="M583" s="11">
        <f t="shared" si="108"/>
        <v>4.921048663707329</v>
      </c>
      <c r="N583" s="5">
        <f t="shared" si="103"/>
        <v>1.6465573610712648E-2</v>
      </c>
      <c r="O583">
        <f t="shared" si="104"/>
        <v>26254.267800000001</v>
      </c>
      <c r="P583">
        <f t="shared" ca="1" si="105"/>
        <v>26253</v>
      </c>
      <c r="Q583" t="str">
        <f t="shared" ca="1" si="109"/>
        <v>0110011010001101</v>
      </c>
      <c r="R583">
        <f t="shared" ca="1" si="106"/>
        <v>4.9224375</v>
      </c>
      <c r="S583">
        <f t="shared" ca="1" si="107"/>
        <v>79.069250000000011</v>
      </c>
      <c r="T583" s="3">
        <f t="shared" ca="1" si="110"/>
        <v>1.2410371318822236E-2</v>
      </c>
    </row>
    <row r="584" spans="8:20" x14ac:dyDescent="0.25">
      <c r="H584">
        <v>78.2</v>
      </c>
      <c r="I584" s="11">
        <v>4.8491666666666662</v>
      </c>
      <c r="J584" s="10">
        <f t="shared" si="100"/>
        <v>1.1E-4</v>
      </c>
      <c r="K584" s="17">
        <f t="shared" si="101"/>
        <v>2.9100000000000003E-4</v>
      </c>
      <c r="L584" s="10">
        <f t="shared" si="102"/>
        <v>1.6251000000000002E-2</v>
      </c>
      <c r="M584" s="11">
        <f t="shared" si="108"/>
        <v>4.9291604531914803</v>
      </c>
      <c r="N584" s="5">
        <f t="shared" si="103"/>
        <v>1.6496398664680698E-2</v>
      </c>
      <c r="O584">
        <f t="shared" si="104"/>
        <v>26297.544900000001</v>
      </c>
      <c r="P584">
        <f t="shared" ca="1" si="105"/>
        <v>26299</v>
      </c>
      <c r="Q584" t="str">
        <f t="shared" ca="1" si="109"/>
        <v>0110011010111011</v>
      </c>
      <c r="R584">
        <f t="shared" ca="1" si="106"/>
        <v>4.9310625000000003</v>
      </c>
      <c r="S584">
        <f t="shared" ca="1" si="107"/>
        <v>79.172750000000008</v>
      </c>
      <c r="T584" s="3">
        <f t="shared" ca="1" si="110"/>
        <v>1.2439258312020522E-2</v>
      </c>
    </row>
    <row r="585" spans="8:20" x14ac:dyDescent="0.25">
      <c r="H585">
        <v>78.300000000000011</v>
      </c>
      <c r="I585" s="11">
        <v>4.8579999999999997</v>
      </c>
      <c r="J585" s="10">
        <f t="shared" si="100"/>
        <v>1.1E-4</v>
      </c>
      <c r="K585" s="17">
        <f t="shared" si="101"/>
        <v>2.92E-4</v>
      </c>
      <c r="L585" s="10">
        <f t="shared" si="102"/>
        <v>1.6282000000000001E-2</v>
      </c>
      <c r="M585" s="11">
        <f t="shared" si="108"/>
        <v>4.9382953244730698</v>
      </c>
      <c r="N585" s="5">
        <f t="shared" si="103"/>
        <v>1.6528473543242116E-2</v>
      </c>
      <c r="O585">
        <f t="shared" si="104"/>
        <v>26346.2804</v>
      </c>
      <c r="P585">
        <f t="shared" ca="1" si="105"/>
        <v>26348</v>
      </c>
      <c r="Q585" t="str">
        <f t="shared" ca="1" si="109"/>
        <v>0110011011101100</v>
      </c>
      <c r="R585">
        <f t="shared" ca="1" si="106"/>
        <v>4.9402499999999998</v>
      </c>
      <c r="S585">
        <f t="shared" ca="1" si="107"/>
        <v>79.283000000000001</v>
      </c>
      <c r="T585" s="3">
        <f t="shared" ca="1" si="110"/>
        <v>1.255427841634725E-2</v>
      </c>
    </row>
    <row r="586" spans="8:20" x14ac:dyDescent="0.25">
      <c r="H586">
        <v>78.400000000000006</v>
      </c>
      <c r="I586" s="11">
        <v>4.8665833333333328</v>
      </c>
      <c r="J586" s="10">
        <f t="shared" si="100"/>
        <v>1.11E-4</v>
      </c>
      <c r="K586" s="17">
        <f t="shared" si="101"/>
        <v>2.92E-4</v>
      </c>
      <c r="L586" s="10">
        <f t="shared" si="102"/>
        <v>1.6312E-2</v>
      </c>
      <c r="M586" s="11">
        <f t="shared" si="108"/>
        <v>4.9471705798315444</v>
      </c>
      <c r="N586" s="5">
        <f t="shared" si="103"/>
        <v>1.6559306802831197E-2</v>
      </c>
      <c r="O586">
        <f t="shared" si="104"/>
        <v>26393.630700000002</v>
      </c>
      <c r="P586">
        <f t="shared" ca="1" si="105"/>
        <v>26394</v>
      </c>
      <c r="Q586" t="str">
        <f t="shared" ca="1" si="109"/>
        <v>0110011100011010</v>
      </c>
      <c r="R586">
        <f t="shared" ca="1" si="106"/>
        <v>4.9488750000000001</v>
      </c>
      <c r="S586">
        <f t="shared" ca="1" si="107"/>
        <v>79.386500000000012</v>
      </c>
      <c r="T586" s="3">
        <f t="shared" ca="1" si="110"/>
        <v>1.2582908163265389E-2</v>
      </c>
    </row>
    <row r="587" spans="8:20" x14ac:dyDescent="0.25">
      <c r="H587">
        <v>78.5</v>
      </c>
      <c r="I587" s="11">
        <v>4.8749999999999991</v>
      </c>
      <c r="J587" s="10">
        <f t="shared" si="100"/>
        <v>1.11E-4</v>
      </c>
      <c r="K587" s="17">
        <f t="shared" si="101"/>
        <v>2.9300000000000002E-4</v>
      </c>
      <c r="L587" s="10">
        <f t="shared" si="102"/>
        <v>1.6343E-2</v>
      </c>
      <c r="M587" s="11">
        <f t="shared" si="108"/>
        <v>4.9558829958003638</v>
      </c>
      <c r="N587" s="5">
        <f t="shared" si="103"/>
        <v>1.6591383753920972E-2</v>
      </c>
      <c r="O587">
        <f>ROUND((M587*(2^($C$12-1)))/$C$44,4)</f>
        <v>26440.112300000001</v>
      </c>
      <c r="P587">
        <f t="shared" ca="1" si="105"/>
        <v>26441</v>
      </c>
      <c r="Q587" t="str">
        <f t="shared" ca="1" si="109"/>
        <v>0110011101001001</v>
      </c>
      <c r="R587">
        <f t="shared" ca="1" si="106"/>
        <v>4.9576875000000005</v>
      </c>
      <c r="S587">
        <f t="shared" ca="1" si="107"/>
        <v>79.492250000000013</v>
      </c>
      <c r="T587" s="3">
        <f t="shared" ca="1" si="110"/>
        <v>1.2640127388535195E-2</v>
      </c>
    </row>
    <row r="588" spans="8:20" x14ac:dyDescent="0.25">
      <c r="H588">
        <v>78.599999999999994</v>
      </c>
      <c r="I588" s="11">
        <v>4.883166666666666</v>
      </c>
      <c r="J588" s="10">
        <f t="shared" si="100"/>
        <v>1.12E-4</v>
      </c>
      <c r="K588" s="17">
        <f t="shared" si="101"/>
        <v>2.9300000000000002E-4</v>
      </c>
      <c r="L588" s="10">
        <f t="shared" si="102"/>
        <v>1.6372999999999999E-2</v>
      </c>
      <c r="M588" s="11">
        <f t="shared" si="108"/>
        <v>4.9643357356667375</v>
      </c>
      <c r="N588" s="5">
        <f t="shared" si="103"/>
        <v>1.6622219666214851E-2</v>
      </c>
      <c r="O588">
        <f t="shared" si="104"/>
        <v>26485.208500000001</v>
      </c>
      <c r="P588">
        <f t="shared" ca="1" si="105"/>
        <v>26488</v>
      </c>
      <c r="Q588" t="str">
        <f t="shared" ca="1" si="109"/>
        <v>0110011101111000</v>
      </c>
      <c r="R588">
        <f t="shared" ca="1" si="106"/>
        <v>4.9664999999999999</v>
      </c>
      <c r="S588">
        <f t="shared" ca="1" si="107"/>
        <v>79.598000000000013</v>
      </c>
      <c r="T588" s="3">
        <f t="shared" ca="1" si="110"/>
        <v>1.2697201017811946E-2</v>
      </c>
    </row>
    <row r="589" spans="8:20" x14ac:dyDescent="0.25">
      <c r="H589">
        <v>78.7</v>
      </c>
      <c r="I589" s="11">
        <v>4.8913333333333329</v>
      </c>
      <c r="J589" s="10">
        <f t="shared" si="100"/>
        <v>1.13E-4</v>
      </c>
      <c r="K589" s="17">
        <f t="shared" si="101"/>
        <v>2.9399999999999999E-4</v>
      </c>
      <c r="L589" s="10">
        <f t="shared" si="102"/>
        <v>1.6403999999999998E-2</v>
      </c>
      <c r="M589" s="11">
        <f t="shared" si="108"/>
        <v>4.9727940468783247</v>
      </c>
      <c r="N589" s="5">
        <f t="shared" si="103"/>
        <v>1.6654091633840504E-2</v>
      </c>
      <c r="O589">
        <f t="shared" si="104"/>
        <v>26530.3344</v>
      </c>
      <c r="P589">
        <f t="shared" ca="1" si="105"/>
        <v>26534</v>
      </c>
      <c r="Q589" t="str">
        <f t="shared" ca="1" si="109"/>
        <v>0110011110100110</v>
      </c>
      <c r="R589">
        <f t="shared" ca="1" si="106"/>
        <v>4.9751250000000002</v>
      </c>
      <c r="S589">
        <f t="shared" ca="1" si="107"/>
        <v>79.70150000000001</v>
      </c>
      <c r="T589" s="3">
        <f t="shared" ca="1" si="110"/>
        <v>1.2725540025413051E-2</v>
      </c>
    </row>
    <row r="590" spans="8:20" x14ac:dyDescent="0.25">
      <c r="H590">
        <v>78.800000000000011</v>
      </c>
      <c r="I590" s="11">
        <v>4.89975</v>
      </c>
      <c r="J590" s="10">
        <f t="shared" si="100"/>
        <v>1.13E-4</v>
      </c>
      <c r="K590" s="17">
        <f t="shared" si="101"/>
        <v>2.9399999999999999E-4</v>
      </c>
      <c r="L590" s="10">
        <f t="shared" si="102"/>
        <v>1.6434000000000001E-2</v>
      </c>
      <c r="M590" s="11">
        <f t="shared" si="108"/>
        <v>4.9815030206412176</v>
      </c>
      <c r="N590" s="5">
        <f t="shared" si="103"/>
        <v>1.6685141209493871E-2</v>
      </c>
      <c r="O590">
        <f t="shared" si="104"/>
        <v>26576.797600000002</v>
      </c>
      <c r="P590">
        <f t="shared" ca="1" si="105"/>
        <v>26575</v>
      </c>
      <c r="Q590" t="str">
        <f t="shared" ca="1" si="109"/>
        <v>0110011111001111</v>
      </c>
      <c r="R590">
        <f t="shared" ca="1" si="106"/>
        <v>4.9828125000000005</v>
      </c>
      <c r="S590">
        <f t="shared" ca="1" si="107"/>
        <v>79.793750000000017</v>
      </c>
      <c r="T590" s="3">
        <f t="shared" ca="1" si="110"/>
        <v>1.2611040609137127E-2</v>
      </c>
    </row>
    <row r="591" spans="8:20" x14ac:dyDescent="0.25">
      <c r="H591">
        <v>78.900000000000006</v>
      </c>
      <c r="I591" s="11">
        <v>4.9091666666666667</v>
      </c>
      <c r="J591" s="10">
        <f t="shared" si="100"/>
        <v>1.1400000000000001E-4</v>
      </c>
      <c r="K591" s="17">
        <f t="shared" si="101"/>
        <v>2.9500000000000001E-4</v>
      </c>
      <c r="L591" s="10">
        <f t="shared" si="102"/>
        <v>1.6465E-2</v>
      </c>
      <c r="M591" s="11">
        <f t="shared" si="108"/>
        <v>4.9912333233353836</v>
      </c>
      <c r="N591" s="5">
        <f t="shared" si="103"/>
        <v>1.6717023935233461E-2</v>
      </c>
      <c r="O591">
        <f t="shared" si="104"/>
        <v>26628.709699999999</v>
      </c>
      <c r="P591">
        <f t="shared" ca="1" si="105"/>
        <v>26626</v>
      </c>
      <c r="Q591" t="str">
        <f t="shared" ca="1" si="109"/>
        <v>0110100000000010</v>
      </c>
      <c r="R591">
        <f t="shared" ca="1" si="106"/>
        <v>4.992375</v>
      </c>
      <c r="S591">
        <f t="shared" ca="1" si="107"/>
        <v>79.908500000000004</v>
      </c>
      <c r="T591" s="3">
        <f t="shared" ca="1" si="110"/>
        <v>1.2782002534854219E-2</v>
      </c>
    </row>
    <row r="592" spans="8:20" x14ac:dyDescent="0.25">
      <c r="H592">
        <v>79</v>
      </c>
      <c r="I592" s="11">
        <v>4.9162499999999998</v>
      </c>
      <c r="J592" s="10">
        <f t="shared" si="100"/>
        <v>1.1400000000000001E-4</v>
      </c>
      <c r="K592" s="17">
        <f t="shared" si="101"/>
        <v>2.9500000000000001E-4</v>
      </c>
      <c r="L592" s="10">
        <f t="shared" si="102"/>
        <v>1.6494999999999999E-2</v>
      </c>
      <c r="M592" s="11">
        <f t="shared" si="108"/>
        <v>4.9985877041804567</v>
      </c>
      <c r="N592" s="5">
        <f t="shared" si="103"/>
        <v>1.6748071025773088E-2</v>
      </c>
      <c r="O592">
        <f t="shared" si="104"/>
        <v>26667.946</v>
      </c>
      <c r="P592">
        <f t="shared" ca="1" si="105"/>
        <v>26670</v>
      </c>
      <c r="Q592" t="str">
        <f t="shared" ca="1" si="109"/>
        <v>0110100000101110</v>
      </c>
      <c r="R592">
        <f t="shared" ca="1" si="106"/>
        <v>5.0006250000000003</v>
      </c>
      <c r="S592">
        <f t="shared" ca="1" si="107"/>
        <v>80.007500000000007</v>
      </c>
      <c r="T592" s="3">
        <f t="shared" ca="1" si="110"/>
        <v>1.275316455696212E-2</v>
      </c>
    </row>
    <row r="593" spans="8:20" x14ac:dyDescent="0.25">
      <c r="H593">
        <v>79.099999999999994</v>
      </c>
      <c r="I593" s="11">
        <v>4.9244999999999992</v>
      </c>
      <c r="J593" s="10">
        <f t="shared" si="100"/>
        <v>1.15E-4</v>
      </c>
      <c r="K593" s="17">
        <f t="shared" si="101"/>
        <v>2.9599999999999998E-4</v>
      </c>
      <c r="L593" s="10">
        <f t="shared" si="102"/>
        <v>1.6525999999999999E-2</v>
      </c>
      <c r="M593" s="11">
        <f t="shared" si="108"/>
        <v>5.0071328779408502</v>
      </c>
      <c r="N593" s="5">
        <f t="shared" si="103"/>
        <v>1.6779952876606958E-2</v>
      </c>
      <c r="O593">
        <f t="shared" si="104"/>
        <v>26713.5353</v>
      </c>
      <c r="P593">
        <f t="shared" ca="1" si="105"/>
        <v>26711</v>
      </c>
      <c r="Q593" t="str">
        <f t="shared" ca="1" si="109"/>
        <v>0110100001010111</v>
      </c>
      <c r="R593">
        <f t="shared" ca="1" si="106"/>
        <v>5.0083124999999997</v>
      </c>
      <c r="S593">
        <f t="shared" ca="1" si="107"/>
        <v>80.09975</v>
      </c>
      <c r="T593" s="3">
        <f t="shared" ca="1" si="110"/>
        <v>1.2639064475347737E-2</v>
      </c>
    </row>
    <row r="594" spans="8:20" x14ac:dyDescent="0.25">
      <c r="H594">
        <v>79.2</v>
      </c>
      <c r="I594" s="11">
        <v>4.9324999999999992</v>
      </c>
      <c r="J594" s="10">
        <f t="shared" si="100"/>
        <v>1.15E-4</v>
      </c>
      <c r="K594" s="17">
        <f t="shared" si="101"/>
        <v>2.9599999999999998E-4</v>
      </c>
      <c r="L594" s="10">
        <f t="shared" si="102"/>
        <v>1.6556000000000001E-2</v>
      </c>
      <c r="M594" s="11">
        <f t="shared" si="108"/>
        <v>5.0154202984613248</v>
      </c>
      <c r="N594" s="5">
        <f t="shared" si="103"/>
        <v>1.681100830437416E-2</v>
      </c>
      <c r="O594">
        <f t="shared" si="104"/>
        <v>26757.749500000002</v>
      </c>
      <c r="P594">
        <f t="shared" ca="1" si="105"/>
        <v>26757</v>
      </c>
      <c r="Q594" t="str">
        <f t="shared" ca="1" si="109"/>
        <v>0110100010000101</v>
      </c>
      <c r="R594">
        <f t="shared" ca="1" si="106"/>
        <v>5.0169375</v>
      </c>
      <c r="S594">
        <f t="shared" ca="1" si="107"/>
        <v>80.203250000000011</v>
      </c>
      <c r="T594" s="3">
        <f t="shared" ca="1" si="110"/>
        <v>1.2667297979798086E-2</v>
      </c>
    </row>
    <row r="595" spans="8:20" x14ac:dyDescent="0.25">
      <c r="H595">
        <v>79.300000000000011</v>
      </c>
      <c r="I595" s="11">
        <v>4.941416666666667</v>
      </c>
      <c r="J595" s="10">
        <f t="shared" si="100"/>
        <v>1.16E-4</v>
      </c>
      <c r="K595" s="17">
        <f t="shared" si="101"/>
        <v>2.9700000000000001E-4</v>
      </c>
      <c r="L595" s="10">
        <f t="shared" si="102"/>
        <v>1.6587000000000001E-2</v>
      </c>
      <c r="M595" s="11">
        <f t="shared" si="108"/>
        <v>5.0246444440602946</v>
      </c>
      <c r="N595" s="5">
        <f t="shared" si="103"/>
        <v>1.6842898101481214E-2</v>
      </c>
      <c r="O595">
        <f t="shared" si="104"/>
        <v>26806.961200000002</v>
      </c>
      <c r="P595">
        <f t="shared" ca="1" si="105"/>
        <v>26808</v>
      </c>
      <c r="Q595" t="str">
        <f t="shared" ca="1" si="109"/>
        <v>0110100010111000</v>
      </c>
      <c r="R595">
        <f t="shared" ca="1" si="106"/>
        <v>5.0265000000000004</v>
      </c>
      <c r="S595">
        <f t="shared" ca="1" si="107"/>
        <v>80.318000000000012</v>
      </c>
      <c r="T595" s="3">
        <f t="shared" ca="1" si="110"/>
        <v>1.2837326607818418E-2</v>
      </c>
    </row>
    <row r="596" spans="8:20" x14ac:dyDescent="0.25">
      <c r="H596">
        <v>79.400000000000006</v>
      </c>
      <c r="I596" s="11">
        <v>4.9507500000000002</v>
      </c>
      <c r="J596" s="10">
        <f t="shared" si="100"/>
        <v>1.17E-4</v>
      </c>
      <c r="K596" s="17">
        <f t="shared" si="101"/>
        <v>2.9700000000000001E-4</v>
      </c>
      <c r="L596" s="10">
        <f t="shared" si="102"/>
        <v>1.6617E-2</v>
      </c>
      <c r="M596" s="11">
        <f t="shared" si="108"/>
        <v>5.034287759702984</v>
      </c>
      <c r="N596" s="5">
        <f t="shared" si="103"/>
        <v>1.6873758461441967E-2</v>
      </c>
      <c r="O596">
        <f t="shared" si="104"/>
        <v>26858.409199999998</v>
      </c>
      <c r="P596">
        <f t="shared" ca="1" si="105"/>
        <v>26856</v>
      </c>
      <c r="Q596" t="str">
        <f t="shared" ca="1" si="109"/>
        <v>0110100011101000</v>
      </c>
      <c r="R596">
        <f t="shared" ca="1" si="106"/>
        <v>5.0354999999999999</v>
      </c>
      <c r="S596">
        <f t="shared" ca="1" si="107"/>
        <v>80.426000000000002</v>
      </c>
      <c r="T596" s="3">
        <f t="shared" ca="1" si="110"/>
        <v>1.2921914357682571E-2</v>
      </c>
    </row>
    <row r="597" spans="8:20" x14ac:dyDescent="0.25">
      <c r="H597">
        <v>79.5</v>
      </c>
      <c r="I597" s="11">
        <v>4.9585833333333325</v>
      </c>
      <c r="J597" s="10">
        <f t="shared" si="100"/>
        <v>1.17E-4</v>
      </c>
      <c r="K597" s="17">
        <f t="shared" si="101"/>
        <v>2.9799999999999998E-4</v>
      </c>
      <c r="L597" s="10">
        <f t="shared" si="102"/>
        <v>1.6648E-2</v>
      </c>
      <c r="M597" s="11">
        <f t="shared" si="108"/>
        <v>5.0424124152219472</v>
      </c>
      <c r="N597" s="5">
        <f t="shared" si="103"/>
        <v>1.6905853195021709E-2</v>
      </c>
      <c r="O597">
        <f t="shared" si="104"/>
        <v>26901.755099999998</v>
      </c>
      <c r="P597">
        <f t="shared" ca="1" si="105"/>
        <v>26904</v>
      </c>
      <c r="Q597" t="str">
        <f t="shared" ca="1" si="109"/>
        <v>0110100100011000</v>
      </c>
      <c r="R597">
        <f t="shared" ca="1" si="106"/>
        <v>5.0445000000000002</v>
      </c>
      <c r="S597">
        <f t="shared" ca="1" si="107"/>
        <v>80.534000000000006</v>
      </c>
      <c r="T597" s="3">
        <f t="shared" ca="1" si="110"/>
        <v>1.3006289308176176E-2</v>
      </c>
    </row>
    <row r="598" spans="8:20" x14ac:dyDescent="0.25">
      <c r="H598">
        <v>79.599999999999994</v>
      </c>
      <c r="I598" s="11">
        <v>4.9662499999999996</v>
      </c>
      <c r="J598" s="10">
        <f t="shared" si="100"/>
        <v>1.18E-4</v>
      </c>
      <c r="K598" s="17">
        <f t="shared" si="101"/>
        <v>2.9799999999999998E-4</v>
      </c>
      <c r="L598" s="10">
        <f t="shared" si="102"/>
        <v>1.6677999999999998E-2</v>
      </c>
      <c r="M598" s="11">
        <f t="shared" si="108"/>
        <v>5.05036193637486</v>
      </c>
      <c r="N598" s="5">
        <f t="shared" si="103"/>
        <v>1.6936710067930606E-2</v>
      </c>
      <c r="O598">
        <f t="shared" si="104"/>
        <v>26944.166499999999</v>
      </c>
      <c r="P598">
        <f t="shared" ca="1" si="105"/>
        <v>26943</v>
      </c>
      <c r="Q598" t="str">
        <f t="shared" ca="1" si="109"/>
        <v>0110100100111111</v>
      </c>
      <c r="R598">
        <f t="shared" ca="1" si="106"/>
        <v>5.0518125000000005</v>
      </c>
      <c r="S598">
        <f t="shared" ca="1" si="107"/>
        <v>80.62175000000002</v>
      </c>
      <c r="T598" s="3">
        <f t="shared" ca="1" si="110"/>
        <v>1.2836055276382234E-2</v>
      </c>
    </row>
    <row r="599" spans="8:20" x14ac:dyDescent="0.25">
      <c r="H599">
        <v>79.7</v>
      </c>
      <c r="I599" s="11">
        <v>4.9747499999999993</v>
      </c>
      <c r="J599" s="10">
        <f t="shared" si="100"/>
        <v>1.18E-4</v>
      </c>
      <c r="K599" s="17">
        <f t="shared" si="101"/>
        <v>2.99E-4</v>
      </c>
      <c r="L599" s="10">
        <f t="shared" si="102"/>
        <v>1.6709000000000002E-2</v>
      </c>
      <c r="M599" s="11">
        <f t="shared" si="108"/>
        <v>5.0591655979765902</v>
      </c>
      <c r="N599" s="5">
        <f t="shared" si="103"/>
        <v>1.6968812096405012E-2</v>
      </c>
      <c r="O599">
        <f t="shared" si="104"/>
        <v>26991.134900000001</v>
      </c>
      <c r="P599">
        <f t="shared" ca="1" si="105"/>
        <v>26991</v>
      </c>
      <c r="Q599" t="str">
        <f t="shared" ca="1" si="109"/>
        <v>0110100101101111</v>
      </c>
      <c r="R599">
        <f t="shared" ca="1" si="106"/>
        <v>5.0608124999999999</v>
      </c>
      <c r="S599">
        <f t="shared" ca="1" si="107"/>
        <v>80.72975000000001</v>
      </c>
      <c r="T599" s="3">
        <f t="shared" ca="1" si="110"/>
        <v>1.2920326223337603E-2</v>
      </c>
    </row>
    <row r="600" spans="8:20" x14ac:dyDescent="0.25">
      <c r="H600">
        <v>79.800000000000011</v>
      </c>
      <c r="I600" s="11">
        <v>4.9836666666666671</v>
      </c>
      <c r="J600" s="10">
        <f t="shared" si="100"/>
        <v>1.1900000000000001E-4</v>
      </c>
      <c r="K600" s="17">
        <f t="shared" si="101"/>
        <v>2.99E-4</v>
      </c>
      <c r="L600" s="10">
        <f t="shared" si="102"/>
        <v>1.6739E-2</v>
      </c>
      <c r="M600" s="11">
        <f t="shared" si="108"/>
        <v>5.0683874034123875</v>
      </c>
      <c r="N600" s="5">
        <f t="shared" si="103"/>
        <v>1.6999679635954851E-2</v>
      </c>
      <c r="O600">
        <f t="shared" si="104"/>
        <v>27040.3341</v>
      </c>
      <c r="P600">
        <f t="shared" ca="1" si="105"/>
        <v>27040</v>
      </c>
      <c r="Q600" t="str">
        <f t="shared" ca="1" si="109"/>
        <v>0110100110100000</v>
      </c>
      <c r="R600">
        <f t="shared" ca="1" si="106"/>
        <v>5.07</v>
      </c>
      <c r="S600">
        <f t="shared" ca="1" si="107"/>
        <v>80.840000000000018</v>
      </c>
      <c r="T600" s="3">
        <f t="shared" ca="1" si="110"/>
        <v>1.3032581453634161E-2</v>
      </c>
    </row>
    <row r="601" spans="8:20" x14ac:dyDescent="0.25">
      <c r="H601">
        <v>79.900000000000006</v>
      </c>
      <c r="I601" s="11">
        <v>4.9915833333333328</v>
      </c>
      <c r="J601" s="10">
        <f t="shared" si="100"/>
        <v>1.1900000000000001E-4</v>
      </c>
      <c r="K601" s="17">
        <f t="shared" si="101"/>
        <v>2.9999999999999997E-4</v>
      </c>
      <c r="L601" s="10">
        <f t="shared" si="102"/>
        <v>1.677E-2</v>
      </c>
      <c r="M601" s="11">
        <f t="shared" si="108"/>
        <v>5.0765988968332261</v>
      </c>
      <c r="N601" s="5">
        <f t="shared" si="103"/>
        <v>1.7031782867806128E-2</v>
      </c>
      <c r="O601">
        <f t="shared" si="104"/>
        <v>27084.143199999999</v>
      </c>
      <c r="P601">
        <f t="shared" ca="1" si="105"/>
        <v>27083</v>
      </c>
      <c r="Q601" t="str">
        <f t="shared" ca="1" si="109"/>
        <v>0110100111001011</v>
      </c>
      <c r="R601">
        <f t="shared" ca="1" si="106"/>
        <v>5.0780624999999997</v>
      </c>
      <c r="S601">
        <f t="shared" ca="1" si="107"/>
        <v>80.936750000000004</v>
      </c>
      <c r="T601" s="3">
        <f t="shared" ca="1" si="110"/>
        <v>1.2975594493116367E-2</v>
      </c>
    </row>
    <row r="602" spans="8:20" x14ac:dyDescent="0.25">
      <c r="H602">
        <v>80</v>
      </c>
      <c r="I602" s="11">
        <v>5.0006666666666657</v>
      </c>
      <c r="J602" s="10">
        <f t="shared" si="100"/>
        <v>1.2E-4</v>
      </c>
      <c r="K602" s="17">
        <f t="shared" si="101"/>
        <v>2.9999999999999997E-4</v>
      </c>
      <c r="L602" s="10">
        <f t="shared" si="102"/>
        <v>1.6799999999999999E-2</v>
      </c>
      <c r="M602" s="11">
        <f t="shared" si="108"/>
        <v>5.0859913208570644</v>
      </c>
      <c r="N602" s="5">
        <f t="shared" si="103"/>
        <v>1.7062655817304102E-2</v>
      </c>
      <c r="O602">
        <f t="shared" si="104"/>
        <v>27134.252700000001</v>
      </c>
      <c r="P602">
        <f t="shared" ca="1" si="105"/>
        <v>27137</v>
      </c>
      <c r="Q602" t="str">
        <f t="shared" ca="1" si="109"/>
        <v>0110101000000001</v>
      </c>
      <c r="R602">
        <f t="shared" ca="1" si="106"/>
        <v>5.0881875000000001</v>
      </c>
      <c r="S602">
        <f t="shared" ca="1" si="107"/>
        <v>81.058250000000015</v>
      </c>
      <c r="T602" s="3">
        <f t="shared" ca="1" si="110"/>
        <v>1.3228125000000191E-2</v>
      </c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2025-11-26T07:35:39Z</dcterms:created>
  <dcterms:modified xsi:type="dcterms:W3CDTF">2025-11-28T08:37:50Z</dcterms:modified>
</cp:coreProperties>
</file>