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04_ADC\"/>
    </mc:Choice>
  </mc:AlternateContent>
  <xr:revisionPtr revIDLastSave="0" documentId="13_ncr:1_{C801571D-6FF5-4736-9A53-2D8EA063C90C}" xr6:coauthVersionLast="47" xr6:coauthVersionMax="47" xr10:uidLastSave="{00000000-0000-0000-0000-000000000000}"/>
  <bookViews>
    <workbookView xWindow="-120" yWindow="-120" windowWidth="29040" windowHeight="15720" xr2:uid="{E6E4C7D1-E780-4FA1-B8FF-60F1C49D2116}"/>
  </bookViews>
  <sheets>
    <sheet name="Cal_NTC" sheetId="6" r:id="rId1"/>
    <sheet name="Cal_Error" sheetId="4" r:id="rId2"/>
    <sheet name="AD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I2" i="3"/>
  <c r="O2" i="6"/>
  <c r="N2" i="6"/>
  <c r="R2" i="6" l="1"/>
  <c r="V2" i="6"/>
  <c r="S2" i="6"/>
  <c r="B44" i="6"/>
  <c r="B22" i="6"/>
  <c r="B23" i="6" s="1"/>
  <c r="B24" i="6" s="1"/>
  <c r="B26" i="6"/>
  <c r="B9" i="6"/>
  <c r="B7" i="6"/>
  <c r="F2" i="6" a="1"/>
  <c r="G7" i="6" s="1"/>
  <c r="K2" i="3"/>
  <c r="C16" i="3"/>
  <c r="B16" i="3"/>
  <c r="D16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2" i="4"/>
  <c r="E2" i="4"/>
  <c r="F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D27" i="3"/>
  <c r="J2" i="3"/>
  <c r="K3" i="3"/>
  <c r="J4" i="3"/>
  <c r="A2" i="4" a="1"/>
  <c r="B25" i="4" s="1"/>
  <c r="D35" i="3"/>
  <c r="D36" i="3"/>
  <c r="D37" i="3"/>
  <c r="D38" i="3"/>
  <c r="D39" i="3"/>
  <c r="D40" i="3"/>
  <c r="D41" i="3"/>
  <c r="D34" i="3"/>
  <c r="C49" i="3"/>
  <c r="C47" i="3"/>
  <c r="B15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L437" i="3" s="1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B27" i="3"/>
  <c r="C26" i="3"/>
  <c r="D20" i="3"/>
  <c r="B20" i="3"/>
  <c r="D30" i="3"/>
  <c r="B30" i="3"/>
  <c r="D29" i="3"/>
  <c r="B29" i="3"/>
  <c r="C24" i="3"/>
  <c r="C17" i="3"/>
  <c r="K256" i="6" l="1"/>
  <c r="K372" i="6"/>
  <c r="N256" i="6"/>
  <c r="N217" i="6"/>
  <c r="K103" i="6"/>
  <c r="K153" i="6"/>
  <c r="K217" i="6"/>
  <c r="K590" i="6"/>
  <c r="K526" i="6"/>
  <c r="N601" i="6"/>
  <c r="G512" i="6"/>
  <c r="O512" i="6" s="1"/>
  <c r="G409" i="6"/>
  <c r="O409" i="6" s="1"/>
  <c r="S409" i="6" s="1"/>
  <c r="G308" i="6"/>
  <c r="G206" i="6"/>
  <c r="G103" i="6"/>
  <c r="G601" i="6"/>
  <c r="O601" i="6" s="1"/>
  <c r="G500" i="6"/>
  <c r="H500" i="6" s="1"/>
  <c r="J500" i="6" s="1"/>
  <c r="L500" i="6" s="1"/>
  <c r="N500" i="6" s="1"/>
  <c r="G398" i="6"/>
  <c r="H398" i="6" s="1"/>
  <c r="J398" i="6" s="1"/>
  <c r="G295" i="6"/>
  <c r="I295" i="6" s="1"/>
  <c r="G192" i="6"/>
  <c r="H192" i="6" s="1"/>
  <c r="J192" i="6" s="1"/>
  <c r="G89" i="6"/>
  <c r="G590" i="6"/>
  <c r="H590" i="6" s="1"/>
  <c r="J590" i="6" s="1"/>
  <c r="L590" i="6" s="1"/>
  <c r="N590" i="6" s="1"/>
  <c r="G487" i="6"/>
  <c r="O487" i="6" s="1"/>
  <c r="G384" i="6"/>
  <c r="O384" i="6" s="1"/>
  <c r="G281" i="6"/>
  <c r="G180" i="6"/>
  <c r="O180" i="6" s="1"/>
  <c r="G78" i="6"/>
  <c r="O78" i="6" s="1"/>
  <c r="G576" i="6"/>
  <c r="O576" i="6" s="1"/>
  <c r="S576" i="6" s="1"/>
  <c r="G473" i="6"/>
  <c r="O473" i="6" s="1"/>
  <c r="G372" i="6"/>
  <c r="G270" i="6"/>
  <c r="H270" i="6" s="1"/>
  <c r="J270" i="6" s="1"/>
  <c r="L270" i="6" s="1"/>
  <c r="N270" i="6" s="1"/>
  <c r="G167" i="6"/>
  <c r="G64" i="6"/>
  <c r="O64" i="6" s="1"/>
  <c r="S64" i="6" s="1"/>
  <c r="G564" i="6"/>
  <c r="H564" i="6" s="1"/>
  <c r="J564" i="6" s="1"/>
  <c r="G462" i="6"/>
  <c r="H462" i="6" s="1"/>
  <c r="J462" i="6" s="1"/>
  <c r="G359" i="6"/>
  <c r="H359" i="6" s="1"/>
  <c r="J359" i="6" s="1"/>
  <c r="G256" i="6"/>
  <c r="H256" i="6" s="1"/>
  <c r="J256" i="6" s="1"/>
  <c r="L256" i="6" s="1"/>
  <c r="G153" i="6"/>
  <c r="G52" i="6"/>
  <c r="G551" i="6"/>
  <c r="O551" i="6" s="1"/>
  <c r="G448" i="6"/>
  <c r="O448" i="6" s="1"/>
  <c r="S448" i="6" s="1"/>
  <c r="G345" i="6"/>
  <c r="O345" i="6" s="1"/>
  <c r="G244" i="6"/>
  <c r="O244" i="6" s="1"/>
  <c r="G142" i="6"/>
  <c r="G39" i="6"/>
  <c r="G537" i="6"/>
  <c r="O537" i="6" s="1"/>
  <c r="G436" i="6"/>
  <c r="G334" i="6"/>
  <c r="H334" i="6" s="1"/>
  <c r="J334" i="6" s="1"/>
  <c r="L334" i="6" s="1"/>
  <c r="N334" i="6" s="1"/>
  <c r="G231" i="6"/>
  <c r="I231" i="6" s="1"/>
  <c r="G128" i="6"/>
  <c r="O128" i="6" s="1"/>
  <c r="G25" i="6"/>
  <c r="O25" i="6" s="1"/>
  <c r="G526" i="6"/>
  <c r="H526" i="6" s="1"/>
  <c r="J526" i="6" s="1"/>
  <c r="L526" i="6" s="1"/>
  <c r="N526" i="6" s="1"/>
  <c r="G423" i="6"/>
  <c r="O423" i="6" s="1"/>
  <c r="G320" i="6"/>
  <c r="H320" i="6" s="1"/>
  <c r="J320" i="6" s="1"/>
  <c r="L320" i="6" s="1"/>
  <c r="N320" i="6" s="1"/>
  <c r="G217" i="6"/>
  <c r="H217" i="6" s="1"/>
  <c r="J217" i="6" s="1"/>
  <c r="L217" i="6" s="1"/>
  <c r="G116" i="6"/>
  <c r="G14" i="6"/>
  <c r="H14" i="6" s="1"/>
  <c r="J14" i="6" s="1"/>
  <c r="O7" i="6"/>
  <c r="I7" i="6"/>
  <c r="H7" i="6"/>
  <c r="J7" i="6" s="1"/>
  <c r="L7" i="6" s="1"/>
  <c r="N7" i="6" s="1"/>
  <c r="G592" i="6"/>
  <c r="G580" i="6"/>
  <c r="G567" i="6"/>
  <c r="G553" i="6"/>
  <c r="G542" i="6"/>
  <c r="G528" i="6"/>
  <c r="G516" i="6"/>
  <c r="G503" i="6"/>
  <c r="G489" i="6"/>
  <c r="G478" i="6"/>
  <c r="G464" i="6"/>
  <c r="G452" i="6"/>
  <c r="G439" i="6"/>
  <c r="G425" i="6"/>
  <c r="G414" i="6"/>
  <c r="G400" i="6"/>
  <c r="G388" i="6"/>
  <c r="G375" i="6"/>
  <c r="G361" i="6"/>
  <c r="G350" i="6"/>
  <c r="G336" i="6"/>
  <c r="G324" i="6"/>
  <c r="G311" i="6"/>
  <c r="G297" i="6"/>
  <c r="G286" i="6"/>
  <c r="G272" i="6"/>
  <c r="G260" i="6"/>
  <c r="G247" i="6"/>
  <c r="G233" i="6"/>
  <c r="G222" i="6"/>
  <c r="G208" i="6"/>
  <c r="G196" i="6"/>
  <c r="G183" i="6"/>
  <c r="G169" i="6"/>
  <c r="G158" i="6"/>
  <c r="G144" i="6"/>
  <c r="G132" i="6"/>
  <c r="G119" i="6"/>
  <c r="G105" i="6"/>
  <c r="G94" i="6"/>
  <c r="G80" i="6"/>
  <c r="G68" i="6"/>
  <c r="G55" i="6"/>
  <c r="G41" i="6"/>
  <c r="G30" i="6"/>
  <c r="G16" i="6"/>
  <c r="G4" i="6"/>
  <c r="H384" i="6"/>
  <c r="J384" i="6" s="1"/>
  <c r="I601" i="6"/>
  <c r="I537" i="6"/>
  <c r="I473" i="6"/>
  <c r="S601" i="6"/>
  <c r="S537" i="6"/>
  <c r="S487" i="6"/>
  <c r="O462" i="6"/>
  <c r="I462" i="6"/>
  <c r="O436" i="6"/>
  <c r="I436" i="6"/>
  <c r="H436" i="6"/>
  <c r="J436" i="6" s="1"/>
  <c r="L436" i="6" s="1"/>
  <c r="N436" i="6" s="1"/>
  <c r="I398" i="6"/>
  <c r="O295" i="6"/>
  <c r="H244" i="6"/>
  <c r="J244" i="6" s="1"/>
  <c r="O192" i="6"/>
  <c r="O142" i="6"/>
  <c r="I142" i="6"/>
  <c r="O52" i="6"/>
  <c r="I52" i="6"/>
  <c r="H52" i="6"/>
  <c r="J52" i="6" s="1"/>
  <c r="I487" i="6"/>
  <c r="G591" i="6"/>
  <c r="G577" i="6"/>
  <c r="G566" i="6"/>
  <c r="G552" i="6"/>
  <c r="G540" i="6"/>
  <c r="G527" i="6"/>
  <c r="G513" i="6"/>
  <c r="G502" i="6"/>
  <c r="G488" i="6"/>
  <c r="G476" i="6"/>
  <c r="G463" i="6"/>
  <c r="G449" i="6"/>
  <c r="G438" i="6"/>
  <c r="G424" i="6"/>
  <c r="G412" i="6"/>
  <c r="G399" i="6"/>
  <c r="G385" i="6"/>
  <c r="G374" i="6"/>
  <c r="G360" i="6"/>
  <c r="G348" i="6"/>
  <c r="G335" i="6"/>
  <c r="G321" i="6"/>
  <c r="G310" i="6"/>
  <c r="G296" i="6"/>
  <c r="G284" i="6"/>
  <c r="G271" i="6"/>
  <c r="G257" i="6"/>
  <c r="G246" i="6"/>
  <c r="G232" i="6"/>
  <c r="G220" i="6"/>
  <c r="G207" i="6"/>
  <c r="G193" i="6"/>
  <c r="G182" i="6"/>
  <c r="G168" i="6"/>
  <c r="G156" i="6"/>
  <c r="G143" i="6"/>
  <c r="G129" i="6"/>
  <c r="G118" i="6"/>
  <c r="G104" i="6"/>
  <c r="G92" i="6"/>
  <c r="G79" i="6"/>
  <c r="G65" i="6"/>
  <c r="G54" i="6"/>
  <c r="G40" i="6"/>
  <c r="G28" i="6"/>
  <c r="G15" i="6"/>
  <c r="H601" i="6"/>
  <c r="J601" i="6" s="1"/>
  <c r="L601" i="6" s="1"/>
  <c r="H576" i="6"/>
  <c r="J576" i="6" s="1"/>
  <c r="K576" i="6" s="1"/>
  <c r="H551" i="6"/>
  <c r="J551" i="6" s="1"/>
  <c r="L551" i="6" s="1"/>
  <c r="N551" i="6" s="1"/>
  <c r="H537" i="6"/>
  <c r="J537" i="6" s="1"/>
  <c r="K537" i="6" s="1"/>
  <c r="H512" i="6"/>
  <c r="J512" i="6" s="1"/>
  <c r="H487" i="6"/>
  <c r="J487" i="6" s="1"/>
  <c r="H473" i="6"/>
  <c r="J473" i="6" s="1"/>
  <c r="L473" i="6" s="1"/>
  <c r="N473" i="6" s="1"/>
  <c r="I409" i="6"/>
  <c r="O590" i="6"/>
  <c r="I590" i="6"/>
  <c r="S512" i="6"/>
  <c r="O359" i="6"/>
  <c r="I359" i="6"/>
  <c r="O308" i="6"/>
  <c r="I308" i="6"/>
  <c r="H308" i="6"/>
  <c r="J308" i="6" s="1"/>
  <c r="K308" i="6" s="1"/>
  <c r="O256" i="6"/>
  <c r="I256" i="6"/>
  <c r="O206" i="6"/>
  <c r="I206" i="6"/>
  <c r="S128" i="6"/>
  <c r="O89" i="6"/>
  <c r="I89" i="6"/>
  <c r="I526" i="6"/>
  <c r="O500" i="6"/>
  <c r="I500" i="6"/>
  <c r="S423" i="6"/>
  <c r="O372" i="6"/>
  <c r="I372" i="6"/>
  <c r="H372" i="6"/>
  <c r="J372" i="6" s="1"/>
  <c r="L372" i="6" s="1"/>
  <c r="N372" i="6" s="1"/>
  <c r="O320" i="6"/>
  <c r="I320" i="6"/>
  <c r="O281" i="6"/>
  <c r="I281" i="6"/>
  <c r="O231" i="6"/>
  <c r="O153" i="6"/>
  <c r="I153" i="6"/>
  <c r="O116" i="6"/>
  <c r="I116" i="6"/>
  <c r="H116" i="6"/>
  <c r="J116" i="6" s="1"/>
  <c r="O39" i="6"/>
  <c r="I39" i="6"/>
  <c r="H206" i="6"/>
  <c r="J206" i="6" s="1"/>
  <c r="L206" i="6" s="1"/>
  <c r="N206" i="6" s="1"/>
  <c r="H142" i="6"/>
  <c r="J142" i="6" s="1"/>
  <c r="L142" i="6" s="1"/>
  <c r="N142" i="6" s="1"/>
  <c r="H78" i="6"/>
  <c r="J78" i="6" s="1"/>
  <c r="G588" i="6"/>
  <c r="G561" i="6"/>
  <c r="G536" i="6"/>
  <c r="G511" i="6"/>
  <c r="G486" i="6"/>
  <c r="G460" i="6"/>
  <c r="G433" i="6"/>
  <c r="G408" i="6"/>
  <c r="G383" i="6"/>
  <c r="G358" i="6"/>
  <c r="G332" i="6"/>
  <c r="G305" i="6"/>
  <c r="G280" i="6"/>
  <c r="G255" i="6"/>
  <c r="G230" i="6"/>
  <c r="G204" i="6"/>
  <c r="G177" i="6"/>
  <c r="G152" i="6"/>
  <c r="G140" i="6"/>
  <c r="G113" i="6"/>
  <c r="G88" i="6"/>
  <c r="G63" i="6"/>
  <c r="G38" i="6"/>
  <c r="G12" i="6"/>
  <c r="H281" i="6"/>
  <c r="J281" i="6" s="1"/>
  <c r="L281" i="6" s="1"/>
  <c r="N281" i="6" s="1"/>
  <c r="H153" i="6"/>
  <c r="J153" i="6" s="1"/>
  <c r="H89" i="6"/>
  <c r="J89" i="6" s="1"/>
  <c r="L89" i="6" s="1"/>
  <c r="N89" i="6" s="1"/>
  <c r="I448" i="6"/>
  <c r="I384" i="6"/>
  <c r="G599" i="6"/>
  <c r="G585" i="6"/>
  <c r="G574" i="6"/>
  <c r="G560" i="6"/>
  <c r="G548" i="6"/>
  <c r="G535" i="6"/>
  <c r="G521" i="6"/>
  <c r="G510" i="6"/>
  <c r="G496" i="6"/>
  <c r="G484" i="6"/>
  <c r="G471" i="6"/>
  <c r="G457" i="6"/>
  <c r="G446" i="6"/>
  <c r="G432" i="6"/>
  <c r="G420" i="6"/>
  <c r="G407" i="6"/>
  <c r="G393" i="6"/>
  <c r="G382" i="6"/>
  <c r="G368" i="6"/>
  <c r="G356" i="6"/>
  <c r="G343" i="6"/>
  <c r="G329" i="6"/>
  <c r="G318" i="6"/>
  <c r="G304" i="6"/>
  <c r="G292" i="6"/>
  <c r="G279" i="6"/>
  <c r="G265" i="6"/>
  <c r="G254" i="6"/>
  <c r="G240" i="6"/>
  <c r="G228" i="6"/>
  <c r="G215" i="6"/>
  <c r="G201" i="6"/>
  <c r="G190" i="6"/>
  <c r="G176" i="6"/>
  <c r="G164" i="6"/>
  <c r="G151" i="6"/>
  <c r="G137" i="6"/>
  <c r="G126" i="6"/>
  <c r="G112" i="6"/>
  <c r="G100" i="6"/>
  <c r="G87" i="6"/>
  <c r="G73" i="6"/>
  <c r="G62" i="6"/>
  <c r="G48" i="6"/>
  <c r="G36" i="6"/>
  <c r="G23" i="6"/>
  <c r="G9" i="6"/>
  <c r="S551" i="6"/>
  <c r="S473" i="6"/>
  <c r="S384" i="6"/>
  <c r="O334" i="6"/>
  <c r="I334" i="6"/>
  <c r="O270" i="6"/>
  <c r="I270" i="6"/>
  <c r="O217" i="6"/>
  <c r="I217" i="6"/>
  <c r="O167" i="6"/>
  <c r="I167" i="6"/>
  <c r="O103" i="6"/>
  <c r="I103" i="6"/>
  <c r="O14" i="6"/>
  <c r="I14" i="6"/>
  <c r="I551" i="6"/>
  <c r="G600" i="6"/>
  <c r="G575" i="6"/>
  <c r="G550" i="6"/>
  <c r="G524" i="6"/>
  <c r="G497" i="6"/>
  <c r="G472" i="6"/>
  <c r="G447" i="6"/>
  <c r="G422" i="6"/>
  <c r="G396" i="6"/>
  <c r="G369" i="6"/>
  <c r="G344" i="6"/>
  <c r="G319" i="6"/>
  <c r="G294" i="6"/>
  <c r="G268" i="6"/>
  <c r="G241" i="6"/>
  <c r="G216" i="6"/>
  <c r="G191" i="6"/>
  <c r="G166" i="6"/>
  <c r="G127" i="6"/>
  <c r="G102" i="6"/>
  <c r="G76" i="6"/>
  <c r="G49" i="6"/>
  <c r="G24" i="6"/>
  <c r="H25" i="6"/>
  <c r="J25" i="6" s="1"/>
  <c r="L25" i="6" s="1"/>
  <c r="N25" i="6" s="1"/>
  <c r="G598" i="6"/>
  <c r="G584" i="6"/>
  <c r="G572" i="6"/>
  <c r="G559" i="6"/>
  <c r="G545" i="6"/>
  <c r="G534" i="6"/>
  <c r="G520" i="6"/>
  <c r="G508" i="6"/>
  <c r="G495" i="6"/>
  <c r="G481" i="6"/>
  <c r="G470" i="6"/>
  <c r="G456" i="6"/>
  <c r="G444" i="6"/>
  <c r="G431" i="6"/>
  <c r="G417" i="6"/>
  <c r="G406" i="6"/>
  <c r="G392" i="6"/>
  <c r="G380" i="6"/>
  <c r="G367" i="6"/>
  <c r="G353" i="6"/>
  <c r="G342" i="6"/>
  <c r="G328" i="6"/>
  <c r="G316" i="6"/>
  <c r="G303" i="6"/>
  <c r="G289" i="6"/>
  <c r="G278" i="6"/>
  <c r="G264" i="6"/>
  <c r="G252" i="6"/>
  <c r="G239" i="6"/>
  <c r="G225" i="6"/>
  <c r="G214" i="6"/>
  <c r="G200" i="6"/>
  <c r="G188" i="6"/>
  <c r="G175" i="6"/>
  <c r="G161" i="6"/>
  <c r="G150" i="6"/>
  <c r="G136" i="6"/>
  <c r="G124" i="6"/>
  <c r="G111" i="6"/>
  <c r="G97" i="6"/>
  <c r="G86" i="6"/>
  <c r="G72" i="6"/>
  <c r="G60" i="6"/>
  <c r="G47" i="6"/>
  <c r="G33" i="6"/>
  <c r="G22" i="6"/>
  <c r="G8" i="6"/>
  <c r="H423" i="6"/>
  <c r="J423" i="6" s="1"/>
  <c r="H295" i="6"/>
  <c r="J295" i="6" s="1"/>
  <c r="L295" i="6" s="1"/>
  <c r="N295" i="6" s="1"/>
  <c r="H231" i="6"/>
  <c r="J231" i="6" s="1"/>
  <c r="L231" i="6" s="1"/>
  <c r="N231" i="6" s="1"/>
  <c r="H167" i="6"/>
  <c r="J167" i="6" s="1"/>
  <c r="K167" i="6" s="1"/>
  <c r="H103" i="6"/>
  <c r="J103" i="6" s="1"/>
  <c r="L103" i="6" s="1"/>
  <c r="N103" i="6" s="1"/>
  <c r="H39" i="6"/>
  <c r="J39" i="6" s="1"/>
  <c r="K39" i="6" s="1"/>
  <c r="I576" i="6"/>
  <c r="I512" i="6"/>
  <c r="I423" i="6"/>
  <c r="G596" i="6"/>
  <c r="G583" i="6"/>
  <c r="G569" i="6"/>
  <c r="G558" i="6"/>
  <c r="G544" i="6"/>
  <c r="G532" i="6"/>
  <c r="G519" i="6"/>
  <c r="G505" i="6"/>
  <c r="G494" i="6"/>
  <c r="G480" i="6"/>
  <c r="G468" i="6"/>
  <c r="G455" i="6"/>
  <c r="G441" i="6"/>
  <c r="G430" i="6"/>
  <c r="G416" i="6"/>
  <c r="G404" i="6"/>
  <c r="G391" i="6"/>
  <c r="G377" i="6"/>
  <c r="G366" i="6"/>
  <c r="G352" i="6"/>
  <c r="G340" i="6"/>
  <c r="G327" i="6"/>
  <c r="G313" i="6"/>
  <c r="G302" i="6"/>
  <c r="G288" i="6"/>
  <c r="G276" i="6"/>
  <c r="G263" i="6"/>
  <c r="G249" i="6"/>
  <c r="G238" i="6"/>
  <c r="G224" i="6"/>
  <c r="G212" i="6"/>
  <c r="G199" i="6"/>
  <c r="G185" i="6"/>
  <c r="G174" i="6"/>
  <c r="G160" i="6"/>
  <c r="G148" i="6"/>
  <c r="G135" i="6"/>
  <c r="G121" i="6"/>
  <c r="G110" i="6"/>
  <c r="G96" i="6"/>
  <c r="G84" i="6"/>
  <c r="G71" i="6"/>
  <c r="G57" i="6"/>
  <c r="G46" i="6"/>
  <c r="G32" i="6"/>
  <c r="G20" i="6"/>
  <c r="G10" i="6"/>
  <c r="G18" i="6"/>
  <c r="G26" i="6"/>
  <c r="G34" i="6"/>
  <c r="G42" i="6"/>
  <c r="G50" i="6"/>
  <c r="G58" i="6"/>
  <c r="G66" i="6"/>
  <c r="G74" i="6"/>
  <c r="G82" i="6"/>
  <c r="G90" i="6"/>
  <c r="G98" i="6"/>
  <c r="G106" i="6"/>
  <c r="G114" i="6"/>
  <c r="G122" i="6"/>
  <c r="G130" i="6"/>
  <c r="G138" i="6"/>
  <c r="G146" i="6"/>
  <c r="G154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22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506" i="6"/>
  <c r="G514" i="6"/>
  <c r="G522" i="6"/>
  <c r="G530" i="6"/>
  <c r="G538" i="6"/>
  <c r="G546" i="6"/>
  <c r="G554" i="6"/>
  <c r="G562" i="6"/>
  <c r="G570" i="6"/>
  <c r="G578" i="6"/>
  <c r="G586" i="6"/>
  <c r="G594" i="6"/>
  <c r="G602" i="6"/>
  <c r="G3" i="6"/>
  <c r="G11" i="6"/>
  <c r="G19" i="6"/>
  <c r="G27" i="6"/>
  <c r="G35" i="6"/>
  <c r="G43" i="6"/>
  <c r="G51" i="6"/>
  <c r="G59" i="6"/>
  <c r="G67" i="6"/>
  <c r="G75" i="6"/>
  <c r="G83" i="6"/>
  <c r="G91" i="6"/>
  <c r="G99" i="6"/>
  <c r="G107" i="6"/>
  <c r="G115" i="6"/>
  <c r="G123" i="6"/>
  <c r="G131" i="6"/>
  <c r="G139" i="6"/>
  <c r="G147" i="6"/>
  <c r="G155" i="6"/>
  <c r="G163" i="6"/>
  <c r="G171" i="6"/>
  <c r="G179" i="6"/>
  <c r="G187" i="6"/>
  <c r="G195" i="6"/>
  <c r="G203" i="6"/>
  <c r="G211" i="6"/>
  <c r="G219" i="6"/>
  <c r="G227" i="6"/>
  <c r="G235" i="6"/>
  <c r="G243" i="6"/>
  <c r="G251" i="6"/>
  <c r="G259" i="6"/>
  <c r="G267" i="6"/>
  <c r="G275" i="6"/>
  <c r="G283" i="6"/>
  <c r="G291" i="6"/>
  <c r="G299" i="6"/>
  <c r="G307" i="6"/>
  <c r="G315" i="6"/>
  <c r="G323" i="6"/>
  <c r="G331" i="6"/>
  <c r="G339" i="6"/>
  <c r="G347" i="6"/>
  <c r="G355" i="6"/>
  <c r="G363" i="6"/>
  <c r="G371" i="6"/>
  <c r="G379" i="6"/>
  <c r="G387" i="6"/>
  <c r="G395" i="6"/>
  <c r="G403" i="6"/>
  <c r="G411" i="6"/>
  <c r="G419" i="6"/>
  <c r="G427" i="6"/>
  <c r="G435" i="6"/>
  <c r="G443" i="6"/>
  <c r="G451" i="6"/>
  <c r="G459" i="6"/>
  <c r="G467" i="6"/>
  <c r="G475" i="6"/>
  <c r="G483" i="6"/>
  <c r="G491" i="6"/>
  <c r="G499" i="6"/>
  <c r="G507" i="6"/>
  <c r="G515" i="6"/>
  <c r="G523" i="6"/>
  <c r="G531" i="6"/>
  <c r="G539" i="6"/>
  <c r="G547" i="6"/>
  <c r="G555" i="6"/>
  <c r="G563" i="6"/>
  <c r="G571" i="6"/>
  <c r="G579" i="6"/>
  <c r="G587" i="6"/>
  <c r="G595" i="6"/>
  <c r="G5" i="6"/>
  <c r="G13" i="6"/>
  <c r="G21" i="6"/>
  <c r="G29" i="6"/>
  <c r="G37" i="6"/>
  <c r="G45" i="6"/>
  <c r="G53" i="6"/>
  <c r="G61" i="6"/>
  <c r="G69" i="6"/>
  <c r="G77" i="6"/>
  <c r="G85" i="6"/>
  <c r="G93" i="6"/>
  <c r="G101" i="6"/>
  <c r="G109" i="6"/>
  <c r="G117" i="6"/>
  <c r="G125" i="6"/>
  <c r="G133" i="6"/>
  <c r="G141" i="6"/>
  <c r="G149" i="6"/>
  <c r="G157" i="6"/>
  <c r="G165" i="6"/>
  <c r="G173" i="6"/>
  <c r="G181" i="6"/>
  <c r="G189" i="6"/>
  <c r="G197" i="6"/>
  <c r="G205" i="6"/>
  <c r="G213" i="6"/>
  <c r="G221" i="6"/>
  <c r="G229" i="6"/>
  <c r="G237" i="6"/>
  <c r="G245" i="6"/>
  <c r="G253" i="6"/>
  <c r="G261" i="6"/>
  <c r="G269" i="6"/>
  <c r="G277" i="6"/>
  <c r="G285" i="6"/>
  <c r="G293" i="6"/>
  <c r="G301" i="6"/>
  <c r="G309" i="6"/>
  <c r="G317" i="6"/>
  <c r="G325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509" i="6"/>
  <c r="G517" i="6"/>
  <c r="G525" i="6"/>
  <c r="G533" i="6"/>
  <c r="G541" i="6"/>
  <c r="G549" i="6"/>
  <c r="G557" i="6"/>
  <c r="G565" i="6"/>
  <c r="G573" i="6"/>
  <c r="G581" i="6"/>
  <c r="G589" i="6"/>
  <c r="G597" i="6"/>
  <c r="G593" i="6"/>
  <c r="G582" i="6"/>
  <c r="G568" i="6"/>
  <c r="G556" i="6"/>
  <c r="G543" i="6"/>
  <c r="G529" i="6"/>
  <c r="G518" i="6"/>
  <c r="G504" i="6"/>
  <c r="G492" i="6"/>
  <c r="G479" i="6"/>
  <c r="G465" i="6"/>
  <c r="G454" i="6"/>
  <c r="G440" i="6"/>
  <c r="G428" i="6"/>
  <c r="G415" i="6"/>
  <c r="G401" i="6"/>
  <c r="G390" i="6"/>
  <c r="G376" i="6"/>
  <c r="G364" i="6"/>
  <c r="G351" i="6"/>
  <c r="G337" i="6"/>
  <c r="G326" i="6"/>
  <c r="G312" i="6"/>
  <c r="G300" i="6"/>
  <c r="G287" i="6"/>
  <c r="G273" i="6"/>
  <c r="G262" i="6"/>
  <c r="G248" i="6"/>
  <c r="G236" i="6"/>
  <c r="G223" i="6"/>
  <c r="G209" i="6"/>
  <c r="G198" i="6"/>
  <c r="G184" i="6"/>
  <c r="G172" i="6"/>
  <c r="G159" i="6"/>
  <c r="G145" i="6"/>
  <c r="G134" i="6"/>
  <c r="G120" i="6"/>
  <c r="G108" i="6"/>
  <c r="G95" i="6"/>
  <c r="G81" i="6"/>
  <c r="G70" i="6"/>
  <c r="G56" i="6"/>
  <c r="G44" i="6"/>
  <c r="G31" i="6"/>
  <c r="G17" i="6"/>
  <c r="G6" i="6"/>
  <c r="F2" i="6"/>
  <c r="G2" i="6" s="1"/>
  <c r="L565" i="3"/>
  <c r="L339" i="3"/>
  <c r="M339" i="3" s="1"/>
  <c r="M567" i="3"/>
  <c r="L599" i="3"/>
  <c r="L591" i="3"/>
  <c r="M591" i="3" s="1"/>
  <c r="L583" i="3"/>
  <c r="M583" i="3" s="1"/>
  <c r="L575" i="3"/>
  <c r="M575" i="3" s="1"/>
  <c r="L567" i="3"/>
  <c r="L559" i="3"/>
  <c r="L551" i="3"/>
  <c r="L543" i="3"/>
  <c r="M543" i="3" s="1"/>
  <c r="L535" i="3"/>
  <c r="L527" i="3"/>
  <c r="M527" i="3" s="1"/>
  <c r="L519" i="3"/>
  <c r="M519" i="3" s="1"/>
  <c r="L511" i="3"/>
  <c r="M511" i="3" s="1"/>
  <c r="L503" i="3"/>
  <c r="L495" i="3"/>
  <c r="L487" i="3"/>
  <c r="L479" i="3"/>
  <c r="M479" i="3" s="1"/>
  <c r="L471" i="3"/>
  <c r="L463" i="3"/>
  <c r="L455" i="3"/>
  <c r="M455" i="3" s="1"/>
  <c r="L447" i="3"/>
  <c r="M447" i="3" s="1"/>
  <c r="L439" i="3"/>
  <c r="M439" i="3" s="1"/>
  <c r="L431" i="3"/>
  <c r="L423" i="3"/>
  <c r="L415" i="3"/>
  <c r="M415" i="3" s="1"/>
  <c r="L407" i="3"/>
  <c r="L399" i="3"/>
  <c r="M399" i="3" s="1"/>
  <c r="L391" i="3"/>
  <c r="M391" i="3" s="1"/>
  <c r="L383" i="3"/>
  <c r="M383" i="3" s="1"/>
  <c r="L375" i="3"/>
  <c r="L367" i="3"/>
  <c r="L359" i="3"/>
  <c r="L351" i="3"/>
  <c r="L343" i="3"/>
  <c r="M343" i="3" s="1"/>
  <c r="L335" i="3"/>
  <c r="M335" i="3" s="1"/>
  <c r="L327" i="3"/>
  <c r="L319" i="3"/>
  <c r="M319" i="3" s="1"/>
  <c r="L311" i="3"/>
  <c r="L303" i="3"/>
  <c r="L295" i="3"/>
  <c r="M295" i="3" s="1"/>
  <c r="L287" i="3"/>
  <c r="L279" i="3"/>
  <c r="M279" i="3" s="1"/>
  <c r="L271" i="3"/>
  <c r="M271" i="3" s="1"/>
  <c r="M473" i="3"/>
  <c r="M495" i="3"/>
  <c r="M431" i="3"/>
  <c r="M158" i="3"/>
  <c r="N158" i="3" s="1"/>
  <c r="M599" i="3"/>
  <c r="M551" i="3"/>
  <c r="M503" i="3"/>
  <c r="M463" i="3"/>
  <c r="M375" i="3"/>
  <c r="M541" i="3"/>
  <c r="M525" i="3"/>
  <c r="M461" i="3"/>
  <c r="M437" i="3"/>
  <c r="M397" i="3"/>
  <c r="M285" i="3"/>
  <c r="M269" i="3"/>
  <c r="L597" i="3"/>
  <c r="L589" i="3"/>
  <c r="L581" i="3"/>
  <c r="M581" i="3" s="1"/>
  <c r="L573" i="3"/>
  <c r="M573" i="3" s="1"/>
  <c r="L557" i="3"/>
  <c r="M557" i="3" s="1"/>
  <c r="L549" i="3"/>
  <c r="M549" i="3" s="1"/>
  <c r="L541" i="3"/>
  <c r="L533" i="3"/>
  <c r="M533" i="3" s="1"/>
  <c r="L525" i="3"/>
  <c r="L517" i="3"/>
  <c r="M517" i="3" s="1"/>
  <c r="L509" i="3"/>
  <c r="M509" i="3" s="1"/>
  <c r="L493" i="3"/>
  <c r="M493" i="3" s="1"/>
  <c r="L485" i="3"/>
  <c r="M485" i="3" s="1"/>
  <c r="L477" i="3"/>
  <c r="M477" i="3" s="1"/>
  <c r="L469" i="3"/>
  <c r="M469" i="3" s="1"/>
  <c r="L461" i="3"/>
  <c r="L453" i="3"/>
  <c r="M453" i="3" s="1"/>
  <c r="L445" i="3"/>
  <c r="M445" i="3" s="1"/>
  <c r="L429" i="3"/>
  <c r="M429" i="3" s="1"/>
  <c r="L421" i="3"/>
  <c r="M421" i="3" s="1"/>
  <c r="L413" i="3"/>
  <c r="M413" i="3" s="1"/>
  <c r="L405" i="3"/>
  <c r="M405" i="3" s="1"/>
  <c r="L397" i="3"/>
  <c r="L389" i="3"/>
  <c r="M389" i="3" s="1"/>
  <c r="M471" i="3"/>
  <c r="M423" i="3"/>
  <c r="M359" i="3"/>
  <c r="M311" i="3"/>
  <c r="M565" i="3"/>
  <c r="M444" i="3"/>
  <c r="M396" i="3"/>
  <c r="M559" i="3"/>
  <c r="M407" i="3"/>
  <c r="M367" i="3"/>
  <c r="M327" i="3"/>
  <c r="M287" i="3"/>
  <c r="M597" i="3"/>
  <c r="M595" i="3"/>
  <c r="M523" i="3"/>
  <c r="M315" i="3"/>
  <c r="L371" i="3"/>
  <c r="M371" i="3" s="1"/>
  <c r="M535" i="3"/>
  <c r="M487" i="3"/>
  <c r="M351" i="3"/>
  <c r="M303" i="3"/>
  <c r="M589" i="3"/>
  <c r="C15" i="3"/>
  <c r="C44" i="3" s="1"/>
  <c r="L3" i="3"/>
  <c r="L53" i="3"/>
  <c r="M53" i="3" s="1"/>
  <c r="L117" i="3"/>
  <c r="L181" i="3"/>
  <c r="M181" i="3" s="1"/>
  <c r="L245" i="3"/>
  <c r="M245" i="3" s="1"/>
  <c r="L307" i="3"/>
  <c r="M307" i="3" s="1"/>
  <c r="M482" i="3"/>
  <c r="M434" i="3"/>
  <c r="N434" i="3" s="1"/>
  <c r="L501" i="3"/>
  <c r="M501" i="3" s="1"/>
  <c r="L598" i="3"/>
  <c r="M598" i="3" s="1"/>
  <c r="L590" i="3"/>
  <c r="M590" i="3" s="1"/>
  <c r="L582" i="3"/>
  <c r="M582" i="3" s="1"/>
  <c r="N582" i="3" s="1"/>
  <c r="L574" i="3"/>
  <c r="M574" i="3" s="1"/>
  <c r="L566" i="3"/>
  <c r="M566" i="3" s="1"/>
  <c r="L558" i="3"/>
  <c r="M558" i="3" s="1"/>
  <c r="L550" i="3"/>
  <c r="M550" i="3" s="1"/>
  <c r="L542" i="3"/>
  <c r="M542" i="3" s="1"/>
  <c r="O542" i="3" s="1"/>
  <c r="P542" i="3" s="1"/>
  <c r="Q542" i="3" s="1"/>
  <c r="L534" i="3"/>
  <c r="M534" i="3" s="1"/>
  <c r="L526" i="3"/>
  <c r="M526" i="3" s="1"/>
  <c r="L518" i="3"/>
  <c r="M518" i="3" s="1"/>
  <c r="L510" i="3"/>
  <c r="M510" i="3" s="1"/>
  <c r="L502" i="3"/>
  <c r="M502" i="3" s="1"/>
  <c r="L494" i="3"/>
  <c r="M494" i="3" s="1"/>
  <c r="L486" i="3"/>
  <c r="M486" i="3" s="1"/>
  <c r="O486" i="3" s="1"/>
  <c r="P486" i="3" s="1"/>
  <c r="Q486" i="3" s="1"/>
  <c r="L478" i="3"/>
  <c r="M478" i="3" s="1"/>
  <c r="N478" i="3" s="1"/>
  <c r="L470" i="3"/>
  <c r="M470" i="3" s="1"/>
  <c r="N470" i="3" s="1"/>
  <c r="L462" i="3"/>
  <c r="M462" i="3" s="1"/>
  <c r="L454" i="3"/>
  <c r="M454" i="3" s="1"/>
  <c r="O454" i="3" s="1"/>
  <c r="P454" i="3" s="1"/>
  <c r="Q454" i="3" s="1"/>
  <c r="L446" i="3"/>
  <c r="M446" i="3" s="1"/>
  <c r="L438" i="3"/>
  <c r="M438" i="3" s="1"/>
  <c r="L430" i="3"/>
  <c r="M430" i="3" s="1"/>
  <c r="L422" i="3"/>
  <c r="M422" i="3" s="1"/>
  <c r="L414" i="3"/>
  <c r="M414" i="3" s="1"/>
  <c r="O414" i="3" s="1"/>
  <c r="P414" i="3" s="1"/>
  <c r="Q414" i="3" s="1"/>
  <c r="L406" i="3"/>
  <c r="M406" i="3" s="1"/>
  <c r="L398" i="3"/>
  <c r="M398" i="3" s="1"/>
  <c r="N398" i="3" s="1"/>
  <c r="L390" i="3"/>
  <c r="M390" i="3" s="1"/>
  <c r="O390" i="3" s="1"/>
  <c r="P390" i="3" s="1"/>
  <c r="Q390" i="3" s="1"/>
  <c r="L382" i="3"/>
  <c r="M382" i="3" s="1"/>
  <c r="L374" i="3"/>
  <c r="M374" i="3" s="1"/>
  <c r="L366" i="3"/>
  <c r="M366" i="3" s="1"/>
  <c r="N366" i="3" s="1"/>
  <c r="L358" i="3"/>
  <c r="M358" i="3" s="1"/>
  <c r="L350" i="3"/>
  <c r="M350" i="3" s="1"/>
  <c r="L342" i="3"/>
  <c r="M342" i="3" s="1"/>
  <c r="O342" i="3" s="1"/>
  <c r="P342" i="3" s="1"/>
  <c r="Q342" i="3" s="1"/>
  <c r="L334" i="3"/>
  <c r="M334" i="3" s="1"/>
  <c r="L326" i="3"/>
  <c r="M326" i="3" s="1"/>
  <c r="L318" i="3"/>
  <c r="M318" i="3" s="1"/>
  <c r="L310" i="3"/>
  <c r="M310" i="3" s="1"/>
  <c r="O310" i="3" s="1"/>
  <c r="P310" i="3" s="1"/>
  <c r="Q310" i="3" s="1"/>
  <c r="L302" i="3"/>
  <c r="M302" i="3" s="1"/>
  <c r="L294" i="3"/>
  <c r="M294" i="3" s="1"/>
  <c r="L286" i="3"/>
  <c r="M286" i="3" s="1"/>
  <c r="N286" i="3" s="1"/>
  <c r="L278" i="3"/>
  <c r="M278" i="3" s="1"/>
  <c r="L270" i="3"/>
  <c r="M270" i="3" s="1"/>
  <c r="L262" i="3"/>
  <c r="M262" i="3" s="1"/>
  <c r="L254" i="3"/>
  <c r="M254" i="3" s="1"/>
  <c r="O254" i="3" s="1"/>
  <c r="P254" i="3" s="1"/>
  <c r="Q254" i="3" s="1"/>
  <c r="L246" i="3"/>
  <c r="M246" i="3" s="1"/>
  <c r="L238" i="3"/>
  <c r="M238" i="3" s="1"/>
  <c r="L230" i="3"/>
  <c r="M230" i="3" s="1"/>
  <c r="N230" i="3" s="1"/>
  <c r="L222" i="3"/>
  <c r="M222" i="3" s="1"/>
  <c r="L214" i="3"/>
  <c r="M214" i="3" s="1"/>
  <c r="O214" i="3" s="1"/>
  <c r="P214" i="3" s="1"/>
  <c r="Q214" i="3" s="1"/>
  <c r="L206" i="3"/>
  <c r="M206" i="3" s="1"/>
  <c r="L198" i="3"/>
  <c r="M198" i="3" s="1"/>
  <c r="L190" i="3"/>
  <c r="M190" i="3" s="1"/>
  <c r="L182" i="3"/>
  <c r="M182" i="3" s="1"/>
  <c r="L174" i="3"/>
  <c r="M174" i="3" s="1"/>
  <c r="L166" i="3"/>
  <c r="M166" i="3" s="1"/>
  <c r="L158" i="3"/>
  <c r="L150" i="3"/>
  <c r="M150" i="3" s="1"/>
  <c r="O150" i="3" s="1"/>
  <c r="P150" i="3" s="1"/>
  <c r="Q150" i="3" s="1"/>
  <c r="L142" i="3"/>
  <c r="M142" i="3" s="1"/>
  <c r="L134" i="3"/>
  <c r="M134" i="3" s="1"/>
  <c r="O134" i="3" s="1"/>
  <c r="P134" i="3" s="1"/>
  <c r="Q134" i="3" s="1"/>
  <c r="L126" i="3"/>
  <c r="M126" i="3" s="1"/>
  <c r="L118" i="3"/>
  <c r="M118" i="3" s="1"/>
  <c r="O118" i="3" s="1"/>
  <c r="P118" i="3" s="1"/>
  <c r="Q118" i="3" s="1"/>
  <c r="L110" i="3"/>
  <c r="M110" i="3" s="1"/>
  <c r="L102" i="3"/>
  <c r="M102" i="3" s="1"/>
  <c r="L94" i="3"/>
  <c r="M94" i="3" s="1"/>
  <c r="N94" i="3" s="1"/>
  <c r="L86" i="3"/>
  <c r="M86" i="3" s="1"/>
  <c r="L78" i="3"/>
  <c r="M78" i="3" s="1"/>
  <c r="L70" i="3"/>
  <c r="M70" i="3" s="1"/>
  <c r="N70" i="3" s="1"/>
  <c r="L62" i="3"/>
  <c r="M62" i="3" s="1"/>
  <c r="N62" i="3" s="1"/>
  <c r="L54" i="3"/>
  <c r="M54" i="3" s="1"/>
  <c r="L46" i="3"/>
  <c r="M46" i="3" s="1"/>
  <c r="L38" i="3"/>
  <c r="M38" i="3" s="1"/>
  <c r="L30" i="3"/>
  <c r="M30" i="3" s="1"/>
  <c r="L22" i="3"/>
  <c r="M22" i="3" s="1"/>
  <c r="O22" i="3" s="1"/>
  <c r="P22" i="3" s="1"/>
  <c r="Q22" i="3" s="1"/>
  <c r="L14" i="3"/>
  <c r="M14" i="3" s="1"/>
  <c r="L6" i="3"/>
  <c r="M6" i="3" s="1"/>
  <c r="M133" i="3"/>
  <c r="M117" i="3"/>
  <c r="M101" i="3"/>
  <c r="L381" i="3"/>
  <c r="M381" i="3" s="1"/>
  <c r="L373" i="3"/>
  <c r="M373" i="3" s="1"/>
  <c r="L365" i="3"/>
  <c r="M365" i="3" s="1"/>
  <c r="L357" i="3"/>
  <c r="M357" i="3" s="1"/>
  <c r="L349" i="3"/>
  <c r="M349" i="3" s="1"/>
  <c r="L341" i="3"/>
  <c r="M341" i="3" s="1"/>
  <c r="L333" i="3"/>
  <c r="M333" i="3" s="1"/>
  <c r="L325" i="3"/>
  <c r="M325" i="3" s="1"/>
  <c r="L317" i="3"/>
  <c r="M317" i="3" s="1"/>
  <c r="L309" i="3"/>
  <c r="M309" i="3" s="1"/>
  <c r="L301" i="3"/>
  <c r="M301" i="3" s="1"/>
  <c r="L293" i="3"/>
  <c r="M293" i="3" s="1"/>
  <c r="L285" i="3"/>
  <c r="L277" i="3"/>
  <c r="M277" i="3" s="1"/>
  <c r="L269" i="3"/>
  <c r="L261" i="3"/>
  <c r="M261" i="3" s="1"/>
  <c r="L253" i="3"/>
  <c r="M253" i="3" s="1"/>
  <c r="L237" i="3"/>
  <c r="M237" i="3" s="1"/>
  <c r="L229" i="3"/>
  <c r="M229" i="3" s="1"/>
  <c r="L221" i="3"/>
  <c r="M221" i="3" s="1"/>
  <c r="L213" i="3"/>
  <c r="M213" i="3" s="1"/>
  <c r="L205" i="3"/>
  <c r="M205" i="3" s="1"/>
  <c r="L197" i="3"/>
  <c r="M197" i="3" s="1"/>
  <c r="L189" i="3"/>
  <c r="M189" i="3" s="1"/>
  <c r="L173" i="3"/>
  <c r="M173" i="3" s="1"/>
  <c r="L165" i="3"/>
  <c r="M165" i="3" s="1"/>
  <c r="L157" i="3"/>
  <c r="M157" i="3" s="1"/>
  <c r="L149" i="3"/>
  <c r="M149" i="3" s="1"/>
  <c r="L141" i="3"/>
  <c r="M141" i="3" s="1"/>
  <c r="L133" i="3"/>
  <c r="L125" i="3"/>
  <c r="M125" i="3" s="1"/>
  <c r="L109" i="3"/>
  <c r="M109" i="3" s="1"/>
  <c r="L101" i="3"/>
  <c r="L93" i="3"/>
  <c r="M93" i="3" s="1"/>
  <c r="L85" i="3"/>
  <c r="M85" i="3" s="1"/>
  <c r="L77" i="3"/>
  <c r="M77" i="3" s="1"/>
  <c r="L69" i="3"/>
  <c r="M69" i="3" s="1"/>
  <c r="L61" i="3"/>
  <c r="M61" i="3" s="1"/>
  <c r="L45" i="3"/>
  <c r="M45" i="3" s="1"/>
  <c r="L37" i="3"/>
  <c r="M37" i="3" s="1"/>
  <c r="L29" i="3"/>
  <c r="M29" i="3" s="1"/>
  <c r="L21" i="3"/>
  <c r="M21" i="3" s="1"/>
  <c r="M20" i="3"/>
  <c r="M3" i="3"/>
  <c r="N3" i="3" s="1"/>
  <c r="L596" i="3"/>
  <c r="M596" i="3" s="1"/>
  <c r="L588" i="3"/>
  <c r="M588" i="3" s="1"/>
  <c r="L580" i="3"/>
  <c r="M580" i="3" s="1"/>
  <c r="L572" i="3"/>
  <c r="M572" i="3" s="1"/>
  <c r="L564" i="3"/>
  <c r="M564" i="3" s="1"/>
  <c r="L556" i="3"/>
  <c r="M556" i="3" s="1"/>
  <c r="L548" i="3"/>
  <c r="M548" i="3" s="1"/>
  <c r="L540" i="3"/>
  <c r="M540" i="3" s="1"/>
  <c r="L532" i="3"/>
  <c r="M532" i="3" s="1"/>
  <c r="L524" i="3"/>
  <c r="M524" i="3" s="1"/>
  <c r="L516" i="3"/>
  <c r="M516" i="3" s="1"/>
  <c r="L508" i="3"/>
  <c r="M508" i="3" s="1"/>
  <c r="L500" i="3"/>
  <c r="M500" i="3" s="1"/>
  <c r="L492" i="3"/>
  <c r="M492" i="3" s="1"/>
  <c r="L484" i="3"/>
  <c r="M484" i="3" s="1"/>
  <c r="L476" i="3"/>
  <c r="M476" i="3" s="1"/>
  <c r="L468" i="3"/>
  <c r="M468" i="3" s="1"/>
  <c r="L460" i="3"/>
  <c r="M460" i="3" s="1"/>
  <c r="L452" i="3"/>
  <c r="M452" i="3" s="1"/>
  <c r="L444" i="3"/>
  <c r="L436" i="3"/>
  <c r="M436" i="3" s="1"/>
  <c r="L428" i="3"/>
  <c r="M428" i="3" s="1"/>
  <c r="L420" i="3"/>
  <c r="M420" i="3" s="1"/>
  <c r="L412" i="3"/>
  <c r="M412" i="3" s="1"/>
  <c r="L404" i="3"/>
  <c r="M404" i="3" s="1"/>
  <c r="L396" i="3"/>
  <c r="L388" i="3"/>
  <c r="M388" i="3" s="1"/>
  <c r="L380" i="3"/>
  <c r="M380" i="3" s="1"/>
  <c r="L372" i="3"/>
  <c r="M372" i="3" s="1"/>
  <c r="L364" i="3"/>
  <c r="M364" i="3" s="1"/>
  <c r="L356" i="3"/>
  <c r="M356" i="3" s="1"/>
  <c r="L348" i="3"/>
  <c r="M348" i="3" s="1"/>
  <c r="L340" i="3"/>
  <c r="M340" i="3" s="1"/>
  <c r="L332" i="3"/>
  <c r="M332" i="3" s="1"/>
  <c r="L324" i="3"/>
  <c r="M324" i="3" s="1"/>
  <c r="L316" i="3"/>
  <c r="M316" i="3" s="1"/>
  <c r="L308" i="3"/>
  <c r="M308" i="3" s="1"/>
  <c r="L300" i="3"/>
  <c r="M300" i="3" s="1"/>
  <c r="L292" i="3"/>
  <c r="M292" i="3" s="1"/>
  <c r="L284" i="3"/>
  <c r="M284" i="3" s="1"/>
  <c r="L12" i="3"/>
  <c r="M12" i="3" s="1"/>
  <c r="M123" i="3"/>
  <c r="M107" i="3"/>
  <c r="L2" i="3"/>
  <c r="L595" i="3"/>
  <c r="L587" i="3"/>
  <c r="M587" i="3" s="1"/>
  <c r="L579" i="3"/>
  <c r="M579" i="3" s="1"/>
  <c r="L571" i="3"/>
  <c r="M571" i="3" s="1"/>
  <c r="L563" i="3"/>
  <c r="M563" i="3" s="1"/>
  <c r="L555" i="3"/>
  <c r="M555" i="3" s="1"/>
  <c r="L547" i="3"/>
  <c r="M547" i="3" s="1"/>
  <c r="L539" i="3"/>
  <c r="M539" i="3" s="1"/>
  <c r="L531" i="3"/>
  <c r="M531" i="3" s="1"/>
  <c r="L523" i="3"/>
  <c r="L515" i="3"/>
  <c r="M515" i="3" s="1"/>
  <c r="L507" i="3"/>
  <c r="M507" i="3" s="1"/>
  <c r="L499" i="3"/>
  <c r="M499" i="3" s="1"/>
  <c r="L491" i="3"/>
  <c r="M491" i="3" s="1"/>
  <c r="L483" i="3"/>
  <c r="M483" i="3" s="1"/>
  <c r="L475" i="3"/>
  <c r="M475" i="3" s="1"/>
  <c r="L467" i="3"/>
  <c r="M467" i="3" s="1"/>
  <c r="L459" i="3"/>
  <c r="M459" i="3" s="1"/>
  <c r="L451" i="3"/>
  <c r="M451" i="3" s="1"/>
  <c r="L443" i="3"/>
  <c r="M443" i="3" s="1"/>
  <c r="L435" i="3"/>
  <c r="M435" i="3" s="1"/>
  <c r="L427" i="3"/>
  <c r="M427" i="3" s="1"/>
  <c r="L419" i="3"/>
  <c r="M419" i="3" s="1"/>
  <c r="L411" i="3"/>
  <c r="M411" i="3" s="1"/>
  <c r="L403" i="3"/>
  <c r="M403" i="3" s="1"/>
  <c r="L395" i="3"/>
  <c r="M395" i="3" s="1"/>
  <c r="L387" i="3"/>
  <c r="M387" i="3" s="1"/>
  <c r="L379" i="3"/>
  <c r="M379" i="3" s="1"/>
  <c r="L363" i="3"/>
  <c r="M363" i="3" s="1"/>
  <c r="L355" i="3"/>
  <c r="M355" i="3" s="1"/>
  <c r="L347" i="3"/>
  <c r="M347" i="3" s="1"/>
  <c r="L331" i="3"/>
  <c r="M331" i="3" s="1"/>
  <c r="L323" i="3"/>
  <c r="M323" i="3" s="1"/>
  <c r="L315" i="3"/>
  <c r="M250" i="3"/>
  <c r="N250" i="3" s="1"/>
  <c r="M234" i="3"/>
  <c r="L602" i="3"/>
  <c r="M602" i="3" s="1"/>
  <c r="L594" i="3"/>
  <c r="M594" i="3" s="1"/>
  <c r="N594" i="3" s="1"/>
  <c r="L586" i="3"/>
  <c r="M586" i="3" s="1"/>
  <c r="O586" i="3" s="1"/>
  <c r="P586" i="3" s="1"/>
  <c r="Q586" i="3" s="1"/>
  <c r="L578" i="3"/>
  <c r="M578" i="3" s="1"/>
  <c r="N578" i="3" s="1"/>
  <c r="L570" i="3"/>
  <c r="M570" i="3" s="1"/>
  <c r="N570" i="3" s="1"/>
  <c r="L562" i="3"/>
  <c r="M562" i="3" s="1"/>
  <c r="L554" i="3"/>
  <c r="M554" i="3" s="1"/>
  <c r="O554" i="3" s="1"/>
  <c r="P554" i="3" s="1"/>
  <c r="Q554" i="3" s="1"/>
  <c r="L546" i="3"/>
  <c r="M546" i="3" s="1"/>
  <c r="L538" i="3"/>
  <c r="M538" i="3" s="1"/>
  <c r="L530" i="3"/>
  <c r="M530" i="3" s="1"/>
  <c r="O530" i="3" s="1"/>
  <c r="P530" i="3" s="1"/>
  <c r="Q530" i="3" s="1"/>
  <c r="L522" i="3"/>
  <c r="M522" i="3" s="1"/>
  <c r="O522" i="3" s="1"/>
  <c r="P522" i="3" s="1"/>
  <c r="Q522" i="3" s="1"/>
  <c r="L514" i="3"/>
  <c r="M514" i="3" s="1"/>
  <c r="L506" i="3"/>
  <c r="M506" i="3" s="1"/>
  <c r="N506" i="3" s="1"/>
  <c r="L498" i="3"/>
  <c r="M498" i="3" s="1"/>
  <c r="L490" i="3"/>
  <c r="M490" i="3" s="1"/>
  <c r="O490" i="3" s="1"/>
  <c r="P490" i="3" s="1"/>
  <c r="Q490" i="3" s="1"/>
  <c r="L482" i="3"/>
  <c r="L474" i="3"/>
  <c r="M474" i="3" s="1"/>
  <c r="L466" i="3"/>
  <c r="M466" i="3" s="1"/>
  <c r="L458" i="3"/>
  <c r="M458" i="3" s="1"/>
  <c r="O458" i="3" s="1"/>
  <c r="P458" i="3" s="1"/>
  <c r="Q458" i="3" s="1"/>
  <c r="L450" i="3"/>
  <c r="M450" i="3" s="1"/>
  <c r="L442" i="3"/>
  <c r="M442" i="3" s="1"/>
  <c r="N442" i="3" s="1"/>
  <c r="L434" i="3"/>
  <c r="L426" i="3"/>
  <c r="M426" i="3" s="1"/>
  <c r="O426" i="3" s="1"/>
  <c r="P426" i="3" s="1"/>
  <c r="Q426" i="3" s="1"/>
  <c r="L418" i="3"/>
  <c r="M418" i="3" s="1"/>
  <c r="L410" i="3"/>
  <c r="M410" i="3" s="1"/>
  <c r="N410" i="3" s="1"/>
  <c r="L402" i="3"/>
  <c r="M402" i="3" s="1"/>
  <c r="N402" i="3" s="1"/>
  <c r="L394" i="3"/>
  <c r="M394" i="3" s="1"/>
  <c r="O394" i="3" s="1"/>
  <c r="P394" i="3" s="1"/>
  <c r="Q394" i="3" s="1"/>
  <c r="L386" i="3"/>
  <c r="M386" i="3" s="1"/>
  <c r="N386" i="3" s="1"/>
  <c r="L378" i="3"/>
  <c r="M378" i="3" s="1"/>
  <c r="L370" i="3"/>
  <c r="M370" i="3" s="1"/>
  <c r="L362" i="3"/>
  <c r="M362" i="3" s="1"/>
  <c r="O362" i="3" s="1"/>
  <c r="P362" i="3" s="1"/>
  <c r="Q362" i="3" s="1"/>
  <c r="L354" i="3"/>
  <c r="M354" i="3" s="1"/>
  <c r="L346" i="3"/>
  <c r="M346" i="3" s="1"/>
  <c r="M297" i="3"/>
  <c r="M89" i="3"/>
  <c r="O89" i="3" s="1"/>
  <c r="P89" i="3" s="1"/>
  <c r="Q89" i="3" s="1"/>
  <c r="M41" i="3"/>
  <c r="O41" i="3" s="1"/>
  <c r="P41" i="3" s="1"/>
  <c r="Q41" i="3" s="1"/>
  <c r="L601" i="3"/>
  <c r="M601" i="3" s="1"/>
  <c r="L593" i="3"/>
  <c r="M593" i="3" s="1"/>
  <c r="O593" i="3" s="1"/>
  <c r="P593" i="3" s="1"/>
  <c r="Q593" i="3" s="1"/>
  <c r="L585" i="3"/>
  <c r="M585" i="3" s="1"/>
  <c r="N585" i="3" s="1"/>
  <c r="L577" i="3"/>
  <c r="M577" i="3" s="1"/>
  <c r="L569" i="3"/>
  <c r="M569" i="3" s="1"/>
  <c r="O569" i="3" s="1"/>
  <c r="P569" i="3" s="1"/>
  <c r="Q569" i="3" s="1"/>
  <c r="L561" i="3"/>
  <c r="M561" i="3" s="1"/>
  <c r="O561" i="3" s="1"/>
  <c r="P561" i="3" s="1"/>
  <c r="Q561" i="3" s="1"/>
  <c r="L553" i="3"/>
  <c r="M553" i="3" s="1"/>
  <c r="L545" i="3"/>
  <c r="M545" i="3" s="1"/>
  <c r="O545" i="3" s="1"/>
  <c r="P545" i="3" s="1"/>
  <c r="Q545" i="3" s="1"/>
  <c r="L537" i="3"/>
  <c r="M537" i="3" s="1"/>
  <c r="O537" i="3" s="1"/>
  <c r="P537" i="3" s="1"/>
  <c r="Q537" i="3" s="1"/>
  <c r="L529" i="3"/>
  <c r="M529" i="3" s="1"/>
  <c r="O529" i="3" s="1"/>
  <c r="P529" i="3" s="1"/>
  <c r="Q529" i="3" s="1"/>
  <c r="L521" i="3"/>
  <c r="M521" i="3" s="1"/>
  <c r="O521" i="3" s="1"/>
  <c r="P521" i="3" s="1"/>
  <c r="Q521" i="3" s="1"/>
  <c r="L513" i="3"/>
  <c r="M513" i="3" s="1"/>
  <c r="L505" i="3"/>
  <c r="M505" i="3" s="1"/>
  <c r="L497" i="3"/>
  <c r="M497" i="3" s="1"/>
  <c r="L489" i="3"/>
  <c r="M489" i="3" s="1"/>
  <c r="O489" i="3" s="1"/>
  <c r="P489" i="3" s="1"/>
  <c r="Q489" i="3" s="1"/>
  <c r="L481" i="3"/>
  <c r="M481" i="3" s="1"/>
  <c r="O481" i="3" s="1"/>
  <c r="P481" i="3" s="1"/>
  <c r="Q481" i="3" s="1"/>
  <c r="L473" i="3"/>
  <c r="L465" i="3"/>
  <c r="M465" i="3" s="1"/>
  <c r="N465" i="3" s="1"/>
  <c r="L457" i="3"/>
  <c r="M457" i="3" s="1"/>
  <c r="O457" i="3" s="1"/>
  <c r="P457" i="3" s="1"/>
  <c r="Q457" i="3" s="1"/>
  <c r="L449" i="3"/>
  <c r="M449" i="3" s="1"/>
  <c r="O449" i="3" s="1"/>
  <c r="P449" i="3" s="1"/>
  <c r="Q449" i="3" s="1"/>
  <c r="L441" i="3"/>
  <c r="M441" i="3" s="1"/>
  <c r="N441" i="3" s="1"/>
  <c r="L433" i="3"/>
  <c r="M433" i="3" s="1"/>
  <c r="O433" i="3" s="1"/>
  <c r="P433" i="3" s="1"/>
  <c r="Q433" i="3" s="1"/>
  <c r="L425" i="3"/>
  <c r="M425" i="3" s="1"/>
  <c r="L417" i="3"/>
  <c r="M417" i="3" s="1"/>
  <c r="L409" i="3"/>
  <c r="M409" i="3" s="1"/>
  <c r="O409" i="3" s="1"/>
  <c r="P409" i="3" s="1"/>
  <c r="Q409" i="3" s="1"/>
  <c r="L401" i="3"/>
  <c r="M401" i="3" s="1"/>
  <c r="O401" i="3" s="1"/>
  <c r="P401" i="3" s="1"/>
  <c r="Q401" i="3" s="1"/>
  <c r="L393" i="3"/>
  <c r="M393" i="3" s="1"/>
  <c r="O393" i="3" s="1"/>
  <c r="P393" i="3" s="1"/>
  <c r="Q393" i="3" s="1"/>
  <c r="L385" i="3"/>
  <c r="M385" i="3" s="1"/>
  <c r="N385" i="3" s="1"/>
  <c r="L377" i="3"/>
  <c r="M377" i="3" s="1"/>
  <c r="O377" i="3" s="1"/>
  <c r="P377" i="3" s="1"/>
  <c r="Q377" i="3" s="1"/>
  <c r="M280" i="3"/>
  <c r="O280" i="3" s="1"/>
  <c r="P280" i="3" s="1"/>
  <c r="Q280" i="3" s="1"/>
  <c r="M232" i="3"/>
  <c r="M152" i="3"/>
  <c r="O152" i="3" s="1"/>
  <c r="P152" i="3" s="1"/>
  <c r="Q152" i="3" s="1"/>
  <c r="M24" i="3"/>
  <c r="L600" i="3"/>
  <c r="M600" i="3" s="1"/>
  <c r="L592" i="3"/>
  <c r="M592" i="3" s="1"/>
  <c r="O592" i="3" s="1"/>
  <c r="P592" i="3" s="1"/>
  <c r="Q592" i="3" s="1"/>
  <c r="L584" i="3"/>
  <c r="M584" i="3" s="1"/>
  <c r="O584" i="3" s="1"/>
  <c r="P584" i="3" s="1"/>
  <c r="Q584" i="3" s="1"/>
  <c r="L576" i="3"/>
  <c r="M576" i="3" s="1"/>
  <c r="O576" i="3" s="1"/>
  <c r="P576" i="3" s="1"/>
  <c r="Q576" i="3" s="1"/>
  <c r="L568" i="3"/>
  <c r="M568" i="3" s="1"/>
  <c r="L560" i="3"/>
  <c r="M560" i="3" s="1"/>
  <c r="O560" i="3" s="1"/>
  <c r="P560" i="3" s="1"/>
  <c r="Q560" i="3" s="1"/>
  <c r="L552" i="3"/>
  <c r="M552" i="3" s="1"/>
  <c r="O552" i="3" s="1"/>
  <c r="P552" i="3" s="1"/>
  <c r="Q552" i="3" s="1"/>
  <c r="L544" i="3"/>
  <c r="M544" i="3" s="1"/>
  <c r="O544" i="3" s="1"/>
  <c r="P544" i="3" s="1"/>
  <c r="Q544" i="3" s="1"/>
  <c r="L536" i="3"/>
  <c r="M536" i="3" s="1"/>
  <c r="L528" i="3"/>
  <c r="M528" i="3" s="1"/>
  <c r="O528" i="3" s="1"/>
  <c r="P528" i="3" s="1"/>
  <c r="Q528" i="3" s="1"/>
  <c r="L520" i="3"/>
  <c r="M520" i="3" s="1"/>
  <c r="O520" i="3" s="1"/>
  <c r="P520" i="3" s="1"/>
  <c r="Q520" i="3" s="1"/>
  <c r="L512" i="3"/>
  <c r="M512" i="3" s="1"/>
  <c r="O512" i="3" s="1"/>
  <c r="P512" i="3" s="1"/>
  <c r="Q512" i="3" s="1"/>
  <c r="L504" i="3"/>
  <c r="M504" i="3" s="1"/>
  <c r="L496" i="3"/>
  <c r="M496" i="3" s="1"/>
  <c r="L488" i="3"/>
  <c r="M488" i="3" s="1"/>
  <c r="O488" i="3" s="1"/>
  <c r="P488" i="3" s="1"/>
  <c r="Q488" i="3" s="1"/>
  <c r="L480" i="3"/>
  <c r="M480" i="3" s="1"/>
  <c r="O480" i="3" s="1"/>
  <c r="P480" i="3" s="1"/>
  <c r="Q480" i="3" s="1"/>
  <c r="L472" i="3"/>
  <c r="M472" i="3" s="1"/>
  <c r="L464" i="3"/>
  <c r="M464" i="3" s="1"/>
  <c r="O464" i="3" s="1"/>
  <c r="P464" i="3" s="1"/>
  <c r="Q464" i="3" s="1"/>
  <c r="L456" i="3"/>
  <c r="M456" i="3" s="1"/>
  <c r="O456" i="3" s="1"/>
  <c r="P456" i="3" s="1"/>
  <c r="Q456" i="3" s="1"/>
  <c r="L448" i="3"/>
  <c r="M448" i="3" s="1"/>
  <c r="O448" i="3" s="1"/>
  <c r="P448" i="3" s="1"/>
  <c r="Q448" i="3" s="1"/>
  <c r="L440" i="3"/>
  <c r="M440" i="3" s="1"/>
  <c r="N440" i="3" s="1"/>
  <c r="L432" i="3"/>
  <c r="M432" i="3" s="1"/>
  <c r="O432" i="3" s="1"/>
  <c r="P432" i="3" s="1"/>
  <c r="Q432" i="3" s="1"/>
  <c r="L424" i="3"/>
  <c r="M424" i="3" s="1"/>
  <c r="O424" i="3" s="1"/>
  <c r="P424" i="3" s="1"/>
  <c r="Q424" i="3" s="1"/>
  <c r="L416" i="3"/>
  <c r="M416" i="3" s="1"/>
  <c r="O416" i="3" s="1"/>
  <c r="P416" i="3" s="1"/>
  <c r="Q416" i="3" s="1"/>
  <c r="L408" i="3"/>
  <c r="M408" i="3" s="1"/>
  <c r="L400" i="3"/>
  <c r="M400" i="3" s="1"/>
  <c r="O400" i="3" s="1"/>
  <c r="P400" i="3" s="1"/>
  <c r="Q400" i="3" s="1"/>
  <c r="L392" i="3"/>
  <c r="M392" i="3" s="1"/>
  <c r="O392" i="3" s="1"/>
  <c r="P392" i="3" s="1"/>
  <c r="Q392" i="3" s="1"/>
  <c r="L384" i="3"/>
  <c r="M384" i="3" s="1"/>
  <c r="O384" i="3" s="1"/>
  <c r="P384" i="3" s="1"/>
  <c r="Q384" i="3" s="1"/>
  <c r="L376" i="3"/>
  <c r="M376" i="3" s="1"/>
  <c r="L368" i="3"/>
  <c r="M368" i="3" s="1"/>
  <c r="O368" i="3" s="1"/>
  <c r="P368" i="3" s="1"/>
  <c r="Q368" i="3" s="1"/>
  <c r="L360" i="3"/>
  <c r="M360" i="3" s="1"/>
  <c r="N360" i="3" s="1"/>
  <c r="L352" i="3"/>
  <c r="M352" i="3" s="1"/>
  <c r="O352" i="3" s="1"/>
  <c r="P352" i="3" s="1"/>
  <c r="Q352" i="3" s="1"/>
  <c r="L13" i="3"/>
  <c r="M13" i="3" s="1"/>
  <c r="L5" i="3"/>
  <c r="M5" i="3" s="1"/>
  <c r="L276" i="3"/>
  <c r="M276" i="3" s="1"/>
  <c r="L268" i="3"/>
  <c r="M268" i="3" s="1"/>
  <c r="L260" i="3"/>
  <c r="M260" i="3" s="1"/>
  <c r="L252" i="3"/>
  <c r="M252" i="3" s="1"/>
  <c r="L244" i="3"/>
  <c r="M244" i="3" s="1"/>
  <c r="L236" i="3"/>
  <c r="M236" i="3" s="1"/>
  <c r="L228" i="3"/>
  <c r="M228" i="3" s="1"/>
  <c r="L220" i="3"/>
  <c r="M220" i="3" s="1"/>
  <c r="L212" i="3"/>
  <c r="M212" i="3" s="1"/>
  <c r="L204" i="3"/>
  <c r="M204" i="3" s="1"/>
  <c r="L196" i="3"/>
  <c r="M196" i="3" s="1"/>
  <c r="L188" i="3"/>
  <c r="M188" i="3" s="1"/>
  <c r="L180" i="3"/>
  <c r="M180" i="3" s="1"/>
  <c r="L172" i="3"/>
  <c r="M172" i="3" s="1"/>
  <c r="L164" i="3"/>
  <c r="M164" i="3" s="1"/>
  <c r="L156" i="3"/>
  <c r="M156" i="3" s="1"/>
  <c r="L148" i="3"/>
  <c r="M148" i="3" s="1"/>
  <c r="L140" i="3"/>
  <c r="M140" i="3" s="1"/>
  <c r="L132" i="3"/>
  <c r="M132" i="3" s="1"/>
  <c r="L124" i="3"/>
  <c r="M124" i="3" s="1"/>
  <c r="L116" i="3"/>
  <c r="M116" i="3" s="1"/>
  <c r="L108" i="3"/>
  <c r="M108" i="3" s="1"/>
  <c r="L100" i="3"/>
  <c r="M100" i="3" s="1"/>
  <c r="L92" i="3"/>
  <c r="M92" i="3" s="1"/>
  <c r="L84" i="3"/>
  <c r="M84" i="3" s="1"/>
  <c r="L76" i="3"/>
  <c r="M76" i="3" s="1"/>
  <c r="L68" i="3"/>
  <c r="M68" i="3" s="1"/>
  <c r="L60" i="3"/>
  <c r="M60" i="3" s="1"/>
  <c r="L52" i="3"/>
  <c r="M52" i="3" s="1"/>
  <c r="L44" i="3"/>
  <c r="M44" i="3" s="1"/>
  <c r="L36" i="3"/>
  <c r="M36" i="3" s="1"/>
  <c r="L28" i="3"/>
  <c r="M28" i="3" s="1"/>
  <c r="L20" i="3"/>
  <c r="L4" i="3"/>
  <c r="M4" i="3" s="1"/>
  <c r="N4" i="3" s="1"/>
  <c r="L299" i="3"/>
  <c r="M299" i="3" s="1"/>
  <c r="L291" i="3"/>
  <c r="M291" i="3" s="1"/>
  <c r="L283" i="3"/>
  <c r="M283" i="3" s="1"/>
  <c r="L275" i="3"/>
  <c r="M275" i="3" s="1"/>
  <c r="L267" i="3"/>
  <c r="M267" i="3" s="1"/>
  <c r="L259" i="3"/>
  <c r="M259" i="3" s="1"/>
  <c r="L251" i="3"/>
  <c r="M251" i="3" s="1"/>
  <c r="L243" i="3"/>
  <c r="M243" i="3" s="1"/>
  <c r="L235" i="3"/>
  <c r="M235" i="3" s="1"/>
  <c r="L227" i="3"/>
  <c r="M227" i="3" s="1"/>
  <c r="L219" i="3"/>
  <c r="M219" i="3" s="1"/>
  <c r="L211" i="3"/>
  <c r="M211" i="3" s="1"/>
  <c r="L203" i="3"/>
  <c r="M203" i="3" s="1"/>
  <c r="L195" i="3"/>
  <c r="M195" i="3" s="1"/>
  <c r="L187" i="3"/>
  <c r="M187" i="3" s="1"/>
  <c r="L179" i="3"/>
  <c r="M179" i="3" s="1"/>
  <c r="L171" i="3"/>
  <c r="M171" i="3" s="1"/>
  <c r="L163" i="3"/>
  <c r="M163" i="3" s="1"/>
  <c r="L155" i="3"/>
  <c r="M155" i="3" s="1"/>
  <c r="L147" i="3"/>
  <c r="M147" i="3" s="1"/>
  <c r="L139" i="3"/>
  <c r="M139" i="3" s="1"/>
  <c r="L131" i="3"/>
  <c r="M131" i="3" s="1"/>
  <c r="L123" i="3"/>
  <c r="L115" i="3"/>
  <c r="M115" i="3" s="1"/>
  <c r="L107" i="3"/>
  <c r="L99" i="3"/>
  <c r="M99" i="3" s="1"/>
  <c r="L91" i="3"/>
  <c r="M91" i="3" s="1"/>
  <c r="L83" i="3"/>
  <c r="M83" i="3" s="1"/>
  <c r="L75" i="3"/>
  <c r="M75" i="3" s="1"/>
  <c r="L67" i="3"/>
  <c r="M67" i="3" s="1"/>
  <c r="L59" i="3"/>
  <c r="M59" i="3" s="1"/>
  <c r="L51" i="3"/>
  <c r="M51" i="3" s="1"/>
  <c r="L43" i="3"/>
  <c r="M43" i="3" s="1"/>
  <c r="L35" i="3"/>
  <c r="M35" i="3" s="1"/>
  <c r="L27" i="3"/>
  <c r="M27" i="3" s="1"/>
  <c r="L19" i="3"/>
  <c r="M19" i="3" s="1"/>
  <c r="L11" i="3"/>
  <c r="M11" i="3" s="1"/>
  <c r="L338" i="3"/>
  <c r="M338" i="3" s="1"/>
  <c r="L330" i="3"/>
  <c r="M330" i="3" s="1"/>
  <c r="O330" i="3" s="1"/>
  <c r="P330" i="3" s="1"/>
  <c r="Q330" i="3" s="1"/>
  <c r="L322" i="3"/>
  <c r="M322" i="3" s="1"/>
  <c r="L314" i="3"/>
  <c r="M314" i="3" s="1"/>
  <c r="N314" i="3" s="1"/>
  <c r="L306" i="3"/>
  <c r="M306" i="3" s="1"/>
  <c r="N306" i="3" s="1"/>
  <c r="L298" i="3"/>
  <c r="M298" i="3" s="1"/>
  <c r="L290" i="3"/>
  <c r="M290" i="3" s="1"/>
  <c r="L282" i="3"/>
  <c r="M282" i="3" s="1"/>
  <c r="L274" i="3"/>
  <c r="M274" i="3" s="1"/>
  <c r="L266" i="3"/>
  <c r="M266" i="3" s="1"/>
  <c r="L258" i="3"/>
  <c r="M258" i="3" s="1"/>
  <c r="L250" i="3"/>
  <c r="L242" i="3"/>
  <c r="M242" i="3" s="1"/>
  <c r="N242" i="3" s="1"/>
  <c r="L234" i="3"/>
  <c r="L226" i="3"/>
  <c r="M226" i="3" s="1"/>
  <c r="L218" i="3"/>
  <c r="M218" i="3" s="1"/>
  <c r="L210" i="3"/>
  <c r="M210" i="3" s="1"/>
  <c r="N210" i="3" s="1"/>
  <c r="L202" i="3"/>
  <c r="M202" i="3" s="1"/>
  <c r="L194" i="3"/>
  <c r="M194" i="3" s="1"/>
  <c r="L186" i="3"/>
  <c r="M186" i="3" s="1"/>
  <c r="N186" i="3" s="1"/>
  <c r="L178" i="3"/>
  <c r="M178" i="3" s="1"/>
  <c r="N178" i="3" s="1"/>
  <c r="L170" i="3"/>
  <c r="M170" i="3" s="1"/>
  <c r="L162" i="3"/>
  <c r="M162" i="3" s="1"/>
  <c r="N162" i="3" s="1"/>
  <c r="L154" i="3"/>
  <c r="M154" i="3" s="1"/>
  <c r="L146" i="3"/>
  <c r="M146" i="3" s="1"/>
  <c r="L138" i="3"/>
  <c r="M138" i="3" s="1"/>
  <c r="L130" i="3"/>
  <c r="M130" i="3" s="1"/>
  <c r="L122" i="3"/>
  <c r="M122" i="3" s="1"/>
  <c r="L114" i="3"/>
  <c r="M114" i="3" s="1"/>
  <c r="N114" i="3" s="1"/>
  <c r="L106" i="3"/>
  <c r="M106" i="3" s="1"/>
  <c r="L98" i="3"/>
  <c r="M98" i="3" s="1"/>
  <c r="N98" i="3" s="1"/>
  <c r="L90" i="3"/>
  <c r="M90" i="3" s="1"/>
  <c r="L82" i="3"/>
  <c r="M82" i="3" s="1"/>
  <c r="L74" i="3"/>
  <c r="M74" i="3" s="1"/>
  <c r="N74" i="3" s="1"/>
  <c r="L66" i="3"/>
  <c r="M66" i="3" s="1"/>
  <c r="N66" i="3" s="1"/>
  <c r="L58" i="3"/>
  <c r="M58" i="3" s="1"/>
  <c r="N58" i="3" s="1"/>
  <c r="L50" i="3"/>
  <c r="M50" i="3" s="1"/>
  <c r="O50" i="3" s="1"/>
  <c r="P50" i="3" s="1"/>
  <c r="Q50" i="3" s="1"/>
  <c r="L42" i="3"/>
  <c r="M42" i="3" s="1"/>
  <c r="L34" i="3"/>
  <c r="M34" i="3" s="1"/>
  <c r="O34" i="3" s="1"/>
  <c r="P34" i="3" s="1"/>
  <c r="Q34" i="3" s="1"/>
  <c r="L26" i="3"/>
  <c r="M26" i="3" s="1"/>
  <c r="O26" i="3" s="1"/>
  <c r="P26" i="3" s="1"/>
  <c r="Q26" i="3" s="1"/>
  <c r="L18" i="3"/>
  <c r="M18" i="3" s="1"/>
  <c r="O18" i="3" s="1"/>
  <c r="P18" i="3" s="1"/>
  <c r="Q18" i="3" s="1"/>
  <c r="L10" i="3"/>
  <c r="M10" i="3" s="1"/>
  <c r="O10" i="3" s="1"/>
  <c r="L369" i="3"/>
  <c r="M369" i="3" s="1"/>
  <c r="O369" i="3" s="1"/>
  <c r="P369" i="3" s="1"/>
  <c r="Q369" i="3" s="1"/>
  <c r="L361" i="3"/>
  <c r="M361" i="3" s="1"/>
  <c r="N361" i="3" s="1"/>
  <c r="L353" i="3"/>
  <c r="M353" i="3" s="1"/>
  <c r="N353" i="3" s="1"/>
  <c r="L345" i="3"/>
  <c r="M345" i="3" s="1"/>
  <c r="O345" i="3" s="1"/>
  <c r="P345" i="3" s="1"/>
  <c r="Q345" i="3" s="1"/>
  <c r="L337" i="3"/>
  <c r="M337" i="3" s="1"/>
  <c r="L329" i="3"/>
  <c r="M329" i="3" s="1"/>
  <c r="L321" i="3"/>
  <c r="M321" i="3" s="1"/>
  <c r="N321" i="3" s="1"/>
  <c r="L313" i="3"/>
  <c r="M313" i="3" s="1"/>
  <c r="O313" i="3" s="1"/>
  <c r="P313" i="3" s="1"/>
  <c r="Q313" i="3" s="1"/>
  <c r="L305" i="3"/>
  <c r="M305" i="3" s="1"/>
  <c r="O305" i="3" s="1"/>
  <c r="P305" i="3" s="1"/>
  <c r="Q305" i="3" s="1"/>
  <c r="L297" i="3"/>
  <c r="L289" i="3"/>
  <c r="M289" i="3" s="1"/>
  <c r="N289" i="3" s="1"/>
  <c r="L281" i="3"/>
  <c r="M281" i="3" s="1"/>
  <c r="L273" i="3"/>
  <c r="M273" i="3" s="1"/>
  <c r="O273" i="3" s="1"/>
  <c r="P273" i="3" s="1"/>
  <c r="Q273" i="3" s="1"/>
  <c r="L265" i="3"/>
  <c r="M265" i="3" s="1"/>
  <c r="O265" i="3" s="1"/>
  <c r="P265" i="3" s="1"/>
  <c r="Q265" i="3" s="1"/>
  <c r="L257" i="3"/>
  <c r="M257" i="3" s="1"/>
  <c r="L249" i="3"/>
  <c r="M249" i="3" s="1"/>
  <c r="N249" i="3" s="1"/>
  <c r="L241" i="3"/>
  <c r="M241" i="3" s="1"/>
  <c r="O241" i="3" s="1"/>
  <c r="P241" i="3" s="1"/>
  <c r="Q241" i="3" s="1"/>
  <c r="L233" i="3"/>
  <c r="M233" i="3" s="1"/>
  <c r="L225" i="3"/>
  <c r="M225" i="3" s="1"/>
  <c r="L217" i="3"/>
  <c r="M217" i="3" s="1"/>
  <c r="L209" i="3"/>
  <c r="M209" i="3" s="1"/>
  <c r="L201" i="3"/>
  <c r="M201" i="3" s="1"/>
  <c r="O201" i="3" s="1"/>
  <c r="P201" i="3" s="1"/>
  <c r="Q201" i="3" s="1"/>
  <c r="L193" i="3"/>
  <c r="M193" i="3" s="1"/>
  <c r="O193" i="3" s="1"/>
  <c r="P193" i="3" s="1"/>
  <c r="Q193" i="3" s="1"/>
  <c r="L185" i="3"/>
  <c r="M185" i="3" s="1"/>
  <c r="O185" i="3" s="1"/>
  <c r="P185" i="3" s="1"/>
  <c r="Q185" i="3" s="1"/>
  <c r="L177" i="3"/>
  <c r="M177" i="3" s="1"/>
  <c r="O177" i="3" s="1"/>
  <c r="P177" i="3" s="1"/>
  <c r="Q177" i="3" s="1"/>
  <c r="L169" i="3"/>
  <c r="M169" i="3" s="1"/>
  <c r="L161" i="3"/>
  <c r="M161" i="3" s="1"/>
  <c r="L153" i="3"/>
  <c r="M153" i="3" s="1"/>
  <c r="L145" i="3"/>
  <c r="M145" i="3" s="1"/>
  <c r="O145" i="3" s="1"/>
  <c r="P145" i="3" s="1"/>
  <c r="Q145" i="3" s="1"/>
  <c r="L137" i="3"/>
  <c r="M137" i="3" s="1"/>
  <c r="N137" i="3" s="1"/>
  <c r="L129" i="3"/>
  <c r="M129" i="3" s="1"/>
  <c r="N129" i="3" s="1"/>
  <c r="L121" i="3"/>
  <c r="M121" i="3" s="1"/>
  <c r="O121" i="3" s="1"/>
  <c r="P121" i="3" s="1"/>
  <c r="Q121" i="3" s="1"/>
  <c r="L113" i="3"/>
  <c r="M113" i="3" s="1"/>
  <c r="O113" i="3" s="1"/>
  <c r="P113" i="3" s="1"/>
  <c r="Q113" i="3" s="1"/>
  <c r="L105" i="3"/>
  <c r="M105" i="3" s="1"/>
  <c r="L97" i="3"/>
  <c r="M97" i="3" s="1"/>
  <c r="N97" i="3" s="1"/>
  <c r="L89" i="3"/>
  <c r="L81" i="3"/>
  <c r="M81" i="3" s="1"/>
  <c r="O81" i="3" s="1"/>
  <c r="P81" i="3" s="1"/>
  <c r="Q81" i="3" s="1"/>
  <c r="L73" i="3"/>
  <c r="M73" i="3" s="1"/>
  <c r="O73" i="3" s="1"/>
  <c r="P73" i="3" s="1"/>
  <c r="Q73" i="3" s="1"/>
  <c r="L65" i="3"/>
  <c r="M65" i="3" s="1"/>
  <c r="O65" i="3" s="1"/>
  <c r="P65" i="3" s="1"/>
  <c r="Q65" i="3" s="1"/>
  <c r="L57" i="3"/>
  <c r="M57" i="3" s="1"/>
  <c r="N57" i="3" s="1"/>
  <c r="L49" i="3"/>
  <c r="M49" i="3" s="1"/>
  <c r="N49" i="3" s="1"/>
  <c r="L41" i="3"/>
  <c r="L33" i="3"/>
  <c r="M33" i="3" s="1"/>
  <c r="O33" i="3" s="1"/>
  <c r="P33" i="3" s="1"/>
  <c r="Q33" i="3" s="1"/>
  <c r="L25" i="3"/>
  <c r="M25" i="3" s="1"/>
  <c r="L17" i="3"/>
  <c r="M17" i="3" s="1"/>
  <c r="L9" i="3"/>
  <c r="M9" i="3" s="1"/>
  <c r="L344" i="3"/>
  <c r="M344" i="3" s="1"/>
  <c r="L336" i="3"/>
  <c r="M336" i="3" s="1"/>
  <c r="O336" i="3" s="1"/>
  <c r="P336" i="3" s="1"/>
  <c r="Q336" i="3" s="1"/>
  <c r="L328" i="3"/>
  <c r="M328" i="3" s="1"/>
  <c r="O328" i="3" s="1"/>
  <c r="P328" i="3" s="1"/>
  <c r="Q328" i="3" s="1"/>
  <c r="L320" i="3"/>
  <c r="M320" i="3" s="1"/>
  <c r="N320" i="3" s="1"/>
  <c r="L312" i="3"/>
  <c r="M312" i="3" s="1"/>
  <c r="O312" i="3" s="1"/>
  <c r="P312" i="3" s="1"/>
  <c r="Q312" i="3" s="1"/>
  <c r="L304" i="3"/>
  <c r="M304" i="3" s="1"/>
  <c r="L296" i="3"/>
  <c r="M296" i="3" s="1"/>
  <c r="N296" i="3" s="1"/>
  <c r="L288" i="3"/>
  <c r="M288" i="3" s="1"/>
  <c r="L280" i="3"/>
  <c r="L272" i="3"/>
  <c r="M272" i="3" s="1"/>
  <c r="L264" i="3"/>
  <c r="M264" i="3" s="1"/>
  <c r="L256" i="3"/>
  <c r="M256" i="3" s="1"/>
  <c r="L248" i="3"/>
  <c r="M248" i="3" s="1"/>
  <c r="N248" i="3" s="1"/>
  <c r="L240" i="3"/>
  <c r="M240" i="3" s="1"/>
  <c r="N240" i="3" s="1"/>
  <c r="L232" i="3"/>
  <c r="L224" i="3"/>
  <c r="M224" i="3" s="1"/>
  <c r="L216" i="3"/>
  <c r="M216" i="3" s="1"/>
  <c r="L208" i="3"/>
  <c r="M208" i="3" s="1"/>
  <c r="L200" i="3"/>
  <c r="M200" i="3" s="1"/>
  <c r="L192" i="3"/>
  <c r="M192" i="3" s="1"/>
  <c r="O192" i="3" s="1"/>
  <c r="P192" i="3" s="1"/>
  <c r="Q192" i="3" s="1"/>
  <c r="L184" i="3"/>
  <c r="M184" i="3" s="1"/>
  <c r="O184" i="3" s="1"/>
  <c r="P184" i="3" s="1"/>
  <c r="Q184" i="3" s="1"/>
  <c r="L176" i="3"/>
  <c r="M176" i="3" s="1"/>
  <c r="L168" i="3"/>
  <c r="M168" i="3" s="1"/>
  <c r="L160" i="3"/>
  <c r="M160" i="3" s="1"/>
  <c r="L152" i="3"/>
  <c r="L144" i="3"/>
  <c r="M144" i="3" s="1"/>
  <c r="O144" i="3" s="1"/>
  <c r="P144" i="3" s="1"/>
  <c r="Q144" i="3" s="1"/>
  <c r="L136" i="3"/>
  <c r="M136" i="3" s="1"/>
  <c r="O136" i="3" s="1"/>
  <c r="P136" i="3" s="1"/>
  <c r="Q136" i="3" s="1"/>
  <c r="L128" i="3"/>
  <c r="M128" i="3" s="1"/>
  <c r="L120" i="3"/>
  <c r="M120" i="3" s="1"/>
  <c r="N120" i="3" s="1"/>
  <c r="L112" i="3"/>
  <c r="M112" i="3" s="1"/>
  <c r="L104" i="3"/>
  <c r="M104" i="3" s="1"/>
  <c r="L96" i="3"/>
  <c r="M96" i="3" s="1"/>
  <c r="L88" i="3"/>
  <c r="M88" i="3" s="1"/>
  <c r="L80" i="3"/>
  <c r="M80" i="3" s="1"/>
  <c r="L72" i="3"/>
  <c r="M72" i="3" s="1"/>
  <c r="N72" i="3" s="1"/>
  <c r="L64" i="3"/>
  <c r="M64" i="3" s="1"/>
  <c r="N64" i="3" s="1"/>
  <c r="L56" i="3"/>
  <c r="M56" i="3" s="1"/>
  <c r="O56" i="3" s="1"/>
  <c r="P56" i="3" s="1"/>
  <c r="Q56" i="3" s="1"/>
  <c r="L48" i="3"/>
  <c r="M48" i="3" s="1"/>
  <c r="L40" i="3"/>
  <c r="M40" i="3" s="1"/>
  <c r="L32" i="3"/>
  <c r="M32" i="3" s="1"/>
  <c r="O32" i="3" s="1"/>
  <c r="P32" i="3" s="1"/>
  <c r="Q32" i="3" s="1"/>
  <c r="L24" i="3"/>
  <c r="L16" i="3"/>
  <c r="M16" i="3" s="1"/>
  <c r="N16" i="3" s="1"/>
  <c r="L8" i="3"/>
  <c r="M8" i="3" s="1"/>
  <c r="L263" i="3"/>
  <c r="M263" i="3" s="1"/>
  <c r="L255" i="3"/>
  <c r="M255" i="3" s="1"/>
  <c r="L247" i="3"/>
  <c r="M247" i="3" s="1"/>
  <c r="L239" i="3"/>
  <c r="M239" i="3" s="1"/>
  <c r="L231" i="3"/>
  <c r="M231" i="3" s="1"/>
  <c r="L223" i="3"/>
  <c r="M223" i="3" s="1"/>
  <c r="L215" i="3"/>
  <c r="M215" i="3" s="1"/>
  <c r="L207" i="3"/>
  <c r="M207" i="3" s="1"/>
  <c r="L199" i="3"/>
  <c r="M199" i="3" s="1"/>
  <c r="L191" i="3"/>
  <c r="M191" i="3" s="1"/>
  <c r="L183" i="3"/>
  <c r="M183" i="3" s="1"/>
  <c r="L175" i="3"/>
  <c r="M175" i="3" s="1"/>
  <c r="L167" i="3"/>
  <c r="M167" i="3" s="1"/>
  <c r="L159" i="3"/>
  <c r="M159" i="3" s="1"/>
  <c r="L151" i="3"/>
  <c r="M151" i="3" s="1"/>
  <c r="L143" i="3"/>
  <c r="M143" i="3" s="1"/>
  <c r="L135" i="3"/>
  <c r="M135" i="3" s="1"/>
  <c r="L127" i="3"/>
  <c r="M127" i="3" s="1"/>
  <c r="L119" i="3"/>
  <c r="M119" i="3" s="1"/>
  <c r="L111" i="3"/>
  <c r="M111" i="3" s="1"/>
  <c r="L103" i="3"/>
  <c r="M103" i="3" s="1"/>
  <c r="L95" i="3"/>
  <c r="M95" i="3" s="1"/>
  <c r="L87" i="3"/>
  <c r="M87" i="3" s="1"/>
  <c r="L79" i="3"/>
  <c r="M79" i="3" s="1"/>
  <c r="L71" i="3"/>
  <c r="M71" i="3" s="1"/>
  <c r="L63" i="3"/>
  <c r="M63" i="3" s="1"/>
  <c r="L55" i="3"/>
  <c r="M55" i="3" s="1"/>
  <c r="L47" i="3"/>
  <c r="M47" i="3" s="1"/>
  <c r="L39" i="3"/>
  <c r="M39" i="3" s="1"/>
  <c r="L31" i="3"/>
  <c r="M31" i="3" s="1"/>
  <c r="L23" i="3"/>
  <c r="M23" i="3" s="1"/>
  <c r="L15" i="3"/>
  <c r="M15" i="3" s="1"/>
  <c r="L7" i="3"/>
  <c r="M7" i="3" s="1"/>
  <c r="O578" i="3"/>
  <c r="P578" i="3" s="1"/>
  <c r="Q578" i="3" s="1"/>
  <c r="O314" i="3"/>
  <c r="P314" i="3" s="1"/>
  <c r="Q314" i="3" s="1"/>
  <c r="O386" i="3"/>
  <c r="P386" i="3" s="1"/>
  <c r="Q386" i="3" s="1"/>
  <c r="O434" i="3"/>
  <c r="P434" i="3" s="1"/>
  <c r="Q434" i="3" s="1"/>
  <c r="O570" i="3"/>
  <c r="P570" i="3" s="1"/>
  <c r="Q570" i="3" s="1"/>
  <c r="O506" i="3"/>
  <c r="P506" i="3" s="1"/>
  <c r="Q506" i="3" s="1"/>
  <c r="O306" i="3"/>
  <c r="P306" i="3" s="1"/>
  <c r="Q306" i="3" s="1"/>
  <c r="O442" i="3"/>
  <c r="P442" i="3" s="1"/>
  <c r="Q442" i="3" s="1"/>
  <c r="N486" i="3"/>
  <c r="O366" i="3"/>
  <c r="P366" i="3" s="1"/>
  <c r="Q366" i="3" s="1"/>
  <c r="O230" i="3"/>
  <c r="P230" i="3" s="1"/>
  <c r="Q230" i="3" s="1"/>
  <c r="O470" i="3"/>
  <c r="P470" i="3" s="1"/>
  <c r="Q470" i="3" s="1"/>
  <c r="O62" i="3"/>
  <c r="P62" i="3" s="1"/>
  <c r="Q62" i="3" s="1"/>
  <c r="N310" i="3"/>
  <c r="N118" i="3"/>
  <c r="N254" i="3"/>
  <c r="O360" i="3"/>
  <c r="P360" i="3" s="1"/>
  <c r="Q360" i="3" s="1"/>
  <c r="O240" i="3"/>
  <c r="P240" i="3" s="1"/>
  <c r="Q240" i="3" s="1"/>
  <c r="O16" i="3"/>
  <c r="P16" i="3" s="1"/>
  <c r="Q16" i="3" s="1"/>
  <c r="O440" i="3"/>
  <c r="P440" i="3" s="1"/>
  <c r="Q440" i="3" s="1"/>
  <c r="O248" i="3"/>
  <c r="P248" i="3" s="1"/>
  <c r="Q248" i="3" s="1"/>
  <c r="N192" i="3"/>
  <c r="O320" i="3"/>
  <c r="P320" i="3" s="1"/>
  <c r="Q320" i="3" s="1"/>
  <c r="O64" i="3"/>
  <c r="P64" i="3" s="1"/>
  <c r="Q64" i="3" s="1"/>
  <c r="N449" i="3"/>
  <c r="N185" i="3"/>
  <c r="N545" i="3"/>
  <c r="N481" i="3"/>
  <c r="N273" i="3"/>
  <c r="N81" i="3"/>
  <c r="N537" i="3"/>
  <c r="N313" i="3"/>
  <c r="N121" i="3"/>
  <c r="N409" i="3"/>
  <c r="N593" i="3"/>
  <c r="N561" i="3"/>
  <c r="O361" i="3"/>
  <c r="P361" i="3" s="1"/>
  <c r="Q361" i="3" s="1"/>
  <c r="O289" i="3"/>
  <c r="P289" i="3" s="1"/>
  <c r="Q289" i="3" s="1"/>
  <c r="O249" i="3"/>
  <c r="P249" i="3" s="1"/>
  <c r="Q249" i="3" s="1"/>
  <c r="O97" i="3"/>
  <c r="P97" i="3" s="1"/>
  <c r="Q97" i="3" s="1"/>
  <c r="N34" i="3"/>
  <c r="N50" i="3"/>
  <c r="B429" i="4"/>
  <c r="B333" i="4"/>
  <c r="F333" i="4" s="1"/>
  <c r="B307" i="4"/>
  <c r="C307" i="4" s="1"/>
  <c r="B125" i="4"/>
  <c r="C125" i="4" s="1"/>
  <c r="C25" i="4"/>
  <c r="F25" i="4"/>
  <c r="B335" i="4"/>
  <c r="B107" i="4"/>
  <c r="C429" i="4"/>
  <c r="F429" i="4"/>
  <c r="B578" i="4"/>
  <c r="B514" i="4"/>
  <c r="B513" i="4"/>
  <c r="B235" i="4"/>
  <c r="B498" i="4"/>
  <c r="B227" i="4"/>
  <c r="B450" i="4"/>
  <c r="B205" i="4"/>
  <c r="F125" i="4"/>
  <c r="B449" i="4"/>
  <c r="B127" i="4"/>
  <c r="B577" i="4"/>
  <c r="B562" i="4"/>
  <c r="B561" i="4"/>
  <c r="B497" i="4"/>
  <c r="B428" i="4"/>
  <c r="B303" i="4"/>
  <c r="B204" i="4"/>
  <c r="B99" i="4"/>
  <c r="B546" i="4"/>
  <c r="B482" i="4"/>
  <c r="B399" i="4"/>
  <c r="B284" i="4"/>
  <c r="B179" i="4"/>
  <c r="B73" i="4"/>
  <c r="B545" i="4"/>
  <c r="B481" i="4"/>
  <c r="B397" i="4"/>
  <c r="B283" i="4"/>
  <c r="B175" i="4"/>
  <c r="B71" i="4"/>
  <c r="B594" i="4"/>
  <c r="B530" i="4"/>
  <c r="B466" i="4"/>
  <c r="B367" i="4"/>
  <c r="B255" i="4"/>
  <c r="B156" i="4"/>
  <c r="B22" i="4"/>
  <c r="B593" i="4"/>
  <c r="B529" i="4"/>
  <c r="B465" i="4"/>
  <c r="B365" i="4"/>
  <c r="B253" i="4"/>
  <c r="B155" i="4"/>
  <c r="B14" i="4"/>
  <c r="B591" i="4"/>
  <c r="B575" i="4"/>
  <c r="B559" i="4"/>
  <c r="B543" i="4"/>
  <c r="B527" i="4"/>
  <c r="B511" i="4"/>
  <c r="B495" i="4"/>
  <c r="B479" i="4"/>
  <c r="B463" i="4"/>
  <c r="B446" i="4"/>
  <c r="B426" i="4"/>
  <c r="B395" i="4"/>
  <c r="B363" i="4"/>
  <c r="B331" i="4"/>
  <c r="B301" i="4"/>
  <c r="B275" i="4"/>
  <c r="B252" i="4"/>
  <c r="B223" i="4"/>
  <c r="B203" i="4"/>
  <c r="B173" i="4"/>
  <c r="B147" i="4"/>
  <c r="B124" i="4"/>
  <c r="B95" i="4"/>
  <c r="B70" i="4"/>
  <c r="B9" i="4"/>
  <c r="B587" i="4"/>
  <c r="B571" i="4"/>
  <c r="B555" i="4"/>
  <c r="B539" i="4"/>
  <c r="B523" i="4"/>
  <c r="B507" i="4"/>
  <c r="B491" i="4"/>
  <c r="B475" i="4"/>
  <c r="B459" i="4"/>
  <c r="B442" i="4"/>
  <c r="B419" i="4"/>
  <c r="B387" i="4"/>
  <c r="B355" i="4"/>
  <c r="B323" i="4"/>
  <c r="B300" i="4"/>
  <c r="B271" i="4"/>
  <c r="B251" i="4"/>
  <c r="B221" i="4"/>
  <c r="B195" i="4"/>
  <c r="B172" i="4"/>
  <c r="B143" i="4"/>
  <c r="B123" i="4"/>
  <c r="B93" i="4"/>
  <c r="B54" i="4"/>
  <c r="B7" i="4"/>
  <c r="B602" i="4"/>
  <c r="B586" i="4"/>
  <c r="B570" i="4"/>
  <c r="B554" i="4"/>
  <c r="B538" i="4"/>
  <c r="B522" i="4"/>
  <c r="B506" i="4"/>
  <c r="B490" i="4"/>
  <c r="B474" i="4"/>
  <c r="B458" i="4"/>
  <c r="B441" i="4"/>
  <c r="B415" i="4"/>
  <c r="B383" i="4"/>
  <c r="B351" i="4"/>
  <c r="B319" i="4"/>
  <c r="B299" i="4"/>
  <c r="B269" i="4"/>
  <c r="B243" i="4"/>
  <c r="B220" i="4"/>
  <c r="B191" i="4"/>
  <c r="B171" i="4"/>
  <c r="B141" i="4"/>
  <c r="B115" i="4"/>
  <c r="B92" i="4"/>
  <c r="B46" i="4"/>
  <c r="B6" i="4"/>
  <c r="B601" i="4"/>
  <c r="B585" i="4"/>
  <c r="B569" i="4"/>
  <c r="B553" i="4"/>
  <c r="B537" i="4"/>
  <c r="B521" i="4"/>
  <c r="B505" i="4"/>
  <c r="B489" i="4"/>
  <c r="B473" i="4"/>
  <c r="B457" i="4"/>
  <c r="B439" i="4"/>
  <c r="B413" i="4"/>
  <c r="B381" i="4"/>
  <c r="B349" i="4"/>
  <c r="B317" i="4"/>
  <c r="B291" i="4"/>
  <c r="B268" i="4"/>
  <c r="B239" i="4"/>
  <c r="B219" i="4"/>
  <c r="B189" i="4"/>
  <c r="B163" i="4"/>
  <c r="B140" i="4"/>
  <c r="B111" i="4"/>
  <c r="B91" i="4"/>
  <c r="B41" i="4"/>
  <c r="B599" i="4"/>
  <c r="B583" i="4"/>
  <c r="B567" i="4"/>
  <c r="B551" i="4"/>
  <c r="B535" i="4"/>
  <c r="B519" i="4"/>
  <c r="B503" i="4"/>
  <c r="B487" i="4"/>
  <c r="B471" i="4"/>
  <c r="B455" i="4"/>
  <c r="B437" i="4"/>
  <c r="B411" i="4"/>
  <c r="B379" i="4"/>
  <c r="B347" i="4"/>
  <c r="B316" i="4"/>
  <c r="B287" i="4"/>
  <c r="B267" i="4"/>
  <c r="B237" i="4"/>
  <c r="B211" i="4"/>
  <c r="B188" i="4"/>
  <c r="B159" i="4"/>
  <c r="B139" i="4"/>
  <c r="B109" i="4"/>
  <c r="B83" i="4"/>
  <c r="B39" i="4"/>
  <c r="B595" i="4"/>
  <c r="B579" i="4"/>
  <c r="B563" i="4"/>
  <c r="B547" i="4"/>
  <c r="B531" i="4"/>
  <c r="B515" i="4"/>
  <c r="B499" i="4"/>
  <c r="B483" i="4"/>
  <c r="B467" i="4"/>
  <c r="B451" i="4"/>
  <c r="B431" i="4"/>
  <c r="B403" i="4"/>
  <c r="B371" i="4"/>
  <c r="B339" i="4"/>
  <c r="B315" i="4"/>
  <c r="B285" i="4"/>
  <c r="B259" i="4"/>
  <c r="B236" i="4"/>
  <c r="B207" i="4"/>
  <c r="B187" i="4"/>
  <c r="B157" i="4"/>
  <c r="B131" i="4"/>
  <c r="B108" i="4"/>
  <c r="B78" i="4"/>
  <c r="B38" i="4"/>
  <c r="B600" i="4"/>
  <c r="B592" i="4"/>
  <c r="B584" i="4"/>
  <c r="B576" i="4"/>
  <c r="B568" i="4"/>
  <c r="B560" i="4"/>
  <c r="B552" i="4"/>
  <c r="B544" i="4"/>
  <c r="B536" i="4"/>
  <c r="B528" i="4"/>
  <c r="B520" i="4"/>
  <c r="B512" i="4"/>
  <c r="B504" i="4"/>
  <c r="B496" i="4"/>
  <c r="B488" i="4"/>
  <c r="B480" i="4"/>
  <c r="B472" i="4"/>
  <c r="B464" i="4"/>
  <c r="B456" i="4"/>
  <c r="B447" i="4"/>
  <c r="B438" i="4"/>
  <c r="B427" i="4"/>
  <c r="B412" i="4"/>
  <c r="B396" i="4"/>
  <c r="B380" i="4"/>
  <c r="B364" i="4"/>
  <c r="B348" i="4"/>
  <c r="B332" i="4"/>
  <c r="B598" i="4"/>
  <c r="B590" i="4"/>
  <c r="B582" i="4"/>
  <c r="B574" i="4"/>
  <c r="B566" i="4"/>
  <c r="B558" i="4"/>
  <c r="B550" i="4"/>
  <c r="B542" i="4"/>
  <c r="B534" i="4"/>
  <c r="B526" i="4"/>
  <c r="B518" i="4"/>
  <c r="B510" i="4"/>
  <c r="B502" i="4"/>
  <c r="B494" i="4"/>
  <c r="B486" i="4"/>
  <c r="B478" i="4"/>
  <c r="B470" i="4"/>
  <c r="B462" i="4"/>
  <c r="B454" i="4"/>
  <c r="B445" i="4"/>
  <c r="B436" i="4"/>
  <c r="B423" i="4"/>
  <c r="B407" i="4"/>
  <c r="B391" i="4"/>
  <c r="B375" i="4"/>
  <c r="B359" i="4"/>
  <c r="B343" i="4"/>
  <c r="B327" i="4"/>
  <c r="B311" i="4"/>
  <c r="B295" i="4"/>
  <c r="B279" i="4"/>
  <c r="B263" i="4"/>
  <c r="B247" i="4"/>
  <c r="B231" i="4"/>
  <c r="B215" i="4"/>
  <c r="B199" i="4"/>
  <c r="B183" i="4"/>
  <c r="B167" i="4"/>
  <c r="B151" i="4"/>
  <c r="B135" i="4"/>
  <c r="B119" i="4"/>
  <c r="B103" i="4"/>
  <c r="B87" i="4"/>
  <c r="B62" i="4"/>
  <c r="B30" i="4"/>
  <c r="B597" i="4"/>
  <c r="B589" i="4"/>
  <c r="B581" i="4"/>
  <c r="B573" i="4"/>
  <c r="B565" i="4"/>
  <c r="B557" i="4"/>
  <c r="B549" i="4"/>
  <c r="B541" i="4"/>
  <c r="B533" i="4"/>
  <c r="B525" i="4"/>
  <c r="B517" i="4"/>
  <c r="B509" i="4"/>
  <c r="B501" i="4"/>
  <c r="B493" i="4"/>
  <c r="B485" i="4"/>
  <c r="B477" i="4"/>
  <c r="B469" i="4"/>
  <c r="B461" i="4"/>
  <c r="B453" i="4"/>
  <c r="B444" i="4"/>
  <c r="B435" i="4"/>
  <c r="B421" i="4"/>
  <c r="B405" i="4"/>
  <c r="B389" i="4"/>
  <c r="B373" i="4"/>
  <c r="B357" i="4"/>
  <c r="B341" i="4"/>
  <c r="B325" i="4"/>
  <c r="B309" i="4"/>
  <c r="B293" i="4"/>
  <c r="B277" i="4"/>
  <c r="B261" i="4"/>
  <c r="B245" i="4"/>
  <c r="B229" i="4"/>
  <c r="B213" i="4"/>
  <c r="B197" i="4"/>
  <c r="B181" i="4"/>
  <c r="B165" i="4"/>
  <c r="B149" i="4"/>
  <c r="B133" i="4"/>
  <c r="B117" i="4"/>
  <c r="B101" i="4"/>
  <c r="B85" i="4"/>
  <c r="B57" i="4"/>
  <c r="A2" i="4"/>
  <c r="B2" i="4" s="1"/>
  <c r="B10" i="4"/>
  <c r="B18" i="4"/>
  <c r="B26" i="4"/>
  <c r="B34" i="4"/>
  <c r="B42" i="4"/>
  <c r="B50" i="4"/>
  <c r="B58" i="4"/>
  <c r="B66" i="4"/>
  <c r="B74" i="4"/>
  <c r="B3" i="4"/>
  <c r="B11" i="4"/>
  <c r="B19" i="4"/>
  <c r="B27" i="4"/>
  <c r="B35" i="4"/>
  <c r="B43" i="4"/>
  <c r="B51" i="4"/>
  <c r="B59" i="4"/>
  <c r="B67" i="4"/>
  <c r="B75" i="4"/>
  <c r="B5" i="4"/>
  <c r="B13" i="4"/>
  <c r="B21" i="4"/>
  <c r="B29" i="4"/>
  <c r="B37" i="4"/>
  <c r="B45" i="4"/>
  <c r="B53" i="4"/>
  <c r="B61" i="4"/>
  <c r="B69" i="4"/>
  <c r="B77" i="4"/>
  <c r="B8" i="4"/>
  <c r="B16" i="4"/>
  <c r="B24" i="4"/>
  <c r="B32" i="4"/>
  <c r="B40" i="4"/>
  <c r="B48" i="4"/>
  <c r="B56" i="4"/>
  <c r="B64" i="4"/>
  <c r="B72" i="4"/>
  <c r="B80" i="4"/>
  <c r="B15" i="4"/>
  <c r="B31" i="4"/>
  <c r="B47" i="4"/>
  <c r="B63" i="4"/>
  <c r="B79" i="4"/>
  <c r="B88" i="4"/>
  <c r="B96" i="4"/>
  <c r="B104" i="4"/>
  <c r="B112" i="4"/>
  <c r="B120" i="4"/>
  <c r="B128" i="4"/>
  <c r="B136" i="4"/>
  <c r="B144" i="4"/>
  <c r="B152" i="4"/>
  <c r="B160" i="4"/>
  <c r="B168" i="4"/>
  <c r="B176" i="4"/>
  <c r="B184" i="4"/>
  <c r="B192" i="4"/>
  <c r="B200" i="4"/>
  <c r="B208" i="4"/>
  <c r="B216" i="4"/>
  <c r="B224" i="4"/>
  <c r="B232" i="4"/>
  <c r="B240" i="4"/>
  <c r="B248" i="4"/>
  <c r="B256" i="4"/>
  <c r="B264" i="4"/>
  <c r="B272" i="4"/>
  <c r="B280" i="4"/>
  <c r="B288" i="4"/>
  <c r="B296" i="4"/>
  <c r="B304" i="4"/>
  <c r="B312" i="4"/>
  <c r="B320" i="4"/>
  <c r="B328" i="4"/>
  <c r="B336" i="4"/>
  <c r="B344" i="4"/>
  <c r="B352" i="4"/>
  <c r="B360" i="4"/>
  <c r="B368" i="4"/>
  <c r="B376" i="4"/>
  <c r="B384" i="4"/>
  <c r="B392" i="4"/>
  <c r="B400" i="4"/>
  <c r="B408" i="4"/>
  <c r="B416" i="4"/>
  <c r="B424" i="4"/>
  <c r="B432" i="4"/>
  <c r="B440" i="4"/>
  <c r="B448" i="4"/>
  <c r="B17" i="4"/>
  <c r="B33" i="4"/>
  <c r="B49" i="4"/>
  <c r="B65" i="4"/>
  <c r="B81" i="4"/>
  <c r="B89" i="4"/>
  <c r="B97" i="4"/>
  <c r="B105" i="4"/>
  <c r="B113" i="4"/>
  <c r="B121" i="4"/>
  <c r="B129" i="4"/>
  <c r="B137" i="4"/>
  <c r="B145" i="4"/>
  <c r="B153" i="4"/>
  <c r="B161" i="4"/>
  <c r="B169" i="4"/>
  <c r="B177" i="4"/>
  <c r="B185" i="4"/>
  <c r="B193" i="4"/>
  <c r="B201" i="4"/>
  <c r="B209" i="4"/>
  <c r="B217" i="4"/>
  <c r="B225" i="4"/>
  <c r="B233" i="4"/>
  <c r="B241" i="4"/>
  <c r="B249" i="4"/>
  <c r="B257" i="4"/>
  <c r="B265" i="4"/>
  <c r="B273" i="4"/>
  <c r="B281" i="4"/>
  <c r="B289" i="4"/>
  <c r="B297" i="4"/>
  <c r="B305" i="4"/>
  <c r="B313" i="4"/>
  <c r="B321" i="4"/>
  <c r="B329" i="4"/>
  <c r="B337" i="4"/>
  <c r="B345" i="4"/>
  <c r="B353" i="4"/>
  <c r="B361" i="4"/>
  <c r="B369" i="4"/>
  <c r="B377" i="4"/>
  <c r="B385" i="4"/>
  <c r="B393" i="4"/>
  <c r="B401" i="4"/>
  <c r="B409" i="4"/>
  <c r="B417" i="4"/>
  <c r="B425" i="4"/>
  <c r="B433" i="4"/>
  <c r="B4" i="4"/>
  <c r="B20" i="4"/>
  <c r="B36" i="4"/>
  <c r="B52" i="4"/>
  <c r="B68" i="4"/>
  <c r="B82" i="4"/>
  <c r="B90" i="4"/>
  <c r="B98" i="4"/>
  <c r="B106" i="4"/>
  <c r="B114" i="4"/>
  <c r="B122" i="4"/>
  <c r="B130" i="4"/>
  <c r="B138" i="4"/>
  <c r="B146" i="4"/>
  <c r="B154" i="4"/>
  <c r="B162" i="4"/>
  <c r="B170" i="4"/>
  <c r="B178" i="4"/>
  <c r="B186" i="4"/>
  <c r="B194" i="4"/>
  <c r="B202" i="4"/>
  <c r="B210" i="4"/>
  <c r="B218" i="4"/>
  <c r="B226" i="4"/>
  <c r="B234" i="4"/>
  <c r="B242" i="4"/>
  <c r="B250" i="4"/>
  <c r="B258" i="4"/>
  <c r="B266" i="4"/>
  <c r="B274" i="4"/>
  <c r="B282" i="4"/>
  <c r="B290" i="4"/>
  <c r="B298" i="4"/>
  <c r="B306" i="4"/>
  <c r="B314" i="4"/>
  <c r="B322" i="4"/>
  <c r="B330" i="4"/>
  <c r="B338" i="4"/>
  <c r="B346" i="4"/>
  <c r="B354" i="4"/>
  <c r="B362" i="4"/>
  <c r="B370" i="4"/>
  <c r="B378" i="4"/>
  <c r="B386" i="4"/>
  <c r="B394" i="4"/>
  <c r="B402" i="4"/>
  <c r="B410" i="4"/>
  <c r="B418" i="4"/>
  <c r="B12" i="4"/>
  <c r="B28" i="4"/>
  <c r="B44" i="4"/>
  <c r="B60" i="4"/>
  <c r="B76" i="4"/>
  <c r="B86" i="4"/>
  <c r="B94" i="4"/>
  <c r="B102" i="4"/>
  <c r="B110" i="4"/>
  <c r="B118" i="4"/>
  <c r="B126" i="4"/>
  <c r="B134" i="4"/>
  <c r="B142" i="4"/>
  <c r="B150" i="4"/>
  <c r="B158" i="4"/>
  <c r="B166" i="4"/>
  <c r="B174" i="4"/>
  <c r="B182" i="4"/>
  <c r="B190" i="4"/>
  <c r="B198" i="4"/>
  <c r="B206" i="4"/>
  <c r="B214" i="4"/>
  <c r="B222" i="4"/>
  <c r="B230" i="4"/>
  <c r="B238" i="4"/>
  <c r="B246" i="4"/>
  <c r="B254" i="4"/>
  <c r="B262" i="4"/>
  <c r="B270" i="4"/>
  <c r="B278" i="4"/>
  <c r="B286" i="4"/>
  <c r="B294" i="4"/>
  <c r="B302" i="4"/>
  <c r="B310" i="4"/>
  <c r="B318" i="4"/>
  <c r="B326" i="4"/>
  <c r="B334" i="4"/>
  <c r="B342" i="4"/>
  <c r="B350" i="4"/>
  <c r="B358" i="4"/>
  <c r="B366" i="4"/>
  <c r="B374" i="4"/>
  <c r="B382" i="4"/>
  <c r="B390" i="4"/>
  <c r="B398" i="4"/>
  <c r="B406" i="4"/>
  <c r="B414" i="4"/>
  <c r="B422" i="4"/>
  <c r="B430" i="4"/>
  <c r="B596" i="4"/>
  <c r="B588" i="4"/>
  <c r="B580" i="4"/>
  <c r="B572" i="4"/>
  <c r="B564" i="4"/>
  <c r="B556" i="4"/>
  <c r="B548" i="4"/>
  <c r="B540" i="4"/>
  <c r="B532" i="4"/>
  <c r="B524" i="4"/>
  <c r="B516" i="4"/>
  <c r="B508" i="4"/>
  <c r="B500" i="4"/>
  <c r="B492" i="4"/>
  <c r="B484" i="4"/>
  <c r="B476" i="4"/>
  <c r="B468" i="4"/>
  <c r="B460" i="4"/>
  <c r="B452" i="4"/>
  <c r="B443" i="4"/>
  <c r="B434" i="4"/>
  <c r="B420" i="4"/>
  <c r="B404" i="4"/>
  <c r="B388" i="4"/>
  <c r="B372" i="4"/>
  <c r="B356" i="4"/>
  <c r="B340" i="4"/>
  <c r="B324" i="4"/>
  <c r="B308" i="4"/>
  <c r="B292" i="4"/>
  <c r="B276" i="4"/>
  <c r="B260" i="4"/>
  <c r="B244" i="4"/>
  <c r="B228" i="4"/>
  <c r="B212" i="4"/>
  <c r="B196" i="4"/>
  <c r="B180" i="4"/>
  <c r="B164" i="4"/>
  <c r="B148" i="4"/>
  <c r="B132" i="4"/>
  <c r="B116" i="4"/>
  <c r="B100" i="4"/>
  <c r="B84" i="4"/>
  <c r="B55" i="4"/>
  <c r="B23" i="4"/>
  <c r="N522" i="3"/>
  <c r="N458" i="3"/>
  <c r="N586" i="3"/>
  <c r="N584" i="3"/>
  <c r="N560" i="3"/>
  <c r="N552" i="3"/>
  <c r="N394" i="3"/>
  <c r="N488" i="3"/>
  <c r="N432" i="3"/>
  <c r="N424" i="3"/>
  <c r="N368" i="3"/>
  <c r="N312" i="3"/>
  <c r="P10" i="3"/>
  <c r="Q10" i="3" s="1"/>
  <c r="R528" i="3" l="1"/>
  <c r="R544" i="3"/>
  <c r="R586" i="3"/>
  <c r="L359" i="6"/>
  <c r="N359" i="6" s="1"/>
  <c r="K359" i="6"/>
  <c r="L462" i="6"/>
  <c r="N462" i="6" s="1"/>
  <c r="K462" i="6"/>
  <c r="L398" i="6"/>
  <c r="N398" i="6" s="1"/>
  <c r="K398" i="6"/>
  <c r="H345" i="6"/>
  <c r="J345" i="6" s="1"/>
  <c r="K345" i="6" s="1"/>
  <c r="H180" i="6"/>
  <c r="J180" i="6" s="1"/>
  <c r="O526" i="6"/>
  <c r="L52" i="6"/>
  <c r="N52" i="6" s="1"/>
  <c r="K52" i="6"/>
  <c r="L244" i="6"/>
  <c r="N244" i="6" s="1"/>
  <c r="K244" i="6"/>
  <c r="O398" i="6"/>
  <c r="P398" i="6" s="1"/>
  <c r="L14" i="6"/>
  <c r="N14" i="6" s="1"/>
  <c r="P14" i="6" s="1"/>
  <c r="K14" i="6"/>
  <c r="K500" i="6"/>
  <c r="K25" i="6"/>
  <c r="H409" i="6"/>
  <c r="J409" i="6" s="1"/>
  <c r="I78" i="6"/>
  <c r="I180" i="6"/>
  <c r="I244" i="6"/>
  <c r="K551" i="6"/>
  <c r="K89" i="6"/>
  <c r="K270" i="6"/>
  <c r="K142" i="6"/>
  <c r="L564" i="6"/>
  <c r="N564" i="6" s="1"/>
  <c r="K564" i="6"/>
  <c r="I64" i="6"/>
  <c r="I25" i="6"/>
  <c r="K281" i="6"/>
  <c r="K231" i="6"/>
  <c r="I128" i="6"/>
  <c r="L423" i="6"/>
  <c r="N423" i="6" s="1"/>
  <c r="K423" i="6"/>
  <c r="L78" i="6"/>
  <c r="N78" i="6" s="1"/>
  <c r="K78" i="6"/>
  <c r="L116" i="6"/>
  <c r="N116" i="6" s="1"/>
  <c r="P116" i="6" s="1"/>
  <c r="K116" i="6"/>
  <c r="L487" i="6"/>
  <c r="N487" i="6" s="1"/>
  <c r="K487" i="6"/>
  <c r="K601" i="6"/>
  <c r="K473" i="6"/>
  <c r="K436" i="6"/>
  <c r="K7" i="6"/>
  <c r="I564" i="6"/>
  <c r="L512" i="6"/>
  <c r="N512" i="6" s="1"/>
  <c r="P512" i="6" s="1"/>
  <c r="K512" i="6"/>
  <c r="H128" i="6"/>
  <c r="J128" i="6" s="1"/>
  <c r="L192" i="6"/>
  <c r="N192" i="6" s="1"/>
  <c r="K192" i="6"/>
  <c r="K295" i="6"/>
  <c r="K334" i="6"/>
  <c r="K206" i="6"/>
  <c r="O564" i="6"/>
  <c r="S564" i="6" s="1"/>
  <c r="I345" i="6"/>
  <c r="L384" i="6"/>
  <c r="N384" i="6" s="1"/>
  <c r="Q384" i="6" s="1"/>
  <c r="K384" i="6"/>
  <c r="I192" i="6"/>
  <c r="K320" i="6"/>
  <c r="H64" i="6"/>
  <c r="J64" i="6" s="1"/>
  <c r="K64" i="6" s="1"/>
  <c r="H448" i="6"/>
  <c r="J448" i="6" s="1"/>
  <c r="K448" i="6" s="1"/>
  <c r="O416" i="6"/>
  <c r="I416" i="6"/>
  <c r="H416" i="6"/>
  <c r="J416" i="6" s="1"/>
  <c r="K416" i="6" s="1"/>
  <c r="O110" i="6"/>
  <c r="I110" i="6"/>
  <c r="H110" i="6"/>
  <c r="J110" i="6" s="1"/>
  <c r="K110" i="6" s="1"/>
  <c r="O212" i="6"/>
  <c r="I212" i="6"/>
  <c r="H212" i="6"/>
  <c r="J212" i="6" s="1"/>
  <c r="K212" i="6" s="1"/>
  <c r="O313" i="6"/>
  <c r="I313" i="6"/>
  <c r="H313" i="6"/>
  <c r="J313" i="6" s="1"/>
  <c r="K313" i="6" s="1"/>
  <c r="O519" i="6"/>
  <c r="H519" i="6"/>
  <c r="J519" i="6" s="1"/>
  <c r="K519" i="6" s="1"/>
  <c r="I519" i="6"/>
  <c r="P359" i="6"/>
  <c r="L537" i="6"/>
  <c r="N537" i="6" s="1"/>
  <c r="O65" i="6"/>
  <c r="I65" i="6"/>
  <c r="H65" i="6"/>
  <c r="J65" i="6" s="1"/>
  <c r="K65" i="6" s="1"/>
  <c r="O168" i="6"/>
  <c r="I168" i="6"/>
  <c r="H168" i="6"/>
  <c r="J168" i="6" s="1"/>
  <c r="K168" i="6" s="1"/>
  <c r="O271" i="6"/>
  <c r="I271" i="6"/>
  <c r="H271" i="6"/>
  <c r="J271" i="6" s="1"/>
  <c r="K271" i="6" s="1"/>
  <c r="O374" i="6"/>
  <c r="I374" i="6"/>
  <c r="H374" i="6"/>
  <c r="J374" i="6" s="1"/>
  <c r="K374" i="6" s="1"/>
  <c r="O476" i="6"/>
  <c r="I476" i="6"/>
  <c r="H476" i="6"/>
  <c r="J476" i="6" s="1"/>
  <c r="K476" i="6" s="1"/>
  <c r="O577" i="6"/>
  <c r="I577" i="6"/>
  <c r="H577" i="6"/>
  <c r="J577" i="6" s="1"/>
  <c r="K577" i="6" s="1"/>
  <c r="P601" i="6"/>
  <c r="Q601" i="6"/>
  <c r="O62" i="6"/>
  <c r="I62" i="6"/>
  <c r="H62" i="6"/>
  <c r="J62" i="6" s="1"/>
  <c r="K62" i="6" s="1"/>
  <c r="O164" i="6"/>
  <c r="I164" i="6"/>
  <c r="H164" i="6"/>
  <c r="J164" i="6" s="1"/>
  <c r="K164" i="6" s="1"/>
  <c r="O265" i="6"/>
  <c r="I265" i="6"/>
  <c r="H265" i="6"/>
  <c r="J265" i="6" s="1"/>
  <c r="K265" i="6" s="1"/>
  <c r="O368" i="6"/>
  <c r="I368" i="6"/>
  <c r="H368" i="6"/>
  <c r="J368" i="6" s="1"/>
  <c r="K368" i="6" s="1"/>
  <c r="O471" i="6"/>
  <c r="H471" i="6"/>
  <c r="J471" i="6" s="1"/>
  <c r="K471" i="6" s="1"/>
  <c r="I471" i="6"/>
  <c r="O574" i="6"/>
  <c r="I574" i="6"/>
  <c r="H574" i="6"/>
  <c r="J574" i="6" s="1"/>
  <c r="K574" i="6" s="1"/>
  <c r="O152" i="6"/>
  <c r="I152" i="6"/>
  <c r="H152" i="6"/>
  <c r="J152" i="6" s="1"/>
  <c r="K152" i="6" s="1"/>
  <c r="O358" i="6"/>
  <c r="I358" i="6"/>
  <c r="H358" i="6"/>
  <c r="J358" i="6" s="1"/>
  <c r="K358" i="6" s="1"/>
  <c r="O561" i="6"/>
  <c r="I561" i="6"/>
  <c r="H561" i="6"/>
  <c r="J561" i="6" s="1"/>
  <c r="K561" i="6" s="1"/>
  <c r="S39" i="6"/>
  <c r="S320" i="6"/>
  <c r="Q320" i="6"/>
  <c r="P551" i="6"/>
  <c r="Q551" i="6"/>
  <c r="P295" i="6"/>
  <c r="P372" i="6"/>
  <c r="O32" i="6"/>
  <c r="I32" i="6"/>
  <c r="H32" i="6"/>
  <c r="J32" i="6" s="1"/>
  <c r="K32" i="6" s="1"/>
  <c r="O135" i="6"/>
  <c r="I135" i="6"/>
  <c r="H135" i="6"/>
  <c r="J135" i="6" s="1"/>
  <c r="K135" i="6" s="1"/>
  <c r="O238" i="6"/>
  <c r="I238" i="6"/>
  <c r="H238" i="6"/>
  <c r="J238" i="6" s="1"/>
  <c r="K238" i="6" s="1"/>
  <c r="O340" i="6"/>
  <c r="I340" i="6"/>
  <c r="H340" i="6"/>
  <c r="J340" i="6" s="1"/>
  <c r="K340" i="6" s="1"/>
  <c r="O441" i="6"/>
  <c r="I441" i="6"/>
  <c r="H441" i="6"/>
  <c r="J441" i="6" s="1"/>
  <c r="K441" i="6" s="1"/>
  <c r="O544" i="6"/>
  <c r="I544" i="6"/>
  <c r="H544" i="6"/>
  <c r="J544" i="6" s="1"/>
  <c r="K544" i="6" s="1"/>
  <c r="P423" i="6"/>
  <c r="Q423" i="6"/>
  <c r="P25" i="6"/>
  <c r="L576" i="6"/>
  <c r="N576" i="6" s="1"/>
  <c r="O92" i="6"/>
  <c r="I92" i="6"/>
  <c r="H92" i="6"/>
  <c r="J92" i="6" s="1"/>
  <c r="K92" i="6" s="1"/>
  <c r="O193" i="6"/>
  <c r="I193" i="6"/>
  <c r="H193" i="6"/>
  <c r="J193" i="6" s="1"/>
  <c r="K193" i="6" s="1"/>
  <c r="O296" i="6"/>
  <c r="I296" i="6"/>
  <c r="H296" i="6"/>
  <c r="J296" i="6" s="1"/>
  <c r="K296" i="6" s="1"/>
  <c r="O399" i="6"/>
  <c r="I399" i="6"/>
  <c r="H399" i="6"/>
  <c r="J399" i="6" s="1"/>
  <c r="K399" i="6" s="1"/>
  <c r="O502" i="6"/>
  <c r="I502" i="6"/>
  <c r="H502" i="6"/>
  <c r="J502" i="6" s="1"/>
  <c r="K502" i="6" s="1"/>
  <c r="P473" i="6"/>
  <c r="Q473" i="6"/>
  <c r="O169" i="6"/>
  <c r="I169" i="6"/>
  <c r="H169" i="6"/>
  <c r="J169" i="6" s="1"/>
  <c r="K169" i="6" s="1"/>
  <c r="O272" i="6"/>
  <c r="I272" i="6"/>
  <c r="H272" i="6"/>
  <c r="J272" i="6" s="1"/>
  <c r="K272" i="6" s="1"/>
  <c r="L39" i="6"/>
  <c r="O22" i="6"/>
  <c r="I22" i="6"/>
  <c r="H22" i="6"/>
  <c r="J22" i="6" s="1"/>
  <c r="K22" i="6" s="1"/>
  <c r="O124" i="6"/>
  <c r="I124" i="6"/>
  <c r="H124" i="6"/>
  <c r="J124" i="6" s="1"/>
  <c r="K124" i="6" s="1"/>
  <c r="O225" i="6"/>
  <c r="I225" i="6"/>
  <c r="H225" i="6"/>
  <c r="J225" i="6" s="1"/>
  <c r="K225" i="6" s="1"/>
  <c r="O328" i="6"/>
  <c r="H328" i="6"/>
  <c r="J328" i="6" s="1"/>
  <c r="K328" i="6" s="1"/>
  <c r="I328" i="6"/>
  <c r="O431" i="6"/>
  <c r="H431" i="6"/>
  <c r="J431" i="6" s="1"/>
  <c r="K431" i="6" s="1"/>
  <c r="I431" i="6"/>
  <c r="O534" i="6"/>
  <c r="I534" i="6"/>
  <c r="H534" i="6"/>
  <c r="J534" i="6" s="1"/>
  <c r="K534" i="6" s="1"/>
  <c r="O49" i="6"/>
  <c r="I49" i="6"/>
  <c r="H49" i="6"/>
  <c r="J49" i="6" s="1"/>
  <c r="K49" i="6" s="1"/>
  <c r="O268" i="6"/>
  <c r="I268" i="6"/>
  <c r="H268" i="6"/>
  <c r="J268" i="6" s="1"/>
  <c r="K268" i="6" s="1"/>
  <c r="O472" i="6"/>
  <c r="I472" i="6"/>
  <c r="H472" i="6"/>
  <c r="J472" i="6" s="1"/>
  <c r="K472" i="6" s="1"/>
  <c r="S14" i="6"/>
  <c r="S270" i="6"/>
  <c r="Q270" i="6"/>
  <c r="L308" i="6"/>
  <c r="N308" i="6" s="1"/>
  <c r="P462" i="6"/>
  <c r="O70" i="6"/>
  <c r="I70" i="6"/>
  <c r="H70" i="6"/>
  <c r="J70" i="6" s="1"/>
  <c r="K70" i="6" s="1"/>
  <c r="O172" i="6"/>
  <c r="I172" i="6"/>
  <c r="H172" i="6"/>
  <c r="J172" i="6" s="1"/>
  <c r="K172" i="6" s="1"/>
  <c r="O273" i="6"/>
  <c r="I273" i="6"/>
  <c r="H273" i="6"/>
  <c r="J273" i="6" s="1"/>
  <c r="K273" i="6" s="1"/>
  <c r="O376" i="6"/>
  <c r="I376" i="6"/>
  <c r="H376" i="6"/>
  <c r="J376" i="6" s="1"/>
  <c r="K376" i="6" s="1"/>
  <c r="O479" i="6"/>
  <c r="I479" i="6"/>
  <c r="H479" i="6"/>
  <c r="J479" i="6" s="1"/>
  <c r="K479" i="6" s="1"/>
  <c r="O582" i="6"/>
  <c r="I582" i="6"/>
  <c r="H582" i="6"/>
  <c r="J582" i="6" s="1"/>
  <c r="K582" i="6" s="1"/>
  <c r="O549" i="6"/>
  <c r="I549" i="6"/>
  <c r="H549" i="6"/>
  <c r="J549" i="6" s="1"/>
  <c r="K549" i="6" s="1"/>
  <c r="O485" i="6"/>
  <c r="I485" i="6"/>
  <c r="H485" i="6"/>
  <c r="J485" i="6" s="1"/>
  <c r="K485" i="6" s="1"/>
  <c r="O421" i="6"/>
  <c r="I421" i="6"/>
  <c r="H421" i="6"/>
  <c r="J421" i="6" s="1"/>
  <c r="K421" i="6" s="1"/>
  <c r="O357" i="6"/>
  <c r="H357" i="6"/>
  <c r="J357" i="6" s="1"/>
  <c r="K357" i="6" s="1"/>
  <c r="I357" i="6"/>
  <c r="O293" i="6"/>
  <c r="H293" i="6"/>
  <c r="J293" i="6" s="1"/>
  <c r="K293" i="6" s="1"/>
  <c r="I293" i="6"/>
  <c r="O229" i="6"/>
  <c r="H229" i="6"/>
  <c r="J229" i="6" s="1"/>
  <c r="K229" i="6" s="1"/>
  <c r="I229" i="6"/>
  <c r="O165" i="6"/>
  <c r="I165" i="6"/>
  <c r="H165" i="6"/>
  <c r="J165" i="6" s="1"/>
  <c r="K165" i="6" s="1"/>
  <c r="O101" i="6"/>
  <c r="I101" i="6"/>
  <c r="H101" i="6"/>
  <c r="J101" i="6" s="1"/>
  <c r="K101" i="6" s="1"/>
  <c r="O37" i="6"/>
  <c r="I37" i="6"/>
  <c r="H37" i="6"/>
  <c r="J37" i="6" s="1"/>
  <c r="K37" i="6" s="1"/>
  <c r="O571" i="6"/>
  <c r="I571" i="6"/>
  <c r="H571" i="6"/>
  <c r="J571" i="6" s="1"/>
  <c r="K571" i="6" s="1"/>
  <c r="O507" i="6"/>
  <c r="I507" i="6"/>
  <c r="H507" i="6"/>
  <c r="J507" i="6" s="1"/>
  <c r="K507" i="6" s="1"/>
  <c r="O443" i="6"/>
  <c r="I443" i="6"/>
  <c r="H443" i="6"/>
  <c r="J443" i="6" s="1"/>
  <c r="K443" i="6" s="1"/>
  <c r="O379" i="6"/>
  <c r="I379" i="6"/>
  <c r="H379" i="6"/>
  <c r="J379" i="6" s="1"/>
  <c r="K379" i="6" s="1"/>
  <c r="O315" i="6"/>
  <c r="I315" i="6"/>
  <c r="H315" i="6"/>
  <c r="J315" i="6" s="1"/>
  <c r="K315" i="6" s="1"/>
  <c r="O251" i="6"/>
  <c r="I251" i="6"/>
  <c r="H251" i="6"/>
  <c r="J251" i="6" s="1"/>
  <c r="K251" i="6" s="1"/>
  <c r="O187" i="6"/>
  <c r="I187" i="6"/>
  <c r="H187" i="6"/>
  <c r="J187" i="6" s="1"/>
  <c r="K187" i="6" s="1"/>
  <c r="O123" i="6"/>
  <c r="I123" i="6"/>
  <c r="H123" i="6"/>
  <c r="J123" i="6" s="1"/>
  <c r="K123" i="6" s="1"/>
  <c r="O59" i="6"/>
  <c r="I59" i="6"/>
  <c r="H59" i="6"/>
  <c r="J59" i="6" s="1"/>
  <c r="K59" i="6" s="1"/>
  <c r="O602" i="6"/>
  <c r="H602" i="6"/>
  <c r="J602" i="6" s="1"/>
  <c r="K602" i="6" s="1"/>
  <c r="I602" i="6"/>
  <c r="O538" i="6"/>
  <c r="H538" i="6"/>
  <c r="J538" i="6" s="1"/>
  <c r="K538" i="6" s="1"/>
  <c r="I538" i="6"/>
  <c r="O474" i="6"/>
  <c r="H474" i="6"/>
  <c r="J474" i="6" s="1"/>
  <c r="K474" i="6" s="1"/>
  <c r="I474" i="6"/>
  <c r="O410" i="6"/>
  <c r="H410" i="6"/>
  <c r="J410" i="6" s="1"/>
  <c r="K410" i="6" s="1"/>
  <c r="I410" i="6"/>
  <c r="O346" i="6"/>
  <c r="H346" i="6"/>
  <c r="J346" i="6" s="1"/>
  <c r="K346" i="6" s="1"/>
  <c r="I346" i="6"/>
  <c r="O282" i="6"/>
  <c r="H282" i="6"/>
  <c r="J282" i="6" s="1"/>
  <c r="K282" i="6" s="1"/>
  <c r="I282" i="6"/>
  <c r="O218" i="6"/>
  <c r="H218" i="6"/>
  <c r="J218" i="6" s="1"/>
  <c r="K218" i="6" s="1"/>
  <c r="I218" i="6"/>
  <c r="O154" i="6"/>
  <c r="H154" i="6"/>
  <c r="J154" i="6" s="1"/>
  <c r="K154" i="6" s="1"/>
  <c r="I154" i="6"/>
  <c r="O90" i="6"/>
  <c r="H90" i="6"/>
  <c r="J90" i="6" s="1"/>
  <c r="K90" i="6" s="1"/>
  <c r="I90" i="6"/>
  <c r="O26" i="6"/>
  <c r="H26" i="6"/>
  <c r="J26" i="6" s="1"/>
  <c r="K26" i="6" s="1"/>
  <c r="I26" i="6"/>
  <c r="P103" i="6"/>
  <c r="P89" i="6"/>
  <c r="P244" i="6"/>
  <c r="L167" i="6"/>
  <c r="N167" i="6" s="1"/>
  <c r="O47" i="6"/>
  <c r="I47" i="6"/>
  <c r="H47" i="6"/>
  <c r="J47" i="6" s="1"/>
  <c r="K47" i="6" s="1"/>
  <c r="O150" i="6"/>
  <c r="I150" i="6"/>
  <c r="H150" i="6"/>
  <c r="J150" i="6" s="1"/>
  <c r="K150" i="6" s="1"/>
  <c r="O252" i="6"/>
  <c r="I252" i="6"/>
  <c r="H252" i="6"/>
  <c r="J252" i="6" s="1"/>
  <c r="K252" i="6" s="1"/>
  <c r="O353" i="6"/>
  <c r="I353" i="6"/>
  <c r="H353" i="6"/>
  <c r="J353" i="6" s="1"/>
  <c r="K353" i="6" s="1"/>
  <c r="O456" i="6"/>
  <c r="H456" i="6"/>
  <c r="J456" i="6" s="1"/>
  <c r="K456" i="6" s="1"/>
  <c r="I456" i="6"/>
  <c r="O559" i="6"/>
  <c r="I559" i="6"/>
  <c r="H559" i="6"/>
  <c r="J559" i="6" s="1"/>
  <c r="K559" i="6" s="1"/>
  <c r="O102" i="6"/>
  <c r="I102" i="6"/>
  <c r="H102" i="6"/>
  <c r="J102" i="6" s="1"/>
  <c r="K102" i="6" s="1"/>
  <c r="O319" i="6"/>
  <c r="I319" i="6"/>
  <c r="H319" i="6"/>
  <c r="J319" i="6" s="1"/>
  <c r="K319" i="6" s="1"/>
  <c r="O524" i="6"/>
  <c r="I524" i="6"/>
  <c r="H524" i="6"/>
  <c r="J524" i="6" s="1"/>
  <c r="K524" i="6" s="1"/>
  <c r="S103" i="6"/>
  <c r="Q103" i="6"/>
  <c r="S334" i="6"/>
  <c r="Q334" i="6"/>
  <c r="O36" i="6"/>
  <c r="I36" i="6"/>
  <c r="H36" i="6"/>
  <c r="J36" i="6" s="1"/>
  <c r="K36" i="6" s="1"/>
  <c r="O137" i="6"/>
  <c r="I137" i="6"/>
  <c r="H137" i="6"/>
  <c r="J137" i="6" s="1"/>
  <c r="K137" i="6" s="1"/>
  <c r="O240" i="6"/>
  <c r="I240" i="6"/>
  <c r="H240" i="6"/>
  <c r="J240" i="6" s="1"/>
  <c r="K240" i="6" s="1"/>
  <c r="O343" i="6"/>
  <c r="I343" i="6"/>
  <c r="H343" i="6"/>
  <c r="J343" i="6" s="1"/>
  <c r="K343" i="6" s="1"/>
  <c r="O446" i="6"/>
  <c r="I446" i="6"/>
  <c r="H446" i="6"/>
  <c r="J446" i="6" s="1"/>
  <c r="K446" i="6" s="1"/>
  <c r="O548" i="6"/>
  <c r="I548" i="6"/>
  <c r="H548" i="6"/>
  <c r="J548" i="6" s="1"/>
  <c r="K548" i="6" s="1"/>
  <c r="L153" i="6"/>
  <c r="N153" i="6" s="1"/>
  <c r="Q153" i="6" s="1"/>
  <c r="O113" i="6"/>
  <c r="I113" i="6"/>
  <c r="H113" i="6"/>
  <c r="J113" i="6" s="1"/>
  <c r="K113" i="6" s="1"/>
  <c r="O305" i="6"/>
  <c r="I305" i="6"/>
  <c r="H305" i="6"/>
  <c r="J305" i="6" s="1"/>
  <c r="K305" i="6" s="1"/>
  <c r="O511" i="6"/>
  <c r="I511" i="6"/>
  <c r="H511" i="6"/>
  <c r="J511" i="6" s="1"/>
  <c r="K511" i="6" s="1"/>
  <c r="S281" i="6"/>
  <c r="Q281" i="6"/>
  <c r="S308" i="6"/>
  <c r="Q308" i="6"/>
  <c r="P487" i="6"/>
  <c r="Q487" i="6"/>
  <c r="P436" i="6"/>
  <c r="O95" i="6"/>
  <c r="I95" i="6"/>
  <c r="H95" i="6"/>
  <c r="J95" i="6" s="1"/>
  <c r="K95" i="6" s="1"/>
  <c r="O198" i="6"/>
  <c r="H198" i="6"/>
  <c r="J198" i="6" s="1"/>
  <c r="K198" i="6" s="1"/>
  <c r="I198" i="6"/>
  <c r="O300" i="6"/>
  <c r="I300" i="6"/>
  <c r="H300" i="6"/>
  <c r="J300" i="6" s="1"/>
  <c r="K300" i="6" s="1"/>
  <c r="O401" i="6"/>
  <c r="H401" i="6"/>
  <c r="J401" i="6" s="1"/>
  <c r="K401" i="6" s="1"/>
  <c r="I401" i="6"/>
  <c r="O504" i="6"/>
  <c r="H504" i="6"/>
  <c r="J504" i="6" s="1"/>
  <c r="K504" i="6" s="1"/>
  <c r="I504" i="6"/>
  <c r="O597" i="6"/>
  <c r="I597" i="6"/>
  <c r="H597" i="6"/>
  <c r="J597" i="6" s="1"/>
  <c r="K597" i="6" s="1"/>
  <c r="O533" i="6"/>
  <c r="I533" i="6"/>
  <c r="H533" i="6"/>
  <c r="J533" i="6" s="1"/>
  <c r="K533" i="6" s="1"/>
  <c r="O469" i="6"/>
  <c r="I469" i="6"/>
  <c r="H469" i="6"/>
  <c r="J469" i="6" s="1"/>
  <c r="K469" i="6" s="1"/>
  <c r="O405" i="6"/>
  <c r="I405" i="6"/>
  <c r="H405" i="6"/>
  <c r="J405" i="6" s="1"/>
  <c r="K405" i="6" s="1"/>
  <c r="O341" i="6"/>
  <c r="H341" i="6"/>
  <c r="J341" i="6" s="1"/>
  <c r="K341" i="6" s="1"/>
  <c r="I341" i="6"/>
  <c r="O277" i="6"/>
  <c r="H277" i="6"/>
  <c r="J277" i="6" s="1"/>
  <c r="K277" i="6" s="1"/>
  <c r="I277" i="6"/>
  <c r="O213" i="6"/>
  <c r="H213" i="6"/>
  <c r="J213" i="6" s="1"/>
  <c r="K213" i="6" s="1"/>
  <c r="I213" i="6"/>
  <c r="O149" i="6"/>
  <c r="I149" i="6"/>
  <c r="H149" i="6"/>
  <c r="J149" i="6" s="1"/>
  <c r="K149" i="6" s="1"/>
  <c r="O85" i="6"/>
  <c r="I85" i="6"/>
  <c r="H85" i="6"/>
  <c r="J85" i="6" s="1"/>
  <c r="K85" i="6" s="1"/>
  <c r="O21" i="6"/>
  <c r="I21" i="6"/>
  <c r="H21" i="6"/>
  <c r="J21" i="6" s="1"/>
  <c r="K21" i="6" s="1"/>
  <c r="O555" i="6"/>
  <c r="I555" i="6"/>
  <c r="H555" i="6"/>
  <c r="J555" i="6" s="1"/>
  <c r="K555" i="6" s="1"/>
  <c r="O491" i="6"/>
  <c r="I491" i="6"/>
  <c r="H491" i="6"/>
  <c r="J491" i="6" s="1"/>
  <c r="K491" i="6" s="1"/>
  <c r="O427" i="6"/>
  <c r="I427" i="6"/>
  <c r="H427" i="6"/>
  <c r="J427" i="6" s="1"/>
  <c r="K427" i="6" s="1"/>
  <c r="O363" i="6"/>
  <c r="I363" i="6"/>
  <c r="H363" i="6"/>
  <c r="J363" i="6" s="1"/>
  <c r="K363" i="6" s="1"/>
  <c r="O299" i="6"/>
  <c r="I299" i="6"/>
  <c r="H299" i="6"/>
  <c r="J299" i="6" s="1"/>
  <c r="K299" i="6" s="1"/>
  <c r="O235" i="6"/>
  <c r="I235" i="6"/>
  <c r="H235" i="6"/>
  <c r="J235" i="6" s="1"/>
  <c r="K235" i="6" s="1"/>
  <c r="O171" i="6"/>
  <c r="I171" i="6"/>
  <c r="H171" i="6"/>
  <c r="J171" i="6" s="1"/>
  <c r="K171" i="6" s="1"/>
  <c r="O107" i="6"/>
  <c r="I107" i="6"/>
  <c r="H107" i="6"/>
  <c r="J107" i="6" s="1"/>
  <c r="K107" i="6" s="1"/>
  <c r="O43" i="6"/>
  <c r="I43" i="6"/>
  <c r="H43" i="6"/>
  <c r="J43" i="6" s="1"/>
  <c r="K43" i="6" s="1"/>
  <c r="O586" i="6"/>
  <c r="H586" i="6"/>
  <c r="J586" i="6" s="1"/>
  <c r="K586" i="6" s="1"/>
  <c r="I586" i="6"/>
  <c r="O522" i="6"/>
  <c r="H522" i="6"/>
  <c r="J522" i="6" s="1"/>
  <c r="K522" i="6" s="1"/>
  <c r="I522" i="6"/>
  <c r="O458" i="6"/>
  <c r="H458" i="6"/>
  <c r="J458" i="6" s="1"/>
  <c r="K458" i="6" s="1"/>
  <c r="I458" i="6"/>
  <c r="O394" i="6"/>
  <c r="H394" i="6"/>
  <c r="J394" i="6" s="1"/>
  <c r="K394" i="6" s="1"/>
  <c r="I394" i="6"/>
  <c r="O330" i="6"/>
  <c r="H330" i="6"/>
  <c r="J330" i="6" s="1"/>
  <c r="K330" i="6" s="1"/>
  <c r="I330" i="6"/>
  <c r="O266" i="6"/>
  <c r="H266" i="6"/>
  <c r="J266" i="6" s="1"/>
  <c r="K266" i="6" s="1"/>
  <c r="I266" i="6"/>
  <c r="O202" i="6"/>
  <c r="H202" i="6"/>
  <c r="J202" i="6" s="1"/>
  <c r="K202" i="6" s="1"/>
  <c r="I202" i="6"/>
  <c r="O138" i="6"/>
  <c r="H138" i="6"/>
  <c r="J138" i="6" s="1"/>
  <c r="K138" i="6" s="1"/>
  <c r="I138" i="6"/>
  <c r="O74" i="6"/>
  <c r="H74" i="6"/>
  <c r="J74" i="6" s="1"/>
  <c r="K74" i="6" s="1"/>
  <c r="I74" i="6"/>
  <c r="O10" i="6"/>
  <c r="H10" i="6"/>
  <c r="J10" i="6" s="1"/>
  <c r="K10" i="6" s="1"/>
  <c r="I10" i="6"/>
  <c r="P231" i="6"/>
  <c r="P281" i="6"/>
  <c r="P526" i="6"/>
  <c r="P192" i="6"/>
  <c r="P7" i="6"/>
  <c r="S52" i="6"/>
  <c r="Q52" i="6"/>
  <c r="O41" i="6"/>
  <c r="I41" i="6"/>
  <c r="H41" i="6"/>
  <c r="J41" i="6" s="1"/>
  <c r="K41" i="6" s="1"/>
  <c r="O144" i="6"/>
  <c r="I144" i="6"/>
  <c r="H144" i="6"/>
  <c r="J144" i="6" s="1"/>
  <c r="K144" i="6" s="1"/>
  <c r="O247" i="6"/>
  <c r="I247" i="6"/>
  <c r="H247" i="6"/>
  <c r="J247" i="6" s="1"/>
  <c r="K247" i="6" s="1"/>
  <c r="O350" i="6"/>
  <c r="I350" i="6"/>
  <c r="H350" i="6"/>
  <c r="J350" i="6" s="1"/>
  <c r="K350" i="6" s="1"/>
  <c r="O452" i="6"/>
  <c r="I452" i="6"/>
  <c r="H452" i="6"/>
  <c r="J452" i="6" s="1"/>
  <c r="K452" i="6" s="1"/>
  <c r="O553" i="6"/>
  <c r="H553" i="6"/>
  <c r="J553" i="6" s="1"/>
  <c r="K553" i="6" s="1"/>
  <c r="I553" i="6"/>
  <c r="O81" i="6"/>
  <c r="I81" i="6"/>
  <c r="H81" i="6"/>
  <c r="J81" i="6" s="1"/>
  <c r="K81" i="6" s="1"/>
  <c r="O184" i="6"/>
  <c r="I184" i="6"/>
  <c r="H184" i="6"/>
  <c r="J184" i="6" s="1"/>
  <c r="K184" i="6" s="1"/>
  <c r="O287" i="6"/>
  <c r="I287" i="6"/>
  <c r="H287" i="6"/>
  <c r="J287" i="6" s="1"/>
  <c r="K287" i="6" s="1"/>
  <c r="O390" i="6"/>
  <c r="I390" i="6"/>
  <c r="H390" i="6"/>
  <c r="J390" i="6" s="1"/>
  <c r="K390" i="6" s="1"/>
  <c r="O492" i="6"/>
  <c r="I492" i="6"/>
  <c r="H492" i="6"/>
  <c r="J492" i="6" s="1"/>
  <c r="K492" i="6" s="1"/>
  <c r="O593" i="6"/>
  <c r="H593" i="6"/>
  <c r="J593" i="6" s="1"/>
  <c r="K593" i="6" s="1"/>
  <c r="I593" i="6"/>
  <c r="O541" i="6"/>
  <c r="I541" i="6"/>
  <c r="H541" i="6"/>
  <c r="J541" i="6" s="1"/>
  <c r="K541" i="6" s="1"/>
  <c r="O477" i="6"/>
  <c r="I477" i="6"/>
  <c r="H477" i="6"/>
  <c r="J477" i="6" s="1"/>
  <c r="K477" i="6" s="1"/>
  <c r="O413" i="6"/>
  <c r="I413" i="6"/>
  <c r="H413" i="6"/>
  <c r="J413" i="6" s="1"/>
  <c r="K413" i="6" s="1"/>
  <c r="O349" i="6"/>
  <c r="I349" i="6"/>
  <c r="H349" i="6"/>
  <c r="J349" i="6" s="1"/>
  <c r="K349" i="6" s="1"/>
  <c r="O285" i="6"/>
  <c r="I285" i="6"/>
  <c r="H285" i="6"/>
  <c r="J285" i="6" s="1"/>
  <c r="K285" i="6" s="1"/>
  <c r="O221" i="6"/>
  <c r="I221" i="6"/>
  <c r="H221" i="6"/>
  <c r="J221" i="6" s="1"/>
  <c r="K221" i="6" s="1"/>
  <c r="O157" i="6"/>
  <c r="H157" i="6"/>
  <c r="J157" i="6" s="1"/>
  <c r="K157" i="6" s="1"/>
  <c r="I157" i="6"/>
  <c r="O93" i="6"/>
  <c r="H93" i="6"/>
  <c r="J93" i="6" s="1"/>
  <c r="K93" i="6" s="1"/>
  <c r="I93" i="6"/>
  <c r="O29" i="6"/>
  <c r="H29" i="6"/>
  <c r="J29" i="6" s="1"/>
  <c r="K29" i="6" s="1"/>
  <c r="I29" i="6"/>
  <c r="O563" i="6"/>
  <c r="I563" i="6"/>
  <c r="H563" i="6"/>
  <c r="J563" i="6" s="1"/>
  <c r="K563" i="6" s="1"/>
  <c r="O499" i="6"/>
  <c r="I499" i="6"/>
  <c r="H499" i="6"/>
  <c r="J499" i="6" s="1"/>
  <c r="K499" i="6" s="1"/>
  <c r="O435" i="6"/>
  <c r="I435" i="6"/>
  <c r="H435" i="6"/>
  <c r="J435" i="6" s="1"/>
  <c r="K435" i="6" s="1"/>
  <c r="O371" i="6"/>
  <c r="I371" i="6"/>
  <c r="H371" i="6"/>
  <c r="J371" i="6" s="1"/>
  <c r="K371" i="6" s="1"/>
  <c r="O307" i="6"/>
  <c r="I307" i="6"/>
  <c r="H307" i="6"/>
  <c r="J307" i="6" s="1"/>
  <c r="K307" i="6" s="1"/>
  <c r="O243" i="6"/>
  <c r="I243" i="6"/>
  <c r="H243" i="6"/>
  <c r="J243" i="6" s="1"/>
  <c r="K243" i="6" s="1"/>
  <c r="O179" i="6"/>
  <c r="I179" i="6"/>
  <c r="H179" i="6"/>
  <c r="J179" i="6" s="1"/>
  <c r="K179" i="6" s="1"/>
  <c r="O115" i="6"/>
  <c r="I115" i="6"/>
  <c r="H115" i="6"/>
  <c r="J115" i="6" s="1"/>
  <c r="K115" i="6" s="1"/>
  <c r="O51" i="6"/>
  <c r="I51" i="6"/>
  <c r="H51" i="6"/>
  <c r="J51" i="6" s="1"/>
  <c r="K51" i="6" s="1"/>
  <c r="O594" i="6"/>
  <c r="H594" i="6"/>
  <c r="J594" i="6" s="1"/>
  <c r="K594" i="6" s="1"/>
  <c r="I594" i="6"/>
  <c r="O530" i="6"/>
  <c r="H530" i="6"/>
  <c r="J530" i="6" s="1"/>
  <c r="K530" i="6" s="1"/>
  <c r="I530" i="6"/>
  <c r="O466" i="6"/>
  <c r="H466" i="6"/>
  <c r="J466" i="6" s="1"/>
  <c r="K466" i="6" s="1"/>
  <c r="I466" i="6"/>
  <c r="O402" i="6"/>
  <c r="H402" i="6"/>
  <c r="J402" i="6" s="1"/>
  <c r="K402" i="6" s="1"/>
  <c r="I402" i="6"/>
  <c r="O338" i="6"/>
  <c r="H338" i="6"/>
  <c r="J338" i="6" s="1"/>
  <c r="K338" i="6" s="1"/>
  <c r="I338" i="6"/>
  <c r="O274" i="6"/>
  <c r="H274" i="6"/>
  <c r="J274" i="6" s="1"/>
  <c r="K274" i="6" s="1"/>
  <c r="I274" i="6"/>
  <c r="O210" i="6"/>
  <c r="H210" i="6"/>
  <c r="J210" i="6" s="1"/>
  <c r="K210" i="6" s="1"/>
  <c r="I210" i="6"/>
  <c r="O146" i="6"/>
  <c r="H146" i="6"/>
  <c r="J146" i="6" s="1"/>
  <c r="K146" i="6" s="1"/>
  <c r="I146" i="6"/>
  <c r="O82" i="6"/>
  <c r="H82" i="6"/>
  <c r="J82" i="6" s="1"/>
  <c r="K82" i="6" s="1"/>
  <c r="I82" i="6"/>
  <c r="O18" i="6"/>
  <c r="H18" i="6"/>
  <c r="J18" i="6" s="1"/>
  <c r="K18" i="6" s="1"/>
  <c r="I18" i="6"/>
  <c r="O20" i="6"/>
  <c r="I20" i="6"/>
  <c r="H20" i="6"/>
  <c r="J20" i="6" s="1"/>
  <c r="K20" i="6" s="1"/>
  <c r="O121" i="6"/>
  <c r="I121" i="6"/>
  <c r="H121" i="6"/>
  <c r="J121" i="6" s="1"/>
  <c r="K121" i="6" s="1"/>
  <c r="O224" i="6"/>
  <c r="I224" i="6"/>
  <c r="H224" i="6"/>
  <c r="J224" i="6" s="1"/>
  <c r="K224" i="6" s="1"/>
  <c r="O327" i="6"/>
  <c r="H327" i="6"/>
  <c r="J327" i="6" s="1"/>
  <c r="K327" i="6" s="1"/>
  <c r="I327" i="6"/>
  <c r="O430" i="6"/>
  <c r="I430" i="6"/>
  <c r="H430" i="6"/>
  <c r="J430" i="6" s="1"/>
  <c r="K430" i="6" s="1"/>
  <c r="O532" i="6"/>
  <c r="I532" i="6"/>
  <c r="H532" i="6"/>
  <c r="J532" i="6" s="1"/>
  <c r="K532" i="6" s="1"/>
  <c r="O33" i="6"/>
  <c r="I33" i="6"/>
  <c r="H33" i="6"/>
  <c r="J33" i="6" s="1"/>
  <c r="K33" i="6" s="1"/>
  <c r="O136" i="6"/>
  <c r="I136" i="6"/>
  <c r="H136" i="6"/>
  <c r="J136" i="6" s="1"/>
  <c r="K136" i="6" s="1"/>
  <c r="O239" i="6"/>
  <c r="I239" i="6"/>
  <c r="H239" i="6"/>
  <c r="J239" i="6" s="1"/>
  <c r="K239" i="6" s="1"/>
  <c r="O342" i="6"/>
  <c r="I342" i="6"/>
  <c r="H342" i="6"/>
  <c r="J342" i="6" s="1"/>
  <c r="K342" i="6" s="1"/>
  <c r="O444" i="6"/>
  <c r="I444" i="6"/>
  <c r="H444" i="6"/>
  <c r="J444" i="6" s="1"/>
  <c r="K444" i="6" s="1"/>
  <c r="O545" i="6"/>
  <c r="I545" i="6"/>
  <c r="H545" i="6"/>
  <c r="J545" i="6" s="1"/>
  <c r="K545" i="6" s="1"/>
  <c r="O76" i="6"/>
  <c r="I76" i="6"/>
  <c r="H76" i="6"/>
  <c r="J76" i="6" s="1"/>
  <c r="K76" i="6" s="1"/>
  <c r="O294" i="6"/>
  <c r="I294" i="6"/>
  <c r="H294" i="6"/>
  <c r="J294" i="6" s="1"/>
  <c r="K294" i="6" s="1"/>
  <c r="O497" i="6"/>
  <c r="I497" i="6"/>
  <c r="H497" i="6"/>
  <c r="J497" i="6" s="1"/>
  <c r="K497" i="6" s="1"/>
  <c r="O48" i="6"/>
  <c r="I48" i="6"/>
  <c r="H48" i="6"/>
  <c r="J48" i="6" s="1"/>
  <c r="K48" i="6" s="1"/>
  <c r="O151" i="6"/>
  <c r="I151" i="6"/>
  <c r="H151" i="6"/>
  <c r="J151" i="6" s="1"/>
  <c r="K151" i="6" s="1"/>
  <c r="O254" i="6"/>
  <c r="I254" i="6"/>
  <c r="H254" i="6"/>
  <c r="J254" i="6" s="1"/>
  <c r="K254" i="6" s="1"/>
  <c r="I356" i="6"/>
  <c r="O356" i="6"/>
  <c r="H356" i="6"/>
  <c r="J356" i="6" s="1"/>
  <c r="K356" i="6" s="1"/>
  <c r="O457" i="6"/>
  <c r="I457" i="6"/>
  <c r="H457" i="6"/>
  <c r="J457" i="6" s="1"/>
  <c r="K457" i="6" s="1"/>
  <c r="O560" i="6"/>
  <c r="I560" i="6"/>
  <c r="H560" i="6"/>
  <c r="J560" i="6" s="1"/>
  <c r="K560" i="6" s="1"/>
  <c r="O140" i="6"/>
  <c r="I140" i="6"/>
  <c r="H140" i="6"/>
  <c r="J140" i="6" s="1"/>
  <c r="K140" i="6" s="1"/>
  <c r="O332" i="6"/>
  <c r="I332" i="6"/>
  <c r="H332" i="6"/>
  <c r="J332" i="6" s="1"/>
  <c r="K332" i="6" s="1"/>
  <c r="O536" i="6"/>
  <c r="H536" i="6"/>
  <c r="J536" i="6" s="1"/>
  <c r="K536" i="6" s="1"/>
  <c r="I536" i="6"/>
  <c r="S153" i="6"/>
  <c r="S500" i="6"/>
  <c r="Q500" i="6"/>
  <c r="S89" i="6"/>
  <c r="Q89" i="6"/>
  <c r="O79" i="6"/>
  <c r="H79" i="6"/>
  <c r="J79" i="6" s="1"/>
  <c r="K79" i="6" s="1"/>
  <c r="I79" i="6"/>
  <c r="O182" i="6"/>
  <c r="I182" i="6"/>
  <c r="H182" i="6"/>
  <c r="J182" i="6" s="1"/>
  <c r="K182" i="6" s="1"/>
  <c r="O284" i="6"/>
  <c r="I284" i="6"/>
  <c r="H284" i="6"/>
  <c r="J284" i="6" s="1"/>
  <c r="K284" i="6" s="1"/>
  <c r="O385" i="6"/>
  <c r="H385" i="6"/>
  <c r="J385" i="6" s="1"/>
  <c r="K385" i="6" s="1"/>
  <c r="I385" i="6"/>
  <c r="O488" i="6"/>
  <c r="I488" i="6"/>
  <c r="H488" i="6"/>
  <c r="J488" i="6" s="1"/>
  <c r="K488" i="6" s="1"/>
  <c r="O591" i="6"/>
  <c r="I591" i="6"/>
  <c r="H591" i="6"/>
  <c r="J591" i="6" s="1"/>
  <c r="K591" i="6" s="1"/>
  <c r="P590" i="6"/>
  <c r="P384" i="6"/>
  <c r="S244" i="6"/>
  <c r="Q244" i="6"/>
  <c r="O55" i="6"/>
  <c r="I55" i="6"/>
  <c r="H55" i="6"/>
  <c r="J55" i="6" s="1"/>
  <c r="K55" i="6" s="1"/>
  <c r="O158" i="6"/>
  <c r="I158" i="6"/>
  <c r="H158" i="6"/>
  <c r="J158" i="6" s="1"/>
  <c r="K158" i="6" s="1"/>
  <c r="O260" i="6"/>
  <c r="I260" i="6"/>
  <c r="H260" i="6"/>
  <c r="J260" i="6" s="1"/>
  <c r="K260" i="6" s="1"/>
  <c r="O361" i="6"/>
  <c r="I361" i="6"/>
  <c r="H361" i="6"/>
  <c r="J361" i="6" s="1"/>
  <c r="K361" i="6" s="1"/>
  <c r="O464" i="6"/>
  <c r="H464" i="6"/>
  <c r="J464" i="6" s="1"/>
  <c r="K464" i="6" s="1"/>
  <c r="I464" i="6"/>
  <c r="O567" i="6"/>
  <c r="H567" i="6"/>
  <c r="J567" i="6" s="1"/>
  <c r="K567" i="6" s="1"/>
  <c r="I567" i="6"/>
  <c r="B25" i="6"/>
  <c r="I2" i="6"/>
  <c r="O6" i="6"/>
  <c r="I6" i="6"/>
  <c r="H6" i="6"/>
  <c r="J6" i="6" s="1"/>
  <c r="K6" i="6" s="1"/>
  <c r="O108" i="6"/>
  <c r="I108" i="6"/>
  <c r="H108" i="6"/>
  <c r="J108" i="6" s="1"/>
  <c r="K108" i="6" s="1"/>
  <c r="O209" i="6"/>
  <c r="I209" i="6"/>
  <c r="H209" i="6"/>
  <c r="J209" i="6" s="1"/>
  <c r="K209" i="6" s="1"/>
  <c r="O312" i="6"/>
  <c r="I312" i="6"/>
  <c r="H312" i="6"/>
  <c r="J312" i="6" s="1"/>
  <c r="K312" i="6" s="1"/>
  <c r="O415" i="6"/>
  <c r="H415" i="6"/>
  <c r="J415" i="6" s="1"/>
  <c r="K415" i="6" s="1"/>
  <c r="I415" i="6"/>
  <c r="O518" i="6"/>
  <c r="I518" i="6"/>
  <c r="H518" i="6"/>
  <c r="J518" i="6" s="1"/>
  <c r="K518" i="6" s="1"/>
  <c r="O589" i="6"/>
  <c r="I589" i="6"/>
  <c r="H589" i="6"/>
  <c r="J589" i="6" s="1"/>
  <c r="K589" i="6" s="1"/>
  <c r="O525" i="6"/>
  <c r="I525" i="6"/>
  <c r="H525" i="6"/>
  <c r="J525" i="6" s="1"/>
  <c r="K525" i="6" s="1"/>
  <c r="O461" i="6"/>
  <c r="I461" i="6"/>
  <c r="H461" i="6"/>
  <c r="J461" i="6" s="1"/>
  <c r="K461" i="6" s="1"/>
  <c r="O397" i="6"/>
  <c r="I397" i="6"/>
  <c r="H397" i="6"/>
  <c r="J397" i="6" s="1"/>
  <c r="K397" i="6" s="1"/>
  <c r="O333" i="6"/>
  <c r="I333" i="6"/>
  <c r="H333" i="6"/>
  <c r="J333" i="6" s="1"/>
  <c r="K333" i="6" s="1"/>
  <c r="O269" i="6"/>
  <c r="I269" i="6"/>
  <c r="H269" i="6"/>
  <c r="J269" i="6" s="1"/>
  <c r="K269" i="6" s="1"/>
  <c r="O205" i="6"/>
  <c r="I205" i="6"/>
  <c r="H205" i="6"/>
  <c r="J205" i="6" s="1"/>
  <c r="K205" i="6" s="1"/>
  <c r="O141" i="6"/>
  <c r="H141" i="6"/>
  <c r="J141" i="6" s="1"/>
  <c r="K141" i="6" s="1"/>
  <c r="I141" i="6"/>
  <c r="O77" i="6"/>
  <c r="H77" i="6"/>
  <c r="J77" i="6" s="1"/>
  <c r="K77" i="6" s="1"/>
  <c r="I77" i="6"/>
  <c r="O13" i="6"/>
  <c r="H13" i="6"/>
  <c r="J13" i="6" s="1"/>
  <c r="K13" i="6" s="1"/>
  <c r="I13" i="6"/>
  <c r="O547" i="6"/>
  <c r="I547" i="6"/>
  <c r="H547" i="6"/>
  <c r="J547" i="6" s="1"/>
  <c r="K547" i="6" s="1"/>
  <c r="O483" i="6"/>
  <c r="I483" i="6"/>
  <c r="H483" i="6"/>
  <c r="J483" i="6" s="1"/>
  <c r="K483" i="6" s="1"/>
  <c r="O419" i="6"/>
  <c r="I419" i="6"/>
  <c r="H419" i="6"/>
  <c r="J419" i="6" s="1"/>
  <c r="K419" i="6" s="1"/>
  <c r="O355" i="6"/>
  <c r="I355" i="6"/>
  <c r="H355" i="6"/>
  <c r="J355" i="6" s="1"/>
  <c r="K355" i="6" s="1"/>
  <c r="O291" i="6"/>
  <c r="I291" i="6"/>
  <c r="H291" i="6"/>
  <c r="J291" i="6" s="1"/>
  <c r="K291" i="6" s="1"/>
  <c r="O227" i="6"/>
  <c r="I227" i="6"/>
  <c r="H227" i="6"/>
  <c r="J227" i="6" s="1"/>
  <c r="K227" i="6" s="1"/>
  <c r="O163" i="6"/>
  <c r="I163" i="6"/>
  <c r="H163" i="6"/>
  <c r="J163" i="6" s="1"/>
  <c r="K163" i="6" s="1"/>
  <c r="O99" i="6"/>
  <c r="I99" i="6"/>
  <c r="H99" i="6"/>
  <c r="J99" i="6" s="1"/>
  <c r="K99" i="6" s="1"/>
  <c r="O35" i="6"/>
  <c r="I35" i="6"/>
  <c r="H35" i="6"/>
  <c r="J35" i="6" s="1"/>
  <c r="K35" i="6" s="1"/>
  <c r="O578" i="6"/>
  <c r="H578" i="6"/>
  <c r="J578" i="6" s="1"/>
  <c r="K578" i="6" s="1"/>
  <c r="I578" i="6"/>
  <c r="O514" i="6"/>
  <c r="H514" i="6"/>
  <c r="J514" i="6" s="1"/>
  <c r="K514" i="6" s="1"/>
  <c r="I514" i="6"/>
  <c r="O450" i="6"/>
  <c r="H450" i="6"/>
  <c r="J450" i="6" s="1"/>
  <c r="K450" i="6" s="1"/>
  <c r="I450" i="6"/>
  <c r="O386" i="6"/>
  <c r="H386" i="6"/>
  <c r="J386" i="6" s="1"/>
  <c r="K386" i="6" s="1"/>
  <c r="I386" i="6"/>
  <c r="O322" i="6"/>
  <c r="H322" i="6"/>
  <c r="J322" i="6" s="1"/>
  <c r="K322" i="6" s="1"/>
  <c r="I322" i="6"/>
  <c r="O258" i="6"/>
  <c r="H258" i="6"/>
  <c r="J258" i="6" s="1"/>
  <c r="K258" i="6" s="1"/>
  <c r="I258" i="6"/>
  <c r="O194" i="6"/>
  <c r="H194" i="6"/>
  <c r="J194" i="6" s="1"/>
  <c r="K194" i="6" s="1"/>
  <c r="I194" i="6"/>
  <c r="O130" i="6"/>
  <c r="H130" i="6"/>
  <c r="J130" i="6" s="1"/>
  <c r="K130" i="6" s="1"/>
  <c r="I130" i="6"/>
  <c r="O66" i="6"/>
  <c r="H66" i="6"/>
  <c r="J66" i="6" s="1"/>
  <c r="K66" i="6" s="1"/>
  <c r="I66" i="6"/>
  <c r="O46" i="6"/>
  <c r="I46" i="6"/>
  <c r="H46" i="6"/>
  <c r="J46" i="6" s="1"/>
  <c r="K46" i="6" s="1"/>
  <c r="O148" i="6"/>
  <c r="I148" i="6"/>
  <c r="H148" i="6"/>
  <c r="J148" i="6" s="1"/>
  <c r="K148" i="6" s="1"/>
  <c r="O249" i="6"/>
  <c r="I249" i="6"/>
  <c r="H249" i="6"/>
  <c r="J249" i="6" s="1"/>
  <c r="K249" i="6" s="1"/>
  <c r="O352" i="6"/>
  <c r="I352" i="6"/>
  <c r="H352" i="6"/>
  <c r="J352" i="6" s="1"/>
  <c r="K352" i="6" s="1"/>
  <c r="O455" i="6"/>
  <c r="H455" i="6"/>
  <c r="J455" i="6" s="1"/>
  <c r="K455" i="6" s="1"/>
  <c r="I455" i="6"/>
  <c r="O558" i="6"/>
  <c r="I558" i="6"/>
  <c r="H558" i="6"/>
  <c r="J558" i="6" s="1"/>
  <c r="K558" i="6" s="1"/>
  <c r="O60" i="6"/>
  <c r="I60" i="6"/>
  <c r="H60" i="6"/>
  <c r="J60" i="6" s="1"/>
  <c r="K60" i="6" s="1"/>
  <c r="O161" i="6"/>
  <c r="I161" i="6"/>
  <c r="H161" i="6"/>
  <c r="J161" i="6" s="1"/>
  <c r="K161" i="6" s="1"/>
  <c r="O264" i="6"/>
  <c r="H264" i="6"/>
  <c r="J264" i="6" s="1"/>
  <c r="K264" i="6" s="1"/>
  <c r="I264" i="6"/>
  <c r="O367" i="6"/>
  <c r="H367" i="6"/>
  <c r="J367" i="6" s="1"/>
  <c r="K367" i="6" s="1"/>
  <c r="I367" i="6"/>
  <c r="O470" i="6"/>
  <c r="I470" i="6"/>
  <c r="H470" i="6"/>
  <c r="J470" i="6" s="1"/>
  <c r="K470" i="6" s="1"/>
  <c r="O572" i="6"/>
  <c r="I572" i="6"/>
  <c r="H572" i="6"/>
  <c r="J572" i="6" s="1"/>
  <c r="K572" i="6" s="1"/>
  <c r="O127" i="6"/>
  <c r="I127" i="6"/>
  <c r="H127" i="6"/>
  <c r="J127" i="6" s="1"/>
  <c r="K127" i="6" s="1"/>
  <c r="O344" i="6"/>
  <c r="I344" i="6"/>
  <c r="H344" i="6"/>
  <c r="J344" i="6" s="1"/>
  <c r="K344" i="6" s="1"/>
  <c r="O550" i="6"/>
  <c r="I550" i="6"/>
  <c r="H550" i="6"/>
  <c r="J550" i="6" s="1"/>
  <c r="K550" i="6" s="1"/>
  <c r="O73" i="6"/>
  <c r="I73" i="6"/>
  <c r="H73" i="6"/>
  <c r="J73" i="6" s="1"/>
  <c r="K73" i="6" s="1"/>
  <c r="O176" i="6"/>
  <c r="I176" i="6"/>
  <c r="H176" i="6"/>
  <c r="J176" i="6" s="1"/>
  <c r="K176" i="6" s="1"/>
  <c r="O279" i="6"/>
  <c r="I279" i="6"/>
  <c r="H279" i="6"/>
  <c r="J279" i="6" s="1"/>
  <c r="K279" i="6" s="1"/>
  <c r="O382" i="6"/>
  <c r="I382" i="6"/>
  <c r="H382" i="6"/>
  <c r="J382" i="6" s="1"/>
  <c r="K382" i="6" s="1"/>
  <c r="I484" i="6"/>
  <c r="O484" i="6"/>
  <c r="H484" i="6"/>
  <c r="J484" i="6" s="1"/>
  <c r="K484" i="6" s="1"/>
  <c r="O585" i="6"/>
  <c r="H585" i="6"/>
  <c r="J585" i="6" s="1"/>
  <c r="K585" i="6" s="1"/>
  <c r="I585" i="6"/>
  <c r="O177" i="6"/>
  <c r="I177" i="6"/>
  <c r="H177" i="6"/>
  <c r="J177" i="6" s="1"/>
  <c r="K177" i="6" s="1"/>
  <c r="O383" i="6"/>
  <c r="I383" i="6"/>
  <c r="H383" i="6"/>
  <c r="J383" i="6" s="1"/>
  <c r="K383" i="6" s="1"/>
  <c r="O588" i="6"/>
  <c r="I588" i="6"/>
  <c r="H588" i="6"/>
  <c r="J588" i="6" s="1"/>
  <c r="K588" i="6" s="1"/>
  <c r="S526" i="6"/>
  <c r="Q526" i="6"/>
  <c r="O104" i="6"/>
  <c r="I104" i="6"/>
  <c r="H104" i="6"/>
  <c r="J104" i="6" s="1"/>
  <c r="K104" i="6" s="1"/>
  <c r="O207" i="6"/>
  <c r="I207" i="6"/>
  <c r="H207" i="6"/>
  <c r="J207" i="6" s="1"/>
  <c r="K207" i="6" s="1"/>
  <c r="O310" i="6"/>
  <c r="I310" i="6"/>
  <c r="H310" i="6"/>
  <c r="J310" i="6" s="1"/>
  <c r="K310" i="6" s="1"/>
  <c r="O412" i="6"/>
  <c r="I412" i="6"/>
  <c r="H412" i="6"/>
  <c r="J412" i="6" s="1"/>
  <c r="K412" i="6" s="1"/>
  <c r="O513" i="6"/>
  <c r="I513" i="6"/>
  <c r="H513" i="6"/>
  <c r="J513" i="6" s="1"/>
  <c r="K513" i="6" s="1"/>
  <c r="P564" i="6"/>
  <c r="P500" i="6"/>
  <c r="S295" i="6"/>
  <c r="Q295" i="6"/>
  <c r="O80" i="6"/>
  <c r="I80" i="6"/>
  <c r="H80" i="6"/>
  <c r="J80" i="6" s="1"/>
  <c r="K80" i="6" s="1"/>
  <c r="O183" i="6"/>
  <c r="I183" i="6"/>
  <c r="H183" i="6"/>
  <c r="J183" i="6" s="1"/>
  <c r="K183" i="6" s="1"/>
  <c r="O286" i="6"/>
  <c r="I286" i="6"/>
  <c r="H286" i="6"/>
  <c r="J286" i="6" s="1"/>
  <c r="K286" i="6" s="1"/>
  <c r="O388" i="6"/>
  <c r="I388" i="6"/>
  <c r="H388" i="6"/>
  <c r="J388" i="6" s="1"/>
  <c r="K388" i="6" s="1"/>
  <c r="O489" i="6"/>
  <c r="H489" i="6"/>
  <c r="J489" i="6" s="1"/>
  <c r="K489" i="6" s="1"/>
  <c r="I489" i="6"/>
  <c r="O592" i="6"/>
  <c r="H592" i="6"/>
  <c r="J592" i="6" s="1"/>
  <c r="K592" i="6" s="1"/>
  <c r="I592" i="6"/>
  <c r="O580" i="6"/>
  <c r="I580" i="6"/>
  <c r="H580" i="6"/>
  <c r="J580" i="6" s="1"/>
  <c r="K580" i="6" s="1"/>
  <c r="O17" i="6"/>
  <c r="I17" i="6"/>
  <c r="H17" i="6"/>
  <c r="J17" i="6" s="1"/>
  <c r="K17" i="6" s="1"/>
  <c r="O120" i="6"/>
  <c r="I120" i="6"/>
  <c r="H120" i="6"/>
  <c r="J120" i="6" s="1"/>
  <c r="K120" i="6" s="1"/>
  <c r="O223" i="6"/>
  <c r="I223" i="6"/>
  <c r="H223" i="6"/>
  <c r="J223" i="6" s="1"/>
  <c r="K223" i="6" s="1"/>
  <c r="O326" i="6"/>
  <c r="H326" i="6"/>
  <c r="J326" i="6" s="1"/>
  <c r="K326" i="6" s="1"/>
  <c r="I326" i="6"/>
  <c r="O428" i="6"/>
  <c r="I428" i="6"/>
  <c r="H428" i="6"/>
  <c r="J428" i="6" s="1"/>
  <c r="K428" i="6" s="1"/>
  <c r="O529" i="6"/>
  <c r="H529" i="6"/>
  <c r="J529" i="6" s="1"/>
  <c r="K529" i="6" s="1"/>
  <c r="I529" i="6"/>
  <c r="O581" i="6"/>
  <c r="I581" i="6"/>
  <c r="H581" i="6"/>
  <c r="J581" i="6" s="1"/>
  <c r="K581" i="6" s="1"/>
  <c r="O517" i="6"/>
  <c r="I517" i="6"/>
  <c r="H517" i="6"/>
  <c r="J517" i="6" s="1"/>
  <c r="K517" i="6" s="1"/>
  <c r="O453" i="6"/>
  <c r="I453" i="6"/>
  <c r="H453" i="6"/>
  <c r="J453" i="6" s="1"/>
  <c r="K453" i="6" s="1"/>
  <c r="O389" i="6"/>
  <c r="I389" i="6"/>
  <c r="H389" i="6"/>
  <c r="J389" i="6" s="1"/>
  <c r="K389" i="6" s="1"/>
  <c r="O325" i="6"/>
  <c r="I325" i="6"/>
  <c r="H325" i="6"/>
  <c r="J325" i="6" s="1"/>
  <c r="K325" i="6" s="1"/>
  <c r="O261" i="6"/>
  <c r="I261" i="6"/>
  <c r="H261" i="6"/>
  <c r="J261" i="6" s="1"/>
  <c r="K261" i="6" s="1"/>
  <c r="O197" i="6"/>
  <c r="I197" i="6"/>
  <c r="H197" i="6"/>
  <c r="J197" i="6" s="1"/>
  <c r="K197" i="6" s="1"/>
  <c r="O133" i="6"/>
  <c r="I133" i="6"/>
  <c r="H133" i="6"/>
  <c r="J133" i="6" s="1"/>
  <c r="K133" i="6" s="1"/>
  <c r="O69" i="6"/>
  <c r="I69" i="6"/>
  <c r="H69" i="6"/>
  <c r="J69" i="6" s="1"/>
  <c r="K69" i="6" s="1"/>
  <c r="O5" i="6"/>
  <c r="I5" i="6"/>
  <c r="H5" i="6"/>
  <c r="J5" i="6" s="1"/>
  <c r="K5" i="6" s="1"/>
  <c r="O539" i="6"/>
  <c r="I539" i="6"/>
  <c r="H539" i="6"/>
  <c r="J539" i="6" s="1"/>
  <c r="K539" i="6" s="1"/>
  <c r="O475" i="6"/>
  <c r="I475" i="6"/>
  <c r="H475" i="6"/>
  <c r="J475" i="6" s="1"/>
  <c r="K475" i="6" s="1"/>
  <c r="O411" i="6"/>
  <c r="I411" i="6"/>
  <c r="H411" i="6"/>
  <c r="J411" i="6" s="1"/>
  <c r="K411" i="6" s="1"/>
  <c r="O347" i="6"/>
  <c r="I347" i="6"/>
  <c r="H347" i="6"/>
  <c r="J347" i="6" s="1"/>
  <c r="K347" i="6" s="1"/>
  <c r="O283" i="6"/>
  <c r="I283" i="6"/>
  <c r="H283" i="6"/>
  <c r="J283" i="6" s="1"/>
  <c r="K283" i="6" s="1"/>
  <c r="O219" i="6"/>
  <c r="I219" i="6"/>
  <c r="H219" i="6"/>
  <c r="J219" i="6" s="1"/>
  <c r="K219" i="6" s="1"/>
  <c r="O155" i="6"/>
  <c r="I155" i="6"/>
  <c r="H155" i="6"/>
  <c r="J155" i="6" s="1"/>
  <c r="K155" i="6" s="1"/>
  <c r="O91" i="6"/>
  <c r="I91" i="6"/>
  <c r="H91" i="6"/>
  <c r="J91" i="6" s="1"/>
  <c r="K91" i="6" s="1"/>
  <c r="O27" i="6"/>
  <c r="I27" i="6"/>
  <c r="H27" i="6"/>
  <c r="J27" i="6" s="1"/>
  <c r="K27" i="6" s="1"/>
  <c r="O570" i="6"/>
  <c r="H570" i="6"/>
  <c r="J570" i="6" s="1"/>
  <c r="K570" i="6" s="1"/>
  <c r="I570" i="6"/>
  <c r="O506" i="6"/>
  <c r="H506" i="6"/>
  <c r="J506" i="6" s="1"/>
  <c r="K506" i="6" s="1"/>
  <c r="I506" i="6"/>
  <c r="O442" i="6"/>
  <c r="H442" i="6"/>
  <c r="J442" i="6" s="1"/>
  <c r="K442" i="6" s="1"/>
  <c r="I442" i="6"/>
  <c r="O378" i="6"/>
  <c r="H378" i="6"/>
  <c r="J378" i="6" s="1"/>
  <c r="K378" i="6" s="1"/>
  <c r="I378" i="6"/>
  <c r="O314" i="6"/>
  <c r="H314" i="6"/>
  <c r="J314" i="6" s="1"/>
  <c r="K314" i="6" s="1"/>
  <c r="I314" i="6"/>
  <c r="O250" i="6"/>
  <c r="H250" i="6"/>
  <c r="J250" i="6" s="1"/>
  <c r="K250" i="6" s="1"/>
  <c r="I250" i="6"/>
  <c r="O186" i="6"/>
  <c r="H186" i="6"/>
  <c r="J186" i="6" s="1"/>
  <c r="K186" i="6" s="1"/>
  <c r="I186" i="6"/>
  <c r="O122" i="6"/>
  <c r="H122" i="6"/>
  <c r="J122" i="6" s="1"/>
  <c r="K122" i="6" s="1"/>
  <c r="I122" i="6"/>
  <c r="O58" i="6"/>
  <c r="H58" i="6"/>
  <c r="J58" i="6" s="1"/>
  <c r="K58" i="6" s="1"/>
  <c r="I58" i="6"/>
  <c r="O57" i="6"/>
  <c r="I57" i="6"/>
  <c r="H57" i="6"/>
  <c r="J57" i="6" s="1"/>
  <c r="K57" i="6" s="1"/>
  <c r="O160" i="6"/>
  <c r="I160" i="6"/>
  <c r="H160" i="6"/>
  <c r="J160" i="6" s="1"/>
  <c r="K160" i="6" s="1"/>
  <c r="O263" i="6"/>
  <c r="H263" i="6"/>
  <c r="J263" i="6" s="1"/>
  <c r="K263" i="6" s="1"/>
  <c r="I263" i="6"/>
  <c r="O366" i="6"/>
  <c r="H366" i="6"/>
  <c r="J366" i="6" s="1"/>
  <c r="K366" i="6" s="1"/>
  <c r="I366" i="6"/>
  <c r="O468" i="6"/>
  <c r="I468" i="6"/>
  <c r="H468" i="6"/>
  <c r="J468" i="6" s="1"/>
  <c r="K468" i="6" s="1"/>
  <c r="O569" i="6"/>
  <c r="H569" i="6"/>
  <c r="J569" i="6" s="1"/>
  <c r="K569" i="6" s="1"/>
  <c r="I569" i="6"/>
  <c r="O72" i="6"/>
  <c r="I72" i="6"/>
  <c r="H72" i="6"/>
  <c r="J72" i="6" s="1"/>
  <c r="K72" i="6" s="1"/>
  <c r="O175" i="6"/>
  <c r="I175" i="6"/>
  <c r="H175" i="6"/>
  <c r="J175" i="6" s="1"/>
  <c r="K175" i="6" s="1"/>
  <c r="O278" i="6"/>
  <c r="H278" i="6"/>
  <c r="J278" i="6" s="1"/>
  <c r="K278" i="6" s="1"/>
  <c r="I278" i="6"/>
  <c r="O380" i="6"/>
  <c r="I380" i="6"/>
  <c r="H380" i="6"/>
  <c r="J380" i="6" s="1"/>
  <c r="K380" i="6" s="1"/>
  <c r="O481" i="6"/>
  <c r="I481" i="6"/>
  <c r="H481" i="6"/>
  <c r="J481" i="6" s="1"/>
  <c r="K481" i="6" s="1"/>
  <c r="O584" i="6"/>
  <c r="H584" i="6"/>
  <c r="J584" i="6" s="1"/>
  <c r="K584" i="6" s="1"/>
  <c r="I584" i="6"/>
  <c r="O166" i="6"/>
  <c r="I166" i="6"/>
  <c r="H166" i="6"/>
  <c r="J166" i="6" s="1"/>
  <c r="K166" i="6" s="1"/>
  <c r="O369" i="6"/>
  <c r="I369" i="6"/>
  <c r="H369" i="6"/>
  <c r="J369" i="6" s="1"/>
  <c r="K369" i="6" s="1"/>
  <c r="O575" i="6"/>
  <c r="I575" i="6"/>
  <c r="H575" i="6"/>
  <c r="J575" i="6" s="1"/>
  <c r="K575" i="6" s="1"/>
  <c r="S167" i="6"/>
  <c r="O87" i="6"/>
  <c r="I87" i="6"/>
  <c r="H87" i="6"/>
  <c r="J87" i="6" s="1"/>
  <c r="K87" i="6" s="1"/>
  <c r="O190" i="6"/>
  <c r="I190" i="6"/>
  <c r="H190" i="6"/>
  <c r="J190" i="6" s="1"/>
  <c r="K190" i="6" s="1"/>
  <c r="O292" i="6"/>
  <c r="I292" i="6"/>
  <c r="H292" i="6"/>
  <c r="J292" i="6" s="1"/>
  <c r="K292" i="6" s="1"/>
  <c r="O393" i="6"/>
  <c r="I393" i="6"/>
  <c r="H393" i="6"/>
  <c r="J393" i="6" s="1"/>
  <c r="K393" i="6" s="1"/>
  <c r="O496" i="6"/>
  <c r="I496" i="6"/>
  <c r="H496" i="6"/>
  <c r="J496" i="6" s="1"/>
  <c r="K496" i="6" s="1"/>
  <c r="O599" i="6"/>
  <c r="H599" i="6"/>
  <c r="J599" i="6" s="1"/>
  <c r="K599" i="6" s="1"/>
  <c r="I599" i="6"/>
  <c r="O12" i="6"/>
  <c r="I12" i="6"/>
  <c r="H12" i="6"/>
  <c r="J12" i="6" s="1"/>
  <c r="K12" i="6" s="1"/>
  <c r="O204" i="6"/>
  <c r="I204" i="6"/>
  <c r="H204" i="6"/>
  <c r="J204" i="6" s="1"/>
  <c r="K204" i="6" s="1"/>
  <c r="O408" i="6"/>
  <c r="I408" i="6"/>
  <c r="H408" i="6"/>
  <c r="J408" i="6" s="1"/>
  <c r="K408" i="6" s="1"/>
  <c r="S78" i="6"/>
  <c r="Q78" i="6"/>
  <c r="S180" i="6"/>
  <c r="S359" i="6"/>
  <c r="Q359" i="6"/>
  <c r="O15" i="6"/>
  <c r="I15" i="6"/>
  <c r="H15" i="6"/>
  <c r="J15" i="6" s="1"/>
  <c r="K15" i="6" s="1"/>
  <c r="O118" i="6"/>
  <c r="I118" i="6"/>
  <c r="H118" i="6"/>
  <c r="J118" i="6" s="1"/>
  <c r="K118" i="6" s="1"/>
  <c r="O220" i="6"/>
  <c r="I220" i="6"/>
  <c r="H220" i="6"/>
  <c r="J220" i="6" s="1"/>
  <c r="K220" i="6" s="1"/>
  <c r="O321" i="6"/>
  <c r="I321" i="6"/>
  <c r="H321" i="6"/>
  <c r="J321" i="6" s="1"/>
  <c r="K321" i="6" s="1"/>
  <c r="O424" i="6"/>
  <c r="I424" i="6"/>
  <c r="H424" i="6"/>
  <c r="J424" i="6" s="1"/>
  <c r="K424" i="6" s="1"/>
  <c r="O527" i="6"/>
  <c r="I527" i="6"/>
  <c r="H527" i="6"/>
  <c r="J527" i="6" s="1"/>
  <c r="K527" i="6" s="1"/>
  <c r="P334" i="6"/>
  <c r="P52" i="6"/>
  <c r="S142" i="6"/>
  <c r="Q142" i="6"/>
  <c r="S462" i="6"/>
  <c r="Q462" i="6"/>
  <c r="O94" i="6"/>
  <c r="I94" i="6"/>
  <c r="H94" i="6"/>
  <c r="J94" i="6" s="1"/>
  <c r="K94" i="6" s="1"/>
  <c r="O196" i="6"/>
  <c r="I196" i="6"/>
  <c r="H196" i="6"/>
  <c r="J196" i="6" s="1"/>
  <c r="K196" i="6" s="1"/>
  <c r="O297" i="6"/>
  <c r="I297" i="6"/>
  <c r="H297" i="6"/>
  <c r="J297" i="6" s="1"/>
  <c r="K297" i="6" s="1"/>
  <c r="O400" i="6"/>
  <c r="I400" i="6"/>
  <c r="H400" i="6"/>
  <c r="J400" i="6" s="1"/>
  <c r="K400" i="6" s="1"/>
  <c r="O503" i="6"/>
  <c r="H503" i="6"/>
  <c r="J503" i="6" s="1"/>
  <c r="K503" i="6" s="1"/>
  <c r="I503" i="6"/>
  <c r="O31" i="6"/>
  <c r="I31" i="6"/>
  <c r="H31" i="6"/>
  <c r="J31" i="6" s="1"/>
  <c r="K31" i="6" s="1"/>
  <c r="O134" i="6"/>
  <c r="I134" i="6"/>
  <c r="H134" i="6"/>
  <c r="J134" i="6" s="1"/>
  <c r="K134" i="6" s="1"/>
  <c r="O236" i="6"/>
  <c r="I236" i="6"/>
  <c r="H236" i="6"/>
  <c r="J236" i="6" s="1"/>
  <c r="K236" i="6" s="1"/>
  <c r="O337" i="6"/>
  <c r="I337" i="6"/>
  <c r="H337" i="6"/>
  <c r="J337" i="6" s="1"/>
  <c r="K337" i="6" s="1"/>
  <c r="O440" i="6"/>
  <c r="I440" i="6"/>
  <c r="H440" i="6"/>
  <c r="J440" i="6" s="1"/>
  <c r="K440" i="6" s="1"/>
  <c r="O543" i="6"/>
  <c r="I543" i="6"/>
  <c r="H543" i="6"/>
  <c r="J543" i="6" s="1"/>
  <c r="K543" i="6" s="1"/>
  <c r="O573" i="6"/>
  <c r="I573" i="6"/>
  <c r="H573" i="6"/>
  <c r="J573" i="6" s="1"/>
  <c r="K573" i="6" s="1"/>
  <c r="O509" i="6"/>
  <c r="I509" i="6"/>
  <c r="H509" i="6"/>
  <c r="J509" i="6" s="1"/>
  <c r="K509" i="6" s="1"/>
  <c r="O445" i="6"/>
  <c r="I445" i="6"/>
  <c r="H445" i="6"/>
  <c r="J445" i="6" s="1"/>
  <c r="K445" i="6" s="1"/>
  <c r="O381" i="6"/>
  <c r="I381" i="6"/>
  <c r="H381" i="6"/>
  <c r="J381" i="6" s="1"/>
  <c r="K381" i="6" s="1"/>
  <c r="O317" i="6"/>
  <c r="H317" i="6"/>
  <c r="J317" i="6" s="1"/>
  <c r="K317" i="6" s="1"/>
  <c r="I317" i="6"/>
  <c r="O253" i="6"/>
  <c r="H253" i="6"/>
  <c r="J253" i="6" s="1"/>
  <c r="K253" i="6" s="1"/>
  <c r="I253" i="6"/>
  <c r="O189" i="6"/>
  <c r="H189" i="6"/>
  <c r="J189" i="6" s="1"/>
  <c r="K189" i="6" s="1"/>
  <c r="I189" i="6"/>
  <c r="O125" i="6"/>
  <c r="H125" i="6"/>
  <c r="J125" i="6" s="1"/>
  <c r="K125" i="6" s="1"/>
  <c r="I125" i="6"/>
  <c r="O61" i="6"/>
  <c r="H61" i="6"/>
  <c r="J61" i="6" s="1"/>
  <c r="K61" i="6" s="1"/>
  <c r="I61" i="6"/>
  <c r="O595" i="6"/>
  <c r="I595" i="6"/>
  <c r="H595" i="6"/>
  <c r="J595" i="6" s="1"/>
  <c r="K595" i="6" s="1"/>
  <c r="O531" i="6"/>
  <c r="I531" i="6"/>
  <c r="H531" i="6"/>
  <c r="J531" i="6" s="1"/>
  <c r="K531" i="6" s="1"/>
  <c r="O467" i="6"/>
  <c r="I467" i="6"/>
  <c r="H467" i="6"/>
  <c r="J467" i="6" s="1"/>
  <c r="K467" i="6" s="1"/>
  <c r="O403" i="6"/>
  <c r="I403" i="6"/>
  <c r="H403" i="6"/>
  <c r="J403" i="6" s="1"/>
  <c r="K403" i="6" s="1"/>
  <c r="O339" i="6"/>
  <c r="I339" i="6"/>
  <c r="H339" i="6"/>
  <c r="J339" i="6" s="1"/>
  <c r="K339" i="6" s="1"/>
  <c r="O275" i="6"/>
  <c r="I275" i="6"/>
  <c r="H275" i="6"/>
  <c r="J275" i="6" s="1"/>
  <c r="K275" i="6" s="1"/>
  <c r="O211" i="6"/>
  <c r="I211" i="6"/>
  <c r="H211" i="6"/>
  <c r="J211" i="6" s="1"/>
  <c r="K211" i="6" s="1"/>
  <c r="O147" i="6"/>
  <c r="I147" i="6"/>
  <c r="H147" i="6"/>
  <c r="J147" i="6" s="1"/>
  <c r="K147" i="6" s="1"/>
  <c r="O83" i="6"/>
  <c r="I83" i="6"/>
  <c r="H83" i="6"/>
  <c r="J83" i="6" s="1"/>
  <c r="K83" i="6" s="1"/>
  <c r="O19" i="6"/>
  <c r="I19" i="6"/>
  <c r="H19" i="6"/>
  <c r="J19" i="6" s="1"/>
  <c r="K19" i="6" s="1"/>
  <c r="O562" i="6"/>
  <c r="H562" i="6"/>
  <c r="J562" i="6" s="1"/>
  <c r="K562" i="6" s="1"/>
  <c r="I562" i="6"/>
  <c r="O498" i="6"/>
  <c r="H498" i="6"/>
  <c r="J498" i="6" s="1"/>
  <c r="K498" i="6" s="1"/>
  <c r="I498" i="6"/>
  <c r="O434" i="6"/>
  <c r="H434" i="6"/>
  <c r="J434" i="6" s="1"/>
  <c r="K434" i="6" s="1"/>
  <c r="I434" i="6"/>
  <c r="O370" i="6"/>
  <c r="I370" i="6"/>
  <c r="H370" i="6"/>
  <c r="J370" i="6" s="1"/>
  <c r="K370" i="6" s="1"/>
  <c r="O306" i="6"/>
  <c r="I306" i="6"/>
  <c r="H306" i="6"/>
  <c r="J306" i="6" s="1"/>
  <c r="K306" i="6" s="1"/>
  <c r="O242" i="6"/>
  <c r="I242" i="6"/>
  <c r="H242" i="6"/>
  <c r="J242" i="6" s="1"/>
  <c r="K242" i="6" s="1"/>
  <c r="O178" i="6"/>
  <c r="I178" i="6"/>
  <c r="H178" i="6"/>
  <c r="J178" i="6" s="1"/>
  <c r="K178" i="6" s="1"/>
  <c r="O114" i="6"/>
  <c r="H114" i="6"/>
  <c r="J114" i="6" s="1"/>
  <c r="K114" i="6" s="1"/>
  <c r="I114" i="6"/>
  <c r="O50" i="6"/>
  <c r="H50" i="6"/>
  <c r="J50" i="6" s="1"/>
  <c r="K50" i="6" s="1"/>
  <c r="I50" i="6"/>
  <c r="O71" i="6"/>
  <c r="I71" i="6"/>
  <c r="H71" i="6"/>
  <c r="J71" i="6" s="1"/>
  <c r="K71" i="6" s="1"/>
  <c r="O174" i="6"/>
  <c r="I174" i="6"/>
  <c r="H174" i="6"/>
  <c r="J174" i="6" s="1"/>
  <c r="K174" i="6" s="1"/>
  <c r="O276" i="6"/>
  <c r="I276" i="6"/>
  <c r="H276" i="6"/>
  <c r="J276" i="6" s="1"/>
  <c r="K276" i="6" s="1"/>
  <c r="O377" i="6"/>
  <c r="I377" i="6"/>
  <c r="H377" i="6"/>
  <c r="J377" i="6" s="1"/>
  <c r="K377" i="6" s="1"/>
  <c r="O480" i="6"/>
  <c r="I480" i="6"/>
  <c r="H480" i="6"/>
  <c r="J480" i="6" s="1"/>
  <c r="K480" i="6" s="1"/>
  <c r="O583" i="6"/>
  <c r="H583" i="6"/>
  <c r="J583" i="6" s="1"/>
  <c r="K583" i="6" s="1"/>
  <c r="I583" i="6"/>
  <c r="O86" i="6"/>
  <c r="I86" i="6"/>
  <c r="H86" i="6"/>
  <c r="J86" i="6" s="1"/>
  <c r="K86" i="6" s="1"/>
  <c r="O188" i="6"/>
  <c r="I188" i="6"/>
  <c r="H188" i="6"/>
  <c r="J188" i="6" s="1"/>
  <c r="K188" i="6" s="1"/>
  <c r="O289" i="6"/>
  <c r="I289" i="6"/>
  <c r="H289" i="6"/>
  <c r="J289" i="6" s="1"/>
  <c r="K289" i="6" s="1"/>
  <c r="O392" i="6"/>
  <c r="H392" i="6"/>
  <c r="J392" i="6" s="1"/>
  <c r="K392" i="6" s="1"/>
  <c r="I392" i="6"/>
  <c r="O495" i="6"/>
  <c r="I495" i="6"/>
  <c r="H495" i="6"/>
  <c r="J495" i="6" s="1"/>
  <c r="K495" i="6" s="1"/>
  <c r="O598" i="6"/>
  <c r="I598" i="6"/>
  <c r="H598" i="6"/>
  <c r="J598" i="6" s="1"/>
  <c r="K598" i="6" s="1"/>
  <c r="O191" i="6"/>
  <c r="I191" i="6"/>
  <c r="H191" i="6"/>
  <c r="J191" i="6" s="1"/>
  <c r="K191" i="6" s="1"/>
  <c r="O396" i="6"/>
  <c r="I396" i="6"/>
  <c r="H396" i="6"/>
  <c r="J396" i="6" s="1"/>
  <c r="K396" i="6" s="1"/>
  <c r="O600" i="6"/>
  <c r="I600" i="6"/>
  <c r="H600" i="6"/>
  <c r="J600" i="6" s="1"/>
  <c r="K600" i="6" s="1"/>
  <c r="O100" i="6"/>
  <c r="I100" i="6"/>
  <c r="H100" i="6"/>
  <c r="J100" i="6" s="1"/>
  <c r="K100" i="6" s="1"/>
  <c r="O201" i="6"/>
  <c r="I201" i="6"/>
  <c r="H201" i="6"/>
  <c r="J201" i="6" s="1"/>
  <c r="K201" i="6" s="1"/>
  <c r="O304" i="6"/>
  <c r="I304" i="6"/>
  <c r="H304" i="6"/>
  <c r="J304" i="6" s="1"/>
  <c r="K304" i="6" s="1"/>
  <c r="O407" i="6"/>
  <c r="H407" i="6"/>
  <c r="J407" i="6" s="1"/>
  <c r="K407" i="6" s="1"/>
  <c r="I407" i="6"/>
  <c r="O510" i="6"/>
  <c r="I510" i="6"/>
  <c r="H510" i="6"/>
  <c r="J510" i="6" s="1"/>
  <c r="K510" i="6" s="1"/>
  <c r="O38" i="6"/>
  <c r="I38" i="6"/>
  <c r="H38" i="6"/>
  <c r="J38" i="6" s="1"/>
  <c r="K38" i="6" s="1"/>
  <c r="O230" i="6"/>
  <c r="I230" i="6"/>
  <c r="H230" i="6"/>
  <c r="J230" i="6" s="1"/>
  <c r="K230" i="6" s="1"/>
  <c r="O433" i="6"/>
  <c r="H433" i="6"/>
  <c r="J433" i="6" s="1"/>
  <c r="K433" i="6" s="1"/>
  <c r="I433" i="6"/>
  <c r="S372" i="6"/>
  <c r="Q372" i="6"/>
  <c r="S206" i="6"/>
  <c r="Q206" i="6"/>
  <c r="O28" i="6"/>
  <c r="I28" i="6"/>
  <c r="H28" i="6"/>
  <c r="J28" i="6" s="1"/>
  <c r="K28" i="6" s="1"/>
  <c r="O129" i="6"/>
  <c r="I129" i="6"/>
  <c r="H129" i="6"/>
  <c r="J129" i="6" s="1"/>
  <c r="K129" i="6" s="1"/>
  <c r="O232" i="6"/>
  <c r="I232" i="6"/>
  <c r="H232" i="6"/>
  <c r="J232" i="6" s="1"/>
  <c r="K232" i="6" s="1"/>
  <c r="O335" i="6"/>
  <c r="I335" i="6"/>
  <c r="H335" i="6"/>
  <c r="J335" i="6" s="1"/>
  <c r="K335" i="6" s="1"/>
  <c r="O438" i="6"/>
  <c r="I438" i="6"/>
  <c r="H438" i="6"/>
  <c r="J438" i="6" s="1"/>
  <c r="K438" i="6" s="1"/>
  <c r="O540" i="6"/>
  <c r="I540" i="6"/>
  <c r="H540" i="6"/>
  <c r="J540" i="6" s="1"/>
  <c r="K540" i="6" s="1"/>
  <c r="P270" i="6"/>
  <c r="P256" i="6"/>
  <c r="S345" i="6"/>
  <c r="O4" i="6"/>
  <c r="I4" i="6"/>
  <c r="H4" i="6"/>
  <c r="J4" i="6" s="1"/>
  <c r="K4" i="6" s="1"/>
  <c r="O105" i="6"/>
  <c r="I105" i="6"/>
  <c r="H105" i="6"/>
  <c r="J105" i="6" s="1"/>
  <c r="K105" i="6" s="1"/>
  <c r="O208" i="6"/>
  <c r="I208" i="6"/>
  <c r="H208" i="6"/>
  <c r="J208" i="6" s="1"/>
  <c r="K208" i="6" s="1"/>
  <c r="O311" i="6"/>
  <c r="I311" i="6"/>
  <c r="H311" i="6"/>
  <c r="J311" i="6" s="1"/>
  <c r="K311" i="6" s="1"/>
  <c r="O414" i="6"/>
  <c r="I414" i="6"/>
  <c r="H414" i="6"/>
  <c r="J414" i="6" s="1"/>
  <c r="K414" i="6" s="1"/>
  <c r="O516" i="6"/>
  <c r="I516" i="6"/>
  <c r="H516" i="6"/>
  <c r="J516" i="6" s="1"/>
  <c r="K516" i="6" s="1"/>
  <c r="P206" i="6"/>
  <c r="P142" i="6"/>
  <c r="P78" i="6"/>
  <c r="S436" i="6"/>
  <c r="Q436" i="6"/>
  <c r="O68" i="6"/>
  <c r="I68" i="6"/>
  <c r="H68" i="6"/>
  <c r="J68" i="6" s="1"/>
  <c r="K68" i="6" s="1"/>
  <c r="O478" i="6"/>
  <c r="I478" i="6"/>
  <c r="H478" i="6"/>
  <c r="J478" i="6" s="1"/>
  <c r="K478" i="6" s="1"/>
  <c r="O44" i="6"/>
  <c r="I44" i="6"/>
  <c r="H44" i="6"/>
  <c r="J44" i="6" s="1"/>
  <c r="K44" i="6" s="1"/>
  <c r="O145" i="6"/>
  <c r="I145" i="6"/>
  <c r="H145" i="6"/>
  <c r="J145" i="6" s="1"/>
  <c r="K145" i="6" s="1"/>
  <c r="O248" i="6"/>
  <c r="I248" i="6"/>
  <c r="H248" i="6"/>
  <c r="J248" i="6" s="1"/>
  <c r="K248" i="6" s="1"/>
  <c r="O351" i="6"/>
  <c r="I351" i="6"/>
  <c r="H351" i="6"/>
  <c r="J351" i="6" s="1"/>
  <c r="K351" i="6" s="1"/>
  <c r="O454" i="6"/>
  <c r="I454" i="6"/>
  <c r="H454" i="6"/>
  <c r="J454" i="6" s="1"/>
  <c r="K454" i="6" s="1"/>
  <c r="O556" i="6"/>
  <c r="I556" i="6"/>
  <c r="H556" i="6"/>
  <c r="J556" i="6" s="1"/>
  <c r="K556" i="6" s="1"/>
  <c r="O565" i="6"/>
  <c r="I565" i="6"/>
  <c r="H565" i="6"/>
  <c r="J565" i="6" s="1"/>
  <c r="K565" i="6" s="1"/>
  <c r="O501" i="6"/>
  <c r="I501" i="6"/>
  <c r="H501" i="6"/>
  <c r="J501" i="6" s="1"/>
  <c r="K501" i="6" s="1"/>
  <c r="O437" i="6"/>
  <c r="I437" i="6"/>
  <c r="H437" i="6"/>
  <c r="J437" i="6" s="1"/>
  <c r="K437" i="6" s="1"/>
  <c r="O373" i="6"/>
  <c r="I373" i="6"/>
  <c r="H373" i="6"/>
  <c r="J373" i="6" s="1"/>
  <c r="K373" i="6" s="1"/>
  <c r="O309" i="6"/>
  <c r="I309" i="6"/>
  <c r="H309" i="6"/>
  <c r="J309" i="6" s="1"/>
  <c r="K309" i="6" s="1"/>
  <c r="O245" i="6"/>
  <c r="I245" i="6"/>
  <c r="H245" i="6"/>
  <c r="J245" i="6" s="1"/>
  <c r="K245" i="6" s="1"/>
  <c r="O181" i="6"/>
  <c r="I181" i="6"/>
  <c r="H181" i="6"/>
  <c r="J181" i="6" s="1"/>
  <c r="K181" i="6" s="1"/>
  <c r="O117" i="6"/>
  <c r="I117" i="6"/>
  <c r="H117" i="6"/>
  <c r="J117" i="6" s="1"/>
  <c r="K117" i="6" s="1"/>
  <c r="O53" i="6"/>
  <c r="I53" i="6"/>
  <c r="H53" i="6"/>
  <c r="J53" i="6" s="1"/>
  <c r="K53" i="6" s="1"/>
  <c r="O587" i="6"/>
  <c r="I587" i="6"/>
  <c r="H587" i="6"/>
  <c r="J587" i="6" s="1"/>
  <c r="K587" i="6" s="1"/>
  <c r="O523" i="6"/>
  <c r="I523" i="6"/>
  <c r="H523" i="6"/>
  <c r="J523" i="6" s="1"/>
  <c r="K523" i="6" s="1"/>
  <c r="O459" i="6"/>
  <c r="I459" i="6"/>
  <c r="H459" i="6"/>
  <c r="J459" i="6" s="1"/>
  <c r="K459" i="6" s="1"/>
  <c r="O395" i="6"/>
  <c r="I395" i="6"/>
  <c r="H395" i="6"/>
  <c r="J395" i="6" s="1"/>
  <c r="K395" i="6" s="1"/>
  <c r="O331" i="6"/>
  <c r="I331" i="6"/>
  <c r="H331" i="6"/>
  <c r="J331" i="6" s="1"/>
  <c r="K331" i="6" s="1"/>
  <c r="O267" i="6"/>
  <c r="I267" i="6"/>
  <c r="H267" i="6"/>
  <c r="J267" i="6" s="1"/>
  <c r="K267" i="6" s="1"/>
  <c r="O203" i="6"/>
  <c r="I203" i="6"/>
  <c r="H203" i="6"/>
  <c r="J203" i="6" s="1"/>
  <c r="K203" i="6" s="1"/>
  <c r="O139" i="6"/>
  <c r="I139" i="6"/>
  <c r="H139" i="6"/>
  <c r="J139" i="6" s="1"/>
  <c r="K139" i="6" s="1"/>
  <c r="O75" i="6"/>
  <c r="I75" i="6"/>
  <c r="H75" i="6"/>
  <c r="J75" i="6" s="1"/>
  <c r="K75" i="6" s="1"/>
  <c r="O11" i="6"/>
  <c r="I11" i="6"/>
  <c r="H11" i="6"/>
  <c r="J11" i="6" s="1"/>
  <c r="K11" i="6" s="1"/>
  <c r="O554" i="6"/>
  <c r="H554" i="6"/>
  <c r="J554" i="6" s="1"/>
  <c r="K554" i="6" s="1"/>
  <c r="I554" i="6"/>
  <c r="O490" i="6"/>
  <c r="H490" i="6"/>
  <c r="J490" i="6" s="1"/>
  <c r="K490" i="6" s="1"/>
  <c r="I490" i="6"/>
  <c r="O426" i="6"/>
  <c r="H426" i="6"/>
  <c r="J426" i="6" s="1"/>
  <c r="K426" i="6" s="1"/>
  <c r="I426" i="6"/>
  <c r="O362" i="6"/>
  <c r="H362" i="6"/>
  <c r="J362" i="6" s="1"/>
  <c r="K362" i="6" s="1"/>
  <c r="I362" i="6"/>
  <c r="O298" i="6"/>
  <c r="H298" i="6"/>
  <c r="J298" i="6" s="1"/>
  <c r="K298" i="6" s="1"/>
  <c r="I298" i="6"/>
  <c r="O234" i="6"/>
  <c r="H234" i="6"/>
  <c r="J234" i="6" s="1"/>
  <c r="K234" i="6" s="1"/>
  <c r="I234" i="6"/>
  <c r="O170" i="6"/>
  <c r="H170" i="6"/>
  <c r="J170" i="6" s="1"/>
  <c r="K170" i="6" s="1"/>
  <c r="I170" i="6"/>
  <c r="O106" i="6"/>
  <c r="H106" i="6"/>
  <c r="J106" i="6" s="1"/>
  <c r="K106" i="6" s="1"/>
  <c r="I106" i="6"/>
  <c r="O42" i="6"/>
  <c r="H42" i="6"/>
  <c r="J42" i="6" s="1"/>
  <c r="K42" i="6" s="1"/>
  <c r="I42" i="6"/>
  <c r="O84" i="6"/>
  <c r="I84" i="6"/>
  <c r="H84" i="6"/>
  <c r="J84" i="6" s="1"/>
  <c r="K84" i="6" s="1"/>
  <c r="O185" i="6"/>
  <c r="I185" i="6"/>
  <c r="H185" i="6"/>
  <c r="J185" i="6" s="1"/>
  <c r="K185" i="6" s="1"/>
  <c r="O288" i="6"/>
  <c r="I288" i="6"/>
  <c r="H288" i="6"/>
  <c r="J288" i="6" s="1"/>
  <c r="K288" i="6" s="1"/>
  <c r="O391" i="6"/>
  <c r="H391" i="6"/>
  <c r="J391" i="6" s="1"/>
  <c r="K391" i="6" s="1"/>
  <c r="I391" i="6"/>
  <c r="O494" i="6"/>
  <c r="I494" i="6"/>
  <c r="H494" i="6"/>
  <c r="J494" i="6" s="1"/>
  <c r="K494" i="6" s="1"/>
  <c r="O596" i="6"/>
  <c r="I596" i="6"/>
  <c r="H596" i="6"/>
  <c r="J596" i="6" s="1"/>
  <c r="K596" i="6" s="1"/>
  <c r="O97" i="6"/>
  <c r="I97" i="6"/>
  <c r="H97" i="6"/>
  <c r="J97" i="6" s="1"/>
  <c r="K97" i="6" s="1"/>
  <c r="O200" i="6"/>
  <c r="I200" i="6"/>
  <c r="H200" i="6"/>
  <c r="J200" i="6" s="1"/>
  <c r="K200" i="6" s="1"/>
  <c r="O303" i="6"/>
  <c r="I303" i="6"/>
  <c r="H303" i="6"/>
  <c r="J303" i="6" s="1"/>
  <c r="K303" i="6" s="1"/>
  <c r="O406" i="6"/>
  <c r="I406" i="6"/>
  <c r="H406" i="6"/>
  <c r="J406" i="6" s="1"/>
  <c r="K406" i="6" s="1"/>
  <c r="O508" i="6"/>
  <c r="I508" i="6"/>
  <c r="H508" i="6"/>
  <c r="J508" i="6" s="1"/>
  <c r="K508" i="6" s="1"/>
  <c r="O216" i="6"/>
  <c r="I216" i="6"/>
  <c r="H216" i="6"/>
  <c r="J216" i="6" s="1"/>
  <c r="K216" i="6" s="1"/>
  <c r="O422" i="6"/>
  <c r="I422" i="6"/>
  <c r="H422" i="6"/>
  <c r="J422" i="6" s="1"/>
  <c r="K422" i="6" s="1"/>
  <c r="S217" i="6"/>
  <c r="Q217" i="6"/>
  <c r="O9" i="6"/>
  <c r="I9" i="6"/>
  <c r="H9" i="6"/>
  <c r="J9" i="6" s="1"/>
  <c r="K9" i="6" s="1"/>
  <c r="O112" i="6"/>
  <c r="I112" i="6"/>
  <c r="H112" i="6"/>
  <c r="J112" i="6" s="1"/>
  <c r="K112" i="6" s="1"/>
  <c r="O215" i="6"/>
  <c r="I215" i="6"/>
  <c r="H215" i="6"/>
  <c r="J215" i="6" s="1"/>
  <c r="K215" i="6" s="1"/>
  <c r="O318" i="6"/>
  <c r="I318" i="6"/>
  <c r="H318" i="6"/>
  <c r="J318" i="6" s="1"/>
  <c r="K318" i="6" s="1"/>
  <c r="O420" i="6"/>
  <c r="I420" i="6"/>
  <c r="H420" i="6"/>
  <c r="J420" i="6" s="1"/>
  <c r="K420" i="6" s="1"/>
  <c r="O521" i="6"/>
  <c r="H521" i="6"/>
  <c r="J521" i="6" s="1"/>
  <c r="K521" i="6" s="1"/>
  <c r="I521" i="6"/>
  <c r="O63" i="6"/>
  <c r="I63" i="6"/>
  <c r="H63" i="6"/>
  <c r="J63" i="6" s="1"/>
  <c r="K63" i="6" s="1"/>
  <c r="O255" i="6"/>
  <c r="I255" i="6"/>
  <c r="H255" i="6"/>
  <c r="J255" i="6" s="1"/>
  <c r="K255" i="6" s="1"/>
  <c r="O460" i="6"/>
  <c r="I460" i="6"/>
  <c r="H460" i="6"/>
  <c r="J460" i="6" s="1"/>
  <c r="K460" i="6" s="1"/>
  <c r="S231" i="6"/>
  <c r="Q231" i="6"/>
  <c r="S590" i="6"/>
  <c r="Q590" i="6"/>
  <c r="O40" i="6"/>
  <c r="I40" i="6"/>
  <c r="H40" i="6"/>
  <c r="J40" i="6" s="1"/>
  <c r="K40" i="6" s="1"/>
  <c r="O143" i="6"/>
  <c r="I143" i="6"/>
  <c r="H143" i="6"/>
  <c r="J143" i="6" s="1"/>
  <c r="K143" i="6" s="1"/>
  <c r="O246" i="6"/>
  <c r="I246" i="6"/>
  <c r="H246" i="6"/>
  <c r="J246" i="6" s="1"/>
  <c r="K246" i="6" s="1"/>
  <c r="O348" i="6"/>
  <c r="I348" i="6"/>
  <c r="H348" i="6"/>
  <c r="J348" i="6" s="1"/>
  <c r="K348" i="6" s="1"/>
  <c r="O449" i="6"/>
  <c r="H449" i="6"/>
  <c r="J449" i="6" s="1"/>
  <c r="K449" i="6" s="1"/>
  <c r="I449" i="6"/>
  <c r="O552" i="6"/>
  <c r="I552" i="6"/>
  <c r="H552" i="6"/>
  <c r="J552" i="6" s="1"/>
  <c r="K552" i="6" s="1"/>
  <c r="S192" i="6"/>
  <c r="Q192" i="6"/>
  <c r="O16" i="6"/>
  <c r="I16" i="6"/>
  <c r="H16" i="6"/>
  <c r="J16" i="6" s="1"/>
  <c r="K16" i="6" s="1"/>
  <c r="O119" i="6"/>
  <c r="I119" i="6"/>
  <c r="H119" i="6"/>
  <c r="J119" i="6" s="1"/>
  <c r="K119" i="6" s="1"/>
  <c r="O222" i="6"/>
  <c r="I222" i="6"/>
  <c r="H222" i="6"/>
  <c r="J222" i="6" s="1"/>
  <c r="K222" i="6" s="1"/>
  <c r="O324" i="6"/>
  <c r="I324" i="6"/>
  <c r="H324" i="6"/>
  <c r="J324" i="6" s="1"/>
  <c r="K324" i="6" s="1"/>
  <c r="O425" i="6"/>
  <c r="I425" i="6"/>
  <c r="H425" i="6"/>
  <c r="J425" i="6" s="1"/>
  <c r="K425" i="6" s="1"/>
  <c r="O528" i="6"/>
  <c r="H528" i="6"/>
  <c r="J528" i="6" s="1"/>
  <c r="K528" i="6" s="1"/>
  <c r="I528" i="6"/>
  <c r="O375" i="6"/>
  <c r="I375" i="6"/>
  <c r="H375" i="6"/>
  <c r="J375" i="6" s="1"/>
  <c r="K375" i="6" s="1"/>
  <c r="O56" i="6"/>
  <c r="I56" i="6"/>
  <c r="H56" i="6"/>
  <c r="J56" i="6" s="1"/>
  <c r="K56" i="6" s="1"/>
  <c r="O159" i="6"/>
  <c r="I159" i="6"/>
  <c r="H159" i="6"/>
  <c r="J159" i="6" s="1"/>
  <c r="K159" i="6" s="1"/>
  <c r="O262" i="6"/>
  <c r="H262" i="6"/>
  <c r="J262" i="6" s="1"/>
  <c r="K262" i="6" s="1"/>
  <c r="I262" i="6"/>
  <c r="O364" i="6"/>
  <c r="I364" i="6"/>
  <c r="H364" i="6"/>
  <c r="J364" i="6" s="1"/>
  <c r="K364" i="6" s="1"/>
  <c r="O465" i="6"/>
  <c r="H465" i="6"/>
  <c r="J465" i="6" s="1"/>
  <c r="K465" i="6" s="1"/>
  <c r="I465" i="6"/>
  <c r="O568" i="6"/>
  <c r="H568" i="6"/>
  <c r="J568" i="6" s="1"/>
  <c r="K568" i="6" s="1"/>
  <c r="I568" i="6"/>
  <c r="O557" i="6"/>
  <c r="I557" i="6"/>
  <c r="H557" i="6"/>
  <c r="J557" i="6" s="1"/>
  <c r="K557" i="6" s="1"/>
  <c r="O493" i="6"/>
  <c r="I493" i="6"/>
  <c r="H493" i="6"/>
  <c r="J493" i="6" s="1"/>
  <c r="K493" i="6" s="1"/>
  <c r="O429" i="6"/>
  <c r="I429" i="6"/>
  <c r="H429" i="6"/>
  <c r="J429" i="6" s="1"/>
  <c r="K429" i="6" s="1"/>
  <c r="O365" i="6"/>
  <c r="H365" i="6"/>
  <c r="J365" i="6" s="1"/>
  <c r="K365" i="6" s="1"/>
  <c r="I365" i="6"/>
  <c r="O301" i="6"/>
  <c r="H301" i="6"/>
  <c r="J301" i="6" s="1"/>
  <c r="K301" i="6" s="1"/>
  <c r="I301" i="6"/>
  <c r="O237" i="6"/>
  <c r="H237" i="6"/>
  <c r="J237" i="6" s="1"/>
  <c r="K237" i="6" s="1"/>
  <c r="I237" i="6"/>
  <c r="O173" i="6"/>
  <c r="H173" i="6"/>
  <c r="J173" i="6" s="1"/>
  <c r="K173" i="6" s="1"/>
  <c r="I173" i="6"/>
  <c r="O109" i="6"/>
  <c r="H109" i="6"/>
  <c r="J109" i="6" s="1"/>
  <c r="K109" i="6" s="1"/>
  <c r="I109" i="6"/>
  <c r="O45" i="6"/>
  <c r="H45" i="6"/>
  <c r="J45" i="6" s="1"/>
  <c r="K45" i="6" s="1"/>
  <c r="I45" i="6"/>
  <c r="O579" i="6"/>
  <c r="I579" i="6"/>
  <c r="H579" i="6"/>
  <c r="J579" i="6" s="1"/>
  <c r="K579" i="6" s="1"/>
  <c r="O515" i="6"/>
  <c r="I515" i="6"/>
  <c r="H515" i="6"/>
  <c r="J515" i="6" s="1"/>
  <c r="K515" i="6" s="1"/>
  <c r="O451" i="6"/>
  <c r="I451" i="6"/>
  <c r="H451" i="6"/>
  <c r="J451" i="6" s="1"/>
  <c r="K451" i="6" s="1"/>
  <c r="O387" i="6"/>
  <c r="I387" i="6"/>
  <c r="H387" i="6"/>
  <c r="J387" i="6" s="1"/>
  <c r="K387" i="6" s="1"/>
  <c r="O323" i="6"/>
  <c r="I323" i="6"/>
  <c r="H323" i="6"/>
  <c r="J323" i="6" s="1"/>
  <c r="K323" i="6" s="1"/>
  <c r="O259" i="6"/>
  <c r="I259" i="6"/>
  <c r="H259" i="6"/>
  <c r="J259" i="6" s="1"/>
  <c r="K259" i="6" s="1"/>
  <c r="O195" i="6"/>
  <c r="I195" i="6"/>
  <c r="H195" i="6"/>
  <c r="J195" i="6" s="1"/>
  <c r="K195" i="6" s="1"/>
  <c r="O131" i="6"/>
  <c r="I131" i="6"/>
  <c r="H131" i="6"/>
  <c r="J131" i="6" s="1"/>
  <c r="K131" i="6" s="1"/>
  <c r="O67" i="6"/>
  <c r="I67" i="6"/>
  <c r="H67" i="6"/>
  <c r="J67" i="6" s="1"/>
  <c r="K67" i="6" s="1"/>
  <c r="O3" i="6"/>
  <c r="I3" i="6"/>
  <c r="H3" i="6"/>
  <c r="J3" i="6" s="1"/>
  <c r="K3" i="6" s="1"/>
  <c r="O546" i="6"/>
  <c r="H546" i="6"/>
  <c r="J546" i="6" s="1"/>
  <c r="K546" i="6" s="1"/>
  <c r="I546" i="6"/>
  <c r="O482" i="6"/>
  <c r="H482" i="6"/>
  <c r="J482" i="6" s="1"/>
  <c r="K482" i="6" s="1"/>
  <c r="I482" i="6"/>
  <c r="O418" i="6"/>
  <c r="H418" i="6"/>
  <c r="J418" i="6" s="1"/>
  <c r="K418" i="6" s="1"/>
  <c r="I418" i="6"/>
  <c r="O354" i="6"/>
  <c r="H354" i="6"/>
  <c r="J354" i="6" s="1"/>
  <c r="K354" i="6" s="1"/>
  <c r="I354" i="6"/>
  <c r="O290" i="6"/>
  <c r="H290" i="6"/>
  <c r="J290" i="6" s="1"/>
  <c r="K290" i="6" s="1"/>
  <c r="I290" i="6"/>
  <c r="O226" i="6"/>
  <c r="H226" i="6"/>
  <c r="J226" i="6" s="1"/>
  <c r="K226" i="6" s="1"/>
  <c r="I226" i="6"/>
  <c r="O162" i="6"/>
  <c r="H162" i="6"/>
  <c r="J162" i="6" s="1"/>
  <c r="K162" i="6" s="1"/>
  <c r="I162" i="6"/>
  <c r="O98" i="6"/>
  <c r="H98" i="6"/>
  <c r="J98" i="6" s="1"/>
  <c r="K98" i="6" s="1"/>
  <c r="I98" i="6"/>
  <c r="O34" i="6"/>
  <c r="H34" i="6"/>
  <c r="J34" i="6" s="1"/>
  <c r="K34" i="6" s="1"/>
  <c r="I34" i="6"/>
  <c r="O96" i="6"/>
  <c r="I96" i="6"/>
  <c r="H96" i="6"/>
  <c r="J96" i="6" s="1"/>
  <c r="K96" i="6" s="1"/>
  <c r="O199" i="6"/>
  <c r="H199" i="6"/>
  <c r="J199" i="6" s="1"/>
  <c r="K199" i="6" s="1"/>
  <c r="I199" i="6"/>
  <c r="O302" i="6"/>
  <c r="H302" i="6"/>
  <c r="J302" i="6" s="1"/>
  <c r="K302" i="6" s="1"/>
  <c r="I302" i="6"/>
  <c r="O404" i="6"/>
  <c r="I404" i="6"/>
  <c r="H404" i="6"/>
  <c r="J404" i="6" s="1"/>
  <c r="K404" i="6" s="1"/>
  <c r="O505" i="6"/>
  <c r="H505" i="6"/>
  <c r="J505" i="6" s="1"/>
  <c r="K505" i="6" s="1"/>
  <c r="I505" i="6"/>
  <c r="O8" i="6"/>
  <c r="I8" i="6"/>
  <c r="H8" i="6"/>
  <c r="J8" i="6" s="1"/>
  <c r="K8" i="6" s="1"/>
  <c r="O111" i="6"/>
  <c r="H111" i="6"/>
  <c r="J111" i="6" s="1"/>
  <c r="K111" i="6" s="1"/>
  <c r="I111" i="6"/>
  <c r="O214" i="6"/>
  <c r="H214" i="6"/>
  <c r="J214" i="6" s="1"/>
  <c r="K214" i="6" s="1"/>
  <c r="I214" i="6"/>
  <c r="O316" i="6"/>
  <c r="I316" i="6"/>
  <c r="H316" i="6"/>
  <c r="J316" i="6" s="1"/>
  <c r="K316" i="6" s="1"/>
  <c r="O417" i="6"/>
  <c r="H417" i="6"/>
  <c r="J417" i="6" s="1"/>
  <c r="K417" i="6" s="1"/>
  <c r="I417" i="6"/>
  <c r="O520" i="6"/>
  <c r="H520" i="6"/>
  <c r="J520" i="6" s="1"/>
  <c r="K520" i="6" s="1"/>
  <c r="I520" i="6"/>
  <c r="O24" i="6"/>
  <c r="I24" i="6"/>
  <c r="H24" i="6"/>
  <c r="J24" i="6" s="1"/>
  <c r="K24" i="6" s="1"/>
  <c r="O241" i="6"/>
  <c r="I241" i="6"/>
  <c r="H241" i="6"/>
  <c r="J241" i="6" s="1"/>
  <c r="K241" i="6" s="1"/>
  <c r="O447" i="6"/>
  <c r="I447" i="6"/>
  <c r="H447" i="6"/>
  <c r="J447" i="6" s="1"/>
  <c r="K447" i="6" s="1"/>
  <c r="O23" i="6"/>
  <c r="I23" i="6"/>
  <c r="H23" i="6"/>
  <c r="J23" i="6" s="1"/>
  <c r="K23" i="6" s="1"/>
  <c r="O126" i="6"/>
  <c r="I126" i="6"/>
  <c r="H126" i="6"/>
  <c r="J126" i="6" s="1"/>
  <c r="K126" i="6" s="1"/>
  <c r="O228" i="6"/>
  <c r="I228" i="6"/>
  <c r="H228" i="6"/>
  <c r="J228" i="6" s="1"/>
  <c r="K228" i="6" s="1"/>
  <c r="O329" i="6"/>
  <c r="I329" i="6"/>
  <c r="H329" i="6"/>
  <c r="J329" i="6" s="1"/>
  <c r="K329" i="6" s="1"/>
  <c r="O432" i="6"/>
  <c r="I432" i="6"/>
  <c r="H432" i="6"/>
  <c r="J432" i="6" s="1"/>
  <c r="K432" i="6" s="1"/>
  <c r="O535" i="6"/>
  <c r="H535" i="6"/>
  <c r="J535" i="6" s="1"/>
  <c r="K535" i="6" s="1"/>
  <c r="I535" i="6"/>
  <c r="O88" i="6"/>
  <c r="I88" i="6"/>
  <c r="H88" i="6"/>
  <c r="J88" i="6" s="1"/>
  <c r="K88" i="6" s="1"/>
  <c r="O280" i="6"/>
  <c r="I280" i="6"/>
  <c r="H280" i="6"/>
  <c r="J280" i="6" s="1"/>
  <c r="K280" i="6" s="1"/>
  <c r="O486" i="6"/>
  <c r="I486" i="6"/>
  <c r="H486" i="6"/>
  <c r="J486" i="6" s="1"/>
  <c r="K486" i="6" s="1"/>
  <c r="S116" i="6"/>
  <c r="S25" i="6"/>
  <c r="Q25" i="6"/>
  <c r="S256" i="6"/>
  <c r="Q256" i="6"/>
  <c r="O54" i="6"/>
  <c r="I54" i="6"/>
  <c r="H54" i="6"/>
  <c r="J54" i="6" s="1"/>
  <c r="K54" i="6" s="1"/>
  <c r="O156" i="6"/>
  <c r="I156" i="6"/>
  <c r="H156" i="6"/>
  <c r="J156" i="6" s="1"/>
  <c r="K156" i="6" s="1"/>
  <c r="O257" i="6"/>
  <c r="I257" i="6"/>
  <c r="H257" i="6"/>
  <c r="J257" i="6" s="1"/>
  <c r="K257" i="6" s="1"/>
  <c r="O360" i="6"/>
  <c r="I360" i="6"/>
  <c r="H360" i="6"/>
  <c r="J360" i="6" s="1"/>
  <c r="K360" i="6" s="1"/>
  <c r="O463" i="6"/>
  <c r="I463" i="6"/>
  <c r="H463" i="6"/>
  <c r="J463" i="6" s="1"/>
  <c r="K463" i="6" s="1"/>
  <c r="O566" i="6"/>
  <c r="I566" i="6"/>
  <c r="H566" i="6"/>
  <c r="J566" i="6" s="1"/>
  <c r="K566" i="6" s="1"/>
  <c r="P217" i="6"/>
  <c r="P320" i="6"/>
  <c r="Q398" i="6"/>
  <c r="O30" i="6"/>
  <c r="I30" i="6"/>
  <c r="H30" i="6"/>
  <c r="J30" i="6" s="1"/>
  <c r="K30" i="6" s="1"/>
  <c r="O132" i="6"/>
  <c r="I132" i="6"/>
  <c r="H132" i="6"/>
  <c r="J132" i="6" s="1"/>
  <c r="K132" i="6" s="1"/>
  <c r="O233" i="6"/>
  <c r="I233" i="6"/>
  <c r="H233" i="6"/>
  <c r="J233" i="6" s="1"/>
  <c r="K233" i="6" s="1"/>
  <c r="O336" i="6"/>
  <c r="I336" i="6"/>
  <c r="H336" i="6"/>
  <c r="J336" i="6" s="1"/>
  <c r="K336" i="6" s="1"/>
  <c r="O439" i="6"/>
  <c r="I439" i="6"/>
  <c r="H439" i="6"/>
  <c r="J439" i="6" s="1"/>
  <c r="K439" i="6" s="1"/>
  <c r="O542" i="6"/>
  <c r="I542" i="6"/>
  <c r="H542" i="6"/>
  <c r="J542" i="6" s="1"/>
  <c r="K542" i="6" s="1"/>
  <c r="S7" i="6"/>
  <c r="Q7" i="6"/>
  <c r="B27" i="6"/>
  <c r="H2" i="6"/>
  <c r="R552" i="3"/>
  <c r="S552" i="3" s="1"/>
  <c r="V552" i="3" s="1"/>
  <c r="N2" i="3"/>
  <c r="O2" i="3"/>
  <c r="R560" i="3"/>
  <c r="S560" i="3" s="1"/>
  <c r="V560" i="3" s="1"/>
  <c r="F307" i="4"/>
  <c r="C333" i="4"/>
  <c r="N529" i="3"/>
  <c r="N336" i="3"/>
  <c r="O385" i="3"/>
  <c r="P385" i="3" s="1"/>
  <c r="Q385" i="3" s="1"/>
  <c r="R584" i="3"/>
  <c r="S584" i="3" s="1"/>
  <c r="V584" i="3" s="1"/>
  <c r="N456" i="3"/>
  <c r="N330" i="3"/>
  <c r="N10" i="3"/>
  <c r="N345" i="3"/>
  <c r="N184" i="3"/>
  <c r="N144" i="3"/>
  <c r="N520" i="3"/>
  <c r="O74" i="3"/>
  <c r="P74" i="3" s="1"/>
  <c r="Q74" i="3" s="1"/>
  <c r="O3" i="3"/>
  <c r="P3" i="3" s="1"/>
  <c r="Q3" i="3" s="1"/>
  <c r="O57" i="3"/>
  <c r="P57" i="3" s="1"/>
  <c r="Q57" i="3" s="1"/>
  <c r="N392" i="3"/>
  <c r="N576" i="3"/>
  <c r="N145" i="3"/>
  <c r="O321" i="3"/>
  <c r="P321" i="3" s="1"/>
  <c r="Q321" i="3" s="1"/>
  <c r="N214" i="3"/>
  <c r="N377" i="3"/>
  <c r="N464" i="3"/>
  <c r="N490" i="3"/>
  <c r="N457" i="3"/>
  <c r="N542" i="3"/>
  <c r="N569" i="3"/>
  <c r="N512" i="3"/>
  <c r="N592" i="3"/>
  <c r="O478" i="3"/>
  <c r="P478" i="3" s="1"/>
  <c r="Q478" i="3" s="1"/>
  <c r="O210" i="3"/>
  <c r="P210" i="3" s="1"/>
  <c r="Q210" i="3" s="1"/>
  <c r="N177" i="3"/>
  <c r="N554" i="3"/>
  <c r="O441" i="3"/>
  <c r="P441" i="3" s="1"/>
  <c r="Q441" i="3" s="1"/>
  <c r="N521" i="3"/>
  <c r="N193" i="3"/>
  <c r="N393" i="3"/>
  <c r="N22" i="3"/>
  <c r="N150" i="3"/>
  <c r="N241" i="3"/>
  <c r="O465" i="3"/>
  <c r="P465" i="3" s="1"/>
  <c r="Q465" i="3" s="1"/>
  <c r="N342" i="3"/>
  <c r="N400" i="3"/>
  <c r="N18" i="3"/>
  <c r="N65" i="3"/>
  <c r="N362" i="3"/>
  <c r="N448" i="3"/>
  <c r="N528" i="3"/>
  <c r="N426" i="3"/>
  <c r="O129" i="3"/>
  <c r="P129" i="3" s="1"/>
  <c r="Q129" i="3" s="1"/>
  <c r="O585" i="3"/>
  <c r="P585" i="3" s="1"/>
  <c r="Q585" i="3" s="1"/>
  <c r="N369" i="3"/>
  <c r="O72" i="3"/>
  <c r="P72" i="3" s="1"/>
  <c r="Q72" i="3" s="1"/>
  <c r="N414" i="3"/>
  <c r="R336" i="3"/>
  <c r="S336" i="3" s="1"/>
  <c r="V336" i="3" s="1"/>
  <c r="N354" i="3"/>
  <c r="O354" i="3"/>
  <c r="P354" i="3" s="1"/>
  <c r="Q354" i="3" s="1"/>
  <c r="N418" i="3"/>
  <c r="O418" i="3"/>
  <c r="P418" i="3" s="1"/>
  <c r="Q418" i="3" s="1"/>
  <c r="N546" i="3"/>
  <c r="O546" i="3"/>
  <c r="P546" i="3" s="1"/>
  <c r="Q546" i="3" s="1"/>
  <c r="O270" i="3"/>
  <c r="P270" i="3" s="1"/>
  <c r="Q270" i="3" s="1"/>
  <c r="N270" i="3"/>
  <c r="N334" i="3"/>
  <c r="O334" i="3"/>
  <c r="P334" i="3" s="1"/>
  <c r="Q334" i="3" s="1"/>
  <c r="O344" i="3"/>
  <c r="P344" i="3" s="1"/>
  <c r="Q344" i="3" s="1"/>
  <c r="N344" i="3"/>
  <c r="N534" i="3"/>
  <c r="O534" i="3"/>
  <c r="P534" i="3" s="1"/>
  <c r="Q534" i="3" s="1"/>
  <c r="O408" i="3"/>
  <c r="P408" i="3" s="1"/>
  <c r="Q408" i="3" s="1"/>
  <c r="N408" i="3"/>
  <c r="O472" i="3"/>
  <c r="P472" i="3" s="1"/>
  <c r="Q472" i="3" s="1"/>
  <c r="N472" i="3"/>
  <c r="O536" i="3"/>
  <c r="P536" i="3" s="1"/>
  <c r="Q536" i="3" s="1"/>
  <c r="N536" i="3"/>
  <c r="N370" i="3"/>
  <c r="O370" i="3"/>
  <c r="P370" i="3" s="1"/>
  <c r="Q370" i="3" s="1"/>
  <c r="N498" i="3"/>
  <c r="O498" i="3"/>
  <c r="P498" i="3" s="1"/>
  <c r="Q498" i="3" s="1"/>
  <c r="N562" i="3"/>
  <c r="O562" i="3"/>
  <c r="P562" i="3" s="1"/>
  <c r="Q562" i="3" s="1"/>
  <c r="O40" i="3"/>
  <c r="P40" i="3" s="1"/>
  <c r="Q40" i="3" s="1"/>
  <c r="N40" i="3"/>
  <c r="O104" i="3"/>
  <c r="P104" i="3" s="1"/>
  <c r="Q104" i="3" s="1"/>
  <c r="N104" i="3"/>
  <c r="N168" i="3"/>
  <c r="O168" i="3"/>
  <c r="P168" i="3" s="1"/>
  <c r="Q168" i="3" s="1"/>
  <c r="O38" i="3"/>
  <c r="P38" i="3" s="1"/>
  <c r="Q38" i="3" s="1"/>
  <c r="N38" i="3"/>
  <c r="N25" i="3"/>
  <c r="O25" i="3"/>
  <c r="P25" i="3" s="1"/>
  <c r="Q25" i="3" s="1"/>
  <c r="O153" i="3"/>
  <c r="P153" i="3" s="1"/>
  <c r="Q153" i="3" s="1"/>
  <c r="N153" i="3"/>
  <c r="N217" i="3"/>
  <c r="O217" i="3"/>
  <c r="P217" i="3" s="1"/>
  <c r="Q217" i="3" s="1"/>
  <c r="O281" i="3"/>
  <c r="P281" i="3" s="1"/>
  <c r="Q281" i="3" s="1"/>
  <c r="N281" i="3"/>
  <c r="O42" i="3"/>
  <c r="P42" i="3" s="1"/>
  <c r="Q42" i="3" s="1"/>
  <c r="N42" i="3"/>
  <c r="N106" i="3"/>
  <c r="O106" i="3"/>
  <c r="P106" i="3" s="1"/>
  <c r="Q106" i="3" s="1"/>
  <c r="N417" i="3"/>
  <c r="O417" i="3"/>
  <c r="P417" i="3" s="1"/>
  <c r="Q417" i="3" s="1"/>
  <c r="N553" i="3"/>
  <c r="O553" i="3"/>
  <c r="P553" i="3" s="1"/>
  <c r="Q553" i="3" s="1"/>
  <c r="O169" i="3"/>
  <c r="P169" i="3" s="1"/>
  <c r="Q169" i="3" s="1"/>
  <c r="N169" i="3"/>
  <c r="O233" i="3"/>
  <c r="P233" i="3" s="1"/>
  <c r="Q233" i="3" s="1"/>
  <c r="N233" i="3"/>
  <c r="O122" i="3"/>
  <c r="P122" i="3" s="1"/>
  <c r="Q122" i="3" s="1"/>
  <c r="N122" i="3"/>
  <c r="O510" i="3"/>
  <c r="P510" i="3" s="1"/>
  <c r="Q510" i="3" s="1"/>
  <c r="N510" i="3"/>
  <c r="N201" i="3"/>
  <c r="N113" i="3"/>
  <c r="N305" i="3"/>
  <c r="N152" i="3"/>
  <c r="O398" i="3"/>
  <c r="P398" i="3" s="1"/>
  <c r="Q398" i="3" s="1"/>
  <c r="O162" i="3"/>
  <c r="P162" i="3" s="1"/>
  <c r="Q162" i="3" s="1"/>
  <c r="R576" i="3"/>
  <c r="S576" i="3" s="1"/>
  <c r="V576" i="3" s="1"/>
  <c r="N416" i="3"/>
  <c r="N89" i="3"/>
  <c r="N280" i="3"/>
  <c r="O296" i="3"/>
  <c r="P296" i="3" s="1"/>
  <c r="Q296" i="3" s="1"/>
  <c r="N328" i="3"/>
  <c r="N352" i="3"/>
  <c r="N480" i="3"/>
  <c r="N544" i="3"/>
  <c r="N401" i="3"/>
  <c r="N134" i="3"/>
  <c r="O98" i="3"/>
  <c r="P98" i="3" s="1"/>
  <c r="Q98" i="3" s="1"/>
  <c r="O66" i="3"/>
  <c r="P66" i="3" s="1"/>
  <c r="Q66" i="3" s="1"/>
  <c r="N384" i="3"/>
  <c r="N433" i="3"/>
  <c r="O158" i="3"/>
  <c r="P158" i="3" s="1"/>
  <c r="Q158" i="3" s="1"/>
  <c r="O410" i="3"/>
  <c r="P410" i="3" s="1"/>
  <c r="Q410" i="3" s="1"/>
  <c r="R592" i="3"/>
  <c r="S592" i="3" s="1"/>
  <c r="V592" i="3" s="1"/>
  <c r="O577" i="3"/>
  <c r="P577" i="3" s="1"/>
  <c r="Q577" i="3" s="1"/>
  <c r="N577" i="3"/>
  <c r="O167" i="3"/>
  <c r="P167" i="3" s="1"/>
  <c r="Q167" i="3" s="1"/>
  <c r="N167" i="3"/>
  <c r="N96" i="3"/>
  <c r="O96" i="3"/>
  <c r="P96" i="3" s="1"/>
  <c r="Q96" i="3" s="1"/>
  <c r="N160" i="3"/>
  <c r="O160" i="3"/>
  <c r="P160" i="3" s="1"/>
  <c r="Q160" i="3" s="1"/>
  <c r="N288" i="3"/>
  <c r="O288" i="3"/>
  <c r="P288" i="3" s="1"/>
  <c r="Q288" i="3" s="1"/>
  <c r="O9" i="3"/>
  <c r="P9" i="3" s="1"/>
  <c r="Q9" i="3" s="1"/>
  <c r="N9" i="3"/>
  <c r="O329" i="3"/>
  <c r="P329" i="3" s="1"/>
  <c r="Q329" i="3" s="1"/>
  <c r="N329" i="3"/>
  <c r="N218" i="3"/>
  <c r="O218" i="3"/>
  <c r="P218" i="3" s="1"/>
  <c r="Q218" i="3" s="1"/>
  <c r="N139" i="3"/>
  <c r="O139" i="3"/>
  <c r="P139" i="3" s="1"/>
  <c r="Q139" i="3" s="1"/>
  <c r="O435" i="3"/>
  <c r="P435" i="3" s="1"/>
  <c r="Q435" i="3" s="1"/>
  <c r="N435" i="3"/>
  <c r="O292" i="3"/>
  <c r="P292" i="3" s="1"/>
  <c r="Q292" i="3" s="1"/>
  <c r="N292" i="3"/>
  <c r="O484" i="3"/>
  <c r="P484" i="3" s="1"/>
  <c r="Q484" i="3" s="1"/>
  <c r="N484" i="3"/>
  <c r="N237" i="3"/>
  <c r="O237" i="3"/>
  <c r="P237" i="3" s="1"/>
  <c r="Q237" i="3" s="1"/>
  <c r="O309" i="3"/>
  <c r="P309" i="3" s="1"/>
  <c r="Q309" i="3" s="1"/>
  <c r="N309" i="3"/>
  <c r="O6" i="3"/>
  <c r="P6" i="3" s="1"/>
  <c r="Q6" i="3" s="1"/>
  <c r="N6" i="3"/>
  <c r="N198" i="3"/>
  <c r="O198" i="3"/>
  <c r="P198" i="3" s="1"/>
  <c r="Q198" i="3" s="1"/>
  <c r="O326" i="3"/>
  <c r="P326" i="3" s="1"/>
  <c r="Q326" i="3" s="1"/>
  <c r="N326" i="3"/>
  <c r="O518" i="3"/>
  <c r="P518" i="3" s="1"/>
  <c r="Q518" i="3" s="1"/>
  <c r="N518" i="3"/>
  <c r="O371" i="3"/>
  <c r="P371" i="3" s="1"/>
  <c r="Q371" i="3" s="1"/>
  <c r="N371" i="3"/>
  <c r="N566" i="3"/>
  <c r="O566" i="3"/>
  <c r="P566" i="3" s="1"/>
  <c r="Q566" i="3" s="1"/>
  <c r="N469" i="3"/>
  <c r="O469" i="3"/>
  <c r="P469" i="3" s="1"/>
  <c r="Q469" i="3" s="1"/>
  <c r="O142" i="3"/>
  <c r="P142" i="3" s="1"/>
  <c r="Q142" i="3" s="1"/>
  <c r="N142" i="3"/>
  <c r="N26" i="3"/>
  <c r="O70" i="3"/>
  <c r="P70" i="3" s="1"/>
  <c r="Q70" i="3" s="1"/>
  <c r="O47" i="3"/>
  <c r="P47" i="3" s="1"/>
  <c r="Q47" i="3" s="1"/>
  <c r="N47" i="3"/>
  <c r="N111" i="3"/>
  <c r="O111" i="3"/>
  <c r="P111" i="3" s="1"/>
  <c r="Q111" i="3" s="1"/>
  <c r="O175" i="3"/>
  <c r="P175" i="3" s="1"/>
  <c r="Q175" i="3" s="1"/>
  <c r="N175" i="3"/>
  <c r="O239" i="3"/>
  <c r="P239" i="3" s="1"/>
  <c r="Q239" i="3" s="1"/>
  <c r="N239" i="3"/>
  <c r="N17" i="3"/>
  <c r="O17" i="3"/>
  <c r="P17" i="3" s="1"/>
  <c r="Q17" i="3" s="1"/>
  <c r="O209" i="3"/>
  <c r="P209" i="3" s="1"/>
  <c r="Q209" i="3" s="1"/>
  <c r="N209" i="3"/>
  <c r="O337" i="3"/>
  <c r="P337" i="3" s="1"/>
  <c r="Q337" i="3" s="1"/>
  <c r="N337" i="3"/>
  <c r="O226" i="3"/>
  <c r="P226" i="3" s="1"/>
  <c r="Q226" i="3" s="1"/>
  <c r="N226" i="3"/>
  <c r="N290" i="3"/>
  <c r="O290" i="3"/>
  <c r="P290" i="3" s="1"/>
  <c r="Q290" i="3" s="1"/>
  <c r="O19" i="3"/>
  <c r="P19" i="3" s="1"/>
  <c r="Q19" i="3" s="1"/>
  <c r="N19" i="3"/>
  <c r="O83" i="3"/>
  <c r="P83" i="3" s="1"/>
  <c r="Q83" i="3" s="1"/>
  <c r="N83" i="3"/>
  <c r="O147" i="3"/>
  <c r="P147" i="3" s="1"/>
  <c r="Q147" i="3" s="1"/>
  <c r="N147" i="3"/>
  <c r="O211" i="3"/>
  <c r="P211" i="3" s="1"/>
  <c r="Q211" i="3" s="1"/>
  <c r="N211" i="3"/>
  <c r="O275" i="3"/>
  <c r="P275" i="3" s="1"/>
  <c r="Q275" i="3" s="1"/>
  <c r="N275" i="3"/>
  <c r="O44" i="3"/>
  <c r="P44" i="3" s="1"/>
  <c r="Q44" i="3" s="1"/>
  <c r="N44" i="3"/>
  <c r="N108" i="3"/>
  <c r="O108" i="3"/>
  <c r="P108" i="3" s="1"/>
  <c r="Q108" i="3" s="1"/>
  <c r="N172" i="3"/>
  <c r="O172" i="3"/>
  <c r="P172" i="3" s="1"/>
  <c r="Q172" i="3" s="1"/>
  <c r="O236" i="3"/>
  <c r="P236" i="3" s="1"/>
  <c r="Q236" i="3" s="1"/>
  <c r="N236" i="3"/>
  <c r="O24" i="3"/>
  <c r="P24" i="3" s="1"/>
  <c r="Q24" i="3" s="1"/>
  <c r="N24" i="3"/>
  <c r="N497" i="3"/>
  <c r="O497" i="3"/>
  <c r="P497" i="3" s="1"/>
  <c r="Q497" i="3" s="1"/>
  <c r="N346" i="3"/>
  <c r="O346" i="3"/>
  <c r="P346" i="3" s="1"/>
  <c r="Q346" i="3" s="1"/>
  <c r="O474" i="3"/>
  <c r="P474" i="3" s="1"/>
  <c r="Q474" i="3" s="1"/>
  <c r="N474" i="3"/>
  <c r="O538" i="3"/>
  <c r="P538" i="3" s="1"/>
  <c r="Q538" i="3" s="1"/>
  <c r="N538" i="3"/>
  <c r="N602" i="3"/>
  <c r="O602" i="3"/>
  <c r="P602" i="3" s="1"/>
  <c r="Q602" i="3" s="1"/>
  <c r="N571" i="3"/>
  <c r="O571" i="3"/>
  <c r="P571" i="3" s="1"/>
  <c r="Q571" i="3" s="1"/>
  <c r="O300" i="3"/>
  <c r="P300" i="3" s="1"/>
  <c r="Q300" i="3" s="1"/>
  <c r="N300" i="3"/>
  <c r="O364" i="3"/>
  <c r="P364" i="3" s="1"/>
  <c r="Q364" i="3" s="1"/>
  <c r="N364" i="3"/>
  <c r="O428" i="3"/>
  <c r="P428" i="3" s="1"/>
  <c r="Q428" i="3" s="1"/>
  <c r="N428" i="3"/>
  <c r="N492" i="3"/>
  <c r="O492" i="3"/>
  <c r="P492" i="3" s="1"/>
  <c r="Q492" i="3" s="1"/>
  <c r="N556" i="3"/>
  <c r="O556" i="3"/>
  <c r="P556" i="3" s="1"/>
  <c r="Q556" i="3" s="1"/>
  <c r="N253" i="3"/>
  <c r="O253" i="3"/>
  <c r="P253" i="3" s="1"/>
  <c r="Q253" i="3" s="1"/>
  <c r="O317" i="3"/>
  <c r="P317" i="3" s="1"/>
  <c r="Q317" i="3" s="1"/>
  <c r="N317" i="3"/>
  <c r="N381" i="3"/>
  <c r="O381" i="3"/>
  <c r="P381" i="3" s="1"/>
  <c r="Q381" i="3" s="1"/>
  <c r="O14" i="3"/>
  <c r="P14" i="3" s="1"/>
  <c r="Q14" i="3" s="1"/>
  <c r="N14" i="3"/>
  <c r="O526" i="3"/>
  <c r="P526" i="3" s="1"/>
  <c r="Q526" i="3" s="1"/>
  <c r="N526" i="3"/>
  <c r="O590" i="3"/>
  <c r="P590" i="3" s="1"/>
  <c r="Q590" i="3" s="1"/>
  <c r="N590" i="3"/>
  <c r="N482" i="3"/>
  <c r="O482" i="3"/>
  <c r="P482" i="3" s="1"/>
  <c r="Q482" i="3" s="1"/>
  <c r="O315" i="3"/>
  <c r="P315" i="3" s="1"/>
  <c r="Q315" i="3" s="1"/>
  <c r="N315" i="3"/>
  <c r="O595" i="3"/>
  <c r="P595" i="3" s="1"/>
  <c r="Q595" i="3" s="1"/>
  <c r="N595" i="3"/>
  <c r="O405" i="3"/>
  <c r="P405" i="3" s="1"/>
  <c r="Q405" i="3" s="1"/>
  <c r="N405" i="3"/>
  <c r="O477" i="3"/>
  <c r="P477" i="3" s="1"/>
  <c r="Q477" i="3" s="1"/>
  <c r="N477" i="3"/>
  <c r="O549" i="3"/>
  <c r="P549" i="3" s="1"/>
  <c r="Q549" i="3" s="1"/>
  <c r="N549" i="3"/>
  <c r="O269" i="3"/>
  <c r="P269" i="3" s="1"/>
  <c r="Q269" i="3" s="1"/>
  <c r="N269" i="3"/>
  <c r="N461" i="3"/>
  <c r="O461" i="3"/>
  <c r="P461" i="3" s="1"/>
  <c r="Q461" i="3" s="1"/>
  <c r="O319" i="3"/>
  <c r="P319" i="3" s="1"/>
  <c r="Q319" i="3" s="1"/>
  <c r="N319" i="3"/>
  <c r="O383" i="3"/>
  <c r="P383" i="3" s="1"/>
  <c r="Q383" i="3" s="1"/>
  <c r="N383" i="3"/>
  <c r="O511" i="3"/>
  <c r="P511" i="3" s="1"/>
  <c r="Q511" i="3" s="1"/>
  <c r="N511" i="3"/>
  <c r="O575" i="3"/>
  <c r="P575" i="3" s="1"/>
  <c r="Q575" i="3" s="1"/>
  <c r="N575" i="3"/>
  <c r="N224" i="3"/>
  <c r="O224" i="3"/>
  <c r="P224" i="3" s="1"/>
  <c r="Q224" i="3" s="1"/>
  <c r="N282" i="3"/>
  <c r="O282" i="3"/>
  <c r="P282" i="3" s="1"/>
  <c r="Q282" i="3" s="1"/>
  <c r="N466" i="3"/>
  <c r="O466" i="3"/>
  <c r="P466" i="3" s="1"/>
  <c r="Q466" i="3" s="1"/>
  <c r="N363" i="3"/>
  <c r="O363" i="3"/>
  <c r="P363" i="3" s="1"/>
  <c r="Q363" i="3" s="1"/>
  <c r="O107" i="3"/>
  <c r="P107" i="3" s="1"/>
  <c r="Q107" i="3" s="1"/>
  <c r="N107" i="3"/>
  <c r="O548" i="3"/>
  <c r="P548" i="3" s="1"/>
  <c r="Q548" i="3" s="1"/>
  <c r="N548" i="3"/>
  <c r="N262" i="3"/>
  <c r="O262" i="3"/>
  <c r="P262" i="3" s="1"/>
  <c r="Q262" i="3" s="1"/>
  <c r="N245" i="3"/>
  <c r="O245" i="3"/>
  <c r="P245" i="3" s="1"/>
  <c r="Q245" i="3" s="1"/>
  <c r="O380" i="3"/>
  <c r="P380" i="3" s="1"/>
  <c r="Q380" i="3" s="1"/>
  <c r="N380" i="3"/>
  <c r="O479" i="3"/>
  <c r="P479" i="3" s="1"/>
  <c r="Q479" i="3" s="1"/>
  <c r="N479" i="3"/>
  <c r="N265" i="3"/>
  <c r="N136" i="3"/>
  <c r="O114" i="3"/>
  <c r="P114" i="3" s="1"/>
  <c r="Q114" i="3" s="1"/>
  <c r="O55" i="3"/>
  <c r="P55" i="3" s="1"/>
  <c r="Q55" i="3" s="1"/>
  <c r="N55" i="3"/>
  <c r="O119" i="3"/>
  <c r="P119" i="3" s="1"/>
  <c r="Q119" i="3" s="1"/>
  <c r="N119" i="3"/>
  <c r="O247" i="3"/>
  <c r="P247" i="3" s="1"/>
  <c r="Q247" i="3" s="1"/>
  <c r="N247" i="3"/>
  <c r="O48" i="3"/>
  <c r="P48" i="3" s="1"/>
  <c r="Q48" i="3" s="1"/>
  <c r="N48" i="3"/>
  <c r="N112" i="3"/>
  <c r="O112" i="3"/>
  <c r="P112" i="3" s="1"/>
  <c r="Q112" i="3" s="1"/>
  <c r="O176" i="3"/>
  <c r="P176" i="3" s="1"/>
  <c r="Q176" i="3" s="1"/>
  <c r="N176" i="3"/>
  <c r="O304" i="3"/>
  <c r="P304" i="3" s="1"/>
  <c r="Q304" i="3" s="1"/>
  <c r="N304" i="3"/>
  <c r="O27" i="3"/>
  <c r="P27" i="3" s="1"/>
  <c r="Q27" i="3" s="1"/>
  <c r="N27" i="3"/>
  <c r="O91" i="3"/>
  <c r="P91" i="3" s="1"/>
  <c r="Q91" i="3" s="1"/>
  <c r="N91" i="3"/>
  <c r="N155" i="3"/>
  <c r="O155" i="3"/>
  <c r="P155" i="3" s="1"/>
  <c r="Q155" i="3" s="1"/>
  <c r="N219" i="3"/>
  <c r="O219" i="3"/>
  <c r="P219" i="3" s="1"/>
  <c r="Q219" i="3" s="1"/>
  <c r="O283" i="3"/>
  <c r="P283" i="3" s="1"/>
  <c r="Q283" i="3" s="1"/>
  <c r="N283" i="3"/>
  <c r="N52" i="3"/>
  <c r="O52" i="3"/>
  <c r="P52" i="3" s="1"/>
  <c r="Q52" i="3" s="1"/>
  <c r="O116" i="3"/>
  <c r="P116" i="3" s="1"/>
  <c r="Q116" i="3" s="1"/>
  <c r="N116" i="3"/>
  <c r="O180" i="3"/>
  <c r="P180" i="3" s="1"/>
  <c r="Q180" i="3" s="1"/>
  <c r="N180" i="3"/>
  <c r="O244" i="3"/>
  <c r="P244" i="3" s="1"/>
  <c r="Q244" i="3" s="1"/>
  <c r="N244" i="3"/>
  <c r="O505" i="3"/>
  <c r="P505" i="3" s="1"/>
  <c r="Q505" i="3" s="1"/>
  <c r="N505" i="3"/>
  <c r="O105" i="3"/>
  <c r="P105" i="3" s="1"/>
  <c r="Q105" i="3" s="1"/>
  <c r="N105" i="3"/>
  <c r="N298" i="3"/>
  <c r="O298" i="3"/>
  <c r="P298" i="3" s="1"/>
  <c r="Q298" i="3" s="1"/>
  <c r="O387" i="3"/>
  <c r="P387" i="3" s="1"/>
  <c r="Q387" i="3" s="1"/>
  <c r="N387" i="3"/>
  <c r="O451" i="3"/>
  <c r="P451" i="3" s="1"/>
  <c r="Q451" i="3" s="1"/>
  <c r="N451" i="3"/>
  <c r="O515" i="3"/>
  <c r="P515" i="3" s="1"/>
  <c r="Q515" i="3" s="1"/>
  <c r="N515" i="3"/>
  <c r="O579" i="3"/>
  <c r="P579" i="3" s="1"/>
  <c r="Q579" i="3" s="1"/>
  <c r="N579" i="3"/>
  <c r="N171" i="3"/>
  <c r="O171" i="3"/>
  <c r="P171" i="3" s="1"/>
  <c r="Q171" i="3" s="1"/>
  <c r="O308" i="3"/>
  <c r="P308" i="3" s="1"/>
  <c r="Q308" i="3" s="1"/>
  <c r="N308" i="3"/>
  <c r="O372" i="3"/>
  <c r="P372" i="3" s="1"/>
  <c r="Q372" i="3" s="1"/>
  <c r="N372" i="3"/>
  <c r="O436" i="3"/>
  <c r="P436" i="3" s="1"/>
  <c r="Q436" i="3" s="1"/>
  <c r="N436" i="3"/>
  <c r="O500" i="3"/>
  <c r="P500" i="3" s="1"/>
  <c r="Q500" i="3" s="1"/>
  <c r="N500" i="3"/>
  <c r="O564" i="3"/>
  <c r="P564" i="3" s="1"/>
  <c r="Q564" i="3" s="1"/>
  <c r="N564" i="3"/>
  <c r="N84" i="3"/>
  <c r="O84" i="3"/>
  <c r="P84" i="3" s="1"/>
  <c r="Q84" i="3" s="1"/>
  <c r="N37" i="3"/>
  <c r="O37" i="3"/>
  <c r="P37" i="3" s="1"/>
  <c r="Q37" i="3" s="1"/>
  <c r="O109" i="3"/>
  <c r="P109" i="3" s="1"/>
  <c r="Q109" i="3" s="1"/>
  <c r="N109" i="3"/>
  <c r="O189" i="3"/>
  <c r="P189" i="3" s="1"/>
  <c r="Q189" i="3" s="1"/>
  <c r="N189" i="3"/>
  <c r="O261" i="3"/>
  <c r="P261" i="3" s="1"/>
  <c r="Q261" i="3" s="1"/>
  <c r="N261" i="3"/>
  <c r="O325" i="3"/>
  <c r="P325" i="3" s="1"/>
  <c r="Q325" i="3" s="1"/>
  <c r="N325" i="3"/>
  <c r="N5" i="3"/>
  <c r="O5" i="3"/>
  <c r="P5" i="3" s="1"/>
  <c r="Q5" i="3" s="1"/>
  <c r="O133" i="3"/>
  <c r="P133" i="3" s="1"/>
  <c r="Q133" i="3" s="1"/>
  <c r="N133" i="3"/>
  <c r="O86" i="3"/>
  <c r="P86" i="3" s="1"/>
  <c r="Q86" i="3" s="1"/>
  <c r="N86" i="3"/>
  <c r="O278" i="3"/>
  <c r="P278" i="3" s="1"/>
  <c r="Q278" i="3" s="1"/>
  <c r="N278" i="3"/>
  <c r="O406" i="3"/>
  <c r="P406" i="3" s="1"/>
  <c r="Q406" i="3" s="1"/>
  <c r="N406" i="3"/>
  <c r="N598" i="3"/>
  <c r="O598" i="3"/>
  <c r="P598" i="3" s="1"/>
  <c r="Q598" i="3" s="1"/>
  <c r="O407" i="3"/>
  <c r="P407" i="3" s="1"/>
  <c r="Q407" i="3" s="1"/>
  <c r="N407" i="3"/>
  <c r="O444" i="3"/>
  <c r="P444" i="3" s="1"/>
  <c r="Q444" i="3" s="1"/>
  <c r="N444" i="3"/>
  <c r="N485" i="3"/>
  <c r="O485" i="3"/>
  <c r="P485" i="3" s="1"/>
  <c r="Q485" i="3" s="1"/>
  <c r="O525" i="3"/>
  <c r="P525" i="3" s="1"/>
  <c r="Q525" i="3" s="1"/>
  <c r="N525" i="3"/>
  <c r="O206" i="3"/>
  <c r="P206" i="3" s="1"/>
  <c r="Q206" i="3" s="1"/>
  <c r="N206" i="3"/>
  <c r="O473" i="3"/>
  <c r="P473" i="3" s="1"/>
  <c r="Q473" i="3" s="1"/>
  <c r="N473" i="3"/>
  <c r="O339" i="3"/>
  <c r="P339" i="3" s="1"/>
  <c r="Q339" i="3" s="1"/>
  <c r="N339" i="3"/>
  <c r="O63" i="3"/>
  <c r="P63" i="3" s="1"/>
  <c r="Q63" i="3" s="1"/>
  <c r="N63" i="3"/>
  <c r="N127" i="3"/>
  <c r="O127" i="3"/>
  <c r="P127" i="3" s="1"/>
  <c r="Q127" i="3" s="1"/>
  <c r="O191" i="3"/>
  <c r="P191" i="3" s="1"/>
  <c r="Q191" i="3" s="1"/>
  <c r="N191" i="3"/>
  <c r="O255" i="3"/>
  <c r="P255" i="3" s="1"/>
  <c r="Q255" i="3" s="1"/>
  <c r="N255" i="3"/>
  <c r="O161" i="3"/>
  <c r="P161" i="3" s="1"/>
  <c r="Q161" i="3" s="1"/>
  <c r="N161" i="3"/>
  <c r="O225" i="3"/>
  <c r="P225" i="3" s="1"/>
  <c r="Q225" i="3" s="1"/>
  <c r="N225" i="3"/>
  <c r="O35" i="3"/>
  <c r="P35" i="3" s="1"/>
  <c r="Q35" i="3" s="1"/>
  <c r="N35" i="3"/>
  <c r="O99" i="3"/>
  <c r="P99" i="3" s="1"/>
  <c r="Q99" i="3" s="1"/>
  <c r="N99" i="3"/>
  <c r="O163" i="3"/>
  <c r="P163" i="3" s="1"/>
  <c r="Q163" i="3" s="1"/>
  <c r="N163" i="3"/>
  <c r="O227" i="3"/>
  <c r="P227" i="3" s="1"/>
  <c r="Q227" i="3" s="1"/>
  <c r="N227" i="3"/>
  <c r="O291" i="3"/>
  <c r="P291" i="3" s="1"/>
  <c r="Q291" i="3" s="1"/>
  <c r="N291" i="3"/>
  <c r="O60" i="3"/>
  <c r="P60" i="3" s="1"/>
  <c r="Q60" i="3" s="1"/>
  <c r="N60" i="3"/>
  <c r="N124" i="3"/>
  <c r="O124" i="3"/>
  <c r="P124" i="3" s="1"/>
  <c r="Q124" i="3" s="1"/>
  <c r="N188" i="3"/>
  <c r="O188" i="3"/>
  <c r="P188" i="3" s="1"/>
  <c r="Q188" i="3" s="1"/>
  <c r="O252" i="3"/>
  <c r="P252" i="3" s="1"/>
  <c r="Q252" i="3" s="1"/>
  <c r="N252" i="3"/>
  <c r="O496" i="3"/>
  <c r="P496" i="3" s="1"/>
  <c r="Q496" i="3" s="1"/>
  <c r="N496" i="3"/>
  <c r="O88" i="3"/>
  <c r="P88" i="3" s="1"/>
  <c r="Q88" i="3" s="1"/>
  <c r="N88" i="3"/>
  <c r="O513" i="3"/>
  <c r="P513" i="3" s="1"/>
  <c r="Q513" i="3" s="1"/>
  <c r="N513" i="3"/>
  <c r="N45" i="3"/>
  <c r="O45" i="3"/>
  <c r="P45" i="3" s="1"/>
  <c r="Q45" i="3" s="1"/>
  <c r="O125" i="3"/>
  <c r="P125" i="3" s="1"/>
  <c r="Q125" i="3" s="1"/>
  <c r="N125" i="3"/>
  <c r="O30" i="3"/>
  <c r="P30" i="3" s="1"/>
  <c r="Q30" i="3" s="1"/>
  <c r="N30" i="3"/>
  <c r="O350" i="3"/>
  <c r="P350" i="3" s="1"/>
  <c r="Q350" i="3" s="1"/>
  <c r="N350" i="3"/>
  <c r="N53" i="3"/>
  <c r="O53" i="3"/>
  <c r="P53" i="3" s="1"/>
  <c r="Q53" i="3" s="1"/>
  <c r="O379" i="3"/>
  <c r="P379" i="3" s="1"/>
  <c r="Q379" i="3" s="1"/>
  <c r="N379" i="3"/>
  <c r="O421" i="3"/>
  <c r="P421" i="3" s="1"/>
  <c r="Q421" i="3" s="1"/>
  <c r="N421" i="3"/>
  <c r="O493" i="3"/>
  <c r="P493" i="3" s="1"/>
  <c r="Q493" i="3" s="1"/>
  <c r="N493" i="3"/>
  <c r="O333" i="3"/>
  <c r="P333" i="3" s="1"/>
  <c r="Q333" i="3" s="1"/>
  <c r="N333" i="3"/>
  <c r="O271" i="3"/>
  <c r="P271" i="3" s="1"/>
  <c r="Q271" i="3" s="1"/>
  <c r="N271" i="3"/>
  <c r="O335" i="3"/>
  <c r="P335" i="3" s="1"/>
  <c r="Q335" i="3" s="1"/>
  <c r="N335" i="3"/>
  <c r="O399" i="3"/>
  <c r="P399" i="3" s="1"/>
  <c r="Q399" i="3" s="1"/>
  <c r="N399" i="3"/>
  <c r="O527" i="3"/>
  <c r="P527" i="3" s="1"/>
  <c r="Q527" i="3" s="1"/>
  <c r="N527" i="3"/>
  <c r="O591" i="3"/>
  <c r="P591" i="3" s="1"/>
  <c r="Q591" i="3" s="1"/>
  <c r="N591" i="3"/>
  <c r="O267" i="3"/>
  <c r="P267" i="3" s="1"/>
  <c r="Q267" i="3" s="1"/>
  <c r="N267" i="3"/>
  <c r="N297" i="3"/>
  <c r="O297" i="3"/>
  <c r="P297" i="3" s="1"/>
  <c r="Q297" i="3" s="1"/>
  <c r="O4" i="3"/>
  <c r="P4" i="3" s="1"/>
  <c r="Q4" i="3" s="1"/>
  <c r="O353" i="3"/>
  <c r="P353" i="3" s="1"/>
  <c r="Q353" i="3" s="1"/>
  <c r="N489" i="3"/>
  <c r="O594" i="3"/>
  <c r="P594" i="3" s="1"/>
  <c r="Q594" i="3" s="1"/>
  <c r="O402" i="3"/>
  <c r="P402" i="3" s="1"/>
  <c r="Q402" i="3" s="1"/>
  <c r="N7" i="3"/>
  <c r="O7" i="3"/>
  <c r="P7" i="3" s="1"/>
  <c r="Q7" i="3" s="1"/>
  <c r="O71" i="3"/>
  <c r="P71" i="3" s="1"/>
  <c r="Q71" i="3" s="1"/>
  <c r="N71" i="3"/>
  <c r="O135" i="3"/>
  <c r="P135" i="3" s="1"/>
  <c r="Q135" i="3" s="1"/>
  <c r="N135" i="3"/>
  <c r="O199" i="3"/>
  <c r="P199" i="3" s="1"/>
  <c r="Q199" i="3" s="1"/>
  <c r="N199" i="3"/>
  <c r="O263" i="3"/>
  <c r="P263" i="3" s="1"/>
  <c r="Q263" i="3" s="1"/>
  <c r="N263" i="3"/>
  <c r="O128" i="3"/>
  <c r="P128" i="3" s="1"/>
  <c r="Q128" i="3" s="1"/>
  <c r="N128" i="3"/>
  <c r="O256" i="3"/>
  <c r="P256" i="3" s="1"/>
  <c r="Q256" i="3" s="1"/>
  <c r="N256" i="3"/>
  <c r="O299" i="3"/>
  <c r="P299" i="3" s="1"/>
  <c r="Q299" i="3" s="1"/>
  <c r="N299" i="3"/>
  <c r="N68" i="3"/>
  <c r="O68" i="3"/>
  <c r="P68" i="3" s="1"/>
  <c r="Q68" i="3" s="1"/>
  <c r="O132" i="3"/>
  <c r="P132" i="3" s="1"/>
  <c r="Q132" i="3" s="1"/>
  <c r="N132" i="3"/>
  <c r="O196" i="3"/>
  <c r="P196" i="3" s="1"/>
  <c r="Q196" i="3" s="1"/>
  <c r="N196" i="3"/>
  <c r="O260" i="3"/>
  <c r="P260" i="3" s="1"/>
  <c r="Q260" i="3" s="1"/>
  <c r="N260" i="3"/>
  <c r="O376" i="3"/>
  <c r="P376" i="3" s="1"/>
  <c r="Q376" i="3" s="1"/>
  <c r="N376" i="3"/>
  <c r="N504" i="3"/>
  <c r="O504" i="3"/>
  <c r="P504" i="3" s="1"/>
  <c r="Q504" i="3" s="1"/>
  <c r="O568" i="3"/>
  <c r="P568" i="3" s="1"/>
  <c r="Q568" i="3" s="1"/>
  <c r="N568" i="3"/>
  <c r="N323" i="3"/>
  <c r="O323" i="3"/>
  <c r="P323" i="3" s="1"/>
  <c r="Q323" i="3" s="1"/>
  <c r="O403" i="3"/>
  <c r="P403" i="3" s="1"/>
  <c r="Q403" i="3" s="1"/>
  <c r="N403" i="3"/>
  <c r="O467" i="3"/>
  <c r="P467" i="3" s="1"/>
  <c r="Q467" i="3" s="1"/>
  <c r="N467" i="3"/>
  <c r="O531" i="3"/>
  <c r="P531" i="3" s="1"/>
  <c r="Q531" i="3" s="1"/>
  <c r="N531" i="3"/>
  <c r="O235" i="3"/>
  <c r="P235" i="3" s="1"/>
  <c r="Q235" i="3" s="1"/>
  <c r="N235" i="3"/>
  <c r="O324" i="3"/>
  <c r="P324" i="3" s="1"/>
  <c r="Q324" i="3" s="1"/>
  <c r="N324" i="3"/>
  <c r="O388" i="3"/>
  <c r="P388" i="3" s="1"/>
  <c r="Q388" i="3" s="1"/>
  <c r="N388" i="3"/>
  <c r="O452" i="3"/>
  <c r="P452" i="3" s="1"/>
  <c r="Q452" i="3" s="1"/>
  <c r="N452" i="3"/>
  <c r="O516" i="3"/>
  <c r="P516" i="3" s="1"/>
  <c r="Q516" i="3" s="1"/>
  <c r="N516" i="3"/>
  <c r="O580" i="3"/>
  <c r="P580" i="3" s="1"/>
  <c r="Q580" i="3" s="1"/>
  <c r="N580" i="3"/>
  <c r="O148" i="3"/>
  <c r="P148" i="3" s="1"/>
  <c r="Q148" i="3" s="1"/>
  <c r="N148" i="3"/>
  <c r="N61" i="3"/>
  <c r="O61" i="3"/>
  <c r="P61" i="3" s="1"/>
  <c r="Q61" i="3" s="1"/>
  <c r="N277" i="3"/>
  <c r="O277" i="3"/>
  <c r="P277" i="3" s="1"/>
  <c r="Q277" i="3" s="1"/>
  <c r="O341" i="3"/>
  <c r="P341" i="3" s="1"/>
  <c r="Q341" i="3" s="1"/>
  <c r="N341" i="3"/>
  <c r="N102" i="3"/>
  <c r="O102" i="3"/>
  <c r="P102" i="3" s="1"/>
  <c r="Q102" i="3" s="1"/>
  <c r="O166" i="3"/>
  <c r="P166" i="3" s="1"/>
  <c r="Q166" i="3" s="1"/>
  <c r="N166" i="3"/>
  <c r="O294" i="3"/>
  <c r="P294" i="3" s="1"/>
  <c r="Q294" i="3" s="1"/>
  <c r="N294" i="3"/>
  <c r="O358" i="3"/>
  <c r="P358" i="3" s="1"/>
  <c r="Q358" i="3" s="1"/>
  <c r="N358" i="3"/>
  <c r="O422" i="3"/>
  <c r="P422" i="3" s="1"/>
  <c r="Q422" i="3" s="1"/>
  <c r="N422" i="3"/>
  <c r="N550" i="3"/>
  <c r="O550" i="3"/>
  <c r="P550" i="3" s="1"/>
  <c r="Q550" i="3" s="1"/>
  <c r="N501" i="3"/>
  <c r="O501" i="3"/>
  <c r="P501" i="3" s="1"/>
  <c r="Q501" i="3" s="1"/>
  <c r="O447" i="3"/>
  <c r="P447" i="3" s="1"/>
  <c r="Q447" i="3" s="1"/>
  <c r="N447" i="3"/>
  <c r="O508" i="3"/>
  <c r="P508" i="3" s="1"/>
  <c r="Q508" i="3" s="1"/>
  <c r="N508" i="3"/>
  <c r="O509" i="3"/>
  <c r="P509" i="3" s="1"/>
  <c r="Q509" i="3" s="1"/>
  <c r="N509" i="3"/>
  <c r="O343" i="3"/>
  <c r="P343" i="3" s="1"/>
  <c r="Q343" i="3" s="1"/>
  <c r="N343" i="3"/>
  <c r="O231" i="3"/>
  <c r="P231" i="3" s="1"/>
  <c r="Q231" i="3" s="1"/>
  <c r="N231" i="3"/>
  <c r="N154" i="3"/>
  <c r="O154" i="3"/>
  <c r="P154" i="3" s="1"/>
  <c r="Q154" i="3" s="1"/>
  <c r="O75" i="3"/>
  <c r="P75" i="3" s="1"/>
  <c r="Q75" i="3" s="1"/>
  <c r="N75" i="3"/>
  <c r="O13" i="3"/>
  <c r="P13" i="3" s="1"/>
  <c r="Q13" i="3" s="1"/>
  <c r="N13" i="3"/>
  <c r="O425" i="3"/>
  <c r="P425" i="3" s="1"/>
  <c r="Q425" i="3" s="1"/>
  <c r="N425" i="3"/>
  <c r="O499" i="3"/>
  <c r="P499" i="3" s="1"/>
  <c r="Q499" i="3" s="1"/>
  <c r="N499" i="3"/>
  <c r="O356" i="3"/>
  <c r="P356" i="3" s="1"/>
  <c r="Q356" i="3" s="1"/>
  <c r="N356" i="3"/>
  <c r="O20" i="3"/>
  <c r="P20" i="3" s="1"/>
  <c r="Q20" i="3" s="1"/>
  <c r="N20" i="3"/>
  <c r="N32" i="3"/>
  <c r="N530" i="3"/>
  <c r="O15" i="3"/>
  <c r="P15" i="3" s="1"/>
  <c r="Q15" i="3" s="1"/>
  <c r="N15" i="3"/>
  <c r="O79" i="3"/>
  <c r="P79" i="3" s="1"/>
  <c r="Q79" i="3" s="1"/>
  <c r="N79" i="3"/>
  <c r="O143" i="3"/>
  <c r="P143" i="3" s="1"/>
  <c r="Q143" i="3" s="1"/>
  <c r="N143" i="3"/>
  <c r="O207" i="3"/>
  <c r="P207" i="3" s="1"/>
  <c r="Q207" i="3" s="1"/>
  <c r="N207" i="3"/>
  <c r="N8" i="3"/>
  <c r="O8" i="3"/>
  <c r="P8" i="3" s="1"/>
  <c r="Q8" i="3" s="1"/>
  <c r="N200" i="3"/>
  <c r="O200" i="3"/>
  <c r="P200" i="3" s="1"/>
  <c r="Q200" i="3" s="1"/>
  <c r="O264" i="3"/>
  <c r="P264" i="3" s="1"/>
  <c r="Q264" i="3" s="1"/>
  <c r="N264" i="3"/>
  <c r="N130" i="3"/>
  <c r="O130" i="3"/>
  <c r="P130" i="3" s="1"/>
  <c r="Q130" i="3" s="1"/>
  <c r="N194" i="3"/>
  <c r="O194" i="3"/>
  <c r="P194" i="3" s="1"/>
  <c r="Q194" i="3" s="1"/>
  <c r="N258" i="3"/>
  <c r="O258" i="3"/>
  <c r="P258" i="3" s="1"/>
  <c r="Q258" i="3" s="1"/>
  <c r="N322" i="3"/>
  <c r="O322" i="3"/>
  <c r="P322" i="3" s="1"/>
  <c r="Q322" i="3" s="1"/>
  <c r="O51" i="3"/>
  <c r="P51" i="3" s="1"/>
  <c r="Q51" i="3" s="1"/>
  <c r="N51" i="3"/>
  <c r="O115" i="3"/>
  <c r="P115" i="3" s="1"/>
  <c r="Q115" i="3" s="1"/>
  <c r="N115" i="3"/>
  <c r="O179" i="3"/>
  <c r="P179" i="3" s="1"/>
  <c r="Q179" i="3" s="1"/>
  <c r="N179" i="3"/>
  <c r="O243" i="3"/>
  <c r="P243" i="3" s="1"/>
  <c r="Q243" i="3" s="1"/>
  <c r="N243" i="3"/>
  <c r="O76" i="3"/>
  <c r="P76" i="3" s="1"/>
  <c r="Q76" i="3" s="1"/>
  <c r="N76" i="3"/>
  <c r="O140" i="3"/>
  <c r="P140" i="3" s="1"/>
  <c r="Q140" i="3" s="1"/>
  <c r="N140" i="3"/>
  <c r="O204" i="3"/>
  <c r="P204" i="3" s="1"/>
  <c r="Q204" i="3" s="1"/>
  <c r="N204" i="3"/>
  <c r="O268" i="3"/>
  <c r="P268" i="3" s="1"/>
  <c r="Q268" i="3" s="1"/>
  <c r="N268" i="3"/>
  <c r="N378" i="3"/>
  <c r="O378" i="3"/>
  <c r="P378" i="3" s="1"/>
  <c r="Q378" i="3" s="1"/>
  <c r="O411" i="3"/>
  <c r="P411" i="3" s="1"/>
  <c r="Q411" i="3" s="1"/>
  <c r="N411" i="3"/>
  <c r="O475" i="3"/>
  <c r="P475" i="3" s="1"/>
  <c r="Q475" i="3" s="1"/>
  <c r="N475" i="3"/>
  <c r="O539" i="3"/>
  <c r="P539" i="3" s="1"/>
  <c r="Q539" i="3" s="1"/>
  <c r="N539" i="3"/>
  <c r="O588" i="3"/>
  <c r="P588" i="3" s="1"/>
  <c r="Q588" i="3" s="1"/>
  <c r="N588" i="3"/>
  <c r="O141" i="3"/>
  <c r="P141" i="3" s="1"/>
  <c r="Q141" i="3" s="1"/>
  <c r="N141" i="3"/>
  <c r="O213" i="3"/>
  <c r="P213" i="3" s="1"/>
  <c r="Q213" i="3" s="1"/>
  <c r="N213" i="3"/>
  <c r="O69" i="3"/>
  <c r="P69" i="3" s="1"/>
  <c r="Q69" i="3" s="1"/>
  <c r="N69" i="3"/>
  <c r="O46" i="3"/>
  <c r="P46" i="3" s="1"/>
  <c r="Q46" i="3" s="1"/>
  <c r="N46" i="3"/>
  <c r="O110" i="3"/>
  <c r="P110" i="3" s="1"/>
  <c r="Q110" i="3" s="1"/>
  <c r="N110" i="3"/>
  <c r="N174" i="3"/>
  <c r="O174" i="3"/>
  <c r="P174" i="3" s="1"/>
  <c r="Q174" i="3" s="1"/>
  <c r="O238" i="3"/>
  <c r="P238" i="3" s="1"/>
  <c r="Q238" i="3" s="1"/>
  <c r="N238" i="3"/>
  <c r="O302" i="3"/>
  <c r="P302" i="3" s="1"/>
  <c r="Q302" i="3" s="1"/>
  <c r="N302" i="3"/>
  <c r="N430" i="3"/>
  <c r="O430" i="3"/>
  <c r="P430" i="3" s="1"/>
  <c r="Q430" i="3" s="1"/>
  <c r="O494" i="3"/>
  <c r="P494" i="3" s="1"/>
  <c r="Q494" i="3" s="1"/>
  <c r="N494" i="3"/>
  <c r="O558" i="3"/>
  <c r="P558" i="3" s="1"/>
  <c r="Q558" i="3" s="1"/>
  <c r="N558" i="3"/>
  <c r="N555" i="3"/>
  <c r="O555" i="3"/>
  <c r="P555" i="3" s="1"/>
  <c r="Q555" i="3" s="1"/>
  <c r="O443" i="3"/>
  <c r="P443" i="3" s="1"/>
  <c r="Q443" i="3" s="1"/>
  <c r="N443" i="3"/>
  <c r="O519" i="3"/>
  <c r="P519" i="3" s="1"/>
  <c r="Q519" i="3" s="1"/>
  <c r="N519" i="3"/>
  <c r="N445" i="3"/>
  <c r="O445" i="3"/>
  <c r="P445" i="3" s="1"/>
  <c r="Q445" i="3" s="1"/>
  <c r="O517" i="3"/>
  <c r="P517" i="3" s="1"/>
  <c r="Q517" i="3" s="1"/>
  <c r="N517" i="3"/>
  <c r="O397" i="3"/>
  <c r="P397" i="3" s="1"/>
  <c r="Q397" i="3" s="1"/>
  <c r="N397" i="3"/>
  <c r="O462" i="3"/>
  <c r="P462" i="3" s="1"/>
  <c r="Q462" i="3" s="1"/>
  <c r="N462" i="3"/>
  <c r="O543" i="3"/>
  <c r="P543" i="3" s="1"/>
  <c r="Q543" i="3" s="1"/>
  <c r="N543" i="3"/>
  <c r="O39" i="3"/>
  <c r="P39" i="3" s="1"/>
  <c r="Q39" i="3" s="1"/>
  <c r="N39" i="3"/>
  <c r="O439" i="3"/>
  <c r="P439" i="3" s="1"/>
  <c r="Q439" i="3" s="1"/>
  <c r="N439" i="3"/>
  <c r="O49" i="3"/>
  <c r="P49" i="3" s="1"/>
  <c r="Q49" i="3" s="1"/>
  <c r="N33" i="3"/>
  <c r="N56" i="3"/>
  <c r="N454" i="3"/>
  <c r="O178" i="3"/>
  <c r="P178" i="3" s="1"/>
  <c r="Q178" i="3" s="1"/>
  <c r="O242" i="3"/>
  <c r="P242" i="3" s="1"/>
  <c r="Q242" i="3" s="1"/>
  <c r="O23" i="3"/>
  <c r="P23" i="3" s="1"/>
  <c r="Q23" i="3" s="1"/>
  <c r="N23" i="3"/>
  <c r="O87" i="3"/>
  <c r="P87" i="3" s="1"/>
  <c r="Q87" i="3" s="1"/>
  <c r="N87" i="3"/>
  <c r="O151" i="3"/>
  <c r="P151" i="3" s="1"/>
  <c r="Q151" i="3" s="1"/>
  <c r="N151" i="3"/>
  <c r="O215" i="3"/>
  <c r="P215" i="3" s="1"/>
  <c r="Q215" i="3" s="1"/>
  <c r="N215" i="3"/>
  <c r="O80" i="3"/>
  <c r="P80" i="3" s="1"/>
  <c r="Q80" i="3" s="1"/>
  <c r="N80" i="3"/>
  <c r="O208" i="3"/>
  <c r="P208" i="3" s="1"/>
  <c r="Q208" i="3" s="1"/>
  <c r="N208" i="3"/>
  <c r="O272" i="3"/>
  <c r="P272" i="3" s="1"/>
  <c r="Q272" i="3" s="1"/>
  <c r="N272" i="3"/>
  <c r="N138" i="3"/>
  <c r="O138" i="3"/>
  <c r="P138" i="3" s="1"/>
  <c r="Q138" i="3" s="1"/>
  <c r="N202" i="3"/>
  <c r="O202" i="3"/>
  <c r="P202" i="3" s="1"/>
  <c r="Q202" i="3" s="1"/>
  <c r="N266" i="3"/>
  <c r="O266" i="3"/>
  <c r="P266" i="3" s="1"/>
  <c r="Q266" i="3" s="1"/>
  <c r="O276" i="3"/>
  <c r="P276" i="3" s="1"/>
  <c r="Q276" i="3" s="1"/>
  <c r="N276" i="3"/>
  <c r="O601" i="3"/>
  <c r="P601" i="3" s="1"/>
  <c r="Q601" i="3" s="1"/>
  <c r="N601" i="3"/>
  <c r="N450" i="3"/>
  <c r="O450" i="3"/>
  <c r="P450" i="3" s="1"/>
  <c r="Q450" i="3" s="1"/>
  <c r="N514" i="3"/>
  <c r="O514" i="3"/>
  <c r="P514" i="3" s="1"/>
  <c r="Q514" i="3" s="1"/>
  <c r="N170" i="3"/>
  <c r="O170" i="3"/>
  <c r="P170" i="3" s="1"/>
  <c r="Q170" i="3" s="1"/>
  <c r="N347" i="3"/>
  <c r="O347" i="3"/>
  <c r="P347" i="3" s="1"/>
  <c r="Q347" i="3" s="1"/>
  <c r="O419" i="3"/>
  <c r="P419" i="3" s="1"/>
  <c r="Q419" i="3" s="1"/>
  <c r="N419" i="3"/>
  <c r="O483" i="3"/>
  <c r="P483" i="3" s="1"/>
  <c r="Q483" i="3" s="1"/>
  <c r="N483" i="3"/>
  <c r="O547" i="3"/>
  <c r="P547" i="3" s="1"/>
  <c r="Q547" i="3" s="1"/>
  <c r="N547" i="3"/>
  <c r="N43" i="3"/>
  <c r="O43" i="3"/>
  <c r="P43" i="3" s="1"/>
  <c r="Q43" i="3" s="1"/>
  <c r="O12" i="3"/>
  <c r="P12" i="3" s="1"/>
  <c r="Q12" i="3" s="1"/>
  <c r="N12" i="3"/>
  <c r="O340" i="3"/>
  <c r="P340" i="3" s="1"/>
  <c r="Q340" i="3" s="1"/>
  <c r="N340" i="3"/>
  <c r="O404" i="3"/>
  <c r="P404" i="3" s="1"/>
  <c r="Q404" i="3" s="1"/>
  <c r="N404" i="3"/>
  <c r="O468" i="3"/>
  <c r="P468" i="3" s="1"/>
  <c r="Q468" i="3" s="1"/>
  <c r="N468" i="3"/>
  <c r="O532" i="3"/>
  <c r="P532" i="3" s="1"/>
  <c r="Q532" i="3" s="1"/>
  <c r="N532" i="3"/>
  <c r="O596" i="3"/>
  <c r="P596" i="3" s="1"/>
  <c r="Q596" i="3" s="1"/>
  <c r="N596" i="3"/>
  <c r="O212" i="3"/>
  <c r="P212" i="3" s="1"/>
  <c r="Q212" i="3" s="1"/>
  <c r="N212" i="3"/>
  <c r="O77" i="3"/>
  <c r="P77" i="3" s="1"/>
  <c r="Q77" i="3" s="1"/>
  <c r="N77" i="3"/>
  <c r="O293" i="3"/>
  <c r="P293" i="3" s="1"/>
  <c r="Q293" i="3" s="1"/>
  <c r="N293" i="3"/>
  <c r="O357" i="3"/>
  <c r="P357" i="3" s="1"/>
  <c r="Q357" i="3" s="1"/>
  <c r="N357" i="3"/>
  <c r="O54" i="3"/>
  <c r="P54" i="3" s="1"/>
  <c r="Q54" i="3" s="1"/>
  <c r="N54" i="3"/>
  <c r="O182" i="3"/>
  <c r="P182" i="3" s="1"/>
  <c r="Q182" i="3" s="1"/>
  <c r="N182" i="3"/>
  <c r="O246" i="3"/>
  <c r="P246" i="3" s="1"/>
  <c r="Q246" i="3" s="1"/>
  <c r="N246" i="3"/>
  <c r="N438" i="3"/>
  <c r="O438" i="3"/>
  <c r="P438" i="3" s="1"/>
  <c r="Q438" i="3" s="1"/>
  <c r="O502" i="3"/>
  <c r="P502" i="3" s="1"/>
  <c r="Q502" i="3" s="1"/>
  <c r="N502" i="3"/>
  <c r="O316" i="3"/>
  <c r="P316" i="3" s="1"/>
  <c r="Q316" i="3" s="1"/>
  <c r="N316" i="3"/>
  <c r="O572" i="3"/>
  <c r="P572" i="3" s="1"/>
  <c r="Q572" i="3" s="1"/>
  <c r="N572" i="3"/>
  <c r="N453" i="3"/>
  <c r="O453" i="3"/>
  <c r="P453" i="3" s="1"/>
  <c r="Q453" i="3" s="1"/>
  <c r="O78" i="3"/>
  <c r="P78" i="3" s="1"/>
  <c r="Q78" i="3" s="1"/>
  <c r="N78" i="3"/>
  <c r="O295" i="3"/>
  <c r="P295" i="3" s="1"/>
  <c r="Q295" i="3" s="1"/>
  <c r="N295" i="3"/>
  <c r="N103" i="3"/>
  <c r="O103" i="3"/>
  <c r="P103" i="3" s="1"/>
  <c r="Q103" i="3" s="1"/>
  <c r="N90" i="3"/>
  <c r="O90" i="3"/>
  <c r="P90" i="3" s="1"/>
  <c r="Q90" i="3" s="1"/>
  <c r="O11" i="3"/>
  <c r="P11" i="3" s="1"/>
  <c r="Q11" i="3" s="1"/>
  <c r="N11" i="3"/>
  <c r="O203" i="3"/>
  <c r="P203" i="3" s="1"/>
  <c r="Q203" i="3" s="1"/>
  <c r="N203" i="3"/>
  <c r="O232" i="3"/>
  <c r="P232" i="3" s="1"/>
  <c r="Q232" i="3" s="1"/>
  <c r="N232" i="3"/>
  <c r="N234" i="3"/>
  <c r="O234" i="3"/>
  <c r="P234" i="3" s="1"/>
  <c r="Q234" i="3" s="1"/>
  <c r="N563" i="3"/>
  <c r="O563" i="3"/>
  <c r="P563" i="3" s="1"/>
  <c r="Q563" i="3" s="1"/>
  <c r="O420" i="3"/>
  <c r="P420" i="3" s="1"/>
  <c r="Q420" i="3" s="1"/>
  <c r="N420" i="3"/>
  <c r="O373" i="3"/>
  <c r="P373" i="3" s="1"/>
  <c r="Q373" i="3" s="1"/>
  <c r="N373" i="3"/>
  <c r="O137" i="3"/>
  <c r="P137" i="3" s="1"/>
  <c r="Q137" i="3" s="1"/>
  <c r="N41" i="3"/>
  <c r="N73" i="3"/>
  <c r="O120" i="3"/>
  <c r="P120" i="3" s="1"/>
  <c r="Q120" i="3" s="1"/>
  <c r="N390" i="3"/>
  <c r="O31" i="3"/>
  <c r="P31" i="3" s="1"/>
  <c r="Q31" i="3" s="1"/>
  <c r="N31" i="3"/>
  <c r="N95" i="3"/>
  <c r="O95" i="3"/>
  <c r="P95" i="3" s="1"/>
  <c r="Q95" i="3" s="1"/>
  <c r="O159" i="3"/>
  <c r="P159" i="3" s="1"/>
  <c r="Q159" i="3" s="1"/>
  <c r="N159" i="3"/>
  <c r="O223" i="3"/>
  <c r="P223" i="3" s="1"/>
  <c r="Q223" i="3" s="1"/>
  <c r="N223" i="3"/>
  <c r="O257" i="3"/>
  <c r="P257" i="3" s="1"/>
  <c r="Q257" i="3" s="1"/>
  <c r="N257" i="3"/>
  <c r="O82" i="3"/>
  <c r="P82" i="3" s="1"/>
  <c r="Q82" i="3" s="1"/>
  <c r="N82" i="3"/>
  <c r="N146" i="3"/>
  <c r="O146" i="3"/>
  <c r="P146" i="3" s="1"/>
  <c r="Q146" i="3" s="1"/>
  <c r="N274" i="3"/>
  <c r="O274" i="3"/>
  <c r="P274" i="3" s="1"/>
  <c r="Q274" i="3" s="1"/>
  <c r="N338" i="3"/>
  <c r="O338" i="3"/>
  <c r="P338" i="3" s="1"/>
  <c r="Q338" i="3" s="1"/>
  <c r="O67" i="3"/>
  <c r="P67" i="3" s="1"/>
  <c r="Q67" i="3" s="1"/>
  <c r="N67" i="3"/>
  <c r="O131" i="3"/>
  <c r="P131" i="3" s="1"/>
  <c r="Q131" i="3" s="1"/>
  <c r="N131" i="3"/>
  <c r="O195" i="3"/>
  <c r="P195" i="3" s="1"/>
  <c r="Q195" i="3" s="1"/>
  <c r="N195" i="3"/>
  <c r="O259" i="3"/>
  <c r="P259" i="3" s="1"/>
  <c r="Q259" i="3" s="1"/>
  <c r="N259" i="3"/>
  <c r="O28" i="3"/>
  <c r="P28" i="3" s="1"/>
  <c r="Q28" i="3" s="1"/>
  <c r="N28" i="3"/>
  <c r="N92" i="3"/>
  <c r="O92" i="3"/>
  <c r="P92" i="3" s="1"/>
  <c r="Q92" i="3" s="1"/>
  <c r="O156" i="3"/>
  <c r="P156" i="3" s="1"/>
  <c r="Q156" i="3" s="1"/>
  <c r="N156" i="3"/>
  <c r="O220" i="3"/>
  <c r="P220" i="3" s="1"/>
  <c r="Q220" i="3" s="1"/>
  <c r="N220" i="3"/>
  <c r="O216" i="3"/>
  <c r="P216" i="3" s="1"/>
  <c r="Q216" i="3" s="1"/>
  <c r="N216" i="3"/>
  <c r="O355" i="3"/>
  <c r="P355" i="3" s="1"/>
  <c r="Q355" i="3" s="1"/>
  <c r="N355" i="3"/>
  <c r="O427" i="3"/>
  <c r="P427" i="3" s="1"/>
  <c r="Q427" i="3" s="1"/>
  <c r="N427" i="3"/>
  <c r="O491" i="3"/>
  <c r="P491" i="3" s="1"/>
  <c r="Q491" i="3" s="1"/>
  <c r="N491" i="3"/>
  <c r="O284" i="3"/>
  <c r="P284" i="3" s="1"/>
  <c r="Q284" i="3" s="1"/>
  <c r="N284" i="3"/>
  <c r="O348" i="3"/>
  <c r="P348" i="3" s="1"/>
  <c r="Q348" i="3" s="1"/>
  <c r="N348" i="3"/>
  <c r="O412" i="3"/>
  <c r="P412" i="3" s="1"/>
  <c r="Q412" i="3" s="1"/>
  <c r="N412" i="3"/>
  <c r="O476" i="3"/>
  <c r="P476" i="3" s="1"/>
  <c r="Q476" i="3" s="1"/>
  <c r="N476" i="3"/>
  <c r="O540" i="3"/>
  <c r="P540" i="3" s="1"/>
  <c r="Q540" i="3" s="1"/>
  <c r="N540" i="3"/>
  <c r="O157" i="3"/>
  <c r="P157" i="3" s="1"/>
  <c r="Q157" i="3" s="1"/>
  <c r="N157" i="3"/>
  <c r="N229" i="3"/>
  <c r="O229" i="3"/>
  <c r="P229" i="3" s="1"/>
  <c r="Q229" i="3" s="1"/>
  <c r="O301" i="3"/>
  <c r="P301" i="3" s="1"/>
  <c r="Q301" i="3" s="1"/>
  <c r="N301" i="3"/>
  <c r="N365" i="3"/>
  <c r="O365" i="3"/>
  <c r="P365" i="3" s="1"/>
  <c r="Q365" i="3" s="1"/>
  <c r="O197" i="3"/>
  <c r="P197" i="3" s="1"/>
  <c r="Q197" i="3" s="1"/>
  <c r="N197" i="3"/>
  <c r="O126" i="3"/>
  <c r="P126" i="3" s="1"/>
  <c r="Q126" i="3" s="1"/>
  <c r="N126" i="3"/>
  <c r="N190" i="3"/>
  <c r="O190" i="3"/>
  <c r="P190" i="3" s="1"/>
  <c r="Q190" i="3" s="1"/>
  <c r="O318" i="3"/>
  <c r="P318" i="3" s="1"/>
  <c r="Q318" i="3" s="1"/>
  <c r="N318" i="3"/>
  <c r="O382" i="3"/>
  <c r="P382" i="3" s="1"/>
  <c r="Q382" i="3" s="1"/>
  <c r="N382" i="3"/>
  <c r="O446" i="3"/>
  <c r="P446" i="3" s="1"/>
  <c r="Q446" i="3" s="1"/>
  <c r="N446" i="3"/>
  <c r="O574" i="3"/>
  <c r="P574" i="3" s="1"/>
  <c r="Q574" i="3" s="1"/>
  <c r="N574" i="3"/>
  <c r="N307" i="3"/>
  <c r="O307" i="3"/>
  <c r="P307" i="3" s="1"/>
  <c r="Q307" i="3" s="1"/>
  <c r="O507" i="3"/>
  <c r="P507" i="3" s="1"/>
  <c r="Q507" i="3" s="1"/>
  <c r="N507" i="3"/>
  <c r="O389" i="3"/>
  <c r="P389" i="3" s="1"/>
  <c r="Q389" i="3" s="1"/>
  <c r="N389" i="3"/>
  <c r="O533" i="3"/>
  <c r="P533" i="3" s="1"/>
  <c r="Q533" i="3" s="1"/>
  <c r="N533" i="3"/>
  <c r="O205" i="3"/>
  <c r="P205" i="3" s="1"/>
  <c r="Q205" i="3" s="1"/>
  <c r="N205" i="3"/>
  <c r="O375" i="3"/>
  <c r="P375" i="3" s="1"/>
  <c r="Q375" i="3" s="1"/>
  <c r="N375" i="3"/>
  <c r="O279" i="3"/>
  <c r="P279" i="3" s="1"/>
  <c r="Q279" i="3" s="1"/>
  <c r="N279" i="3"/>
  <c r="O183" i="3"/>
  <c r="P183" i="3" s="1"/>
  <c r="Q183" i="3" s="1"/>
  <c r="N183" i="3"/>
  <c r="O600" i="3"/>
  <c r="P600" i="3" s="1"/>
  <c r="Q600" i="3" s="1"/>
  <c r="N600" i="3"/>
  <c r="O487" i="3"/>
  <c r="P487" i="3" s="1"/>
  <c r="Q487" i="3" s="1"/>
  <c r="N487" i="3"/>
  <c r="O455" i="3"/>
  <c r="P455" i="3" s="1"/>
  <c r="Q455" i="3" s="1"/>
  <c r="N455" i="3"/>
  <c r="O583" i="3"/>
  <c r="P583" i="3" s="1"/>
  <c r="Q583" i="3" s="1"/>
  <c r="N583" i="3"/>
  <c r="O415" i="3"/>
  <c r="P415" i="3" s="1"/>
  <c r="Q415" i="3" s="1"/>
  <c r="N415" i="3"/>
  <c r="O59" i="3"/>
  <c r="P59" i="3" s="1"/>
  <c r="Q59" i="3" s="1"/>
  <c r="N59" i="3"/>
  <c r="N123" i="3"/>
  <c r="O123" i="3"/>
  <c r="P123" i="3" s="1"/>
  <c r="Q123" i="3" s="1"/>
  <c r="O187" i="3"/>
  <c r="P187" i="3" s="1"/>
  <c r="Q187" i="3" s="1"/>
  <c r="N187" i="3"/>
  <c r="O251" i="3"/>
  <c r="P251" i="3" s="1"/>
  <c r="Q251" i="3" s="1"/>
  <c r="N251" i="3"/>
  <c r="N36" i="3"/>
  <c r="O36" i="3"/>
  <c r="P36" i="3" s="1"/>
  <c r="Q36" i="3" s="1"/>
  <c r="O100" i="3"/>
  <c r="P100" i="3" s="1"/>
  <c r="Q100" i="3" s="1"/>
  <c r="N100" i="3"/>
  <c r="O164" i="3"/>
  <c r="P164" i="3" s="1"/>
  <c r="Q164" i="3" s="1"/>
  <c r="N164" i="3"/>
  <c r="O228" i="3"/>
  <c r="P228" i="3" s="1"/>
  <c r="Q228" i="3" s="1"/>
  <c r="N228" i="3"/>
  <c r="O21" i="3"/>
  <c r="P21" i="3" s="1"/>
  <c r="Q21" i="3" s="1"/>
  <c r="N21" i="3"/>
  <c r="O85" i="3"/>
  <c r="P85" i="3" s="1"/>
  <c r="Q85" i="3" s="1"/>
  <c r="N85" i="3"/>
  <c r="N149" i="3"/>
  <c r="O149" i="3"/>
  <c r="P149" i="3" s="1"/>
  <c r="Q149" i="3" s="1"/>
  <c r="N587" i="3"/>
  <c r="O587" i="3"/>
  <c r="P587" i="3" s="1"/>
  <c r="Q587" i="3" s="1"/>
  <c r="O535" i="3"/>
  <c r="P535" i="3" s="1"/>
  <c r="Q535" i="3" s="1"/>
  <c r="N535" i="3"/>
  <c r="O331" i="3"/>
  <c r="P331" i="3" s="1"/>
  <c r="Q331" i="3" s="1"/>
  <c r="N331" i="3"/>
  <c r="O395" i="3"/>
  <c r="P395" i="3" s="1"/>
  <c r="Q395" i="3" s="1"/>
  <c r="N395" i="3"/>
  <c r="O459" i="3"/>
  <c r="P459" i="3" s="1"/>
  <c r="Q459" i="3" s="1"/>
  <c r="N459" i="3"/>
  <c r="O523" i="3"/>
  <c r="P523" i="3" s="1"/>
  <c r="Q523" i="3" s="1"/>
  <c r="N523" i="3"/>
  <c r="O557" i="3"/>
  <c r="P557" i="3" s="1"/>
  <c r="Q557" i="3" s="1"/>
  <c r="N557" i="3"/>
  <c r="O582" i="3"/>
  <c r="P582" i="3" s="1"/>
  <c r="Q582" i="3" s="1"/>
  <c r="O332" i="3"/>
  <c r="P332" i="3" s="1"/>
  <c r="Q332" i="3" s="1"/>
  <c r="N332" i="3"/>
  <c r="O396" i="3"/>
  <c r="P396" i="3" s="1"/>
  <c r="Q396" i="3" s="1"/>
  <c r="N396" i="3"/>
  <c r="O460" i="3"/>
  <c r="P460" i="3" s="1"/>
  <c r="Q460" i="3" s="1"/>
  <c r="N460" i="3"/>
  <c r="O524" i="3"/>
  <c r="P524" i="3" s="1"/>
  <c r="Q524" i="3" s="1"/>
  <c r="N524" i="3"/>
  <c r="O565" i="3"/>
  <c r="P565" i="3" s="1"/>
  <c r="Q565" i="3" s="1"/>
  <c r="N565" i="3"/>
  <c r="O221" i="3"/>
  <c r="P221" i="3" s="1"/>
  <c r="Q221" i="3" s="1"/>
  <c r="N221" i="3"/>
  <c r="O285" i="3"/>
  <c r="P285" i="3" s="1"/>
  <c r="Q285" i="3" s="1"/>
  <c r="N285" i="3"/>
  <c r="O349" i="3"/>
  <c r="P349" i="3" s="1"/>
  <c r="Q349" i="3" s="1"/>
  <c r="N349" i="3"/>
  <c r="O413" i="3"/>
  <c r="P413" i="3" s="1"/>
  <c r="Q413" i="3" s="1"/>
  <c r="N413" i="3"/>
  <c r="O541" i="3"/>
  <c r="P541" i="3" s="1"/>
  <c r="Q541" i="3" s="1"/>
  <c r="N541" i="3"/>
  <c r="O463" i="3"/>
  <c r="P463" i="3" s="1"/>
  <c r="Q463" i="3" s="1"/>
  <c r="N463" i="3"/>
  <c r="O94" i="3"/>
  <c r="P94" i="3" s="1"/>
  <c r="Q94" i="3" s="1"/>
  <c r="O222" i="3"/>
  <c r="P222" i="3" s="1"/>
  <c r="Q222" i="3" s="1"/>
  <c r="N222" i="3"/>
  <c r="O286" i="3"/>
  <c r="P286" i="3" s="1"/>
  <c r="Q286" i="3" s="1"/>
  <c r="O567" i="3"/>
  <c r="P567" i="3" s="1"/>
  <c r="Q567" i="3" s="1"/>
  <c r="N567" i="3"/>
  <c r="O58" i="3"/>
  <c r="P58" i="3" s="1"/>
  <c r="Q58" i="3" s="1"/>
  <c r="O29" i="3"/>
  <c r="P29" i="3" s="1"/>
  <c r="Q29" i="3" s="1"/>
  <c r="N29" i="3"/>
  <c r="N93" i="3"/>
  <c r="O93" i="3"/>
  <c r="P93" i="3" s="1"/>
  <c r="Q93" i="3" s="1"/>
  <c r="O573" i="3"/>
  <c r="P573" i="3" s="1"/>
  <c r="Q573" i="3" s="1"/>
  <c r="N573" i="3"/>
  <c r="O597" i="3"/>
  <c r="P597" i="3" s="1"/>
  <c r="Q597" i="3" s="1"/>
  <c r="N597" i="3"/>
  <c r="O559" i="3"/>
  <c r="P559" i="3" s="1"/>
  <c r="Q559" i="3" s="1"/>
  <c r="N559" i="3"/>
  <c r="O503" i="3"/>
  <c r="P503" i="3" s="1"/>
  <c r="Q503" i="3" s="1"/>
  <c r="N503" i="3"/>
  <c r="O431" i="3"/>
  <c r="P431" i="3" s="1"/>
  <c r="Q431" i="3" s="1"/>
  <c r="N431" i="3"/>
  <c r="N101" i="3"/>
  <c r="O101" i="3"/>
  <c r="P101" i="3" s="1"/>
  <c r="Q101" i="3" s="1"/>
  <c r="O165" i="3"/>
  <c r="P165" i="3" s="1"/>
  <c r="Q165" i="3" s="1"/>
  <c r="N165" i="3"/>
  <c r="O589" i="3"/>
  <c r="P589" i="3" s="1"/>
  <c r="Q589" i="3" s="1"/>
  <c r="N589" i="3"/>
  <c r="O374" i="3"/>
  <c r="P374" i="3" s="1"/>
  <c r="Q374" i="3" s="1"/>
  <c r="N374" i="3"/>
  <c r="O311" i="3"/>
  <c r="P311" i="3" s="1"/>
  <c r="Q311" i="3" s="1"/>
  <c r="N311" i="3"/>
  <c r="O429" i="3"/>
  <c r="P429" i="3" s="1"/>
  <c r="Q429" i="3" s="1"/>
  <c r="N429" i="3"/>
  <c r="O581" i="3"/>
  <c r="P581" i="3" s="1"/>
  <c r="Q581" i="3" s="1"/>
  <c r="N581" i="3"/>
  <c r="O551" i="3"/>
  <c r="P551" i="3" s="1"/>
  <c r="Q551" i="3" s="1"/>
  <c r="N551" i="3"/>
  <c r="O495" i="3"/>
  <c r="P495" i="3" s="1"/>
  <c r="Q495" i="3" s="1"/>
  <c r="N495" i="3"/>
  <c r="O186" i="3"/>
  <c r="P186" i="3" s="1"/>
  <c r="Q186" i="3" s="1"/>
  <c r="O173" i="3"/>
  <c r="P173" i="3" s="1"/>
  <c r="Q173" i="3" s="1"/>
  <c r="N173" i="3"/>
  <c r="O303" i="3"/>
  <c r="P303" i="3" s="1"/>
  <c r="Q303" i="3" s="1"/>
  <c r="N303" i="3"/>
  <c r="O287" i="3"/>
  <c r="P287" i="3" s="1"/>
  <c r="Q287" i="3" s="1"/>
  <c r="N287" i="3"/>
  <c r="O359" i="3"/>
  <c r="P359" i="3" s="1"/>
  <c r="Q359" i="3" s="1"/>
  <c r="N359" i="3"/>
  <c r="O437" i="3"/>
  <c r="P437" i="3" s="1"/>
  <c r="Q437" i="3" s="1"/>
  <c r="N437" i="3"/>
  <c r="O599" i="3"/>
  <c r="P599" i="3" s="1"/>
  <c r="Q599" i="3" s="1"/>
  <c r="N599" i="3"/>
  <c r="O250" i="3"/>
  <c r="P250" i="3" s="1"/>
  <c r="Q250" i="3" s="1"/>
  <c r="O117" i="3"/>
  <c r="P117" i="3" s="1"/>
  <c r="Q117" i="3" s="1"/>
  <c r="N117" i="3"/>
  <c r="O181" i="3"/>
  <c r="P181" i="3" s="1"/>
  <c r="Q181" i="3" s="1"/>
  <c r="N181" i="3"/>
  <c r="N351" i="3"/>
  <c r="O351" i="3"/>
  <c r="P351" i="3" s="1"/>
  <c r="Q351" i="3" s="1"/>
  <c r="O327" i="3"/>
  <c r="P327" i="3" s="1"/>
  <c r="Q327" i="3" s="1"/>
  <c r="N327" i="3"/>
  <c r="O423" i="3"/>
  <c r="P423" i="3" s="1"/>
  <c r="Q423" i="3" s="1"/>
  <c r="N423" i="3"/>
  <c r="O391" i="3"/>
  <c r="P391" i="3" s="1"/>
  <c r="Q391" i="3" s="1"/>
  <c r="N391" i="3"/>
  <c r="N367" i="3"/>
  <c r="O367" i="3"/>
  <c r="P367" i="3" s="1"/>
  <c r="Q367" i="3" s="1"/>
  <c r="O471" i="3"/>
  <c r="P471" i="3" s="1"/>
  <c r="Q471" i="3" s="1"/>
  <c r="N471" i="3"/>
  <c r="R360" i="3"/>
  <c r="S360" i="3" s="1"/>
  <c r="V360" i="3" s="1"/>
  <c r="P2" i="3"/>
  <c r="Q2" i="3" s="1"/>
  <c r="C476" i="4"/>
  <c r="F476" i="4"/>
  <c r="C110" i="4"/>
  <c r="F110" i="4"/>
  <c r="C106" i="4"/>
  <c r="F106" i="4"/>
  <c r="C249" i="4"/>
  <c r="F249" i="4"/>
  <c r="C336" i="4"/>
  <c r="F336" i="4"/>
  <c r="C69" i="4"/>
  <c r="F69" i="4"/>
  <c r="C373" i="4"/>
  <c r="F373" i="4"/>
  <c r="C494" i="4"/>
  <c r="F494" i="4"/>
  <c r="C464" i="4"/>
  <c r="F464" i="4"/>
  <c r="C188" i="4"/>
  <c r="F188" i="4"/>
  <c r="C537" i="4"/>
  <c r="F537" i="4"/>
  <c r="C475" i="4"/>
  <c r="F475" i="4"/>
  <c r="C463" i="4"/>
  <c r="F463" i="4"/>
  <c r="C399" i="4"/>
  <c r="F399" i="4"/>
  <c r="C148" i="4"/>
  <c r="F148" i="4"/>
  <c r="C276" i="4"/>
  <c r="F276" i="4"/>
  <c r="C404" i="4"/>
  <c r="F404" i="4"/>
  <c r="C484" i="4"/>
  <c r="F484" i="4"/>
  <c r="C548" i="4"/>
  <c r="F548" i="4"/>
  <c r="C422" i="4"/>
  <c r="F422" i="4"/>
  <c r="C358" i="4"/>
  <c r="F358" i="4"/>
  <c r="C294" i="4"/>
  <c r="F294" i="4"/>
  <c r="C230" i="4"/>
  <c r="F230" i="4"/>
  <c r="C166" i="4"/>
  <c r="F166" i="4"/>
  <c r="C102" i="4"/>
  <c r="F102" i="4"/>
  <c r="C418" i="4"/>
  <c r="F418" i="4"/>
  <c r="C354" i="4"/>
  <c r="F354" i="4"/>
  <c r="C290" i="4"/>
  <c r="F290" i="4"/>
  <c r="C226" i="4"/>
  <c r="F226" i="4"/>
  <c r="C162" i="4"/>
  <c r="F162" i="4"/>
  <c r="C98" i="4"/>
  <c r="F98" i="4"/>
  <c r="C433" i="4"/>
  <c r="F433" i="4"/>
  <c r="C369" i="4"/>
  <c r="F369" i="4"/>
  <c r="C305" i="4"/>
  <c r="F305" i="4"/>
  <c r="C241" i="4"/>
  <c r="F241" i="4"/>
  <c r="C177" i="4"/>
  <c r="F177" i="4"/>
  <c r="C113" i="4"/>
  <c r="F113" i="4"/>
  <c r="C17" i="4"/>
  <c r="F17" i="4"/>
  <c r="C392" i="4"/>
  <c r="F392" i="4"/>
  <c r="C328" i="4"/>
  <c r="F328" i="4"/>
  <c r="C264" i="4"/>
  <c r="F264" i="4"/>
  <c r="C200" i="4"/>
  <c r="F200" i="4"/>
  <c r="C136" i="4"/>
  <c r="F136" i="4"/>
  <c r="C63" i="4"/>
  <c r="F63" i="4"/>
  <c r="C48" i="4"/>
  <c r="F48" i="4"/>
  <c r="C61" i="4"/>
  <c r="F61" i="4"/>
  <c r="C75" i="4"/>
  <c r="F75" i="4"/>
  <c r="C11" i="4"/>
  <c r="F11" i="4"/>
  <c r="C26" i="4"/>
  <c r="F26" i="4"/>
  <c r="C133" i="4"/>
  <c r="F133" i="4"/>
  <c r="C261" i="4"/>
  <c r="F261" i="4"/>
  <c r="C389" i="4"/>
  <c r="F389" i="4"/>
  <c r="C477" i="4"/>
  <c r="F477" i="4"/>
  <c r="C541" i="4"/>
  <c r="F541" i="4"/>
  <c r="C30" i="4"/>
  <c r="F30" i="4"/>
  <c r="C183" i="4"/>
  <c r="F183" i="4"/>
  <c r="C311" i="4"/>
  <c r="F311" i="4"/>
  <c r="C436" i="4"/>
  <c r="F436" i="4"/>
  <c r="C502" i="4"/>
  <c r="F502" i="4"/>
  <c r="C566" i="4"/>
  <c r="F566" i="4"/>
  <c r="C380" i="4"/>
  <c r="F380" i="4"/>
  <c r="C472" i="4"/>
  <c r="F472" i="4"/>
  <c r="C536" i="4"/>
  <c r="F536" i="4"/>
  <c r="C600" i="4"/>
  <c r="F600" i="4"/>
  <c r="C236" i="4"/>
  <c r="F236" i="4"/>
  <c r="C451" i="4"/>
  <c r="F451" i="4"/>
  <c r="C579" i="4"/>
  <c r="F579" i="4"/>
  <c r="C211" i="4"/>
  <c r="F211" i="4"/>
  <c r="C437" i="4"/>
  <c r="F437" i="4"/>
  <c r="C567" i="4"/>
  <c r="F567" i="4"/>
  <c r="C189" i="4"/>
  <c r="F189" i="4"/>
  <c r="C413" i="4"/>
  <c r="F413" i="4"/>
  <c r="C553" i="4"/>
  <c r="F553" i="4"/>
  <c r="C141" i="4"/>
  <c r="F141" i="4"/>
  <c r="C351" i="4"/>
  <c r="F351" i="4"/>
  <c r="C522" i="4"/>
  <c r="F522" i="4"/>
  <c r="C93" i="4"/>
  <c r="F93" i="4"/>
  <c r="C300" i="4"/>
  <c r="F300" i="4"/>
  <c r="C491" i="4"/>
  <c r="F491" i="4"/>
  <c r="C70" i="4"/>
  <c r="F70" i="4"/>
  <c r="C275" i="4"/>
  <c r="F275" i="4"/>
  <c r="C479" i="4"/>
  <c r="F479" i="4"/>
  <c r="C14" i="4"/>
  <c r="F14" i="4"/>
  <c r="C156" i="4"/>
  <c r="F156" i="4"/>
  <c r="C283" i="4"/>
  <c r="F283" i="4"/>
  <c r="C482" i="4"/>
  <c r="F482" i="4"/>
  <c r="C562" i="4"/>
  <c r="F562" i="4"/>
  <c r="C227" i="4"/>
  <c r="F227" i="4"/>
  <c r="C578" i="4"/>
  <c r="F578" i="4"/>
  <c r="C388" i="4"/>
  <c r="F388" i="4"/>
  <c r="C302" i="4"/>
  <c r="F302" i="4"/>
  <c r="C298" i="4"/>
  <c r="F298" i="4"/>
  <c r="C4" i="4"/>
  <c r="F4" i="4"/>
  <c r="C33" i="4"/>
  <c r="F33" i="4"/>
  <c r="C144" i="4"/>
  <c r="F144" i="4"/>
  <c r="C5" i="4"/>
  <c r="F5" i="4"/>
  <c r="C117" i="4"/>
  <c r="F117" i="4"/>
  <c r="C597" i="4"/>
  <c r="F597" i="4"/>
  <c r="C558" i="4"/>
  <c r="F558" i="4"/>
  <c r="C528" i="4"/>
  <c r="F528" i="4"/>
  <c r="C563" i="4"/>
  <c r="F563" i="4"/>
  <c r="C381" i="4"/>
  <c r="F381" i="4"/>
  <c r="C271" i="4"/>
  <c r="F271" i="4"/>
  <c r="C591" i="4"/>
  <c r="F591" i="4"/>
  <c r="C450" i="4"/>
  <c r="F450" i="4"/>
  <c r="C132" i="4"/>
  <c r="F132" i="4"/>
  <c r="C430" i="4"/>
  <c r="F430" i="4"/>
  <c r="C12" i="4"/>
  <c r="F12" i="4"/>
  <c r="C170" i="4"/>
  <c r="F170" i="4"/>
  <c r="C185" i="4"/>
  <c r="F185" i="4"/>
  <c r="C208" i="4"/>
  <c r="F208" i="4"/>
  <c r="C34" i="4"/>
  <c r="F34" i="4"/>
  <c r="C533" i="4"/>
  <c r="F533" i="4"/>
  <c r="C295" i="4"/>
  <c r="F295" i="4"/>
  <c r="C592" i="4"/>
  <c r="F592" i="4"/>
  <c r="C411" i="4"/>
  <c r="F411" i="4"/>
  <c r="C115" i="4"/>
  <c r="F115" i="4"/>
  <c r="C54" i="4"/>
  <c r="F54" i="4"/>
  <c r="C252" i="4"/>
  <c r="F252" i="4"/>
  <c r="C22" i="4"/>
  <c r="F22" i="4"/>
  <c r="C514" i="4"/>
  <c r="F514" i="4"/>
  <c r="C164" i="4"/>
  <c r="F164" i="4"/>
  <c r="C292" i="4"/>
  <c r="F292" i="4"/>
  <c r="C420" i="4"/>
  <c r="F420" i="4"/>
  <c r="C492" i="4"/>
  <c r="F492" i="4"/>
  <c r="C556" i="4"/>
  <c r="F556" i="4"/>
  <c r="C414" i="4"/>
  <c r="F414" i="4"/>
  <c r="C350" i="4"/>
  <c r="F350" i="4"/>
  <c r="C286" i="4"/>
  <c r="F286" i="4"/>
  <c r="C222" i="4"/>
  <c r="F222" i="4"/>
  <c r="C158" i="4"/>
  <c r="F158" i="4"/>
  <c r="C94" i="4"/>
  <c r="F94" i="4"/>
  <c r="C410" i="4"/>
  <c r="F410" i="4"/>
  <c r="C346" i="4"/>
  <c r="F346" i="4"/>
  <c r="C282" i="4"/>
  <c r="F282" i="4"/>
  <c r="C218" i="4"/>
  <c r="F218" i="4"/>
  <c r="C154" i="4"/>
  <c r="F154" i="4"/>
  <c r="C90" i="4"/>
  <c r="F90" i="4"/>
  <c r="C425" i="4"/>
  <c r="F425" i="4"/>
  <c r="C361" i="4"/>
  <c r="F361" i="4"/>
  <c r="C297" i="4"/>
  <c r="F297" i="4"/>
  <c r="C233" i="4"/>
  <c r="F233" i="4"/>
  <c r="C169" i="4"/>
  <c r="F169" i="4"/>
  <c r="C105" i="4"/>
  <c r="F105" i="4"/>
  <c r="C448" i="4"/>
  <c r="F448" i="4"/>
  <c r="C384" i="4"/>
  <c r="F384" i="4"/>
  <c r="C320" i="4"/>
  <c r="F320" i="4"/>
  <c r="C256" i="4"/>
  <c r="F256" i="4"/>
  <c r="C192" i="4"/>
  <c r="F192" i="4"/>
  <c r="C128" i="4"/>
  <c r="F128" i="4"/>
  <c r="C47" i="4"/>
  <c r="F47" i="4"/>
  <c r="C40" i="4"/>
  <c r="F40" i="4"/>
  <c r="C53" i="4"/>
  <c r="F53" i="4"/>
  <c r="C67" i="4"/>
  <c r="F67" i="4"/>
  <c r="C3" i="4"/>
  <c r="F3" i="4"/>
  <c r="C18" i="4"/>
  <c r="F18" i="4"/>
  <c r="C149" i="4"/>
  <c r="F149" i="4"/>
  <c r="C277" i="4"/>
  <c r="F277" i="4"/>
  <c r="C405" i="4"/>
  <c r="F405" i="4"/>
  <c r="C485" i="4"/>
  <c r="F485" i="4"/>
  <c r="C549" i="4"/>
  <c r="F549" i="4"/>
  <c r="C62" i="4"/>
  <c r="F62" i="4"/>
  <c r="C199" i="4"/>
  <c r="F199" i="4"/>
  <c r="C327" i="4"/>
  <c r="F327" i="4"/>
  <c r="C445" i="4"/>
  <c r="F445" i="4"/>
  <c r="C510" i="4"/>
  <c r="F510" i="4"/>
  <c r="C574" i="4"/>
  <c r="F574" i="4"/>
  <c r="C396" i="4"/>
  <c r="F396" i="4"/>
  <c r="C480" i="4"/>
  <c r="F480" i="4"/>
  <c r="C544" i="4"/>
  <c r="F544" i="4"/>
  <c r="C38" i="4"/>
  <c r="F38" i="4"/>
  <c r="C259" i="4"/>
  <c r="F259" i="4"/>
  <c r="C467" i="4"/>
  <c r="F467" i="4"/>
  <c r="C595" i="4"/>
  <c r="F595" i="4"/>
  <c r="C237" i="4"/>
  <c r="F237" i="4"/>
  <c r="C455" i="4"/>
  <c r="F455" i="4"/>
  <c r="C583" i="4"/>
  <c r="F583" i="4"/>
  <c r="C219" i="4"/>
  <c r="F219" i="4"/>
  <c r="C439" i="4"/>
  <c r="F439" i="4"/>
  <c r="C569" i="4"/>
  <c r="F569" i="4"/>
  <c r="C171" i="4"/>
  <c r="F171" i="4"/>
  <c r="C383" i="4"/>
  <c r="F383" i="4"/>
  <c r="C538" i="4"/>
  <c r="F538" i="4"/>
  <c r="C123" i="4"/>
  <c r="F123" i="4"/>
  <c r="C323" i="4"/>
  <c r="F323" i="4"/>
  <c r="C507" i="4"/>
  <c r="F507" i="4"/>
  <c r="C95" i="4"/>
  <c r="F95" i="4"/>
  <c r="C301" i="4"/>
  <c r="F301" i="4"/>
  <c r="C495" i="4"/>
  <c r="F495" i="4"/>
  <c r="C155" i="4"/>
  <c r="F155" i="4"/>
  <c r="C255" i="4"/>
  <c r="F255" i="4"/>
  <c r="C397" i="4"/>
  <c r="F397" i="4"/>
  <c r="C546" i="4"/>
  <c r="F546" i="4"/>
  <c r="C577" i="4"/>
  <c r="F577" i="4"/>
  <c r="C498" i="4"/>
  <c r="F498" i="4"/>
  <c r="C23" i="4"/>
  <c r="F23" i="4"/>
  <c r="C180" i="4"/>
  <c r="F180" i="4"/>
  <c r="C308" i="4"/>
  <c r="F308" i="4"/>
  <c r="C434" i="4"/>
  <c r="F434" i="4"/>
  <c r="C500" i="4"/>
  <c r="F500" i="4"/>
  <c r="C564" i="4"/>
  <c r="F564" i="4"/>
  <c r="C406" i="4"/>
  <c r="F406" i="4"/>
  <c r="C342" i="4"/>
  <c r="F342" i="4"/>
  <c r="C278" i="4"/>
  <c r="F278" i="4"/>
  <c r="C214" i="4"/>
  <c r="F214" i="4"/>
  <c r="C150" i="4"/>
  <c r="F150" i="4"/>
  <c r="C86" i="4"/>
  <c r="F86" i="4"/>
  <c r="C402" i="4"/>
  <c r="F402" i="4"/>
  <c r="C338" i="4"/>
  <c r="F338" i="4"/>
  <c r="C274" i="4"/>
  <c r="F274" i="4"/>
  <c r="C210" i="4"/>
  <c r="F210" i="4"/>
  <c r="C146" i="4"/>
  <c r="F146" i="4"/>
  <c r="C82" i="4"/>
  <c r="F82" i="4"/>
  <c r="C417" i="4"/>
  <c r="F417" i="4"/>
  <c r="C353" i="4"/>
  <c r="F353" i="4"/>
  <c r="C289" i="4"/>
  <c r="F289" i="4"/>
  <c r="C225" i="4"/>
  <c r="F225" i="4"/>
  <c r="C161" i="4"/>
  <c r="F161" i="4"/>
  <c r="C97" i="4"/>
  <c r="F97" i="4"/>
  <c r="C440" i="4"/>
  <c r="F440" i="4"/>
  <c r="C376" i="4"/>
  <c r="F376" i="4"/>
  <c r="C312" i="4"/>
  <c r="F312" i="4"/>
  <c r="C248" i="4"/>
  <c r="F248" i="4"/>
  <c r="C184" i="4"/>
  <c r="F184" i="4"/>
  <c r="C120" i="4"/>
  <c r="F120" i="4"/>
  <c r="C31" i="4"/>
  <c r="F31" i="4"/>
  <c r="C32" i="4"/>
  <c r="F32" i="4"/>
  <c r="C45" i="4"/>
  <c r="F45" i="4"/>
  <c r="C59" i="4"/>
  <c r="F59" i="4"/>
  <c r="C74" i="4"/>
  <c r="F74" i="4"/>
  <c r="C10" i="4"/>
  <c r="F10" i="4"/>
  <c r="C165" i="4"/>
  <c r="F165" i="4"/>
  <c r="C293" i="4"/>
  <c r="F293" i="4"/>
  <c r="C421" i="4"/>
  <c r="F421" i="4"/>
  <c r="C493" i="4"/>
  <c r="F493" i="4"/>
  <c r="C557" i="4"/>
  <c r="F557" i="4"/>
  <c r="C87" i="4"/>
  <c r="F87" i="4"/>
  <c r="C215" i="4"/>
  <c r="F215" i="4"/>
  <c r="C343" i="4"/>
  <c r="F343" i="4"/>
  <c r="C454" i="4"/>
  <c r="F454" i="4"/>
  <c r="C518" i="4"/>
  <c r="F518" i="4"/>
  <c r="C582" i="4"/>
  <c r="F582" i="4"/>
  <c r="C412" i="4"/>
  <c r="F412" i="4"/>
  <c r="C488" i="4"/>
  <c r="F488" i="4"/>
  <c r="C552" i="4"/>
  <c r="F552" i="4"/>
  <c r="C78" i="4"/>
  <c r="F78" i="4"/>
  <c r="C285" i="4"/>
  <c r="F285" i="4"/>
  <c r="C483" i="4"/>
  <c r="F483" i="4"/>
  <c r="C39" i="4"/>
  <c r="F39" i="4"/>
  <c r="C267" i="4"/>
  <c r="F267" i="4"/>
  <c r="C471" i="4"/>
  <c r="F471" i="4"/>
  <c r="C599" i="4"/>
  <c r="F599" i="4"/>
  <c r="C239" i="4"/>
  <c r="F239" i="4"/>
  <c r="C457" i="4"/>
  <c r="F457" i="4"/>
  <c r="C585" i="4"/>
  <c r="F585" i="4"/>
  <c r="C191" i="4"/>
  <c r="F191" i="4"/>
  <c r="C415" i="4"/>
  <c r="F415" i="4"/>
  <c r="C554" i="4"/>
  <c r="F554" i="4"/>
  <c r="C143" i="4"/>
  <c r="F143" i="4"/>
  <c r="C355" i="4"/>
  <c r="F355" i="4"/>
  <c r="C523" i="4"/>
  <c r="F523" i="4"/>
  <c r="C124" i="4"/>
  <c r="F124" i="4"/>
  <c r="C331" i="4"/>
  <c r="F331" i="4"/>
  <c r="C511" i="4"/>
  <c r="F511" i="4"/>
  <c r="C253" i="4"/>
  <c r="F253" i="4"/>
  <c r="C367" i="4"/>
  <c r="F367" i="4"/>
  <c r="C481" i="4"/>
  <c r="F481" i="4"/>
  <c r="C99" i="4"/>
  <c r="F99" i="4"/>
  <c r="C127" i="4"/>
  <c r="F127" i="4"/>
  <c r="C55" i="4"/>
  <c r="F55" i="4"/>
  <c r="C196" i="4"/>
  <c r="F196" i="4"/>
  <c r="C324" i="4"/>
  <c r="F324" i="4"/>
  <c r="C443" i="4"/>
  <c r="F443" i="4"/>
  <c r="C508" i="4"/>
  <c r="F508" i="4"/>
  <c r="C572" i="4"/>
  <c r="F572" i="4"/>
  <c r="C398" i="4"/>
  <c r="F398" i="4"/>
  <c r="C334" i="4"/>
  <c r="F334" i="4"/>
  <c r="C270" i="4"/>
  <c r="F270" i="4"/>
  <c r="C206" i="4"/>
  <c r="F206" i="4"/>
  <c r="C142" i="4"/>
  <c r="F142" i="4"/>
  <c r="C76" i="4"/>
  <c r="F76" i="4"/>
  <c r="C394" i="4"/>
  <c r="F394" i="4"/>
  <c r="C330" i="4"/>
  <c r="F330" i="4"/>
  <c r="C266" i="4"/>
  <c r="F266" i="4"/>
  <c r="C202" i="4"/>
  <c r="F202" i="4"/>
  <c r="C138" i="4"/>
  <c r="F138" i="4"/>
  <c r="C68" i="4"/>
  <c r="F68" i="4"/>
  <c r="C409" i="4"/>
  <c r="F409" i="4"/>
  <c r="C345" i="4"/>
  <c r="F345" i="4"/>
  <c r="C281" i="4"/>
  <c r="F281" i="4"/>
  <c r="C217" i="4"/>
  <c r="F217" i="4"/>
  <c r="C153" i="4"/>
  <c r="F153" i="4"/>
  <c r="C89" i="4"/>
  <c r="F89" i="4"/>
  <c r="C432" i="4"/>
  <c r="F432" i="4"/>
  <c r="C368" i="4"/>
  <c r="F368" i="4"/>
  <c r="C304" i="4"/>
  <c r="F304" i="4"/>
  <c r="C240" i="4"/>
  <c r="F240" i="4"/>
  <c r="C176" i="4"/>
  <c r="F176" i="4"/>
  <c r="C112" i="4"/>
  <c r="F112" i="4"/>
  <c r="C15" i="4"/>
  <c r="F15" i="4"/>
  <c r="C24" i="4"/>
  <c r="F24" i="4"/>
  <c r="C37" i="4"/>
  <c r="F37" i="4"/>
  <c r="C51" i="4"/>
  <c r="F51" i="4"/>
  <c r="C66" i="4"/>
  <c r="F66" i="4"/>
  <c r="C2" i="4"/>
  <c r="C181" i="4"/>
  <c r="F181" i="4"/>
  <c r="C309" i="4"/>
  <c r="F309" i="4"/>
  <c r="C435" i="4"/>
  <c r="F435" i="4"/>
  <c r="C501" i="4"/>
  <c r="F501" i="4"/>
  <c r="C565" i="4"/>
  <c r="F565" i="4"/>
  <c r="C103" i="4"/>
  <c r="F103" i="4"/>
  <c r="C231" i="4"/>
  <c r="F231" i="4"/>
  <c r="C359" i="4"/>
  <c r="F359" i="4"/>
  <c r="C462" i="4"/>
  <c r="F462" i="4"/>
  <c r="C526" i="4"/>
  <c r="F526" i="4"/>
  <c r="C590" i="4"/>
  <c r="F590" i="4"/>
  <c r="C427" i="4"/>
  <c r="F427" i="4"/>
  <c r="C496" i="4"/>
  <c r="F496" i="4"/>
  <c r="C560" i="4"/>
  <c r="F560" i="4"/>
  <c r="C108" i="4"/>
  <c r="F108" i="4"/>
  <c r="C315" i="4"/>
  <c r="F315" i="4"/>
  <c r="C499" i="4"/>
  <c r="F499" i="4"/>
  <c r="C83" i="4"/>
  <c r="F83" i="4"/>
  <c r="C287" i="4"/>
  <c r="F287" i="4"/>
  <c r="C487" i="4"/>
  <c r="F487" i="4"/>
  <c r="C41" i="4"/>
  <c r="F41" i="4"/>
  <c r="C268" i="4"/>
  <c r="F268" i="4"/>
  <c r="C473" i="4"/>
  <c r="F473" i="4"/>
  <c r="C601" i="4"/>
  <c r="F601" i="4"/>
  <c r="C220" i="4"/>
  <c r="F220" i="4"/>
  <c r="C441" i="4"/>
  <c r="F441" i="4"/>
  <c r="C570" i="4"/>
  <c r="F570" i="4"/>
  <c r="C172" i="4"/>
  <c r="F172" i="4"/>
  <c r="C387" i="4"/>
  <c r="F387" i="4"/>
  <c r="C539" i="4"/>
  <c r="F539" i="4"/>
  <c r="C147" i="4"/>
  <c r="F147" i="4"/>
  <c r="C363" i="4"/>
  <c r="F363" i="4"/>
  <c r="C527" i="4"/>
  <c r="F527" i="4"/>
  <c r="C365" i="4"/>
  <c r="F365" i="4"/>
  <c r="C466" i="4"/>
  <c r="F466" i="4"/>
  <c r="C545" i="4"/>
  <c r="F545" i="4"/>
  <c r="C204" i="4"/>
  <c r="F204" i="4"/>
  <c r="C449" i="4"/>
  <c r="F449" i="4"/>
  <c r="C107" i="4"/>
  <c r="F107" i="4"/>
  <c r="C84" i="4"/>
  <c r="F84" i="4"/>
  <c r="C212" i="4"/>
  <c r="F212" i="4"/>
  <c r="C340" i="4"/>
  <c r="F340" i="4"/>
  <c r="C452" i="4"/>
  <c r="F452" i="4"/>
  <c r="C516" i="4"/>
  <c r="F516" i="4"/>
  <c r="C580" i="4"/>
  <c r="F580" i="4"/>
  <c r="C390" i="4"/>
  <c r="F390" i="4"/>
  <c r="C326" i="4"/>
  <c r="F326" i="4"/>
  <c r="C262" i="4"/>
  <c r="F262" i="4"/>
  <c r="C198" i="4"/>
  <c r="F198" i="4"/>
  <c r="C134" i="4"/>
  <c r="F134" i="4"/>
  <c r="C60" i="4"/>
  <c r="F60" i="4"/>
  <c r="C386" i="4"/>
  <c r="F386" i="4"/>
  <c r="C322" i="4"/>
  <c r="F322" i="4"/>
  <c r="C258" i="4"/>
  <c r="F258" i="4"/>
  <c r="C194" i="4"/>
  <c r="F194" i="4"/>
  <c r="C130" i="4"/>
  <c r="F130" i="4"/>
  <c r="C52" i="4"/>
  <c r="F52" i="4"/>
  <c r="C401" i="4"/>
  <c r="F401" i="4"/>
  <c r="C337" i="4"/>
  <c r="F337" i="4"/>
  <c r="C273" i="4"/>
  <c r="F273" i="4"/>
  <c r="C209" i="4"/>
  <c r="F209" i="4"/>
  <c r="C145" i="4"/>
  <c r="F145" i="4"/>
  <c r="C81" i="4"/>
  <c r="F81" i="4"/>
  <c r="C424" i="4"/>
  <c r="F424" i="4"/>
  <c r="C360" i="4"/>
  <c r="F360" i="4"/>
  <c r="C296" i="4"/>
  <c r="F296" i="4"/>
  <c r="C232" i="4"/>
  <c r="F232" i="4"/>
  <c r="C168" i="4"/>
  <c r="F168" i="4"/>
  <c r="C104" i="4"/>
  <c r="F104" i="4"/>
  <c r="C80" i="4"/>
  <c r="F80" i="4"/>
  <c r="C16" i="4"/>
  <c r="F16" i="4"/>
  <c r="C29" i="4"/>
  <c r="F29" i="4"/>
  <c r="C43" i="4"/>
  <c r="F43" i="4"/>
  <c r="C58" i="4"/>
  <c r="F58" i="4"/>
  <c r="C57" i="4"/>
  <c r="F57" i="4"/>
  <c r="C197" i="4"/>
  <c r="F197" i="4"/>
  <c r="C325" i="4"/>
  <c r="F325" i="4"/>
  <c r="C444" i="4"/>
  <c r="F444" i="4"/>
  <c r="C509" i="4"/>
  <c r="F509" i="4"/>
  <c r="C573" i="4"/>
  <c r="F573" i="4"/>
  <c r="C119" i="4"/>
  <c r="F119" i="4"/>
  <c r="C247" i="4"/>
  <c r="F247" i="4"/>
  <c r="C375" i="4"/>
  <c r="F375" i="4"/>
  <c r="C470" i="4"/>
  <c r="F470" i="4"/>
  <c r="C534" i="4"/>
  <c r="F534" i="4"/>
  <c r="C598" i="4"/>
  <c r="F598" i="4"/>
  <c r="C438" i="4"/>
  <c r="F438" i="4"/>
  <c r="C504" i="4"/>
  <c r="F504" i="4"/>
  <c r="C568" i="4"/>
  <c r="F568" i="4"/>
  <c r="C131" i="4"/>
  <c r="F131" i="4"/>
  <c r="C339" i="4"/>
  <c r="F339" i="4"/>
  <c r="C515" i="4"/>
  <c r="F515" i="4"/>
  <c r="C109" i="4"/>
  <c r="F109" i="4"/>
  <c r="C316" i="4"/>
  <c r="F316" i="4"/>
  <c r="C503" i="4"/>
  <c r="F503" i="4"/>
  <c r="C91" i="4"/>
  <c r="F91" i="4"/>
  <c r="C291" i="4"/>
  <c r="F291" i="4"/>
  <c r="C489" i="4"/>
  <c r="F489" i="4"/>
  <c r="C6" i="4"/>
  <c r="F6" i="4"/>
  <c r="C243" i="4"/>
  <c r="F243" i="4"/>
  <c r="C458" i="4"/>
  <c r="F458" i="4"/>
  <c r="C586" i="4"/>
  <c r="F586" i="4"/>
  <c r="C195" i="4"/>
  <c r="F195" i="4"/>
  <c r="C419" i="4"/>
  <c r="F419" i="4"/>
  <c r="C555" i="4"/>
  <c r="F555" i="4"/>
  <c r="C173" i="4"/>
  <c r="F173" i="4"/>
  <c r="C395" i="4"/>
  <c r="F395" i="4"/>
  <c r="C543" i="4"/>
  <c r="F543" i="4"/>
  <c r="C465" i="4"/>
  <c r="F465" i="4"/>
  <c r="C530" i="4"/>
  <c r="F530" i="4"/>
  <c r="C73" i="4"/>
  <c r="F73" i="4"/>
  <c r="C303" i="4"/>
  <c r="F303" i="4"/>
  <c r="C335" i="4"/>
  <c r="F335" i="4"/>
  <c r="C540" i="4"/>
  <c r="F540" i="4"/>
  <c r="C238" i="4"/>
  <c r="F238" i="4"/>
  <c r="C234" i="4"/>
  <c r="F234" i="4"/>
  <c r="C313" i="4"/>
  <c r="F313" i="4"/>
  <c r="C400" i="4"/>
  <c r="F400" i="4"/>
  <c r="C79" i="4"/>
  <c r="F79" i="4"/>
  <c r="C19" i="4"/>
  <c r="F19" i="4"/>
  <c r="C469" i="4"/>
  <c r="F469" i="4"/>
  <c r="C167" i="4"/>
  <c r="F167" i="4"/>
  <c r="C364" i="4"/>
  <c r="F364" i="4"/>
  <c r="C431" i="4"/>
  <c r="F431" i="4"/>
  <c r="C163" i="4"/>
  <c r="F163" i="4"/>
  <c r="C506" i="4"/>
  <c r="F506" i="4"/>
  <c r="C561" i="4"/>
  <c r="F561" i="4"/>
  <c r="C100" i="4"/>
  <c r="F100" i="4"/>
  <c r="C228" i="4"/>
  <c r="F228" i="4"/>
  <c r="C356" i="4"/>
  <c r="F356" i="4"/>
  <c r="C460" i="4"/>
  <c r="F460" i="4"/>
  <c r="C524" i="4"/>
  <c r="F524" i="4"/>
  <c r="C588" i="4"/>
  <c r="F588" i="4"/>
  <c r="C382" i="4"/>
  <c r="F382" i="4"/>
  <c r="C318" i="4"/>
  <c r="F318" i="4"/>
  <c r="C254" i="4"/>
  <c r="F254" i="4"/>
  <c r="C190" i="4"/>
  <c r="F190" i="4"/>
  <c r="C126" i="4"/>
  <c r="F126" i="4"/>
  <c r="C44" i="4"/>
  <c r="F44" i="4"/>
  <c r="C378" i="4"/>
  <c r="F378" i="4"/>
  <c r="C314" i="4"/>
  <c r="F314" i="4"/>
  <c r="C250" i="4"/>
  <c r="F250" i="4"/>
  <c r="C186" i="4"/>
  <c r="F186" i="4"/>
  <c r="C122" i="4"/>
  <c r="F122" i="4"/>
  <c r="C36" i="4"/>
  <c r="F36" i="4"/>
  <c r="C393" i="4"/>
  <c r="F393" i="4"/>
  <c r="C329" i="4"/>
  <c r="F329" i="4"/>
  <c r="C265" i="4"/>
  <c r="F265" i="4"/>
  <c r="C201" i="4"/>
  <c r="F201" i="4"/>
  <c r="C137" i="4"/>
  <c r="F137" i="4"/>
  <c r="C65" i="4"/>
  <c r="F65" i="4"/>
  <c r="C416" i="4"/>
  <c r="F416" i="4"/>
  <c r="C352" i="4"/>
  <c r="F352" i="4"/>
  <c r="C288" i="4"/>
  <c r="F288" i="4"/>
  <c r="C224" i="4"/>
  <c r="F224" i="4"/>
  <c r="C160" i="4"/>
  <c r="F160" i="4"/>
  <c r="C96" i="4"/>
  <c r="F96" i="4"/>
  <c r="C72" i="4"/>
  <c r="F72" i="4"/>
  <c r="C8" i="4"/>
  <c r="F8" i="4"/>
  <c r="C21" i="4"/>
  <c r="F21" i="4"/>
  <c r="C35" i="4"/>
  <c r="F35" i="4"/>
  <c r="C50" i="4"/>
  <c r="F50" i="4"/>
  <c r="C85" i="4"/>
  <c r="F85" i="4"/>
  <c r="C213" i="4"/>
  <c r="F213" i="4"/>
  <c r="C341" i="4"/>
  <c r="F341" i="4"/>
  <c r="C453" i="4"/>
  <c r="F453" i="4"/>
  <c r="C517" i="4"/>
  <c r="F517" i="4"/>
  <c r="C581" i="4"/>
  <c r="F581" i="4"/>
  <c r="C135" i="4"/>
  <c r="F135" i="4"/>
  <c r="C263" i="4"/>
  <c r="F263" i="4"/>
  <c r="C391" i="4"/>
  <c r="F391" i="4"/>
  <c r="C478" i="4"/>
  <c r="F478" i="4"/>
  <c r="C542" i="4"/>
  <c r="F542" i="4"/>
  <c r="C332" i="4"/>
  <c r="F332" i="4"/>
  <c r="C447" i="4"/>
  <c r="F447" i="4"/>
  <c r="C512" i="4"/>
  <c r="F512" i="4"/>
  <c r="C576" i="4"/>
  <c r="F576" i="4"/>
  <c r="C157" i="4"/>
  <c r="F157" i="4"/>
  <c r="C371" i="4"/>
  <c r="F371" i="4"/>
  <c r="C531" i="4"/>
  <c r="F531" i="4"/>
  <c r="C139" i="4"/>
  <c r="F139" i="4"/>
  <c r="C347" i="4"/>
  <c r="F347" i="4"/>
  <c r="C519" i="4"/>
  <c r="F519" i="4"/>
  <c r="C111" i="4"/>
  <c r="F111" i="4"/>
  <c r="C317" i="4"/>
  <c r="F317" i="4"/>
  <c r="C505" i="4"/>
  <c r="F505" i="4"/>
  <c r="C46" i="4"/>
  <c r="F46" i="4"/>
  <c r="C269" i="4"/>
  <c r="F269" i="4"/>
  <c r="C474" i="4"/>
  <c r="F474" i="4"/>
  <c r="C602" i="4"/>
  <c r="F602" i="4"/>
  <c r="C221" i="4"/>
  <c r="F221" i="4"/>
  <c r="C442" i="4"/>
  <c r="F442" i="4"/>
  <c r="C571" i="4"/>
  <c r="F571" i="4"/>
  <c r="C203" i="4"/>
  <c r="F203" i="4"/>
  <c r="C426" i="4"/>
  <c r="F426" i="4"/>
  <c r="C559" i="4"/>
  <c r="F559" i="4"/>
  <c r="C529" i="4"/>
  <c r="F529" i="4"/>
  <c r="C594" i="4"/>
  <c r="F594" i="4"/>
  <c r="C179" i="4"/>
  <c r="F179" i="4"/>
  <c r="C428" i="4"/>
  <c r="F428" i="4"/>
  <c r="C235" i="4"/>
  <c r="F235" i="4"/>
  <c r="C260" i="4"/>
  <c r="F260" i="4"/>
  <c r="C366" i="4"/>
  <c r="F366" i="4"/>
  <c r="C174" i="4"/>
  <c r="F174" i="4"/>
  <c r="C362" i="4"/>
  <c r="F362" i="4"/>
  <c r="C377" i="4"/>
  <c r="F377" i="4"/>
  <c r="C121" i="4"/>
  <c r="F121" i="4"/>
  <c r="C272" i="4"/>
  <c r="F272" i="4"/>
  <c r="C56" i="4"/>
  <c r="F56" i="4"/>
  <c r="C245" i="4"/>
  <c r="F245" i="4"/>
  <c r="C423" i="4"/>
  <c r="F423" i="4"/>
  <c r="C207" i="4"/>
  <c r="F207" i="4"/>
  <c r="C551" i="4"/>
  <c r="F551" i="4"/>
  <c r="C319" i="4"/>
  <c r="F319" i="4"/>
  <c r="C9" i="4"/>
  <c r="F9" i="4"/>
  <c r="C175" i="4"/>
  <c r="F175" i="4"/>
  <c r="C116" i="4"/>
  <c r="F116" i="4"/>
  <c r="C244" i="4"/>
  <c r="F244" i="4"/>
  <c r="C372" i="4"/>
  <c r="F372" i="4"/>
  <c r="C468" i="4"/>
  <c r="F468" i="4"/>
  <c r="C532" i="4"/>
  <c r="F532" i="4"/>
  <c r="C596" i="4"/>
  <c r="F596" i="4"/>
  <c r="C374" i="4"/>
  <c r="F374" i="4"/>
  <c r="C310" i="4"/>
  <c r="F310" i="4"/>
  <c r="C246" i="4"/>
  <c r="F246" i="4"/>
  <c r="C182" i="4"/>
  <c r="F182" i="4"/>
  <c r="C118" i="4"/>
  <c r="F118" i="4"/>
  <c r="C28" i="4"/>
  <c r="F28" i="4"/>
  <c r="C370" i="4"/>
  <c r="F370" i="4"/>
  <c r="C306" i="4"/>
  <c r="F306" i="4"/>
  <c r="C242" i="4"/>
  <c r="F242" i="4"/>
  <c r="C178" i="4"/>
  <c r="F178" i="4"/>
  <c r="C114" i="4"/>
  <c r="F114" i="4"/>
  <c r="C20" i="4"/>
  <c r="F20" i="4"/>
  <c r="C385" i="4"/>
  <c r="F385" i="4"/>
  <c r="C321" i="4"/>
  <c r="F321" i="4"/>
  <c r="C257" i="4"/>
  <c r="F257" i="4"/>
  <c r="C193" i="4"/>
  <c r="F193" i="4"/>
  <c r="C129" i="4"/>
  <c r="F129" i="4"/>
  <c r="C49" i="4"/>
  <c r="F49" i="4"/>
  <c r="C408" i="4"/>
  <c r="F408" i="4"/>
  <c r="C344" i="4"/>
  <c r="F344" i="4"/>
  <c r="C280" i="4"/>
  <c r="F280" i="4"/>
  <c r="C216" i="4"/>
  <c r="F216" i="4"/>
  <c r="C152" i="4"/>
  <c r="F152" i="4"/>
  <c r="C88" i="4"/>
  <c r="F88" i="4"/>
  <c r="C64" i="4"/>
  <c r="F64" i="4"/>
  <c r="C77" i="4"/>
  <c r="F77" i="4"/>
  <c r="C13" i="4"/>
  <c r="F13" i="4"/>
  <c r="C27" i="4"/>
  <c r="F27" i="4"/>
  <c r="C42" i="4"/>
  <c r="F42" i="4"/>
  <c r="C101" i="4"/>
  <c r="F101" i="4"/>
  <c r="C229" i="4"/>
  <c r="F229" i="4"/>
  <c r="C357" i="4"/>
  <c r="F357" i="4"/>
  <c r="C461" i="4"/>
  <c r="F461" i="4"/>
  <c r="C525" i="4"/>
  <c r="F525" i="4"/>
  <c r="C589" i="4"/>
  <c r="F589" i="4"/>
  <c r="C151" i="4"/>
  <c r="F151" i="4"/>
  <c r="C279" i="4"/>
  <c r="F279" i="4"/>
  <c r="C407" i="4"/>
  <c r="F407" i="4"/>
  <c r="C486" i="4"/>
  <c r="F486" i="4"/>
  <c r="C550" i="4"/>
  <c r="F550" i="4"/>
  <c r="C348" i="4"/>
  <c r="F348" i="4"/>
  <c r="C456" i="4"/>
  <c r="F456" i="4"/>
  <c r="C520" i="4"/>
  <c r="F520" i="4"/>
  <c r="C584" i="4"/>
  <c r="F584" i="4"/>
  <c r="C187" i="4"/>
  <c r="F187" i="4"/>
  <c r="C403" i="4"/>
  <c r="F403" i="4"/>
  <c r="C547" i="4"/>
  <c r="F547" i="4"/>
  <c r="C159" i="4"/>
  <c r="F159" i="4"/>
  <c r="C379" i="4"/>
  <c r="F379" i="4"/>
  <c r="C535" i="4"/>
  <c r="F535" i="4"/>
  <c r="C140" i="4"/>
  <c r="F140" i="4"/>
  <c r="C349" i="4"/>
  <c r="F349" i="4"/>
  <c r="C521" i="4"/>
  <c r="F521" i="4"/>
  <c r="C92" i="4"/>
  <c r="F92" i="4"/>
  <c r="C299" i="4"/>
  <c r="F299" i="4"/>
  <c r="C490" i="4"/>
  <c r="F490" i="4"/>
  <c r="C7" i="4"/>
  <c r="F7" i="4"/>
  <c r="C251" i="4"/>
  <c r="F251" i="4"/>
  <c r="C459" i="4"/>
  <c r="F459" i="4"/>
  <c r="C587" i="4"/>
  <c r="F587" i="4"/>
  <c r="C223" i="4"/>
  <c r="F223" i="4"/>
  <c r="C446" i="4"/>
  <c r="F446" i="4"/>
  <c r="C575" i="4"/>
  <c r="F575" i="4"/>
  <c r="C593" i="4"/>
  <c r="F593" i="4"/>
  <c r="C71" i="4"/>
  <c r="F71" i="4"/>
  <c r="C284" i="4"/>
  <c r="F284" i="4"/>
  <c r="C497" i="4"/>
  <c r="F497" i="4"/>
  <c r="C205" i="4"/>
  <c r="F205" i="4"/>
  <c r="C513" i="4"/>
  <c r="F513" i="4"/>
  <c r="R458" i="3"/>
  <c r="S458" i="3" s="1"/>
  <c r="V458" i="3" s="1"/>
  <c r="R490" i="3"/>
  <c r="S490" i="3" s="1"/>
  <c r="V490" i="3" s="1"/>
  <c r="R554" i="3"/>
  <c r="S554" i="3" s="1"/>
  <c r="V554" i="3" s="1"/>
  <c r="R522" i="3"/>
  <c r="S522" i="3" s="1"/>
  <c r="V522" i="3" s="1"/>
  <c r="R362" i="3"/>
  <c r="S362" i="3" s="1"/>
  <c r="V362" i="3" s="1"/>
  <c r="R426" i="3"/>
  <c r="S426" i="3" s="1"/>
  <c r="V426" i="3" s="1"/>
  <c r="R50" i="3"/>
  <c r="S50" i="3" s="1"/>
  <c r="V50" i="3" s="1"/>
  <c r="R448" i="3"/>
  <c r="S448" i="3" s="1"/>
  <c r="V448" i="3" s="1"/>
  <c r="R134" i="3"/>
  <c r="S134" i="3" s="1"/>
  <c r="V134" i="3" s="1"/>
  <c r="R230" i="3"/>
  <c r="S230" i="3" s="1"/>
  <c r="V230" i="3" s="1"/>
  <c r="R18" i="3"/>
  <c r="S18" i="3" s="1"/>
  <c r="V18" i="3" s="1"/>
  <c r="R368" i="3"/>
  <c r="S368" i="3" s="1"/>
  <c r="V368" i="3" s="1"/>
  <c r="R62" i="3"/>
  <c r="S62" i="3" s="1"/>
  <c r="V62" i="3" s="1"/>
  <c r="R254" i="3"/>
  <c r="S254" i="3" s="1"/>
  <c r="V254" i="3" s="1"/>
  <c r="R312" i="3"/>
  <c r="S312" i="3" s="1"/>
  <c r="V312" i="3" s="1"/>
  <c r="R384" i="3"/>
  <c r="S384" i="3" s="1"/>
  <c r="V384" i="3" s="1"/>
  <c r="R424" i="3"/>
  <c r="S424" i="3" s="1"/>
  <c r="V424" i="3" s="1"/>
  <c r="S544" i="3"/>
  <c r="V544" i="3" s="1"/>
  <c r="S528" i="3"/>
  <c r="V528" i="3" s="1"/>
  <c r="S586" i="3"/>
  <c r="V586" i="3" s="1"/>
  <c r="R456" i="3"/>
  <c r="R464" i="3"/>
  <c r="R488" i="3"/>
  <c r="R512" i="3"/>
  <c r="R416" i="3"/>
  <c r="R520" i="3"/>
  <c r="R330" i="3"/>
  <c r="R352" i="3"/>
  <c r="R400" i="3"/>
  <c r="R248" i="3"/>
  <c r="R570" i="3"/>
  <c r="R328" i="3"/>
  <c r="R394" i="3"/>
  <c r="R118" i="3"/>
  <c r="R530" i="3"/>
  <c r="R81" i="3"/>
  <c r="R144" i="3"/>
  <c r="R16" i="3"/>
  <c r="R454" i="3"/>
  <c r="R390" i="3"/>
  <c r="R152" i="3"/>
  <c r="R392" i="3"/>
  <c r="R265" i="3"/>
  <c r="R65" i="3"/>
  <c r="R569" i="3"/>
  <c r="R377" i="3"/>
  <c r="R313" i="3"/>
  <c r="R249" i="3"/>
  <c r="R136" i="3"/>
  <c r="R320" i="3"/>
  <c r="R578" i="3"/>
  <c r="R97" i="3"/>
  <c r="R177" i="3"/>
  <c r="R561" i="3"/>
  <c r="R433" i="3"/>
  <c r="R369" i="3"/>
  <c r="R305" i="3"/>
  <c r="R240" i="3"/>
  <c r="R121" i="3"/>
  <c r="R193" i="3"/>
  <c r="R457" i="3"/>
  <c r="R480" i="3"/>
  <c r="R33" i="3"/>
  <c r="R489" i="3"/>
  <c r="R361" i="3"/>
  <c r="R26" i="3"/>
  <c r="R366" i="3"/>
  <c r="R442" i="3"/>
  <c r="R386" i="3"/>
  <c r="R486" i="3"/>
  <c r="R41" i="3"/>
  <c r="R22" i="3"/>
  <c r="R150" i="3"/>
  <c r="R214" i="3"/>
  <c r="R145" i="3"/>
  <c r="R545" i="3"/>
  <c r="R481" i="3"/>
  <c r="R289" i="3"/>
  <c r="R10" i="3"/>
  <c r="R89" i="3"/>
  <c r="R449" i="3"/>
  <c r="R393" i="3"/>
  <c r="R434" i="3"/>
  <c r="R314" i="3"/>
  <c r="R537" i="3"/>
  <c r="R409" i="3"/>
  <c r="R345" i="3"/>
  <c r="R192" i="3"/>
  <c r="R64" i="3"/>
  <c r="R542" i="3"/>
  <c r="R414" i="3"/>
  <c r="R201" i="3"/>
  <c r="R73" i="3"/>
  <c r="R280" i="3"/>
  <c r="R34" i="3"/>
  <c r="R506" i="3"/>
  <c r="R310" i="3"/>
  <c r="R521" i="3"/>
  <c r="R32" i="3"/>
  <c r="R432" i="3"/>
  <c r="R440" i="3"/>
  <c r="R306" i="3"/>
  <c r="R241" i="3"/>
  <c r="R113" i="3"/>
  <c r="R593" i="3"/>
  <c r="R529" i="3"/>
  <c r="R401" i="3"/>
  <c r="R273" i="3"/>
  <c r="R470" i="3"/>
  <c r="R342" i="3"/>
  <c r="R185" i="3"/>
  <c r="R184" i="3"/>
  <c r="R56" i="3"/>
  <c r="R387" i="3" l="1"/>
  <c r="S387" i="3" s="1"/>
  <c r="V387" i="3" s="1"/>
  <c r="R221" i="3"/>
  <c r="S221" i="3" s="1"/>
  <c r="V221" i="3" s="1"/>
  <c r="R179" i="3"/>
  <c r="S179" i="3" s="1"/>
  <c r="V179" i="3" s="1"/>
  <c r="R166" i="3"/>
  <c r="S166" i="3" s="1"/>
  <c r="V166" i="3" s="1"/>
  <c r="R452" i="3"/>
  <c r="S452" i="3" s="1"/>
  <c r="V452" i="3" s="1"/>
  <c r="R37" i="3"/>
  <c r="S37" i="3" s="1"/>
  <c r="V37" i="3" s="1"/>
  <c r="R269" i="3"/>
  <c r="S269" i="3" s="1"/>
  <c r="V269" i="3" s="1"/>
  <c r="R271" i="3"/>
  <c r="S271" i="3" s="1"/>
  <c r="V271" i="3" s="1"/>
  <c r="R102" i="3"/>
  <c r="S102" i="3" s="1"/>
  <c r="V102" i="3" s="1"/>
  <c r="R252" i="3"/>
  <c r="S252" i="3" s="1"/>
  <c r="V252" i="3" s="1"/>
  <c r="R315" i="3"/>
  <c r="S315" i="3" s="1"/>
  <c r="V315" i="3" s="1"/>
  <c r="R573" i="3"/>
  <c r="S573" i="3" s="1"/>
  <c r="V573" i="3" s="1"/>
  <c r="R222" i="3"/>
  <c r="S222" i="3" s="1"/>
  <c r="V222" i="3" s="1"/>
  <c r="R301" i="3"/>
  <c r="S301" i="3" s="1"/>
  <c r="V301" i="3" s="1"/>
  <c r="R399" i="3"/>
  <c r="S399" i="3" s="1"/>
  <c r="V399" i="3" s="1"/>
  <c r="R493" i="3"/>
  <c r="S493" i="3" s="1"/>
  <c r="V493" i="3" s="1"/>
  <c r="R198" i="3"/>
  <c r="S198" i="3" s="1"/>
  <c r="V198" i="3" s="1"/>
  <c r="R579" i="3"/>
  <c r="S579" i="3" s="1"/>
  <c r="V579" i="3" s="1"/>
  <c r="R94" i="3"/>
  <c r="S94" i="3" s="1"/>
  <c r="V94" i="3" s="1"/>
  <c r="R429" i="3"/>
  <c r="S429" i="3" s="1"/>
  <c r="V429" i="3" s="1"/>
  <c r="R559" i="3"/>
  <c r="S559" i="3" s="1"/>
  <c r="V559" i="3" s="1"/>
  <c r="R331" i="3"/>
  <c r="S331" i="3" s="1"/>
  <c r="V331" i="3" s="1"/>
  <c r="R85" i="3"/>
  <c r="S85" i="3" s="1"/>
  <c r="V85" i="3" s="1"/>
  <c r="R412" i="3"/>
  <c r="S412" i="3" s="1"/>
  <c r="V412" i="3" s="1"/>
  <c r="R195" i="3"/>
  <c r="S195" i="3" s="1"/>
  <c r="V195" i="3" s="1"/>
  <c r="R30" i="3"/>
  <c r="S30" i="3" s="1"/>
  <c r="V30" i="3" s="1"/>
  <c r="R525" i="3"/>
  <c r="S525" i="3" s="1"/>
  <c r="V525" i="3" s="1"/>
  <c r="R564" i="3"/>
  <c r="S564" i="3" s="1"/>
  <c r="V564" i="3" s="1"/>
  <c r="R55" i="3"/>
  <c r="S55" i="3" s="1"/>
  <c r="V55" i="3" s="1"/>
  <c r="R363" i="3"/>
  <c r="S363" i="3" s="1"/>
  <c r="V363" i="3" s="1"/>
  <c r="R70" i="3"/>
  <c r="S70" i="3" s="1"/>
  <c r="V70" i="3" s="1"/>
  <c r="R158" i="3"/>
  <c r="S158" i="3" s="1"/>
  <c r="V158" i="3" s="1"/>
  <c r="R243" i="3"/>
  <c r="S243" i="3" s="1"/>
  <c r="V243" i="3" s="1"/>
  <c r="R485" i="3"/>
  <c r="S485" i="3" s="1"/>
  <c r="V485" i="3" s="1"/>
  <c r="R317" i="3"/>
  <c r="S317" i="3" s="1"/>
  <c r="V317" i="3" s="1"/>
  <c r="R270" i="3"/>
  <c r="S270" i="3" s="1"/>
  <c r="V270" i="3" s="1"/>
  <c r="R2" i="3"/>
  <c r="S2" i="3" s="1"/>
  <c r="Q564" i="6"/>
  <c r="Q14" i="6"/>
  <c r="S398" i="6"/>
  <c r="L345" i="6"/>
  <c r="N345" i="6" s="1"/>
  <c r="Q345" i="6" s="1"/>
  <c r="Q116" i="6"/>
  <c r="L409" i="6"/>
  <c r="N409" i="6" s="1"/>
  <c r="K409" i="6"/>
  <c r="L2" i="6"/>
  <c r="J2" i="6"/>
  <c r="K2" i="6" s="1"/>
  <c r="Q512" i="6"/>
  <c r="N39" i="6"/>
  <c r="Q39" i="6" s="1"/>
  <c r="L128" i="6"/>
  <c r="N128" i="6" s="1"/>
  <c r="K128" i="6"/>
  <c r="L180" i="6"/>
  <c r="N180" i="6" s="1"/>
  <c r="K180" i="6"/>
  <c r="L448" i="6"/>
  <c r="N448" i="6" s="1"/>
  <c r="L64" i="6"/>
  <c r="N64" i="6" s="1"/>
  <c r="L24" i="6"/>
  <c r="N24" i="6" s="1"/>
  <c r="S364" i="6"/>
  <c r="L426" i="6"/>
  <c r="N426" i="6" s="1"/>
  <c r="L523" i="6"/>
  <c r="N523" i="6" s="1"/>
  <c r="S53" i="6"/>
  <c r="L437" i="6"/>
  <c r="N437" i="6" s="1"/>
  <c r="Q437" i="6" s="1"/>
  <c r="L439" i="6"/>
  <c r="N439" i="6" s="1"/>
  <c r="S233" i="6"/>
  <c r="S566" i="6"/>
  <c r="S486" i="6"/>
  <c r="L535" i="6"/>
  <c r="N535" i="6" s="1"/>
  <c r="L228" i="6"/>
  <c r="N228" i="6" s="1"/>
  <c r="S23" i="6"/>
  <c r="L316" i="6"/>
  <c r="S111" i="6"/>
  <c r="L96" i="6"/>
  <c r="N96" i="6" s="1"/>
  <c r="S98" i="6"/>
  <c r="L290" i="6"/>
  <c r="N290" i="6" s="1"/>
  <c r="S3" i="6"/>
  <c r="L387" i="6"/>
  <c r="N387" i="6" s="1"/>
  <c r="S515" i="6"/>
  <c r="L109" i="6"/>
  <c r="N109" i="6" s="1"/>
  <c r="S429" i="6"/>
  <c r="L568" i="6"/>
  <c r="N568" i="6" s="1"/>
  <c r="S56" i="6"/>
  <c r="L119" i="6"/>
  <c r="L412" i="6"/>
  <c r="N412" i="6" s="1"/>
  <c r="S207" i="6"/>
  <c r="S588" i="6"/>
  <c r="L585" i="6"/>
  <c r="L279" i="6"/>
  <c r="N279" i="6" s="1"/>
  <c r="S73" i="6"/>
  <c r="S161" i="6"/>
  <c r="L455" i="6"/>
  <c r="N455" i="6" s="1"/>
  <c r="L148" i="6"/>
  <c r="N148" i="6" s="1"/>
  <c r="S66" i="6"/>
  <c r="L258" i="6"/>
  <c r="N258" i="6" s="1"/>
  <c r="Q258" i="6" s="1"/>
  <c r="S578" i="6"/>
  <c r="L355" i="6"/>
  <c r="N355" i="6" s="1"/>
  <c r="S483" i="6"/>
  <c r="L77" i="6"/>
  <c r="N77" i="6" s="1"/>
  <c r="L269" i="6"/>
  <c r="S397" i="6"/>
  <c r="L312" i="6"/>
  <c r="N312" i="6" s="1"/>
  <c r="S108" i="6"/>
  <c r="L567" i="6"/>
  <c r="L260" i="6"/>
  <c r="N260" i="6" s="1"/>
  <c r="S55" i="6"/>
  <c r="L472" i="6"/>
  <c r="N472" i="6" s="1"/>
  <c r="S49" i="6"/>
  <c r="L328" i="6"/>
  <c r="N328" i="6" s="1"/>
  <c r="L22" i="6"/>
  <c r="N22" i="6" s="1"/>
  <c r="L169" i="6"/>
  <c r="N169" i="6" s="1"/>
  <c r="Q169" i="6" s="1"/>
  <c r="L98" i="6"/>
  <c r="N98" i="6" s="1"/>
  <c r="S323" i="6"/>
  <c r="S222" i="6"/>
  <c r="S422" i="6"/>
  <c r="S494" i="6"/>
  <c r="S234" i="6"/>
  <c r="S68" i="6"/>
  <c r="L132" i="6"/>
  <c r="N132" i="6" s="1"/>
  <c r="L369" i="6"/>
  <c r="S584" i="6"/>
  <c r="L278" i="6"/>
  <c r="S366" i="6"/>
  <c r="S314" i="6"/>
  <c r="L506" i="6"/>
  <c r="N506" i="6" s="1"/>
  <c r="L91" i="6"/>
  <c r="N91" i="6" s="1"/>
  <c r="S219" i="6"/>
  <c r="L5" i="6"/>
  <c r="S133" i="6"/>
  <c r="L517" i="6"/>
  <c r="N517" i="6" s="1"/>
  <c r="S529" i="6"/>
  <c r="L580" i="6"/>
  <c r="N580" i="6" s="1"/>
  <c r="S489" i="6"/>
  <c r="L104" i="6"/>
  <c r="N104" i="6" s="1"/>
  <c r="L383" i="6"/>
  <c r="N383" i="6" s="1"/>
  <c r="S585" i="6"/>
  <c r="L550" i="6"/>
  <c r="N550" i="6" s="1"/>
  <c r="S127" i="6"/>
  <c r="S266" i="6"/>
  <c r="L458" i="6"/>
  <c r="N458" i="6" s="1"/>
  <c r="L43" i="6"/>
  <c r="N43" i="6" s="1"/>
  <c r="S171" i="6"/>
  <c r="L555" i="6"/>
  <c r="N555" i="6" s="1"/>
  <c r="Q555" i="6" s="1"/>
  <c r="S85" i="6"/>
  <c r="L277" i="6"/>
  <c r="N277" i="6" s="1"/>
  <c r="L469" i="6"/>
  <c r="N469" i="6" s="1"/>
  <c r="S597" i="6"/>
  <c r="S542" i="6"/>
  <c r="S54" i="6"/>
  <c r="L404" i="6"/>
  <c r="N404" i="6" s="1"/>
  <c r="S418" i="6"/>
  <c r="L425" i="6"/>
  <c r="S449" i="6"/>
  <c r="S112" i="6"/>
  <c r="L552" i="6"/>
  <c r="N552" i="6" s="1"/>
  <c r="S348" i="6"/>
  <c r="S460" i="6"/>
  <c r="L521" i="6"/>
  <c r="N521" i="6" s="1"/>
  <c r="L215" i="6"/>
  <c r="N215" i="6" s="1"/>
  <c r="Q215" i="6" s="1"/>
  <c r="S9" i="6"/>
  <c r="S216" i="6"/>
  <c r="L596" i="6"/>
  <c r="N596" i="6" s="1"/>
  <c r="S391" i="6"/>
  <c r="S298" i="6"/>
  <c r="L490" i="6"/>
  <c r="N490" i="6" s="1"/>
  <c r="L75" i="6"/>
  <c r="S203" i="6"/>
  <c r="L587" i="6"/>
  <c r="N587" i="6" s="1"/>
  <c r="S117" i="6"/>
  <c r="L501" i="6"/>
  <c r="N501" i="6" s="1"/>
  <c r="S556" i="6"/>
  <c r="L478" i="6"/>
  <c r="N478" i="6" s="1"/>
  <c r="L129" i="6"/>
  <c r="N129" i="6" s="1"/>
  <c r="L38" i="6"/>
  <c r="N38" i="6" s="1"/>
  <c r="S407" i="6"/>
  <c r="L191" i="6"/>
  <c r="S495" i="6"/>
  <c r="L480" i="6"/>
  <c r="N480" i="6" s="1"/>
  <c r="S276" i="6"/>
  <c r="L50" i="6"/>
  <c r="L242" i="6"/>
  <c r="N242" i="6" s="1"/>
  <c r="S370" i="6"/>
  <c r="L562" i="6"/>
  <c r="N562" i="6" s="1"/>
  <c r="L147" i="6"/>
  <c r="N147" i="6" s="1"/>
  <c r="S275" i="6"/>
  <c r="S189" i="6"/>
  <c r="L573" i="6"/>
  <c r="N573" i="6" s="1"/>
  <c r="S440" i="6"/>
  <c r="L400" i="6"/>
  <c r="N400" i="6" s="1"/>
  <c r="S196" i="6"/>
  <c r="S527" i="6"/>
  <c r="L408" i="6"/>
  <c r="N408" i="6" s="1"/>
  <c r="S12" i="6"/>
  <c r="L87" i="6"/>
  <c r="N87" i="6" s="1"/>
  <c r="L481" i="6"/>
  <c r="N481" i="6" s="1"/>
  <c r="S278" i="6"/>
  <c r="L569" i="6"/>
  <c r="N569" i="6" s="1"/>
  <c r="S57" i="6"/>
  <c r="L186" i="6"/>
  <c r="N186" i="6" s="1"/>
  <c r="Q186" i="6" s="1"/>
  <c r="Q506" i="6"/>
  <c r="S506" i="6"/>
  <c r="L283" i="6"/>
  <c r="N283" i="6" s="1"/>
  <c r="S411" i="6"/>
  <c r="L197" i="6"/>
  <c r="N197" i="6" s="1"/>
  <c r="S325" i="6"/>
  <c r="L428" i="6"/>
  <c r="N428" i="6" s="1"/>
  <c r="S223" i="6"/>
  <c r="L388" i="6"/>
  <c r="N388" i="6" s="1"/>
  <c r="Q388" i="6" s="1"/>
  <c r="S183" i="6"/>
  <c r="S154" i="6"/>
  <c r="L346" i="6"/>
  <c r="N346" i="6" s="1"/>
  <c r="S59" i="6"/>
  <c r="L443" i="6"/>
  <c r="S571" i="6"/>
  <c r="S485" i="6"/>
  <c r="L172" i="6"/>
  <c r="N172" i="6" s="1"/>
  <c r="Q172" i="6" s="1"/>
  <c r="L340" i="6"/>
  <c r="N340" i="6" s="1"/>
  <c r="S135" i="6"/>
  <c r="S519" i="6"/>
  <c r="S463" i="6"/>
  <c r="S280" i="6"/>
  <c r="L126" i="6"/>
  <c r="N126" i="6" s="1"/>
  <c r="S447" i="6"/>
  <c r="L520" i="6"/>
  <c r="N520" i="6" s="1"/>
  <c r="Q520" i="6" s="1"/>
  <c r="S8" i="6"/>
  <c r="L302" i="6"/>
  <c r="N302" i="6" s="1"/>
  <c r="S162" i="6"/>
  <c r="L354" i="6"/>
  <c r="N354" i="6" s="1"/>
  <c r="S67" i="6"/>
  <c r="L451" i="6"/>
  <c r="N451" i="6" s="1"/>
  <c r="S579" i="6"/>
  <c r="L173" i="6"/>
  <c r="N173" i="6" s="1"/>
  <c r="Q173" i="6" s="1"/>
  <c r="S493" i="6"/>
  <c r="L465" i="6"/>
  <c r="N465" i="6" s="1"/>
  <c r="L159" i="6"/>
  <c r="N159" i="6" s="1"/>
  <c r="S375" i="6"/>
  <c r="L16" i="6"/>
  <c r="N16" i="6" s="1"/>
  <c r="L105" i="6"/>
  <c r="N105" i="6" s="1"/>
  <c r="S438" i="6"/>
  <c r="L304" i="6"/>
  <c r="N304" i="6" s="1"/>
  <c r="Q304" i="6" s="1"/>
  <c r="S100" i="6"/>
  <c r="S188" i="6"/>
  <c r="L174" i="6"/>
  <c r="N174" i="6" s="1"/>
  <c r="S50" i="6"/>
  <c r="S562" i="6"/>
  <c r="L339" i="6"/>
  <c r="N339" i="6" s="1"/>
  <c r="S467" i="6"/>
  <c r="L61" i="6"/>
  <c r="S381" i="6"/>
  <c r="L337" i="6"/>
  <c r="N337" i="6" s="1"/>
  <c r="S134" i="6"/>
  <c r="L94" i="6"/>
  <c r="N94" i="6" s="1"/>
  <c r="L424" i="6"/>
  <c r="N424" i="6" s="1"/>
  <c r="S220" i="6"/>
  <c r="S393" i="6"/>
  <c r="L577" i="6"/>
  <c r="N577" i="6" s="1"/>
  <c r="Q577" i="6" s="1"/>
  <c r="S374" i="6"/>
  <c r="L257" i="6"/>
  <c r="N257" i="6" s="1"/>
  <c r="L195" i="6"/>
  <c r="N195" i="6" s="1"/>
  <c r="S237" i="6"/>
  <c r="L97" i="6"/>
  <c r="N97" i="6" s="1"/>
  <c r="L11" i="6"/>
  <c r="N11" i="6" s="1"/>
  <c r="Q11" i="6" s="1"/>
  <c r="S139" i="6"/>
  <c r="L44" i="6"/>
  <c r="N44" i="6" s="1"/>
  <c r="S311" i="6"/>
  <c r="L30" i="6"/>
  <c r="N30" i="6" s="1"/>
  <c r="S414" i="6"/>
  <c r="L177" i="6"/>
  <c r="N177" i="6" s="1"/>
  <c r="L344" i="6"/>
  <c r="N344" i="6" s="1"/>
  <c r="Q344" i="6" s="1"/>
  <c r="S572" i="6"/>
  <c r="S399" i="6"/>
  <c r="L561" i="6"/>
  <c r="N561" i="6" s="1"/>
  <c r="S152" i="6"/>
  <c r="S471" i="6"/>
  <c r="S329" i="6"/>
  <c r="S417" i="6"/>
  <c r="S199" i="6"/>
  <c r="L318" i="6"/>
  <c r="N318" i="6" s="1"/>
  <c r="Q318" i="6" s="1"/>
  <c r="L516" i="6"/>
  <c r="N516" i="6" s="1"/>
  <c r="L380" i="6"/>
  <c r="S175" i="6"/>
  <c r="L160" i="6"/>
  <c r="S58" i="6"/>
  <c r="L250" i="6"/>
  <c r="N250" i="6" s="1"/>
  <c r="S570" i="6"/>
  <c r="L347" i="6"/>
  <c r="S475" i="6"/>
  <c r="L261" i="6"/>
  <c r="S389" i="6"/>
  <c r="S120" i="6"/>
  <c r="L592" i="6"/>
  <c r="N592" i="6" s="1"/>
  <c r="L286" i="6"/>
  <c r="S80" i="6"/>
  <c r="L111" i="6"/>
  <c r="N111" i="6" s="1"/>
  <c r="S565" i="6"/>
  <c r="L566" i="6"/>
  <c r="L449" i="6"/>
  <c r="N449" i="6" s="1"/>
  <c r="L143" i="6"/>
  <c r="N143" i="6" s="1"/>
  <c r="L63" i="6"/>
  <c r="N63" i="6" s="1"/>
  <c r="S420" i="6"/>
  <c r="L406" i="6"/>
  <c r="N406" i="6" s="1"/>
  <c r="Q406" i="6" s="1"/>
  <c r="S200" i="6"/>
  <c r="L185" i="6"/>
  <c r="N185" i="6" s="1"/>
  <c r="S42" i="6"/>
  <c r="L234" i="6"/>
  <c r="N234" i="6" s="1"/>
  <c r="S554" i="6"/>
  <c r="L331" i="6"/>
  <c r="N331" i="6" s="1"/>
  <c r="S459" i="6"/>
  <c r="L245" i="6"/>
  <c r="N245" i="6" s="1"/>
  <c r="Q245" i="6" s="1"/>
  <c r="S373" i="6"/>
  <c r="L351" i="6"/>
  <c r="N351" i="6" s="1"/>
  <c r="S145" i="6"/>
  <c r="L540" i="6"/>
  <c r="S335" i="6"/>
  <c r="S433" i="6"/>
  <c r="L201" i="6"/>
  <c r="S600" i="6"/>
  <c r="L289" i="6"/>
  <c r="N289" i="6" s="1"/>
  <c r="S86" i="6"/>
  <c r="L71" i="6"/>
  <c r="N71" i="6" s="1"/>
  <c r="S114" i="6"/>
  <c r="S19" i="6"/>
  <c r="L403" i="6"/>
  <c r="N403" i="6" s="1"/>
  <c r="S531" i="6"/>
  <c r="L125" i="6"/>
  <c r="N125" i="6" s="1"/>
  <c r="S445" i="6"/>
  <c r="L236" i="6"/>
  <c r="N236" i="6" s="1"/>
  <c r="S31" i="6"/>
  <c r="L321" i="6"/>
  <c r="N321" i="6" s="1"/>
  <c r="S118" i="6"/>
  <c r="L496" i="6"/>
  <c r="N496" i="6" s="1"/>
  <c r="S292" i="6"/>
  <c r="S488" i="6"/>
  <c r="S332" i="6"/>
  <c r="L151" i="6"/>
  <c r="N151" i="6" s="1"/>
  <c r="S497" i="6"/>
  <c r="L239" i="6"/>
  <c r="N239" i="6" s="1"/>
  <c r="S33" i="6"/>
  <c r="L327" i="6"/>
  <c r="N327" i="6" s="1"/>
  <c r="L20" i="6"/>
  <c r="N20" i="6" s="1"/>
  <c r="S82" i="6"/>
  <c r="L274" i="6"/>
  <c r="N274" i="6" s="1"/>
  <c r="Q274" i="6" s="1"/>
  <c r="S594" i="6"/>
  <c r="L371" i="6"/>
  <c r="N371" i="6" s="1"/>
  <c r="S499" i="6"/>
  <c r="L93" i="6"/>
  <c r="N93" i="6" s="1"/>
  <c r="L285" i="6"/>
  <c r="N285" i="6" s="1"/>
  <c r="S413" i="6"/>
  <c r="L593" i="6"/>
  <c r="N593" i="6" s="1"/>
  <c r="Q593" i="6" s="1"/>
  <c r="L287" i="6"/>
  <c r="N287" i="6" s="1"/>
  <c r="S81" i="6"/>
  <c r="L41" i="6"/>
  <c r="N41" i="6" s="1"/>
  <c r="S305" i="6"/>
  <c r="S548" i="6"/>
  <c r="S252" i="6"/>
  <c r="P167" i="6"/>
  <c r="Q167" i="6"/>
  <c r="L233" i="6"/>
  <c r="N233" i="6" s="1"/>
  <c r="S30" i="6"/>
  <c r="L54" i="6"/>
  <c r="N54" i="6" s="1"/>
  <c r="L329" i="6"/>
  <c r="S126" i="6"/>
  <c r="Q126" i="6"/>
  <c r="S214" i="6"/>
  <c r="L505" i="6"/>
  <c r="N505" i="6" s="1"/>
  <c r="S34" i="6"/>
  <c r="L226" i="6"/>
  <c r="N226" i="6" s="1"/>
  <c r="S546" i="6"/>
  <c r="L323" i="6"/>
  <c r="N323" i="6" s="1"/>
  <c r="S451" i="6"/>
  <c r="Q451" i="6"/>
  <c r="L45" i="6"/>
  <c r="N45" i="6" s="1"/>
  <c r="Q45" i="6" s="1"/>
  <c r="S365" i="6"/>
  <c r="L364" i="6"/>
  <c r="S159" i="6"/>
  <c r="Q159" i="6"/>
  <c r="L528" i="6"/>
  <c r="N528" i="6" s="1"/>
  <c r="L222" i="6"/>
  <c r="S16" i="6"/>
  <c r="Q16" i="6"/>
  <c r="S552" i="6"/>
  <c r="Q552" i="6"/>
  <c r="L420" i="6"/>
  <c r="N420" i="6" s="1"/>
  <c r="S215" i="6"/>
  <c r="L200" i="6"/>
  <c r="S596" i="6"/>
  <c r="Q596" i="6"/>
  <c r="S170" i="6"/>
  <c r="L362" i="6"/>
  <c r="N362" i="6" s="1"/>
  <c r="S75" i="6"/>
  <c r="L459" i="6"/>
  <c r="N459" i="6" s="1"/>
  <c r="S587" i="6"/>
  <c r="L373" i="6"/>
  <c r="S501" i="6"/>
  <c r="Q501" i="6"/>
  <c r="L145" i="6"/>
  <c r="N145" i="6" s="1"/>
  <c r="S478" i="6"/>
  <c r="S516" i="6"/>
  <c r="Q516" i="6"/>
  <c r="S540" i="6"/>
  <c r="S201" i="6"/>
  <c r="L495" i="6"/>
  <c r="N495" i="6" s="1"/>
  <c r="S289" i="6"/>
  <c r="L583" i="6"/>
  <c r="N583" i="6" s="1"/>
  <c r="L276" i="6"/>
  <c r="S71" i="6"/>
  <c r="L370" i="6"/>
  <c r="S498" i="6"/>
  <c r="L275" i="6"/>
  <c r="N275" i="6" s="1"/>
  <c r="S403" i="6"/>
  <c r="S317" i="6"/>
  <c r="L440" i="6"/>
  <c r="S236" i="6"/>
  <c r="L503" i="6"/>
  <c r="N503" i="6" s="1"/>
  <c r="L196" i="6"/>
  <c r="L527" i="6"/>
  <c r="S321" i="6"/>
  <c r="Q321" i="6"/>
  <c r="L12" i="6"/>
  <c r="N12" i="6" s="1"/>
  <c r="S496" i="6"/>
  <c r="S380" i="6"/>
  <c r="S160" i="6"/>
  <c r="L122" i="6"/>
  <c r="N122" i="6" s="1"/>
  <c r="S442" i="6"/>
  <c r="L219" i="6"/>
  <c r="S347" i="6"/>
  <c r="L133" i="6"/>
  <c r="N133" i="6" s="1"/>
  <c r="S261" i="6"/>
  <c r="S326" i="6"/>
  <c r="S286" i="6"/>
  <c r="L207" i="6"/>
  <c r="L588" i="6"/>
  <c r="S177" i="6"/>
  <c r="Q177" i="6"/>
  <c r="L73" i="6"/>
  <c r="N73" i="6" s="1"/>
  <c r="S344" i="6"/>
  <c r="L161" i="6"/>
  <c r="S558" i="6"/>
  <c r="S194" i="6"/>
  <c r="L386" i="6"/>
  <c r="N386" i="6" s="1"/>
  <c r="S99" i="6"/>
  <c r="L483" i="6"/>
  <c r="N483" i="6" s="1"/>
  <c r="S13" i="6"/>
  <c r="L397" i="6"/>
  <c r="N397" i="6" s="1"/>
  <c r="S525" i="6"/>
  <c r="L415" i="6"/>
  <c r="N415" i="6" s="1"/>
  <c r="L108" i="6"/>
  <c r="N108" i="6" s="1"/>
  <c r="L55" i="6"/>
  <c r="L488" i="6"/>
  <c r="S284" i="6"/>
  <c r="L332" i="6"/>
  <c r="N332" i="6" s="1"/>
  <c r="S560" i="6"/>
  <c r="L497" i="6"/>
  <c r="N497" i="6" s="1"/>
  <c r="S76" i="6"/>
  <c r="L33" i="6"/>
  <c r="N33" i="6" s="1"/>
  <c r="S430" i="6"/>
  <c r="S210" i="6"/>
  <c r="L402" i="6"/>
  <c r="N402" i="6" s="1"/>
  <c r="S115" i="6"/>
  <c r="L499" i="6"/>
  <c r="N499" i="6" s="1"/>
  <c r="Q499" i="6" s="1"/>
  <c r="S29" i="6"/>
  <c r="L413" i="6"/>
  <c r="S541" i="6"/>
  <c r="L81" i="6"/>
  <c r="N81" i="6" s="1"/>
  <c r="S452" i="6"/>
  <c r="L74" i="6"/>
  <c r="N74" i="6" s="1"/>
  <c r="S394" i="6"/>
  <c r="L586" i="6"/>
  <c r="L171" i="6"/>
  <c r="N171" i="6" s="1"/>
  <c r="S299" i="6"/>
  <c r="L85" i="6"/>
  <c r="N85" i="6" s="1"/>
  <c r="S213" i="6"/>
  <c r="L597" i="6"/>
  <c r="S401" i="6"/>
  <c r="L305" i="6"/>
  <c r="L548" i="6"/>
  <c r="N548" i="6" s="1"/>
  <c r="Q548" i="6" s="1"/>
  <c r="S343" i="6"/>
  <c r="S524" i="6"/>
  <c r="L252" i="6"/>
  <c r="S47" i="6"/>
  <c r="S282" i="6"/>
  <c r="L474" i="6"/>
  <c r="L59" i="6"/>
  <c r="S187" i="6"/>
  <c r="L571" i="6"/>
  <c r="N571" i="6" s="1"/>
  <c r="S101" i="6"/>
  <c r="L293" i="6"/>
  <c r="N293" i="6" s="1"/>
  <c r="L485" i="6"/>
  <c r="N485" i="6" s="1"/>
  <c r="S582" i="6"/>
  <c r="L49" i="6"/>
  <c r="N49" i="6" s="1"/>
  <c r="S431" i="6"/>
  <c r="L399" i="6"/>
  <c r="S193" i="6"/>
  <c r="L135" i="6"/>
  <c r="N135" i="6" s="1"/>
  <c r="L152" i="6"/>
  <c r="S265" i="6"/>
  <c r="L374" i="6"/>
  <c r="N374" i="6" s="1"/>
  <c r="S168" i="6"/>
  <c r="S212" i="6"/>
  <c r="S360" i="6"/>
  <c r="L486" i="6"/>
  <c r="S88" i="6"/>
  <c r="L23" i="6"/>
  <c r="S241" i="6"/>
  <c r="L417" i="6"/>
  <c r="N417" i="6" s="1"/>
  <c r="S505" i="6"/>
  <c r="Q505" i="6"/>
  <c r="L199" i="6"/>
  <c r="Q226" i="6"/>
  <c r="S226" i="6"/>
  <c r="L418" i="6"/>
  <c r="N418" i="6" s="1"/>
  <c r="L3" i="6"/>
  <c r="N3" i="6" s="1"/>
  <c r="S131" i="6"/>
  <c r="L515" i="6"/>
  <c r="S45" i="6"/>
  <c r="L237" i="6"/>
  <c r="N237" i="6" s="1"/>
  <c r="Q237" i="6" s="1"/>
  <c r="L429" i="6"/>
  <c r="N429" i="6" s="1"/>
  <c r="S557" i="6"/>
  <c r="L56" i="6"/>
  <c r="N56" i="6" s="1"/>
  <c r="S528" i="6"/>
  <c r="Q528" i="6"/>
  <c r="S246" i="6"/>
  <c r="S255" i="6"/>
  <c r="L112" i="6"/>
  <c r="N112" i="6" s="1"/>
  <c r="L422" i="6"/>
  <c r="N422" i="6" s="1"/>
  <c r="S508" i="6"/>
  <c r="L494" i="6"/>
  <c r="S288" i="6"/>
  <c r="L42" i="6"/>
  <c r="N42" i="6" s="1"/>
  <c r="S362" i="6"/>
  <c r="Q362" i="6"/>
  <c r="L554" i="6"/>
  <c r="L139" i="6"/>
  <c r="S267" i="6"/>
  <c r="L53" i="6"/>
  <c r="S181" i="6"/>
  <c r="L565" i="6"/>
  <c r="N565" i="6" s="1"/>
  <c r="S454" i="6"/>
  <c r="L68" i="6"/>
  <c r="L414" i="6"/>
  <c r="N414" i="6" s="1"/>
  <c r="Q414" i="6" s="1"/>
  <c r="S208" i="6"/>
  <c r="L438" i="6"/>
  <c r="S232" i="6"/>
  <c r="S230" i="6"/>
  <c r="L407" i="6"/>
  <c r="N407" i="6" s="1"/>
  <c r="L100" i="6"/>
  <c r="N100" i="6" s="1"/>
  <c r="S396" i="6"/>
  <c r="L188" i="6"/>
  <c r="N188" i="6" s="1"/>
  <c r="S583" i="6"/>
  <c r="S178" i="6"/>
  <c r="S83" i="6"/>
  <c r="L467" i="6"/>
  <c r="S595" i="6"/>
  <c r="L189" i="6"/>
  <c r="L381" i="6"/>
  <c r="N381" i="6" s="1"/>
  <c r="S509" i="6"/>
  <c r="L134" i="6"/>
  <c r="N134" i="6" s="1"/>
  <c r="S503" i="6"/>
  <c r="L220" i="6"/>
  <c r="N220" i="6" s="1"/>
  <c r="S15" i="6"/>
  <c r="L393" i="6"/>
  <c r="S190" i="6"/>
  <c r="S575" i="6"/>
  <c r="L584" i="6"/>
  <c r="N584" i="6" s="1"/>
  <c r="S72" i="6"/>
  <c r="L366" i="6"/>
  <c r="L57" i="6"/>
  <c r="Q122" i="6"/>
  <c r="S122" i="6"/>
  <c r="L314" i="6"/>
  <c r="S27" i="6"/>
  <c r="L411" i="6"/>
  <c r="N411" i="6" s="1"/>
  <c r="S539" i="6"/>
  <c r="L325" i="6"/>
  <c r="S453" i="6"/>
  <c r="L529" i="6"/>
  <c r="L223" i="6"/>
  <c r="N223" i="6" s="1"/>
  <c r="S17" i="6"/>
  <c r="L489" i="6"/>
  <c r="N489" i="6" s="1"/>
  <c r="L183" i="6"/>
  <c r="S513" i="6"/>
  <c r="S382" i="6"/>
  <c r="L127" i="6"/>
  <c r="N127" i="6" s="1"/>
  <c r="S470" i="6"/>
  <c r="S249" i="6"/>
  <c r="L66" i="6"/>
  <c r="Q386" i="6"/>
  <c r="S386" i="6"/>
  <c r="L578" i="6"/>
  <c r="L163" i="6"/>
  <c r="N163" i="6" s="1"/>
  <c r="S291" i="6"/>
  <c r="S205" i="6"/>
  <c r="L589" i="6"/>
  <c r="N589" i="6" s="1"/>
  <c r="S415" i="6"/>
  <c r="Q415" i="6"/>
  <c r="S361" i="6"/>
  <c r="L182" i="6"/>
  <c r="N182" i="6" s="1"/>
  <c r="L457" i="6"/>
  <c r="S254" i="6"/>
  <c r="L545" i="6"/>
  <c r="N545" i="6" s="1"/>
  <c r="S342" i="6"/>
  <c r="S121" i="6"/>
  <c r="L82" i="6"/>
  <c r="N82" i="6" s="1"/>
  <c r="S402" i="6"/>
  <c r="L594" i="6"/>
  <c r="N594" i="6" s="1"/>
  <c r="L179" i="6"/>
  <c r="N179" i="6" s="1"/>
  <c r="S307" i="6"/>
  <c r="S221" i="6"/>
  <c r="S390" i="6"/>
  <c r="L350" i="6"/>
  <c r="S144" i="6"/>
  <c r="S74" i="6"/>
  <c r="L266" i="6"/>
  <c r="S586" i="6"/>
  <c r="L363" i="6"/>
  <c r="N363" i="6" s="1"/>
  <c r="S491" i="6"/>
  <c r="S405" i="6"/>
  <c r="L300" i="6"/>
  <c r="S95" i="6"/>
  <c r="L240" i="6"/>
  <c r="S36" i="6"/>
  <c r="L319" i="6"/>
  <c r="N319" i="6" s="1"/>
  <c r="S559" i="6"/>
  <c r="L154" i="6"/>
  <c r="S474" i="6"/>
  <c r="L251" i="6"/>
  <c r="S379" i="6"/>
  <c r="L165" i="6"/>
  <c r="N165" i="6" s="1"/>
  <c r="S293" i="6"/>
  <c r="Q293" i="6"/>
  <c r="L479" i="6"/>
  <c r="N479" i="6" s="1"/>
  <c r="S273" i="6"/>
  <c r="S124" i="6"/>
  <c r="S272" i="6"/>
  <c r="L92" i="6"/>
  <c r="N92" i="6" s="1"/>
  <c r="S441" i="6"/>
  <c r="L471" i="6"/>
  <c r="L164" i="6"/>
  <c r="N164" i="6" s="1"/>
  <c r="L65" i="6"/>
  <c r="L519" i="6"/>
  <c r="L110" i="6"/>
  <c r="L367" i="6"/>
  <c r="N367" i="6" s="1"/>
  <c r="L60" i="6"/>
  <c r="N60" i="6" s="1"/>
  <c r="S455" i="6"/>
  <c r="S258" i="6"/>
  <c r="L450" i="6"/>
  <c r="N450" i="6" s="1"/>
  <c r="L35" i="6"/>
  <c r="N35" i="6" s="1"/>
  <c r="S163" i="6"/>
  <c r="L547" i="6"/>
  <c r="N547" i="6" s="1"/>
  <c r="S77" i="6"/>
  <c r="Q77" i="6"/>
  <c r="L461" i="6"/>
  <c r="N461" i="6" s="1"/>
  <c r="S589" i="6"/>
  <c r="L6" i="6"/>
  <c r="N6" i="6" s="1"/>
  <c r="S567" i="6"/>
  <c r="S182" i="6"/>
  <c r="L140" i="6"/>
  <c r="N140" i="6" s="1"/>
  <c r="S457" i="6"/>
  <c r="L294" i="6"/>
  <c r="S545" i="6"/>
  <c r="L532" i="6"/>
  <c r="N532" i="6" s="1"/>
  <c r="S327" i="6"/>
  <c r="Q327" i="6"/>
  <c r="S274" i="6"/>
  <c r="L466" i="6"/>
  <c r="N466" i="6" s="1"/>
  <c r="L51" i="6"/>
  <c r="N51" i="6" s="1"/>
  <c r="S179" i="6"/>
  <c r="L563" i="6"/>
  <c r="N563" i="6" s="1"/>
  <c r="S93" i="6"/>
  <c r="Q93" i="6"/>
  <c r="L477" i="6"/>
  <c r="N477" i="6" s="1"/>
  <c r="S593" i="6"/>
  <c r="S350" i="6"/>
  <c r="L138" i="6"/>
  <c r="N138" i="6" s="1"/>
  <c r="S458" i="6"/>
  <c r="L235" i="6"/>
  <c r="N235" i="6" s="1"/>
  <c r="S363" i="6"/>
  <c r="L149" i="6"/>
  <c r="N149" i="6" s="1"/>
  <c r="S277" i="6"/>
  <c r="S300" i="6"/>
  <c r="L113" i="6"/>
  <c r="L446" i="6"/>
  <c r="N446" i="6" s="1"/>
  <c r="S240" i="6"/>
  <c r="S319" i="6"/>
  <c r="Q319" i="6"/>
  <c r="L456" i="6"/>
  <c r="L150" i="6"/>
  <c r="N150" i="6" s="1"/>
  <c r="L26" i="6"/>
  <c r="Q346" i="6"/>
  <c r="S346" i="6"/>
  <c r="L538" i="6"/>
  <c r="L123" i="6"/>
  <c r="N123" i="6" s="1"/>
  <c r="S251" i="6"/>
  <c r="L37" i="6"/>
  <c r="N37" i="6" s="1"/>
  <c r="Q37" i="6" s="1"/>
  <c r="S165" i="6"/>
  <c r="Q165" i="6"/>
  <c r="L357" i="6"/>
  <c r="N357" i="6" s="1"/>
  <c r="L549" i="6"/>
  <c r="N549" i="6" s="1"/>
  <c r="S479" i="6"/>
  <c r="Q479" i="6"/>
  <c r="L534" i="6"/>
  <c r="N534" i="6" s="1"/>
  <c r="Q534" i="6" s="1"/>
  <c r="S328" i="6"/>
  <c r="L296" i="6"/>
  <c r="N296" i="6" s="1"/>
  <c r="S92" i="6"/>
  <c r="Q92" i="6"/>
  <c r="L32" i="6"/>
  <c r="N32" i="6" s="1"/>
  <c r="L368" i="6"/>
  <c r="S164" i="6"/>
  <c r="L271" i="6"/>
  <c r="N271" i="6" s="1"/>
  <c r="Q271" i="6" s="1"/>
  <c r="S65" i="6"/>
  <c r="L313" i="6"/>
  <c r="N313" i="6" s="1"/>
  <c r="S110" i="6"/>
  <c r="S439" i="6"/>
  <c r="Q439" i="6"/>
  <c r="L463" i="6"/>
  <c r="N463" i="6" s="1"/>
  <c r="S257" i="6"/>
  <c r="Q257" i="6"/>
  <c r="L280" i="6"/>
  <c r="S535" i="6"/>
  <c r="L447" i="6"/>
  <c r="N447" i="6" s="1"/>
  <c r="S24" i="6"/>
  <c r="Q24" i="6"/>
  <c r="L8" i="6"/>
  <c r="S404" i="6"/>
  <c r="Q404" i="6"/>
  <c r="Q290" i="6"/>
  <c r="S290" i="6"/>
  <c r="L482" i="6"/>
  <c r="N482" i="6" s="1"/>
  <c r="L67" i="6"/>
  <c r="S195" i="6"/>
  <c r="Q195" i="6"/>
  <c r="L579" i="6"/>
  <c r="N579" i="6" s="1"/>
  <c r="S109" i="6"/>
  <c r="L301" i="6"/>
  <c r="N301" i="6" s="1"/>
  <c r="L493" i="6"/>
  <c r="S568" i="6"/>
  <c r="Q568" i="6"/>
  <c r="L262" i="6"/>
  <c r="L375" i="6"/>
  <c r="S425" i="6"/>
  <c r="L348" i="6"/>
  <c r="N348" i="6" s="1"/>
  <c r="S143" i="6"/>
  <c r="L460" i="6"/>
  <c r="N460" i="6" s="1"/>
  <c r="S63" i="6"/>
  <c r="L9" i="6"/>
  <c r="N9" i="6" s="1"/>
  <c r="L216" i="6"/>
  <c r="N216" i="6" s="1"/>
  <c r="S406" i="6"/>
  <c r="S185" i="6"/>
  <c r="L106" i="6"/>
  <c r="N106" i="6" s="1"/>
  <c r="S426" i="6"/>
  <c r="L203" i="6"/>
  <c r="S331" i="6"/>
  <c r="L117" i="6"/>
  <c r="N117" i="6" s="1"/>
  <c r="S245" i="6"/>
  <c r="L556" i="6"/>
  <c r="S351" i="6"/>
  <c r="L311" i="6"/>
  <c r="N311" i="6" s="1"/>
  <c r="S105" i="6"/>
  <c r="Q105" i="6"/>
  <c r="L335" i="6"/>
  <c r="S129" i="6"/>
  <c r="S38" i="6"/>
  <c r="Q38" i="6"/>
  <c r="L600" i="6"/>
  <c r="S191" i="6"/>
  <c r="L392" i="6"/>
  <c r="N392" i="6" s="1"/>
  <c r="L86" i="6"/>
  <c r="N86" i="6" s="1"/>
  <c r="S480" i="6"/>
  <c r="Q480" i="6"/>
  <c r="S242" i="6"/>
  <c r="L434" i="6"/>
  <c r="N434" i="6" s="1"/>
  <c r="Q434" i="6" s="1"/>
  <c r="L19" i="6"/>
  <c r="S147" i="6"/>
  <c r="L531" i="6"/>
  <c r="N531" i="6" s="1"/>
  <c r="S61" i="6"/>
  <c r="L253" i="6"/>
  <c r="L445" i="6"/>
  <c r="S573" i="6"/>
  <c r="Q573" i="6"/>
  <c r="L31" i="6"/>
  <c r="N31" i="6" s="1"/>
  <c r="S400" i="6"/>
  <c r="L118" i="6"/>
  <c r="S408" i="6"/>
  <c r="L599" i="6"/>
  <c r="L292" i="6"/>
  <c r="N292" i="6" s="1"/>
  <c r="S87" i="6"/>
  <c r="Q87" i="6"/>
  <c r="S369" i="6"/>
  <c r="L175" i="6"/>
  <c r="S569" i="6"/>
  <c r="L263" i="6"/>
  <c r="S186" i="6"/>
  <c r="L378" i="6"/>
  <c r="N378" i="6" s="1"/>
  <c r="S91" i="6"/>
  <c r="Q91" i="6"/>
  <c r="L475" i="6"/>
  <c r="N475" i="6" s="1"/>
  <c r="S5" i="6"/>
  <c r="L389" i="6"/>
  <c r="S517" i="6"/>
  <c r="Q517" i="6"/>
  <c r="L120" i="6"/>
  <c r="S580" i="6"/>
  <c r="L80" i="6"/>
  <c r="S412" i="6"/>
  <c r="L484" i="6"/>
  <c r="S279" i="6"/>
  <c r="L572" i="6"/>
  <c r="N572" i="6" s="1"/>
  <c r="S367" i="6"/>
  <c r="L352" i="6"/>
  <c r="N352" i="6" s="1"/>
  <c r="S148" i="6"/>
  <c r="L130" i="6"/>
  <c r="N130" i="6" s="1"/>
  <c r="Q130" i="6" s="1"/>
  <c r="S450" i="6"/>
  <c r="L227" i="6"/>
  <c r="N227" i="6" s="1"/>
  <c r="S355" i="6"/>
  <c r="S269" i="6"/>
  <c r="L518" i="6"/>
  <c r="N518" i="6" s="1"/>
  <c r="S312" i="6"/>
  <c r="Q312" i="6"/>
  <c r="S260" i="6"/>
  <c r="L385" i="6"/>
  <c r="N385" i="6" s="1"/>
  <c r="L356" i="6"/>
  <c r="N356" i="6" s="1"/>
  <c r="S151" i="6"/>
  <c r="Q151" i="6"/>
  <c r="L444" i="6"/>
  <c r="N444" i="6" s="1"/>
  <c r="S239" i="6"/>
  <c r="Q239" i="6"/>
  <c r="L224" i="6"/>
  <c r="N224" i="6" s="1"/>
  <c r="S20" i="6"/>
  <c r="Q20" i="6"/>
  <c r="L146" i="6"/>
  <c r="S466" i="6"/>
  <c r="L243" i="6"/>
  <c r="S371" i="6"/>
  <c r="Q371" i="6"/>
  <c r="S285" i="6"/>
  <c r="Q285" i="6"/>
  <c r="L492" i="6"/>
  <c r="N492" i="6" s="1"/>
  <c r="S287" i="6"/>
  <c r="Q287" i="6"/>
  <c r="L553" i="6"/>
  <c r="L247" i="6"/>
  <c r="S41" i="6"/>
  <c r="Q41" i="6"/>
  <c r="S138" i="6"/>
  <c r="L330" i="6"/>
  <c r="N330" i="6" s="1"/>
  <c r="S43" i="6"/>
  <c r="L427" i="6"/>
  <c r="S555" i="6"/>
  <c r="S469" i="6"/>
  <c r="Q469" i="6"/>
  <c r="L504" i="6"/>
  <c r="N504" i="6" s="1"/>
  <c r="L137" i="6"/>
  <c r="L102" i="6"/>
  <c r="N102" i="6" s="1"/>
  <c r="S456" i="6"/>
  <c r="S26" i="6"/>
  <c r="L218" i="6"/>
  <c r="N218" i="6" s="1"/>
  <c r="S538" i="6"/>
  <c r="L315" i="6"/>
  <c r="S443" i="6"/>
  <c r="S357" i="6"/>
  <c r="Q357" i="6"/>
  <c r="L376" i="6"/>
  <c r="N376" i="6" s="1"/>
  <c r="S172" i="6"/>
  <c r="S472" i="6"/>
  <c r="Q472" i="6"/>
  <c r="L225" i="6"/>
  <c r="N225" i="6" s="1"/>
  <c r="S22" i="6"/>
  <c r="Q22" i="6"/>
  <c r="S169" i="6"/>
  <c r="L544" i="6"/>
  <c r="N544" i="6" s="1"/>
  <c r="S340" i="6"/>
  <c r="S561" i="6"/>
  <c r="Q561" i="6"/>
  <c r="P345" i="6"/>
  <c r="L62" i="6"/>
  <c r="S577" i="6"/>
  <c r="L336" i="6"/>
  <c r="N336" i="6" s="1"/>
  <c r="S132" i="6"/>
  <c r="Q132" i="6"/>
  <c r="L156" i="6"/>
  <c r="N156" i="6" s="1"/>
  <c r="L432" i="6"/>
  <c r="N432" i="6" s="1"/>
  <c r="S228" i="6"/>
  <c r="Q228" i="6"/>
  <c r="S316" i="6"/>
  <c r="S96" i="6"/>
  <c r="Q96" i="6"/>
  <c r="L162" i="6"/>
  <c r="N162" i="6" s="1"/>
  <c r="Q482" i="6"/>
  <c r="S482" i="6"/>
  <c r="L259" i="6"/>
  <c r="N259" i="6" s="1"/>
  <c r="S387" i="6"/>
  <c r="Q387" i="6"/>
  <c r="S301" i="6"/>
  <c r="S262" i="6"/>
  <c r="L324" i="6"/>
  <c r="N324" i="6" s="1"/>
  <c r="Q324" i="6" s="1"/>
  <c r="S119" i="6"/>
  <c r="L40" i="6"/>
  <c r="N40" i="6" s="1"/>
  <c r="S318" i="6"/>
  <c r="L303" i="6"/>
  <c r="N303" i="6" s="1"/>
  <c r="S97" i="6"/>
  <c r="Q97" i="6"/>
  <c r="L391" i="6"/>
  <c r="N391" i="6" s="1"/>
  <c r="L84" i="6"/>
  <c r="N84" i="6" s="1"/>
  <c r="S106" i="6"/>
  <c r="L298" i="6"/>
  <c r="S11" i="6"/>
  <c r="L395" i="6"/>
  <c r="N395" i="6" s="1"/>
  <c r="S523" i="6"/>
  <c r="L309" i="6"/>
  <c r="S437" i="6"/>
  <c r="L248" i="6"/>
  <c r="N248" i="6" s="1"/>
  <c r="S44" i="6"/>
  <c r="L4" i="6"/>
  <c r="L28" i="6"/>
  <c r="N28" i="6" s="1"/>
  <c r="L433" i="6"/>
  <c r="N433" i="6" s="1"/>
  <c r="L510" i="6"/>
  <c r="N510" i="6" s="1"/>
  <c r="Q510" i="6" s="1"/>
  <c r="S304" i="6"/>
  <c r="L598" i="6"/>
  <c r="N598" i="6" s="1"/>
  <c r="S392" i="6"/>
  <c r="L377" i="6"/>
  <c r="N377" i="6" s="1"/>
  <c r="S174" i="6"/>
  <c r="Q174" i="6"/>
  <c r="L114" i="6"/>
  <c r="L306" i="6"/>
  <c r="N306" i="6" s="1"/>
  <c r="S434" i="6"/>
  <c r="L211" i="6"/>
  <c r="N211" i="6" s="1"/>
  <c r="S339" i="6"/>
  <c r="Q339" i="6"/>
  <c r="S253" i="6"/>
  <c r="L543" i="6"/>
  <c r="S337" i="6"/>
  <c r="Q337" i="6"/>
  <c r="L297" i="6"/>
  <c r="S94" i="6"/>
  <c r="S424" i="6"/>
  <c r="Q424" i="6"/>
  <c r="L204" i="6"/>
  <c r="N204" i="6" s="1"/>
  <c r="S599" i="6"/>
  <c r="L166" i="6"/>
  <c r="N166" i="6" s="1"/>
  <c r="S481" i="6"/>
  <c r="Q481" i="6"/>
  <c r="L468" i="6"/>
  <c r="N468" i="6" s="1"/>
  <c r="S263" i="6"/>
  <c r="L58" i="6"/>
  <c r="N58" i="6" s="1"/>
  <c r="Q378" i="6"/>
  <c r="S378" i="6"/>
  <c r="L570" i="6"/>
  <c r="L155" i="6"/>
  <c r="N155" i="6" s="1"/>
  <c r="S283" i="6"/>
  <c r="L69" i="6"/>
  <c r="S197" i="6"/>
  <c r="Q197" i="6"/>
  <c r="L581" i="6"/>
  <c r="S428" i="6"/>
  <c r="S388" i="6"/>
  <c r="L310" i="6"/>
  <c r="N310" i="6" s="1"/>
  <c r="S104" i="6"/>
  <c r="Q104" i="6"/>
  <c r="S383" i="6"/>
  <c r="Q383" i="6"/>
  <c r="S484" i="6"/>
  <c r="L176" i="6"/>
  <c r="S550" i="6"/>
  <c r="S60" i="6"/>
  <c r="L46" i="6"/>
  <c r="S130" i="6"/>
  <c r="L322" i="6"/>
  <c r="S35" i="6"/>
  <c r="L419" i="6"/>
  <c r="S547" i="6"/>
  <c r="Q547" i="6"/>
  <c r="L141" i="6"/>
  <c r="L333" i="6"/>
  <c r="N333" i="6" s="1"/>
  <c r="S461" i="6"/>
  <c r="L209" i="6"/>
  <c r="N209" i="6" s="1"/>
  <c r="S6" i="6"/>
  <c r="Q6" i="6"/>
  <c r="L464" i="6"/>
  <c r="N464" i="6" s="1"/>
  <c r="L158" i="6"/>
  <c r="L591" i="6"/>
  <c r="S385" i="6"/>
  <c r="Q385" i="6"/>
  <c r="L79" i="6"/>
  <c r="S140" i="6"/>
  <c r="Q140" i="6"/>
  <c r="S356" i="6"/>
  <c r="L48" i="6"/>
  <c r="S294" i="6"/>
  <c r="L136" i="6"/>
  <c r="S532" i="6"/>
  <c r="S146" i="6"/>
  <c r="L338" i="6"/>
  <c r="S51" i="6"/>
  <c r="Q51" i="6"/>
  <c r="L435" i="6"/>
  <c r="N435" i="6" s="1"/>
  <c r="S563" i="6"/>
  <c r="L157" i="6"/>
  <c r="L349" i="6"/>
  <c r="N349" i="6" s="1"/>
  <c r="S477" i="6"/>
  <c r="L184" i="6"/>
  <c r="S553" i="6"/>
  <c r="L10" i="6"/>
  <c r="N10" i="6" s="1"/>
  <c r="S330" i="6"/>
  <c r="L522" i="6"/>
  <c r="L107" i="6"/>
  <c r="S235" i="6"/>
  <c r="Q235" i="6"/>
  <c r="L21" i="6"/>
  <c r="N21" i="6" s="1"/>
  <c r="S149" i="6"/>
  <c r="L341" i="6"/>
  <c r="N341" i="6" s="1"/>
  <c r="L533" i="6"/>
  <c r="S504" i="6"/>
  <c r="L198" i="6"/>
  <c r="L511" i="6"/>
  <c r="S113" i="6"/>
  <c r="S446" i="6"/>
  <c r="L353" i="6"/>
  <c r="N353" i="6" s="1"/>
  <c r="S150" i="6"/>
  <c r="Q150" i="6"/>
  <c r="S218" i="6"/>
  <c r="L410" i="6"/>
  <c r="N410" i="6" s="1"/>
  <c r="S123" i="6"/>
  <c r="Q123" i="6"/>
  <c r="L507" i="6"/>
  <c r="N507" i="6" s="1"/>
  <c r="Q507" i="6" s="1"/>
  <c r="S37" i="6"/>
  <c r="L229" i="6"/>
  <c r="N229" i="6" s="1"/>
  <c r="L421" i="6"/>
  <c r="N421" i="6" s="1"/>
  <c r="S549" i="6"/>
  <c r="Q549" i="6"/>
  <c r="L70" i="6"/>
  <c r="N70" i="6" s="1"/>
  <c r="P308" i="6"/>
  <c r="L268" i="6"/>
  <c r="S534" i="6"/>
  <c r="L502" i="6"/>
  <c r="S296" i="6"/>
  <c r="Q296" i="6"/>
  <c r="P576" i="6"/>
  <c r="Q576" i="6"/>
  <c r="L238" i="6"/>
  <c r="S32" i="6"/>
  <c r="Q32" i="6"/>
  <c r="L358" i="6"/>
  <c r="N358" i="6" s="1"/>
  <c r="L574" i="6"/>
  <c r="S368" i="6"/>
  <c r="L476" i="6"/>
  <c r="S271" i="6"/>
  <c r="P537" i="6"/>
  <c r="Q537" i="6"/>
  <c r="S313" i="6"/>
  <c r="Q313" i="6"/>
  <c r="L416" i="6"/>
  <c r="L264" i="6"/>
  <c r="N264" i="6" s="1"/>
  <c r="Q264" i="6" s="1"/>
  <c r="L558" i="6"/>
  <c r="N558" i="6" s="1"/>
  <c r="S352" i="6"/>
  <c r="S322" i="6"/>
  <c r="L514" i="6"/>
  <c r="N514" i="6" s="1"/>
  <c r="L99" i="6"/>
  <c r="S227" i="6"/>
  <c r="S141" i="6"/>
  <c r="L525" i="6"/>
  <c r="N525" i="6" s="1"/>
  <c r="S518" i="6"/>
  <c r="S464" i="6"/>
  <c r="L284" i="6"/>
  <c r="S79" i="6"/>
  <c r="L536" i="6"/>
  <c r="L560" i="6"/>
  <c r="L76" i="6"/>
  <c r="S444" i="6"/>
  <c r="L430" i="6"/>
  <c r="N430" i="6" s="1"/>
  <c r="S224" i="6"/>
  <c r="L18" i="6"/>
  <c r="S338" i="6"/>
  <c r="L530" i="6"/>
  <c r="L115" i="6"/>
  <c r="N115" i="6" s="1"/>
  <c r="S243" i="6"/>
  <c r="S157" i="6"/>
  <c r="L541" i="6"/>
  <c r="N541" i="6" s="1"/>
  <c r="S492" i="6"/>
  <c r="L452" i="6"/>
  <c r="S247" i="6"/>
  <c r="S10" i="6"/>
  <c r="Q10" i="6"/>
  <c r="L202" i="6"/>
  <c r="N202" i="6" s="1"/>
  <c r="S522" i="6"/>
  <c r="L299" i="6"/>
  <c r="S427" i="6"/>
  <c r="S341" i="6"/>
  <c r="Q341" i="6"/>
  <c r="S198" i="6"/>
  <c r="L343" i="6"/>
  <c r="S137" i="6"/>
  <c r="L524" i="6"/>
  <c r="S102" i="6"/>
  <c r="Q102" i="6"/>
  <c r="L47" i="6"/>
  <c r="N47" i="6" s="1"/>
  <c r="L90" i="6"/>
  <c r="N90" i="6" s="1"/>
  <c r="Q410" i="6"/>
  <c r="S410" i="6"/>
  <c r="L602" i="6"/>
  <c r="N602" i="6" s="1"/>
  <c r="L187" i="6"/>
  <c r="N187" i="6" s="1"/>
  <c r="S315" i="6"/>
  <c r="L101" i="6"/>
  <c r="S229" i="6"/>
  <c r="Q229" i="6"/>
  <c r="L582" i="6"/>
  <c r="S376" i="6"/>
  <c r="Q376" i="6"/>
  <c r="S225" i="6"/>
  <c r="P39" i="6"/>
  <c r="L193" i="6"/>
  <c r="S544" i="6"/>
  <c r="Q544" i="6"/>
  <c r="L265" i="6"/>
  <c r="S62" i="6"/>
  <c r="L168" i="6"/>
  <c r="L212" i="6"/>
  <c r="N212" i="6" s="1"/>
  <c r="L542" i="6"/>
  <c r="S336" i="6"/>
  <c r="Q336" i="6"/>
  <c r="L360" i="6"/>
  <c r="N360" i="6" s="1"/>
  <c r="S156" i="6"/>
  <c r="Q156" i="6"/>
  <c r="L88" i="6"/>
  <c r="S432" i="6"/>
  <c r="L241" i="6"/>
  <c r="N241" i="6" s="1"/>
  <c r="S520" i="6"/>
  <c r="L214" i="6"/>
  <c r="S302" i="6"/>
  <c r="Q302" i="6"/>
  <c r="L34" i="6"/>
  <c r="Q354" i="6"/>
  <c r="S354" i="6"/>
  <c r="L546" i="6"/>
  <c r="L131" i="6"/>
  <c r="N131" i="6" s="1"/>
  <c r="S259" i="6"/>
  <c r="Q259" i="6"/>
  <c r="S173" i="6"/>
  <c r="L365" i="6"/>
  <c r="L557" i="6"/>
  <c r="S465" i="6"/>
  <c r="Q465" i="6"/>
  <c r="S324" i="6"/>
  <c r="L246" i="6"/>
  <c r="S40" i="6"/>
  <c r="L255" i="6"/>
  <c r="N255" i="6" s="1"/>
  <c r="S521" i="6"/>
  <c r="Q521" i="6"/>
  <c r="L508" i="6"/>
  <c r="S303" i="6"/>
  <c r="Q303" i="6"/>
  <c r="L288" i="6"/>
  <c r="S84" i="6"/>
  <c r="Q84" i="6"/>
  <c r="L170" i="6"/>
  <c r="N170" i="6" s="1"/>
  <c r="S490" i="6"/>
  <c r="L267" i="6"/>
  <c r="N267" i="6" s="1"/>
  <c r="S395" i="6"/>
  <c r="Q395" i="6"/>
  <c r="L181" i="6"/>
  <c r="S309" i="6"/>
  <c r="L454" i="6"/>
  <c r="N454" i="6" s="1"/>
  <c r="S248" i="6"/>
  <c r="Q248" i="6"/>
  <c r="L208" i="6"/>
  <c r="S4" i="6"/>
  <c r="L232" i="6"/>
  <c r="N232" i="6" s="1"/>
  <c r="S28" i="6"/>
  <c r="Q28" i="6"/>
  <c r="L230" i="6"/>
  <c r="S510" i="6"/>
  <c r="L396" i="6"/>
  <c r="N396" i="6" s="1"/>
  <c r="S598" i="6"/>
  <c r="Q598" i="6"/>
  <c r="S377" i="6"/>
  <c r="Q377" i="6"/>
  <c r="L178" i="6"/>
  <c r="N178" i="6" s="1"/>
  <c r="S306" i="6"/>
  <c r="Q306" i="6"/>
  <c r="L498" i="6"/>
  <c r="N498" i="6" s="1"/>
  <c r="L83" i="6"/>
  <c r="S211" i="6"/>
  <c r="Q211" i="6"/>
  <c r="L595" i="6"/>
  <c r="N595" i="6" s="1"/>
  <c r="S125" i="6"/>
  <c r="Q125" i="6"/>
  <c r="L317" i="6"/>
  <c r="L509" i="6"/>
  <c r="S543" i="6"/>
  <c r="S297" i="6"/>
  <c r="L15" i="6"/>
  <c r="S204" i="6"/>
  <c r="L190" i="6"/>
  <c r="N190" i="6" s="1"/>
  <c r="L575" i="6"/>
  <c r="S166" i="6"/>
  <c r="Q166" i="6"/>
  <c r="L72" i="6"/>
  <c r="N72" i="6" s="1"/>
  <c r="S468" i="6"/>
  <c r="Q468" i="6"/>
  <c r="Q250" i="6"/>
  <c r="S250" i="6"/>
  <c r="L442" i="6"/>
  <c r="N442" i="6" s="1"/>
  <c r="L27" i="6"/>
  <c r="N27" i="6" s="1"/>
  <c r="S155" i="6"/>
  <c r="Q155" i="6"/>
  <c r="L539" i="6"/>
  <c r="N539" i="6" s="1"/>
  <c r="S69" i="6"/>
  <c r="L453" i="6"/>
  <c r="N453" i="6" s="1"/>
  <c r="S581" i="6"/>
  <c r="L326" i="6"/>
  <c r="L17" i="6"/>
  <c r="N17" i="6" s="1"/>
  <c r="S592" i="6"/>
  <c r="Q592" i="6"/>
  <c r="L513" i="6"/>
  <c r="N513" i="6" s="1"/>
  <c r="S310" i="6"/>
  <c r="L382" i="6"/>
  <c r="N382" i="6" s="1"/>
  <c r="S176" i="6"/>
  <c r="L470" i="6"/>
  <c r="S264" i="6"/>
  <c r="L249" i="6"/>
  <c r="N249" i="6" s="1"/>
  <c r="S46" i="6"/>
  <c r="L194" i="6"/>
  <c r="S514" i="6"/>
  <c r="Q514" i="6"/>
  <c r="L291" i="6"/>
  <c r="N291" i="6" s="1"/>
  <c r="S419" i="6"/>
  <c r="L13" i="6"/>
  <c r="N13" i="6" s="1"/>
  <c r="L205" i="6"/>
  <c r="S333" i="6"/>
  <c r="Q333" i="6"/>
  <c r="S209" i="6"/>
  <c r="L361" i="6"/>
  <c r="N361" i="6" s="1"/>
  <c r="S158" i="6"/>
  <c r="S591" i="6"/>
  <c r="S536" i="6"/>
  <c r="L254" i="6"/>
  <c r="N254" i="6" s="1"/>
  <c r="S48" i="6"/>
  <c r="L342" i="6"/>
  <c r="S136" i="6"/>
  <c r="L121" i="6"/>
  <c r="S18" i="6"/>
  <c r="L210" i="6"/>
  <c r="S530" i="6"/>
  <c r="L307" i="6"/>
  <c r="N307" i="6" s="1"/>
  <c r="S435" i="6"/>
  <c r="L29" i="6"/>
  <c r="L221" i="6"/>
  <c r="N221" i="6" s="1"/>
  <c r="S349" i="6"/>
  <c r="L390" i="6"/>
  <c r="S184" i="6"/>
  <c r="L144" i="6"/>
  <c r="N144" i="6" s="1"/>
  <c r="S202" i="6"/>
  <c r="Q202" i="6"/>
  <c r="L394" i="6"/>
  <c r="N394" i="6" s="1"/>
  <c r="S107" i="6"/>
  <c r="L491" i="6"/>
  <c r="S21" i="6"/>
  <c r="L213" i="6"/>
  <c r="L405" i="6"/>
  <c r="S533" i="6"/>
  <c r="L401" i="6"/>
  <c r="L95" i="6"/>
  <c r="N95" i="6" s="1"/>
  <c r="S511" i="6"/>
  <c r="P153" i="6"/>
  <c r="L36" i="6"/>
  <c r="L559" i="6"/>
  <c r="N559" i="6" s="1"/>
  <c r="S353" i="6"/>
  <c r="Q353" i="6"/>
  <c r="Q90" i="6"/>
  <c r="S90" i="6"/>
  <c r="L282" i="6"/>
  <c r="S602" i="6"/>
  <c r="Q602" i="6"/>
  <c r="L379" i="6"/>
  <c r="N379" i="6" s="1"/>
  <c r="S507" i="6"/>
  <c r="S421" i="6"/>
  <c r="Q421" i="6"/>
  <c r="L273" i="6"/>
  <c r="N273" i="6" s="1"/>
  <c r="S70" i="6"/>
  <c r="Q70" i="6"/>
  <c r="S268" i="6"/>
  <c r="L431" i="6"/>
  <c r="L124" i="6"/>
  <c r="L272" i="6"/>
  <c r="S502" i="6"/>
  <c r="L441" i="6"/>
  <c r="S238" i="6"/>
  <c r="S358" i="6"/>
  <c r="Q358" i="6"/>
  <c r="S574" i="6"/>
  <c r="S476" i="6"/>
  <c r="S416" i="6"/>
  <c r="C26" i="6"/>
  <c r="B29" i="6" s="1"/>
  <c r="R345" i="6" s="1"/>
  <c r="R410" i="3"/>
  <c r="S410" i="3" s="1"/>
  <c r="V410" i="3" s="1"/>
  <c r="R119" i="3"/>
  <c r="S119" i="3" s="1"/>
  <c r="V119" i="3" s="1"/>
  <c r="R72" i="3"/>
  <c r="S72" i="3" s="1"/>
  <c r="V72" i="3" s="1"/>
  <c r="R385" i="3"/>
  <c r="S385" i="3" s="1"/>
  <c r="V385" i="3" s="1"/>
  <c r="R321" i="3"/>
  <c r="S321" i="3" s="1"/>
  <c r="V321" i="3" s="1"/>
  <c r="R61" i="3"/>
  <c r="S61" i="3" s="1"/>
  <c r="V61" i="3" s="1"/>
  <c r="R228" i="3"/>
  <c r="S228" i="3" s="1"/>
  <c r="V228" i="3" s="1"/>
  <c r="R239" i="3"/>
  <c r="S239" i="3" s="1"/>
  <c r="V239" i="3" s="1"/>
  <c r="R478" i="3"/>
  <c r="S478" i="3" s="1"/>
  <c r="V478" i="3" s="1"/>
  <c r="R74" i="3"/>
  <c r="S74" i="3" s="1"/>
  <c r="V74" i="3" s="1"/>
  <c r="R38" i="3"/>
  <c r="S38" i="3" s="1"/>
  <c r="V38" i="3" s="1"/>
  <c r="K3" i="4"/>
  <c r="K2" i="4"/>
  <c r="R344" i="3"/>
  <c r="S344" i="3" s="1"/>
  <c r="V344" i="3" s="1"/>
  <c r="R183" i="3"/>
  <c r="S183" i="3" s="1"/>
  <c r="V183" i="3" s="1"/>
  <c r="R407" i="3"/>
  <c r="S407" i="3" s="1"/>
  <c r="V407" i="3" s="1"/>
  <c r="R346" i="3"/>
  <c r="S346" i="3" s="1"/>
  <c r="V346" i="3" s="1"/>
  <c r="R86" i="3"/>
  <c r="S86" i="3" s="1"/>
  <c r="V86" i="3" s="1"/>
  <c r="R290" i="3"/>
  <c r="S290" i="3" s="1"/>
  <c r="V290" i="3" s="1"/>
  <c r="R224" i="3"/>
  <c r="S224" i="3" s="1"/>
  <c r="V224" i="3" s="1"/>
  <c r="R354" i="3"/>
  <c r="S354" i="3" s="1"/>
  <c r="V354" i="3" s="1"/>
  <c r="H2" i="4"/>
  <c r="H3" i="4"/>
  <c r="R341" i="3"/>
  <c r="S341" i="3" s="1"/>
  <c r="V341" i="3" s="1"/>
  <c r="R324" i="3"/>
  <c r="S324" i="3" s="1"/>
  <c r="V324" i="3" s="1"/>
  <c r="R468" i="3"/>
  <c r="S468" i="3" s="1"/>
  <c r="V468" i="3" s="1"/>
  <c r="R178" i="3"/>
  <c r="S178" i="3" s="1"/>
  <c r="V178" i="3" s="1"/>
  <c r="R124" i="3"/>
  <c r="S124" i="3" s="1"/>
  <c r="V124" i="3" s="1"/>
  <c r="R580" i="3"/>
  <c r="S580" i="3" s="1"/>
  <c r="V580" i="3" s="1"/>
  <c r="R553" i="3"/>
  <c r="S553" i="3" s="1"/>
  <c r="V553" i="3" s="1"/>
  <c r="R562" i="3"/>
  <c r="S562" i="3" s="1"/>
  <c r="V562" i="3" s="1"/>
  <c r="R358" i="3"/>
  <c r="S358" i="3" s="1"/>
  <c r="V358" i="3" s="1"/>
  <c r="R403" i="3"/>
  <c r="S403" i="3" s="1"/>
  <c r="V403" i="3" s="1"/>
  <c r="R107" i="3"/>
  <c r="S107" i="3" s="1"/>
  <c r="V107" i="3" s="1"/>
  <c r="R39" i="3"/>
  <c r="S39" i="3" s="1"/>
  <c r="V39" i="3" s="1"/>
  <c r="R316" i="3"/>
  <c r="S316" i="3" s="1"/>
  <c r="V316" i="3" s="1"/>
  <c r="R588" i="3"/>
  <c r="S588" i="3" s="1"/>
  <c r="V588" i="3" s="1"/>
  <c r="R295" i="3"/>
  <c r="S295" i="3" s="1"/>
  <c r="V295" i="3" s="1"/>
  <c r="R598" i="3"/>
  <c r="S598" i="3" s="1"/>
  <c r="V598" i="3" s="1"/>
  <c r="R51" i="3"/>
  <c r="S51" i="3" s="1"/>
  <c r="V51" i="3" s="1"/>
  <c r="R380" i="3"/>
  <c r="S380" i="3" s="1"/>
  <c r="V380" i="3" s="1"/>
  <c r="R376" i="3"/>
  <c r="S376" i="3" s="1"/>
  <c r="V376" i="3" s="1"/>
  <c r="R263" i="3"/>
  <c r="S263" i="3" s="1"/>
  <c r="V263" i="3" s="1"/>
  <c r="R52" i="3"/>
  <c r="S52" i="3" s="1"/>
  <c r="V52" i="3" s="1"/>
  <c r="R129" i="3"/>
  <c r="S129" i="3" s="1"/>
  <c r="V129" i="3" s="1"/>
  <c r="R211" i="3"/>
  <c r="S211" i="3" s="1"/>
  <c r="V211" i="3" s="1"/>
  <c r="R112" i="3"/>
  <c r="S112" i="3" s="1"/>
  <c r="V112" i="3" s="1"/>
  <c r="R420" i="3"/>
  <c r="S420" i="3" s="1"/>
  <c r="V420" i="3" s="1"/>
  <c r="R484" i="3"/>
  <c r="S484" i="3" s="1"/>
  <c r="V484" i="3" s="1"/>
  <c r="R441" i="3"/>
  <c r="S441" i="3" s="1"/>
  <c r="V441" i="3" s="1"/>
  <c r="R215" i="3"/>
  <c r="S215" i="3" s="1"/>
  <c r="V215" i="3" s="1"/>
  <c r="R334" i="3"/>
  <c r="S334" i="3" s="1"/>
  <c r="V334" i="3" s="1"/>
  <c r="R477" i="3"/>
  <c r="S477" i="3" s="1"/>
  <c r="V477" i="3" s="1"/>
  <c r="R319" i="3"/>
  <c r="S319" i="3" s="1"/>
  <c r="V319" i="3" s="1"/>
  <c r="R425" i="3"/>
  <c r="S425" i="3" s="1"/>
  <c r="V425" i="3" s="1"/>
  <c r="R77" i="3"/>
  <c r="S77" i="3" s="1"/>
  <c r="V77" i="3" s="1"/>
  <c r="R57" i="3"/>
  <c r="S57" i="3" s="1"/>
  <c r="V57" i="3" s="1"/>
  <c r="R3" i="3"/>
  <c r="S3" i="3" s="1"/>
  <c r="V3" i="3" s="1"/>
  <c r="R5" i="3"/>
  <c r="S5" i="3" s="1"/>
  <c r="V5" i="3" s="1"/>
  <c r="R371" i="3"/>
  <c r="S371" i="3" s="1"/>
  <c r="V371" i="3" s="1"/>
  <c r="R210" i="3"/>
  <c r="S210" i="3" s="1"/>
  <c r="V210" i="3" s="1"/>
  <c r="R428" i="3"/>
  <c r="S428" i="3" s="1"/>
  <c r="V428" i="3" s="1"/>
  <c r="R217" i="3"/>
  <c r="S217" i="3" s="1"/>
  <c r="V217" i="3" s="1"/>
  <c r="R36" i="3"/>
  <c r="S36" i="3" s="1"/>
  <c r="V36" i="3" s="1"/>
  <c r="R165" i="3"/>
  <c r="S165" i="3" s="1"/>
  <c r="V165" i="3" s="1"/>
  <c r="R277" i="3"/>
  <c r="S277" i="3" s="1"/>
  <c r="V277" i="3" s="1"/>
  <c r="R497" i="3"/>
  <c r="S497" i="3" s="1"/>
  <c r="V497" i="3" s="1"/>
  <c r="R465" i="3"/>
  <c r="S465" i="3" s="1"/>
  <c r="V465" i="3" s="1"/>
  <c r="R120" i="3"/>
  <c r="S120" i="3" s="1"/>
  <c r="V120" i="3" s="1"/>
  <c r="R279" i="3"/>
  <c r="S279" i="3" s="1"/>
  <c r="V279" i="3" s="1"/>
  <c r="R281" i="3"/>
  <c r="S281" i="3" s="1"/>
  <c r="V281" i="3" s="1"/>
  <c r="R100" i="3"/>
  <c r="S100" i="3" s="1"/>
  <c r="V100" i="3" s="1"/>
  <c r="R88" i="3"/>
  <c r="S88" i="3" s="1"/>
  <c r="V88" i="3" s="1"/>
  <c r="R445" i="3"/>
  <c r="S445" i="3" s="1"/>
  <c r="V445" i="3" s="1"/>
  <c r="R156" i="3"/>
  <c r="S156" i="3" s="1"/>
  <c r="V156" i="3" s="1"/>
  <c r="R472" i="3"/>
  <c r="S472" i="3" s="1"/>
  <c r="V472" i="3" s="1"/>
  <c r="R510" i="3"/>
  <c r="S510" i="3" s="1"/>
  <c r="V510" i="3" s="1"/>
  <c r="R189" i="3"/>
  <c r="S189" i="3" s="1"/>
  <c r="V189" i="3" s="1"/>
  <c r="R404" i="3"/>
  <c r="S404" i="3" s="1"/>
  <c r="V404" i="3" s="1"/>
  <c r="R101" i="3"/>
  <c r="S101" i="3" s="1"/>
  <c r="V101" i="3" s="1"/>
  <c r="R79" i="3"/>
  <c r="S79" i="3" s="1"/>
  <c r="V79" i="3" s="1"/>
  <c r="R169" i="3"/>
  <c r="S169" i="3" s="1"/>
  <c r="V169" i="3" s="1"/>
  <c r="R40" i="3"/>
  <c r="S40" i="3" s="1"/>
  <c r="V40" i="3" s="1"/>
  <c r="R585" i="3"/>
  <c r="S585" i="3" s="1"/>
  <c r="V585" i="3" s="1"/>
  <c r="R350" i="3"/>
  <c r="S350" i="3" s="1"/>
  <c r="V350" i="3" s="1"/>
  <c r="R17" i="3"/>
  <c r="S17" i="3" s="1"/>
  <c r="V17" i="3" s="1"/>
  <c r="R42" i="3"/>
  <c r="S42" i="3" s="1"/>
  <c r="V42" i="3" s="1"/>
  <c r="R381" i="3"/>
  <c r="S381" i="3" s="1"/>
  <c r="V381" i="3" s="1"/>
  <c r="R105" i="3"/>
  <c r="S105" i="3" s="1"/>
  <c r="V105" i="3" s="1"/>
  <c r="R536" i="3"/>
  <c r="S536" i="3" s="1"/>
  <c r="V536" i="3" s="1"/>
  <c r="R549" i="3"/>
  <c r="S549" i="3" s="1"/>
  <c r="V549" i="3" s="1"/>
  <c r="R71" i="3"/>
  <c r="S71" i="3" s="1"/>
  <c r="V71" i="3" s="1"/>
  <c r="R275" i="3"/>
  <c r="S275" i="3" s="1"/>
  <c r="V275" i="3" s="1"/>
  <c r="R303" i="3"/>
  <c r="S303" i="3" s="1"/>
  <c r="V303" i="3" s="1"/>
  <c r="R80" i="3"/>
  <c r="S80" i="3" s="1"/>
  <c r="V80" i="3" s="1"/>
  <c r="R12" i="3"/>
  <c r="S12" i="3" s="1"/>
  <c r="V12" i="3" s="1"/>
  <c r="R572" i="3"/>
  <c r="S572" i="3" s="1"/>
  <c r="V572" i="3" s="1"/>
  <c r="R14" i="3"/>
  <c r="S14" i="3" s="1"/>
  <c r="V14" i="3" s="1"/>
  <c r="R175" i="3"/>
  <c r="S175" i="3" s="1"/>
  <c r="V175" i="3" s="1"/>
  <c r="R123" i="3"/>
  <c r="S123" i="3" s="1"/>
  <c r="V123" i="3" s="1"/>
  <c r="R302" i="3"/>
  <c r="S302" i="3" s="1"/>
  <c r="V302" i="3" s="1"/>
  <c r="R167" i="3"/>
  <c r="S167" i="3" s="1"/>
  <c r="V167" i="3" s="1"/>
  <c r="R274" i="3"/>
  <c r="S274" i="3" s="1"/>
  <c r="V274" i="3" s="1"/>
  <c r="R173" i="3"/>
  <c r="S173" i="3" s="1"/>
  <c r="V173" i="3" s="1"/>
  <c r="R517" i="3"/>
  <c r="S517" i="3" s="1"/>
  <c r="V517" i="3" s="1"/>
  <c r="R203" i="3"/>
  <c r="S203" i="3" s="1"/>
  <c r="V203" i="3" s="1"/>
  <c r="R467" i="3"/>
  <c r="S467" i="3" s="1"/>
  <c r="V467" i="3" s="1"/>
  <c r="R93" i="3"/>
  <c r="S93" i="3" s="1"/>
  <c r="V93" i="3" s="1"/>
  <c r="R524" i="3"/>
  <c r="S524" i="3" s="1"/>
  <c r="V524" i="3" s="1"/>
  <c r="R44" i="3"/>
  <c r="S44" i="3" s="1"/>
  <c r="V44" i="3" s="1"/>
  <c r="R45" i="3"/>
  <c r="S45" i="3" s="1"/>
  <c r="V45" i="3" s="1"/>
  <c r="R202" i="3"/>
  <c r="S202" i="3" s="1"/>
  <c r="V202" i="3" s="1"/>
  <c r="R75" i="3"/>
  <c r="S75" i="3" s="1"/>
  <c r="V75" i="3" s="1"/>
  <c r="R139" i="3"/>
  <c r="S139" i="3" s="1"/>
  <c r="V139" i="3" s="1"/>
  <c r="R367" i="3"/>
  <c r="S367" i="3" s="1"/>
  <c r="V367" i="3" s="1"/>
  <c r="R115" i="3"/>
  <c r="S115" i="3" s="1"/>
  <c r="R84" i="3"/>
  <c r="S84" i="3" s="1"/>
  <c r="V84" i="3" s="1"/>
  <c r="R538" i="3"/>
  <c r="S538" i="3" s="1"/>
  <c r="V538" i="3" s="1"/>
  <c r="R219" i="3"/>
  <c r="S219" i="3" s="1"/>
  <c r="V219" i="3" s="1"/>
  <c r="R231" i="3"/>
  <c r="S231" i="3" s="1"/>
  <c r="V231" i="3" s="1"/>
  <c r="R601" i="3"/>
  <c r="S601" i="3" s="1"/>
  <c r="V601" i="3" s="1"/>
  <c r="R475" i="3"/>
  <c r="S475" i="3" s="1"/>
  <c r="V475" i="3" s="1"/>
  <c r="R142" i="3"/>
  <c r="S142" i="3" s="1"/>
  <c r="V142" i="3" s="1"/>
  <c r="R76" i="3"/>
  <c r="S76" i="3" s="1"/>
  <c r="V76" i="3" s="1"/>
  <c r="R518" i="3"/>
  <c r="S518" i="3" s="1"/>
  <c r="V518" i="3" s="1"/>
  <c r="R182" i="3"/>
  <c r="S182" i="3" s="1"/>
  <c r="V182" i="3" s="1"/>
  <c r="R349" i="3"/>
  <c r="S349" i="3" s="1"/>
  <c r="V349" i="3" s="1"/>
  <c r="R444" i="3"/>
  <c r="S444" i="3" s="1"/>
  <c r="V444" i="3" s="1"/>
  <c r="R447" i="3"/>
  <c r="S447" i="3" s="1"/>
  <c r="V447" i="3" s="1"/>
  <c r="R111" i="3"/>
  <c r="S111" i="3" s="1"/>
  <c r="V111" i="3" s="1"/>
  <c r="R437" i="3"/>
  <c r="S437" i="3" s="1"/>
  <c r="V437" i="3" s="1"/>
  <c r="R46" i="3"/>
  <c r="S46" i="3" s="1"/>
  <c r="V46" i="3" s="1"/>
  <c r="R106" i="3"/>
  <c r="S106" i="3" s="1"/>
  <c r="V106" i="3" s="1"/>
  <c r="R511" i="3"/>
  <c r="S511" i="3" s="1"/>
  <c r="V511" i="3" s="1"/>
  <c r="R565" i="3"/>
  <c r="S565" i="3" s="1"/>
  <c r="V565" i="3" s="1"/>
  <c r="R509" i="3"/>
  <c r="S509" i="3" s="1"/>
  <c r="V509" i="3" s="1"/>
  <c r="R207" i="3"/>
  <c r="S207" i="3" s="1"/>
  <c r="V207" i="3" s="1"/>
  <c r="R229" i="3"/>
  <c r="S229" i="3" s="1"/>
  <c r="V229" i="3" s="1"/>
  <c r="R337" i="3"/>
  <c r="S337" i="3" s="1"/>
  <c r="V337" i="3" s="1"/>
  <c r="R597" i="3"/>
  <c r="S597" i="3" s="1"/>
  <c r="V597" i="3" s="1"/>
  <c r="R408" i="3"/>
  <c r="S408" i="3" s="1"/>
  <c r="V408" i="3" s="1"/>
  <c r="R256" i="3"/>
  <c r="S256" i="3" s="1"/>
  <c r="V256" i="3" s="1"/>
  <c r="R132" i="3"/>
  <c r="S132" i="3" s="1"/>
  <c r="V132" i="3" s="1"/>
  <c r="R204" i="3"/>
  <c r="S204" i="3" s="1"/>
  <c r="V204" i="3" s="1"/>
  <c r="R353" i="3"/>
  <c r="S353" i="3" s="1"/>
  <c r="V353" i="3" s="1"/>
  <c r="R568" i="3"/>
  <c r="S568" i="3" s="1"/>
  <c r="V568" i="3" s="1"/>
  <c r="R596" i="3"/>
  <c r="S596" i="3" s="1"/>
  <c r="V596" i="3" s="1"/>
  <c r="R307" i="3"/>
  <c r="S307" i="3" s="1"/>
  <c r="V307" i="3" s="1"/>
  <c r="R25" i="3"/>
  <c r="S25" i="3" s="1"/>
  <c r="V25" i="3" s="1"/>
  <c r="R190" i="3"/>
  <c r="S190" i="3" s="1"/>
  <c r="R443" i="3"/>
  <c r="S443" i="3" s="1"/>
  <c r="V443" i="3" s="1"/>
  <c r="R595" i="3"/>
  <c r="S595" i="3" s="1"/>
  <c r="V595" i="3" s="1"/>
  <c r="R258" i="3"/>
  <c r="S258" i="3" s="1"/>
  <c r="V258" i="3" s="1"/>
  <c r="R494" i="3"/>
  <c r="S494" i="3" s="1"/>
  <c r="V494" i="3" s="1"/>
  <c r="R396" i="3"/>
  <c r="S396" i="3" s="1"/>
  <c r="V396" i="3" s="1"/>
  <c r="R49" i="3"/>
  <c r="S49" i="3" s="1"/>
  <c r="V49" i="3" s="1"/>
  <c r="R496" i="3"/>
  <c r="S496" i="3" s="1"/>
  <c r="V496" i="3" s="1"/>
  <c r="R340" i="3"/>
  <c r="S340" i="3" s="1"/>
  <c r="V340" i="3" s="1"/>
  <c r="R9" i="3"/>
  <c r="S9" i="3" s="1"/>
  <c r="V9" i="3" s="1"/>
  <c r="R24" i="3"/>
  <c r="S24" i="3" s="1"/>
  <c r="V24" i="3" s="1"/>
  <c r="R287" i="3"/>
  <c r="S287" i="3" s="1"/>
  <c r="V287" i="3" s="1"/>
  <c r="R196" i="3"/>
  <c r="S196" i="3" s="1"/>
  <c r="V196" i="3" s="1"/>
  <c r="R357" i="3"/>
  <c r="S357" i="3" s="1"/>
  <c r="V357" i="3" s="1"/>
  <c r="R137" i="3"/>
  <c r="S137" i="3" s="1"/>
  <c r="V137" i="3" s="1"/>
  <c r="R546" i="3"/>
  <c r="S546" i="3" s="1"/>
  <c r="V546" i="3" s="1"/>
  <c r="R364" i="3"/>
  <c r="S364" i="3" s="1"/>
  <c r="V364" i="3" s="1"/>
  <c r="R213" i="3"/>
  <c r="S213" i="3" s="1"/>
  <c r="V213" i="3" s="1"/>
  <c r="R110" i="3"/>
  <c r="S110" i="3" s="1"/>
  <c r="V110" i="3" s="1"/>
  <c r="R531" i="3"/>
  <c r="S531" i="3" s="1"/>
  <c r="V531" i="3" s="1"/>
  <c r="R154" i="3"/>
  <c r="S154" i="3" s="1"/>
  <c r="V154" i="3" s="1"/>
  <c r="R135" i="3"/>
  <c r="S135" i="3" s="1"/>
  <c r="V135" i="3" s="1"/>
  <c r="R356" i="3"/>
  <c r="S356" i="3" s="1"/>
  <c r="V356" i="3" s="1"/>
  <c r="R365" i="3"/>
  <c r="S365" i="3" s="1"/>
  <c r="V365" i="3" s="1"/>
  <c r="R95" i="3"/>
  <c r="S95" i="3" s="1"/>
  <c r="V95" i="3" s="1"/>
  <c r="R534" i="3"/>
  <c r="S534" i="3" s="1"/>
  <c r="V534" i="3" s="1"/>
  <c r="R140" i="3"/>
  <c r="S140" i="3" s="1"/>
  <c r="V140" i="3" s="1"/>
  <c r="R327" i="3"/>
  <c r="S327" i="3" s="1"/>
  <c r="V327" i="3" s="1"/>
  <c r="R462" i="3"/>
  <c r="S462" i="3" s="1"/>
  <c r="V462" i="3" s="1"/>
  <c r="R419" i="3"/>
  <c r="S419" i="3" s="1"/>
  <c r="V419" i="3" s="1"/>
  <c r="R309" i="3"/>
  <c r="S309" i="3" s="1"/>
  <c r="V309" i="3" s="1"/>
  <c r="R53" i="3"/>
  <c r="S53" i="3" s="1"/>
  <c r="V53" i="3" s="1"/>
  <c r="R296" i="3"/>
  <c r="S296" i="3" s="1"/>
  <c r="V296" i="3" s="1"/>
  <c r="R471" i="3"/>
  <c r="S471" i="3" s="1"/>
  <c r="V471" i="3" s="1"/>
  <c r="R577" i="3"/>
  <c r="S577" i="3" s="1"/>
  <c r="V577" i="3" s="1"/>
  <c r="R298" i="3"/>
  <c r="S298" i="3" s="1"/>
  <c r="V298" i="3" s="1"/>
  <c r="R208" i="3"/>
  <c r="S208" i="3" s="1"/>
  <c r="V208" i="3" s="1"/>
  <c r="R83" i="3"/>
  <c r="S83" i="3" s="1"/>
  <c r="V83" i="3" s="1"/>
  <c r="R82" i="3"/>
  <c r="S82" i="3" s="1"/>
  <c r="V82" i="3" s="1"/>
  <c r="R379" i="3"/>
  <c r="S379" i="3" s="1"/>
  <c r="V379" i="3" s="1"/>
  <c r="R232" i="3"/>
  <c r="S232" i="3" s="1"/>
  <c r="V232" i="3" s="1"/>
  <c r="R450" i="3"/>
  <c r="S450" i="3" s="1"/>
  <c r="V450" i="3" s="1"/>
  <c r="R541" i="3"/>
  <c r="S541" i="3" s="1"/>
  <c r="V541" i="3" s="1"/>
  <c r="R567" i="3"/>
  <c r="S567" i="3" s="1"/>
  <c r="V567" i="3" s="1"/>
  <c r="R250" i="3"/>
  <c r="S250" i="3" s="1"/>
  <c r="V250" i="3" s="1"/>
  <c r="R87" i="3"/>
  <c r="S87" i="3" s="1"/>
  <c r="V87" i="3" s="1"/>
  <c r="R526" i="3"/>
  <c r="S526" i="3" s="1"/>
  <c r="V526" i="3" s="1"/>
  <c r="R411" i="3"/>
  <c r="S411" i="3" s="1"/>
  <c r="V411" i="3" s="1"/>
  <c r="R233" i="3"/>
  <c r="S233" i="3" s="1"/>
  <c r="V233" i="3" s="1"/>
  <c r="R519" i="3"/>
  <c r="S519" i="3" s="1"/>
  <c r="V519" i="3" s="1"/>
  <c r="R370" i="3"/>
  <c r="S370" i="3" s="1"/>
  <c r="V370" i="3" s="1"/>
  <c r="R483" i="3"/>
  <c r="S483" i="3" s="1"/>
  <c r="V483" i="3" s="1"/>
  <c r="R236" i="3"/>
  <c r="S236" i="3" s="1"/>
  <c r="V236" i="3" s="1"/>
  <c r="R98" i="3"/>
  <c r="S98" i="3" s="1"/>
  <c r="V98" i="3" s="1"/>
  <c r="R128" i="3"/>
  <c r="S128" i="3" s="1"/>
  <c r="V128" i="3" s="1"/>
  <c r="R435" i="3"/>
  <c r="S435" i="3" s="1"/>
  <c r="V435" i="3" s="1"/>
  <c r="R27" i="3"/>
  <c r="S27" i="3" s="1"/>
  <c r="V27" i="3" s="1"/>
  <c r="R300" i="3"/>
  <c r="S300" i="3" s="1"/>
  <c r="V300" i="3" s="1"/>
  <c r="R469" i="3"/>
  <c r="S469" i="3" s="1"/>
  <c r="V469" i="3" s="1"/>
  <c r="R149" i="3"/>
  <c r="S149" i="3" s="1"/>
  <c r="V149" i="3" s="1"/>
  <c r="R413" i="3"/>
  <c r="S413" i="3" s="1"/>
  <c r="V413" i="3" s="1"/>
  <c r="R148" i="3"/>
  <c r="S148" i="3" s="1"/>
  <c r="V148" i="3" s="1"/>
  <c r="R508" i="3"/>
  <c r="S508" i="3" s="1"/>
  <c r="V508" i="3" s="1"/>
  <c r="R180" i="3"/>
  <c r="S180" i="3" s="1"/>
  <c r="V180" i="3" s="1"/>
  <c r="R155" i="3"/>
  <c r="S155" i="3" s="1"/>
  <c r="V155" i="3" s="1"/>
  <c r="R527" i="3"/>
  <c r="S527" i="3" s="1"/>
  <c r="V527" i="3" s="1"/>
  <c r="R599" i="3"/>
  <c r="S599" i="3" s="1"/>
  <c r="V599" i="3" s="1"/>
  <c r="R282" i="3"/>
  <c r="S282" i="3" s="1"/>
  <c r="V282" i="3" s="1"/>
  <c r="R382" i="3"/>
  <c r="S382" i="3" s="1"/>
  <c r="V382" i="3" s="1"/>
  <c r="R499" i="3"/>
  <c r="S499" i="3" s="1"/>
  <c r="V499" i="3" s="1"/>
  <c r="R325" i="3"/>
  <c r="S325" i="3" s="1"/>
  <c r="V325" i="3" s="1"/>
  <c r="R23" i="3"/>
  <c r="S23" i="3" s="1"/>
  <c r="V23" i="3" s="1"/>
  <c r="R127" i="3"/>
  <c r="S127" i="3" s="1"/>
  <c r="V127" i="3" s="1"/>
  <c r="R431" i="3"/>
  <c r="S431" i="3" s="1"/>
  <c r="V431" i="3" s="1"/>
  <c r="R122" i="3"/>
  <c r="S122" i="3" s="1"/>
  <c r="V122" i="3" s="1"/>
  <c r="R205" i="3"/>
  <c r="S205" i="3" s="1"/>
  <c r="V205" i="3" s="1"/>
  <c r="R333" i="3"/>
  <c r="S333" i="3" s="1"/>
  <c r="V333" i="3" s="1"/>
  <c r="R304" i="3"/>
  <c r="S304" i="3" s="1"/>
  <c r="V304" i="3" s="1"/>
  <c r="R383" i="3"/>
  <c r="S383" i="3" s="1"/>
  <c r="V383" i="3" s="1"/>
  <c r="R388" i="3"/>
  <c r="S388" i="3" s="1"/>
  <c r="V388" i="3" s="1"/>
  <c r="R332" i="3"/>
  <c r="S332" i="3" s="1"/>
  <c r="V332" i="3" s="1"/>
  <c r="R288" i="3"/>
  <c r="S288" i="3" s="1"/>
  <c r="V288" i="3" s="1"/>
  <c r="R8" i="3"/>
  <c r="S8" i="3" s="1"/>
  <c r="V8" i="3" s="1"/>
  <c r="R398" i="3"/>
  <c r="S398" i="3" s="1"/>
  <c r="V398" i="3" s="1"/>
  <c r="R284" i="3"/>
  <c r="S284" i="3" s="1"/>
  <c r="V284" i="3" s="1"/>
  <c r="R153" i="3"/>
  <c r="S153" i="3" s="1"/>
  <c r="V153" i="3" s="1"/>
  <c r="R351" i="3"/>
  <c r="S351" i="3" s="1"/>
  <c r="V351" i="3" s="1"/>
  <c r="R209" i="3"/>
  <c r="S209" i="3" s="1"/>
  <c r="V209" i="3" s="1"/>
  <c r="R548" i="3"/>
  <c r="S548" i="3" s="1"/>
  <c r="V548" i="3" s="1"/>
  <c r="R28" i="3"/>
  <c r="S28" i="3" s="1"/>
  <c r="V28" i="3" s="1"/>
  <c r="R251" i="3"/>
  <c r="S251" i="3" s="1"/>
  <c r="R4" i="3"/>
  <c r="S4" i="3" s="1"/>
  <c r="V4" i="3" s="1"/>
  <c r="R318" i="3"/>
  <c r="S318" i="3" s="1"/>
  <c r="V318" i="3" s="1"/>
  <c r="R600" i="3"/>
  <c r="S600" i="3" s="1"/>
  <c r="V600" i="3" s="1"/>
  <c r="R551" i="3"/>
  <c r="S551" i="3" s="1"/>
  <c r="V551" i="3" s="1"/>
  <c r="R278" i="3"/>
  <c r="S278" i="3" s="1"/>
  <c r="V278" i="3" s="1"/>
  <c r="R48" i="3"/>
  <c r="S48" i="3" s="1"/>
  <c r="V48" i="3" s="1"/>
  <c r="R59" i="3"/>
  <c r="S59" i="3" s="1"/>
  <c r="V59" i="3" s="1"/>
  <c r="R373" i="3"/>
  <c r="S373" i="3" s="1"/>
  <c r="V373" i="3" s="1"/>
  <c r="R247" i="3"/>
  <c r="S247" i="3" s="1"/>
  <c r="V247" i="3" s="1"/>
  <c r="R473" i="3"/>
  <c r="S473" i="3" s="1"/>
  <c r="V473" i="3" s="1"/>
  <c r="R141" i="3"/>
  <c r="S141" i="3" s="1"/>
  <c r="V141" i="3" s="1"/>
  <c r="R418" i="3"/>
  <c r="S418" i="3" s="1"/>
  <c r="V418" i="3" s="1"/>
  <c r="R216" i="3"/>
  <c r="S216" i="3" s="1"/>
  <c r="V216" i="3" s="1"/>
  <c r="R430" i="3"/>
  <c r="S430" i="3" s="1"/>
  <c r="V430" i="3" s="1"/>
  <c r="R297" i="3"/>
  <c r="S297" i="3" s="1"/>
  <c r="V297" i="3" s="1"/>
  <c r="R338" i="3"/>
  <c r="S338" i="3" s="1"/>
  <c r="V338" i="3" s="1"/>
  <c r="R237" i="3"/>
  <c r="S237" i="3" s="1"/>
  <c r="V237" i="3" s="1"/>
  <c r="R540" i="3"/>
  <c r="S540" i="3" s="1"/>
  <c r="V540" i="3" s="1"/>
  <c r="R262" i="3"/>
  <c r="S262" i="3" s="1"/>
  <c r="V262" i="3" s="1"/>
  <c r="R415" i="3"/>
  <c r="S415" i="3" s="1"/>
  <c r="V415" i="3" s="1"/>
  <c r="R397" i="3"/>
  <c r="S397" i="3" s="1"/>
  <c r="V397" i="3" s="1"/>
  <c r="R422" i="3"/>
  <c r="S422" i="3" s="1"/>
  <c r="V422" i="3" s="1"/>
  <c r="R19" i="3"/>
  <c r="S19" i="3" s="1"/>
  <c r="V19" i="3" s="1"/>
  <c r="R550" i="3"/>
  <c r="S550" i="3" s="1"/>
  <c r="V550" i="3" s="1"/>
  <c r="R436" i="3"/>
  <c r="S436" i="3" s="1"/>
  <c r="V436" i="3" s="1"/>
  <c r="R439" i="3"/>
  <c r="S439" i="3" s="1"/>
  <c r="V439" i="3" s="1"/>
  <c r="R474" i="3"/>
  <c r="S474" i="3" s="1"/>
  <c r="V474" i="3" s="1"/>
  <c r="R293" i="3"/>
  <c r="S293" i="3" s="1"/>
  <c r="V293" i="3" s="1"/>
  <c r="R188" i="3"/>
  <c r="S188" i="3" s="1"/>
  <c r="V188" i="3" s="1"/>
  <c r="R66" i="3"/>
  <c r="S66" i="3" s="1"/>
  <c r="V66" i="3" s="1"/>
  <c r="R104" i="3"/>
  <c r="S104" i="3" s="1"/>
  <c r="V104" i="3" s="1"/>
  <c r="R246" i="3"/>
  <c r="S246" i="3" s="1"/>
  <c r="V246" i="3" s="1"/>
  <c r="R532" i="3"/>
  <c r="S532" i="3" s="1"/>
  <c r="V532" i="3" s="1"/>
  <c r="R15" i="3"/>
  <c r="S15" i="3" s="1"/>
  <c r="V15" i="3" s="1"/>
  <c r="R326" i="3"/>
  <c r="S326" i="3" s="1"/>
  <c r="V326" i="3" s="1"/>
  <c r="R479" i="3"/>
  <c r="S479" i="3" s="1"/>
  <c r="V479" i="3" s="1"/>
  <c r="R504" i="3"/>
  <c r="S504" i="3" s="1"/>
  <c r="V504" i="3" s="1"/>
  <c r="R556" i="3"/>
  <c r="S556" i="3" s="1"/>
  <c r="V556" i="3" s="1"/>
  <c r="R459" i="3"/>
  <c r="S459" i="3" s="1"/>
  <c r="V459" i="3" s="1"/>
  <c r="R191" i="3"/>
  <c r="S191" i="3" s="1"/>
  <c r="V191" i="3" s="1"/>
  <c r="R35" i="3"/>
  <c r="S35" i="3" s="1"/>
  <c r="V35" i="3" s="1"/>
  <c r="R103" i="3"/>
  <c r="S103" i="3" s="1"/>
  <c r="V103" i="3" s="1"/>
  <c r="R286" i="3"/>
  <c r="S286" i="3" s="1"/>
  <c r="V286" i="3" s="1"/>
  <c r="R157" i="3"/>
  <c r="S157" i="3" s="1"/>
  <c r="V157" i="3" s="1"/>
  <c r="R194" i="3"/>
  <c r="S194" i="3" s="1"/>
  <c r="V194" i="3" s="1"/>
  <c r="R291" i="3"/>
  <c r="S291" i="3" s="1"/>
  <c r="V291" i="3" s="1"/>
  <c r="R374" i="3"/>
  <c r="S374" i="3" s="1"/>
  <c r="V374" i="3" s="1"/>
  <c r="R67" i="3"/>
  <c r="S67" i="3" s="1"/>
  <c r="V67" i="3" s="1"/>
  <c r="R405" i="3"/>
  <c r="S405" i="3" s="1"/>
  <c r="V405" i="3" s="1"/>
  <c r="R151" i="3"/>
  <c r="S151" i="3" s="1"/>
  <c r="V151" i="3" s="1"/>
  <c r="R294" i="3"/>
  <c r="S294" i="3" s="1"/>
  <c r="V294" i="3" s="1"/>
  <c r="R168" i="3"/>
  <c r="S168" i="3" s="1"/>
  <c r="V168" i="3" s="1"/>
  <c r="R460" i="3"/>
  <c r="S460" i="3" s="1"/>
  <c r="V460" i="3" s="1"/>
  <c r="R147" i="3"/>
  <c r="S147" i="3" s="1"/>
  <c r="V147" i="3" s="1"/>
  <c r="R543" i="3"/>
  <c r="S543" i="3" s="1"/>
  <c r="V543" i="3" s="1"/>
  <c r="R92" i="3"/>
  <c r="S92" i="3" s="1"/>
  <c r="V92" i="3" s="1"/>
  <c r="R539" i="3"/>
  <c r="S539" i="3" s="1"/>
  <c r="V539" i="3" s="1"/>
  <c r="R547" i="3"/>
  <c r="S547" i="3" s="1"/>
  <c r="V547" i="3" s="1"/>
  <c r="R226" i="3"/>
  <c r="S226" i="3" s="1"/>
  <c r="V226" i="3" s="1"/>
  <c r="R58" i="3"/>
  <c r="S58" i="3" s="1"/>
  <c r="V58" i="3" s="1"/>
  <c r="R292" i="3"/>
  <c r="S292" i="3" s="1"/>
  <c r="V292" i="3" s="1"/>
  <c r="R235" i="3"/>
  <c r="S235" i="3" s="1"/>
  <c r="V235" i="3" s="1"/>
  <c r="R13" i="3"/>
  <c r="S13" i="3" s="1"/>
  <c r="V13" i="3" s="1"/>
  <c r="R558" i="3"/>
  <c r="S558" i="3" s="1"/>
  <c r="V558" i="3" s="1"/>
  <c r="R143" i="3"/>
  <c r="S143" i="3" s="1"/>
  <c r="V143" i="3" s="1"/>
  <c r="R299" i="3"/>
  <c r="S299" i="3" s="1"/>
  <c r="V299" i="3" s="1"/>
  <c r="R590" i="3"/>
  <c r="S590" i="3" s="1"/>
  <c r="V590" i="3" s="1"/>
  <c r="R417" i="3"/>
  <c r="S417" i="3" s="1"/>
  <c r="V417" i="3" s="1"/>
  <c r="R171" i="3"/>
  <c r="S171" i="3" s="1"/>
  <c r="V171" i="3" s="1"/>
  <c r="R329" i="3"/>
  <c r="S329" i="3" s="1"/>
  <c r="V329" i="3" s="1"/>
  <c r="R260" i="3"/>
  <c r="S260" i="3" s="1"/>
  <c r="V260" i="3" s="1"/>
  <c r="R264" i="3"/>
  <c r="S264" i="3" s="1"/>
  <c r="V264" i="3" s="1"/>
  <c r="R78" i="3"/>
  <c r="S78" i="3" s="1"/>
  <c r="V78" i="3" s="1"/>
  <c r="R272" i="3"/>
  <c r="S272" i="3" s="1"/>
  <c r="V272" i="3" s="1"/>
  <c r="R594" i="3"/>
  <c r="S594" i="3" s="1"/>
  <c r="V594" i="3" s="1"/>
  <c r="R343" i="3"/>
  <c r="S343" i="3" s="1"/>
  <c r="V343" i="3" s="1"/>
  <c r="R11" i="3"/>
  <c r="S11" i="3" s="1"/>
  <c r="V11" i="3" s="1"/>
  <c r="R146" i="3"/>
  <c r="S146" i="3" s="1"/>
  <c r="V146" i="3" s="1"/>
  <c r="R238" i="3"/>
  <c r="S238" i="3" s="1"/>
  <c r="V238" i="3" s="1"/>
  <c r="R359" i="3"/>
  <c r="S359" i="3" s="1"/>
  <c r="V359" i="3" s="1"/>
  <c r="R502" i="3"/>
  <c r="S502" i="3" s="1"/>
  <c r="V502" i="3" s="1"/>
  <c r="R199" i="3"/>
  <c r="S199" i="3" s="1"/>
  <c r="V199" i="3" s="1"/>
  <c r="R54" i="3"/>
  <c r="S54" i="3" s="1"/>
  <c r="V54" i="3" s="1"/>
  <c r="R212" i="3"/>
  <c r="S212" i="3" s="1"/>
  <c r="V212" i="3" s="1"/>
  <c r="R285" i="3"/>
  <c r="S285" i="3" s="1"/>
  <c r="V285" i="3" s="1"/>
  <c r="R20" i="3"/>
  <c r="S20" i="3" s="1"/>
  <c r="V20" i="3" s="1"/>
  <c r="R268" i="3"/>
  <c r="S268" i="3" s="1"/>
  <c r="V268" i="3" s="1"/>
  <c r="R6" i="3"/>
  <c r="S6" i="3" s="1"/>
  <c r="V6" i="3" s="1"/>
  <c r="R276" i="3"/>
  <c r="S276" i="3" s="1"/>
  <c r="V276" i="3" s="1"/>
  <c r="R114" i="3"/>
  <c r="S114" i="3" s="1"/>
  <c r="V114" i="3" s="1"/>
  <c r="R162" i="3"/>
  <c r="S162" i="3" s="1"/>
  <c r="V162" i="3" s="1"/>
  <c r="R575" i="3"/>
  <c r="S575" i="3" s="1"/>
  <c r="V575" i="3" s="1"/>
  <c r="R69" i="3"/>
  <c r="S69" i="3" s="1"/>
  <c r="V69" i="3" s="1"/>
  <c r="R516" i="3"/>
  <c r="S516" i="3" s="1"/>
  <c r="V516" i="3" s="1"/>
  <c r="R498" i="3"/>
  <c r="S498" i="3" s="1"/>
  <c r="V498" i="3" s="1"/>
  <c r="R463" i="3"/>
  <c r="S463" i="3" s="1"/>
  <c r="V463" i="3" s="1"/>
  <c r="R348" i="3"/>
  <c r="S348" i="3" s="1"/>
  <c r="V348" i="3" s="1"/>
  <c r="R174" i="3"/>
  <c r="S174" i="3" s="1"/>
  <c r="V174" i="3" s="1"/>
  <c r="R197" i="3"/>
  <c r="S197" i="3" s="1"/>
  <c r="V197" i="3" s="1"/>
  <c r="R99" i="3"/>
  <c r="S99" i="3" s="1"/>
  <c r="V99" i="3" s="1"/>
  <c r="R355" i="3"/>
  <c r="S355" i="3" s="1"/>
  <c r="V355" i="3" s="1"/>
  <c r="R126" i="3"/>
  <c r="S126" i="3" s="1"/>
  <c r="V126" i="3" s="1"/>
  <c r="R466" i="3"/>
  <c r="S466" i="3" s="1"/>
  <c r="V466" i="3" s="1"/>
  <c r="R29" i="3"/>
  <c r="S29" i="3" s="1"/>
  <c r="V29" i="3" s="1"/>
  <c r="R500" i="3"/>
  <c r="S500" i="3" s="1"/>
  <c r="V500" i="3" s="1"/>
  <c r="R487" i="3"/>
  <c r="S487" i="3" s="1"/>
  <c r="V487" i="3" s="1"/>
  <c r="R255" i="3"/>
  <c r="S255" i="3" s="1"/>
  <c r="V255" i="3" s="1"/>
  <c r="R117" i="3"/>
  <c r="S117" i="3" s="1"/>
  <c r="V117" i="3" s="1"/>
  <c r="R159" i="3"/>
  <c r="S159" i="3" s="1"/>
  <c r="V159" i="3" s="1"/>
  <c r="R514" i="3"/>
  <c r="S514" i="3" s="1"/>
  <c r="V514" i="3" s="1"/>
  <c r="R283" i="3"/>
  <c r="S283" i="3" s="1"/>
  <c r="V283" i="3" s="1"/>
  <c r="R591" i="3"/>
  <c r="S591" i="3" s="1"/>
  <c r="V591" i="3" s="1"/>
  <c r="R131" i="3"/>
  <c r="S131" i="3" s="1"/>
  <c r="V131" i="3" s="1"/>
  <c r="R253" i="3"/>
  <c r="S253" i="3" s="1"/>
  <c r="V253" i="3" s="1"/>
  <c r="R507" i="3"/>
  <c r="S507" i="3" s="1"/>
  <c r="V507" i="3" s="1"/>
  <c r="R60" i="3"/>
  <c r="S60" i="3" s="1"/>
  <c r="V60" i="3" s="1"/>
  <c r="R266" i="3"/>
  <c r="S266" i="3" s="1"/>
  <c r="V266" i="3" s="1"/>
  <c r="R125" i="3"/>
  <c r="S125" i="3" s="1"/>
  <c r="V125" i="3" s="1"/>
  <c r="R109" i="3"/>
  <c r="S109" i="3" s="1"/>
  <c r="V109" i="3" s="1"/>
  <c r="R234" i="3"/>
  <c r="S234" i="3" s="1"/>
  <c r="V234" i="3" s="1"/>
  <c r="R21" i="3"/>
  <c r="S21" i="3" s="1"/>
  <c r="V21" i="3" s="1"/>
  <c r="R200" i="3"/>
  <c r="S200" i="3" s="1"/>
  <c r="V200" i="3" s="1"/>
  <c r="R311" i="3"/>
  <c r="S311" i="3" s="1"/>
  <c r="V311" i="3" s="1"/>
  <c r="R244" i="3"/>
  <c r="S244" i="3" s="1"/>
  <c r="V244" i="3" s="1"/>
  <c r="R535" i="3"/>
  <c r="S535" i="3" s="1"/>
  <c r="V535" i="3" s="1"/>
  <c r="R453" i="3"/>
  <c r="S453" i="3" s="1"/>
  <c r="V453" i="3" s="1"/>
  <c r="R406" i="3"/>
  <c r="S406" i="3" s="1"/>
  <c r="V406" i="3" s="1"/>
  <c r="R495" i="3"/>
  <c r="S495" i="3" s="1"/>
  <c r="V495" i="3" s="1"/>
  <c r="R90" i="3"/>
  <c r="S90" i="3" s="1"/>
  <c r="V90" i="3" s="1"/>
  <c r="R523" i="3"/>
  <c r="S523" i="3" s="1"/>
  <c r="V523" i="3" s="1"/>
  <c r="R375" i="3"/>
  <c r="S375" i="3" s="1"/>
  <c r="V375" i="3" s="1"/>
  <c r="R339" i="3"/>
  <c r="S339" i="3" s="1"/>
  <c r="V339" i="3" s="1"/>
  <c r="R423" i="3"/>
  <c r="S423" i="3" s="1"/>
  <c r="V423" i="3" s="1"/>
  <c r="R438" i="3"/>
  <c r="S438" i="3" s="1"/>
  <c r="V438" i="3" s="1"/>
  <c r="R308" i="3"/>
  <c r="S308" i="3" s="1"/>
  <c r="V308" i="3" s="1"/>
  <c r="R347" i="3"/>
  <c r="S347" i="3" s="1"/>
  <c r="V347" i="3" s="1"/>
  <c r="R245" i="3"/>
  <c r="S245" i="3" s="1"/>
  <c r="V245" i="3" s="1"/>
  <c r="R181" i="3"/>
  <c r="S181" i="3" s="1"/>
  <c r="V181" i="3" s="1"/>
  <c r="R91" i="3"/>
  <c r="S91" i="3" s="1"/>
  <c r="V91" i="3" s="1"/>
  <c r="R225" i="3"/>
  <c r="S225" i="3" s="1"/>
  <c r="V225" i="3" s="1"/>
  <c r="R602" i="3"/>
  <c r="S602" i="3" s="1"/>
  <c r="V602" i="3" s="1"/>
  <c r="R563" i="3"/>
  <c r="S563" i="3" s="1"/>
  <c r="V563" i="3" s="1"/>
  <c r="R581" i="3"/>
  <c r="S581" i="3" s="1"/>
  <c r="V581" i="3" s="1"/>
  <c r="R582" i="3"/>
  <c r="S582" i="3" s="1"/>
  <c r="V582" i="3" s="1"/>
  <c r="R47" i="3"/>
  <c r="S47" i="3" s="1"/>
  <c r="V47" i="3" s="1"/>
  <c r="R133" i="3"/>
  <c r="S133" i="3" s="1"/>
  <c r="V133" i="3" s="1"/>
  <c r="R391" i="3"/>
  <c r="S391" i="3" s="1"/>
  <c r="V391" i="3" s="1"/>
  <c r="R505" i="3"/>
  <c r="S505" i="3" s="1"/>
  <c r="V505" i="3" s="1"/>
  <c r="R130" i="3"/>
  <c r="S130" i="3" s="1"/>
  <c r="V130" i="3" s="1"/>
  <c r="R7" i="3"/>
  <c r="S7" i="3" s="1"/>
  <c r="V7" i="3" s="1"/>
  <c r="R259" i="3"/>
  <c r="S259" i="3" s="1"/>
  <c r="V259" i="3" s="1"/>
  <c r="R492" i="3"/>
  <c r="S492" i="3" s="1"/>
  <c r="V492" i="3" s="1"/>
  <c r="R322" i="3"/>
  <c r="S322" i="3" s="1"/>
  <c r="V322" i="3" s="1"/>
  <c r="R571" i="3"/>
  <c r="S571" i="3" s="1"/>
  <c r="V571" i="3" s="1"/>
  <c r="R574" i="3"/>
  <c r="S574" i="3" s="1"/>
  <c r="V574" i="3" s="1"/>
  <c r="R451" i="3"/>
  <c r="S451" i="3" s="1"/>
  <c r="V451" i="3" s="1"/>
  <c r="R533" i="3"/>
  <c r="S533" i="3" s="1"/>
  <c r="V533" i="3" s="1"/>
  <c r="R176" i="3"/>
  <c r="S176" i="3" s="1"/>
  <c r="V176" i="3" s="1"/>
  <c r="R395" i="3"/>
  <c r="S395" i="3" s="1"/>
  <c r="V395" i="3" s="1"/>
  <c r="R63" i="3"/>
  <c r="S63" i="3" s="1"/>
  <c r="V63" i="3" s="1"/>
  <c r="R68" i="3"/>
  <c r="S68" i="3" s="1"/>
  <c r="V68" i="3" s="1"/>
  <c r="R378" i="3"/>
  <c r="S378" i="3" s="1"/>
  <c r="V378" i="3" s="1"/>
  <c r="R43" i="3"/>
  <c r="S43" i="3" s="1"/>
  <c r="V43" i="3" s="1"/>
  <c r="R455" i="3"/>
  <c r="S455" i="3" s="1"/>
  <c r="V455" i="3" s="1"/>
  <c r="R206" i="3"/>
  <c r="S206" i="3" s="1"/>
  <c r="V206" i="3" s="1"/>
  <c r="R116" i="3"/>
  <c r="S116" i="3" s="1"/>
  <c r="V116" i="3" s="1"/>
  <c r="R446" i="3"/>
  <c r="S446" i="3" s="1"/>
  <c r="V446" i="3" s="1"/>
  <c r="R501" i="3"/>
  <c r="S501" i="3" s="1"/>
  <c r="V501" i="3" s="1"/>
  <c r="R566" i="3"/>
  <c r="S566" i="3" s="1"/>
  <c r="V566" i="3" s="1"/>
  <c r="R427" i="3"/>
  <c r="S427" i="3" s="1"/>
  <c r="V427" i="3" s="1"/>
  <c r="R461" i="3"/>
  <c r="S461" i="3" s="1"/>
  <c r="V461" i="3" s="1"/>
  <c r="R242" i="3"/>
  <c r="S242" i="3" s="1"/>
  <c r="V242" i="3" s="1"/>
  <c r="R261" i="3"/>
  <c r="S261" i="3" s="1"/>
  <c r="V261" i="3" s="1"/>
  <c r="R513" i="3"/>
  <c r="S513" i="3" s="1"/>
  <c r="V513" i="3" s="1"/>
  <c r="R503" i="3"/>
  <c r="S503" i="3" s="1"/>
  <c r="V503" i="3" s="1"/>
  <c r="R223" i="3"/>
  <c r="S223" i="3" s="1"/>
  <c r="V223" i="3" s="1"/>
  <c r="R402" i="3"/>
  <c r="S402" i="3" s="1"/>
  <c r="V402" i="3" s="1"/>
  <c r="R172" i="3"/>
  <c r="S172" i="3" s="1"/>
  <c r="V172" i="3" s="1"/>
  <c r="R491" i="3"/>
  <c r="S491" i="3" s="1"/>
  <c r="V491" i="3" s="1"/>
  <c r="R587" i="3"/>
  <c r="S587" i="3" s="1"/>
  <c r="V587" i="3" s="1"/>
  <c r="R589" i="3"/>
  <c r="S589" i="3" s="1"/>
  <c r="V589" i="3" s="1"/>
  <c r="R138" i="3"/>
  <c r="S138" i="3" s="1"/>
  <c r="V138" i="3" s="1"/>
  <c r="R220" i="3"/>
  <c r="S220" i="3" s="1"/>
  <c r="V220" i="3" s="1"/>
  <c r="R323" i="3"/>
  <c r="S323" i="3" s="1"/>
  <c r="V323" i="3" s="1"/>
  <c r="R267" i="3"/>
  <c r="S267" i="3" s="1"/>
  <c r="V267" i="3" s="1"/>
  <c r="R421" i="3"/>
  <c r="S421" i="3" s="1"/>
  <c r="V421" i="3" s="1"/>
  <c r="R515" i="3"/>
  <c r="S515" i="3" s="1"/>
  <c r="V515" i="3" s="1"/>
  <c r="R187" i="3"/>
  <c r="S187" i="3" s="1"/>
  <c r="V187" i="3" s="1"/>
  <c r="R557" i="3"/>
  <c r="S557" i="3" s="1"/>
  <c r="V557" i="3" s="1"/>
  <c r="R583" i="3"/>
  <c r="S583" i="3" s="1"/>
  <c r="V583" i="3" s="1"/>
  <c r="R227" i="3"/>
  <c r="S227" i="3" s="1"/>
  <c r="V227" i="3" s="1"/>
  <c r="R170" i="3"/>
  <c r="S170" i="3" s="1"/>
  <c r="V170" i="3" s="1"/>
  <c r="R108" i="3"/>
  <c r="S108" i="3" s="1"/>
  <c r="V108" i="3" s="1"/>
  <c r="R555" i="3"/>
  <c r="S555" i="3" s="1"/>
  <c r="V555" i="3" s="1"/>
  <c r="R389" i="3"/>
  <c r="S389" i="3" s="1"/>
  <c r="V389" i="3" s="1"/>
  <c r="R218" i="3"/>
  <c r="S218" i="3" s="1"/>
  <c r="V218" i="3" s="1"/>
  <c r="R257" i="3"/>
  <c r="S257" i="3" s="1"/>
  <c r="V257" i="3" s="1"/>
  <c r="R372" i="3"/>
  <c r="S372" i="3" s="1"/>
  <c r="V372" i="3" s="1"/>
  <c r="R482" i="3"/>
  <c r="S482" i="3" s="1"/>
  <c r="V482" i="3" s="1"/>
  <c r="R31" i="3"/>
  <c r="S31" i="3" s="1"/>
  <c r="V31" i="3" s="1"/>
  <c r="R96" i="3"/>
  <c r="S96" i="3" s="1"/>
  <c r="V96" i="3" s="1"/>
  <c r="R161" i="3"/>
  <c r="S161" i="3" s="1"/>
  <c r="V161" i="3" s="1"/>
  <c r="R163" i="3"/>
  <c r="S163" i="3" s="1"/>
  <c r="V163" i="3" s="1"/>
  <c r="R335" i="3"/>
  <c r="S335" i="3" s="1"/>
  <c r="V335" i="3" s="1"/>
  <c r="R186" i="3"/>
  <c r="S186" i="3" s="1"/>
  <c r="V186" i="3" s="1"/>
  <c r="R164" i="3"/>
  <c r="S164" i="3" s="1"/>
  <c r="V164" i="3" s="1"/>
  <c r="R476" i="3"/>
  <c r="S476" i="3" s="1"/>
  <c r="V476" i="3" s="1"/>
  <c r="R160" i="3"/>
  <c r="S160" i="3" s="1"/>
  <c r="V160" i="3" s="1"/>
  <c r="T426" i="3"/>
  <c r="T424" i="3"/>
  <c r="T55" i="3"/>
  <c r="T254" i="3"/>
  <c r="T525" i="3"/>
  <c r="T195" i="3"/>
  <c r="T579" i="3"/>
  <c r="T230" i="3"/>
  <c r="T222" i="3"/>
  <c r="T50" i="3"/>
  <c r="T452" i="3"/>
  <c r="T362" i="3"/>
  <c r="T522" i="3"/>
  <c r="T592" i="3"/>
  <c r="T384" i="3"/>
  <c r="T317" i="3"/>
  <c r="T315" i="3"/>
  <c r="T252" i="3"/>
  <c r="T554" i="3"/>
  <c r="T360" i="3"/>
  <c r="T584" i="3"/>
  <c r="T586" i="3"/>
  <c r="T552" i="3"/>
  <c r="T490" i="3"/>
  <c r="T576" i="3"/>
  <c r="T336" i="3"/>
  <c r="T312" i="3"/>
  <c r="T270" i="3"/>
  <c r="T18" i="3"/>
  <c r="T102" i="3"/>
  <c r="T134" i="3"/>
  <c r="T243" i="3"/>
  <c r="T94" i="3"/>
  <c r="T179" i="3"/>
  <c r="T485" i="3"/>
  <c r="T458" i="3"/>
  <c r="T528" i="3"/>
  <c r="T544" i="3"/>
  <c r="T560" i="3"/>
  <c r="T573" i="3"/>
  <c r="T62" i="3"/>
  <c r="T368" i="3"/>
  <c r="T221" i="3"/>
  <c r="T387" i="3"/>
  <c r="T559" i="3"/>
  <c r="T448" i="3"/>
  <c r="T564" i="3"/>
  <c r="T30" i="3"/>
  <c r="T198" i="3"/>
  <c r="S593" i="3"/>
  <c r="V593" i="3" s="1"/>
  <c r="S440" i="3"/>
  <c r="V440" i="3" s="1"/>
  <c r="S521" i="3"/>
  <c r="V521" i="3" s="1"/>
  <c r="S201" i="3"/>
  <c r="V201" i="3" s="1"/>
  <c r="S537" i="3"/>
  <c r="V537" i="3" s="1"/>
  <c r="S289" i="3"/>
  <c r="V289" i="3" s="1"/>
  <c r="S545" i="3"/>
  <c r="V545" i="3" s="1"/>
  <c r="S150" i="3"/>
  <c r="V150" i="3" s="1"/>
  <c r="S442" i="3"/>
  <c r="V442" i="3" s="1"/>
  <c r="S390" i="3"/>
  <c r="V390" i="3" s="1"/>
  <c r="S81" i="3"/>
  <c r="V81" i="3" s="1"/>
  <c r="S530" i="3"/>
  <c r="V530" i="3" s="1"/>
  <c r="S34" i="3"/>
  <c r="V34" i="3" s="1"/>
  <c r="S192" i="3"/>
  <c r="V192" i="3" s="1"/>
  <c r="S56" i="3"/>
  <c r="V56" i="3" s="1"/>
  <c r="S121" i="3"/>
  <c r="V121" i="3" s="1"/>
  <c r="S433" i="3"/>
  <c r="V433" i="3" s="1"/>
  <c r="S177" i="3"/>
  <c r="V177" i="3" s="1"/>
  <c r="S248" i="3"/>
  <c r="V248" i="3" s="1"/>
  <c r="S400" i="3"/>
  <c r="V400" i="3" s="1"/>
  <c r="S369" i="3"/>
  <c r="V369" i="3" s="1"/>
  <c r="S185" i="3"/>
  <c r="V185" i="3" s="1"/>
  <c r="S401" i="3"/>
  <c r="V401" i="3" s="1"/>
  <c r="S113" i="3"/>
  <c r="V113" i="3" s="1"/>
  <c r="S542" i="3"/>
  <c r="V542" i="3" s="1"/>
  <c r="S345" i="3"/>
  <c r="V345" i="3" s="1"/>
  <c r="S434" i="3"/>
  <c r="V434" i="3" s="1"/>
  <c r="S393" i="3"/>
  <c r="V393" i="3" s="1"/>
  <c r="S361" i="3"/>
  <c r="V361" i="3" s="1"/>
  <c r="S33" i="3"/>
  <c r="V33" i="3" s="1"/>
  <c r="S480" i="3"/>
  <c r="V480" i="3" s="1"/>
  <c r="S578" i="3"/>
  <c r="V578" i="3" s="1"/>
  <c r="S249" i="3"/>
  <c r="V249" i="3" s="1"/>
  <c r="S392" i="3"/>
  <c r="V392" i="3" s="1"/>
  <c r="S454" i="3"/>
  <c r="V454" i="3" s="1"/>
  <c r="S394" i="3"/>
  <c r="V394" i="3" s="1"/>
  <c r="S352" i="3"/>
  <c r="V352" i="3" s="1"/>
  <c r="S456" i="3"/>
  <c r="V456" i="3" s="1"/>
  <c r="S464" i="3"/>
  <c r="V464" i="3" s="1"/>
  <c r="S184" i="3"/>
  <c r="V184" i="3" s="1"/>
  <c r="S470" i="3"/>
  <c r="V470" i="3" s="1"/>
  <c r="S193" i="3"/>
  <c r="V193" i="3" s="1"/>
  <c r="S97" i="3"/>
  <c r="V97" i="3" s="1"/>
  <c r="S152" i="3"/>
  <c r="V152" i="3" s="1"/>
  <c r="S416" i="3"/>
  <c r="V416" i="3" s="1"/>
  <c r="S144" i="3"/>
  <c r="V144" i="3" s="1"/>
  <c r="S241" i="3"/>
  <c r="V241" i="3" s="1"/>
  <c r="S310" i="3"/>
  <c r="V310" i="3" s="1"/>
  <c r="S506" i="3"/>
  <c r="V506" i="3" s="1"/>
  <c r="S409" i="3"/>
  <c r="V409" i="3" s="1"/>
  <c r="S145" i="3"/>
  <c r="V145" i="3" s="1"/>
  <c r="S22" i="3"/>
  <c r="V22" i="3" s="1"/>
  <c r="S41" i="3"/>
  <c r="V41" i="3" s="1"/>
  <c r="S366" i="3"/>
  <c r="V366" i="3" s="1"/>
  <c r="S457" i="3"/>
  <c r="V457" i="3" s="1"/>
  <c r="S240" i="3"/>
  <c r="V240" i="3" s="1"/>
  <c r="S320" i="3"/>
  <c r="V320" i="3" s="1"/>
  <c r="S313" i="3"/>
  <c r="V313" i="3" s="1"/>
  <c r="S569" i="3"/>
  <c r="V569" i="3" s="1"/>
  <c r="S265" i="3"/>
  <c r="V265" i="3" s="1"/>
  <c r="S328" i="3"/>
  <c r="V328" i="3" s="1"/>
  <c r="S32" i="3"/>
  <c r="V32" i="3" s="1"/>
  <c r="S280" i="3"/>
  <c r="V280" i="3" s="1"/>
  <c r="S64" i="3"/>
  <c r="V64" i="3" s="1"/>
  <c r="S449" i="3"/>
  <c r="V449" i="3" s="1"/>
  <c r="S10" i="3"/>
  <c r="V10" i="3" s="1"/>
  <c r="S486" i="3"/>
  <c r="V486" i="3" s="1"/>
  <c r="S26" i="3"/>
  <c r="V26" i="3" s="1"/>
  <c r="S305" i="3"/>
  <c r="V305" i="3" s="1"/>
  <c r="S561" i="3"/>
  <c r="V561" i="3" s="1"/>
  <c r="S136" i="3"/>
  <c r="V136" i="3" s="1"/>
  <c r="S16" i="3"/>
  <c r="V16" i="3" s="1"/>
  <c r="S512" i="3"/>
  <c r="V512" i="3" s="1"/>
  <c r="S342" i="3"/>
  <c r="V342" i="3" s="1"/>
  <c r="S273" i="3"/>
  <c r="V273" i="3" s="1"/>
  <c r="S529" i="3"/>
  <c r="V529" i="3" s="1"/>
  <c r="S306" i="3"/>
  <c r="V306" i="3" s="1"/>
  <c r="S432" i="3"/>
  <c r="V432" i="3" s="1"/>
  <c r="S73" i="3"/>
  <c r="V73" i="3" s="1"/>
  <c r="S414" i="3"/>
  <c r="V414" i="3" s="1"/>
  <c r="S314" i="3"/>
  <c r="V314" i="3" s="1"/>
  <c r="S89" i="3"/>
  <c r="V89" i="3" s="1"/>
  <c r="S481" i="3"/>
  <c r="V481" i="3" s="1"/>
  <c r="S214" i="3"/>
  <c r="V214" i="3" s="1"/>
  <c r="S386" i="3"/>
  <c r="V386" i="3" s="1"/>
  <c r="S489" i="3"/>
  <c r="V489" i="3" s="1"/>
  <c r="S377" i="3"/>
  <c r="V377" i="3" s="1"/>
  <c r="S65" i="3"/>
  <c r="V65" i="3" s="1"/>
  <c r="S118" i="3"/>
  <c r="V118" i="3" s="1"/>
  <c r="S570" i="3"/>
  <c r="V570" i="3" s="1"/>
  <c r="S330" i="3"/>
  <c r="V330" i="3" s="1"/>
  <c r="S520" i="3"/>
  <c r="V520" i="3" s="1"/>
  <c r="S488" i="3"/>
  <c r="V488" i="3" s="1"/>
  <c r="T269" i="3" l="1"/>
  <c r="T399" i="3"/>
  <c r="T70" i="3"/>
  <c r="T85" i="3"/>
  <c r="T301" i="3"/>
  <c r="T363" i="3"/>
  <c r="T37" i="3"/>
  <c r="T331" i="3"/>
  <c r="T271" i="3"/>
  <c r="T166" i="3"/>
  <c r="T493" i="3"/>
  <c r="T158" i="3"/>
  <c r="T429" i="3"/>
  <c r="T412" i="3"/>
  <c r="T2" i="3"/>
  <c r="V2" i="3"/>
  <c r="N114" i="6"/>
  <c r="Q114" i="6" s="1"/>
  <c r="N470" i="6"/>
  <c r="Q470" i="6" s="1"/>
  <c r="Q338" i="6"/>
  <c r="N338" i="6"/>
  <c r="N543" i="6"/>
  <c r="R543" i="6" s="1"/>
  <c r="U543" i="6" s="1"/>
  <c r="N425" i="6"/>
  <c r="Q425" i="6" s="1"/>
  <c r="N230" i="6"/>
  <c r="Q230" i="6" s="1"/>
  <c r="Q365" i="6"/>
  <c r="N365" i="6"/>
  <c r="N154" i="6"/>
  <c r="R154" i="6" s="1"/>
  <c r="U154" i="6" s="1"/>
  <c r="N597" i="6"/>
  <c r="Q597" i="6" s="1"/>
  <c r="N441" i="6"/>
  <c r="Q441" i="6" s="1"/>
  <c r="Q282" i="6"/>
  <c r="N282" i="6"/>
  <c r="N34" i="6"/>
  <c r="R34" i="6" s="1"/>
  <c r="N88" i="6"/>
  <c r="Q88" i="6" s="1"/>
  <c r="N168" i="6"/>
  <c r="Q168" i="6" s="1"/>
  <c r="Q76" i="6"/>
  <c r="N76" i="6"/>
  <c r="N416" i="6"/>
  <c r="R416" i="6" s="1"/>
  <c r="U416" i="6" s="1"/>
  <c r="N511" i="6"/>
  <c r="Q511" i="6" s="1"/>
  <c r="N247" i="6"/>
  <c r="Q247" i="6" s="1"/>
  <c r="Q120" i="6"/>
  <c r="N120" i="6"/>
  <c r="N65" i="6"/>
  <c r="R65" i="6" s="1"/>
  <c r="U65" i="6" s="1"/>
  <c r="N57" i="6"/>
  <c r="Q57" i="6" s="1"/>
  <c r="N53" i="6"/>
  <c r="Q53" i="6" s="1"/>
  <c r="Q494" i="6"/>
  <c r="N494" i="6"/>
  <c r="N55" i="6"/>
  <c r="P55" i="6" s="1"/>
  <c r="N219" i="6"/>
  <c r="Q219" i="6" s="1"/>
  <c r="N373" i="6"/>
  <c r="Q373" i="6" s="1"/>
  <c r="Q200" i="6"/>
  <c r="N200" i="6"/>
  <c r="N222" i="6"/>
  <c r="R222" i="6" s="1"/>
  <c r="U222" i="6" s="1"/>
  <c r="N201" i="6"/>
  <c r="Q201" i="6" s="1"/>
  <c r="N286" i="6"/>
  <c r="Q286" i="6" s="1"/>
  <c r="Q75" i="6"/>
  <c r="N75" i="6"/>
  <c r="Q409" i="6"/>
  <c r="P409" i="6"/>
  <c r="N390" i="6"/>
  <c r="Q390" i="6" s="1"/>
  <c r="N542" i="6"/>
  <c r="Q542" i="6" s="1"/>
  <c r="Q184" i="6"/>
  <c r="N184" i="6"/>
  <c r="N309" i="6"/>
  <c r="R309" i="6" s="1"/>
  <c r="U309" i="6" s="1"/>
  <c r="N315" i="6"/>
  <c r="Q315" i="6" s="1"/>
  <c r="N600" i="6"/>
  <c r="Q600" i="6" s="1"/>
  <c r="Q280" i="6"/>
  <c r="N280" i="6"/>
  <c r="N393" i="6"/>
  <c r="R393" i="6" s="1"/>
  <c r="N515" i="6"/>
  <c r="Q515" i="6" s="1"/>
  <c r="N474" i="6"/>
  <c r="Q474" i="6" s="1"/>
  <c r="Q347" i="6"/>
  <c r="N347" i="6"/>
  <c r="N61" i="6"/>
  <c r="P61" i="6" s="1"/>
  <c r="N369" i="6"/>
  <c r="Q369" i="6" s="1"/>
  <c r="N585" i="6"/>
  <c r="Q585" i="6" s="1"/>
  <c r="Q491" i="6"/>
  <c r="N491" i="6"/>
  <c r="N29" i="6"/>
  <c r="Q29" i="6" s="1"/>
  <c r="N342" i="6"/>
  <c r="Q342" i="6" s="1"/>
  <c r="N194" i="6"/>
  <c r="Q194" i="6" s="1"/>
  <c r="Q15" i="6"/>
  <c r="N15" i="6"/>
  <c r="N181" i="6"/>
  <c r="R181" i="6" s="1"/>
  <c r="N288" i="6"/>
  <c r="Q288" i="6" s="1"/>
  <c r="N246" i="6"/>
  <c r="Q246" i="6" s="1"/>
  <c r="Q343" i="6"/>
  <c r="N343" i="6"/>
  <c r="N560" i="6"/>
  <c r="P560" i="6" s="1"/>
  <c r="N574" i="6"/>
  <c r="Q574" i="6" s="1"/>
  <c r="N198" i="6"/>
  <c r="Q198" i="6" s="1"/>
  <c r="Q107" i="6"/>
  <c r="N107" i="6"/>
  <c r="N157" i="6"/>
  <c r="P157" i="6" s="1"/>
  <c r="N136" i="6"/>
  <c r="Q136" i="6" s="1"/>
  <c r="N4" i="6"/>
  <c r="Q4" i="6" s="1"/>
  <c r="Q553" i="6"/>
  <c r="N553" i="6"/>
  <c r="N243" i="6"/>
  <c r="R243" i="6" s="1"/>
  <c r="N445" i="6"/>
  <c r="Q445" i="6" s="1"/>
  <c r="N375" i="6"/>
  <c r="Q375" i="6" s="1"/>
  <c r="Q8" i="6"/>
  <c r="N8" i="6"/>
  <c r="N368" i="6"/>
  <c r="P368" i="6" s="1"/>
  <c r="N538" i="6"/>
  <c r="Q538" i="6" s="1"/>
  <c r="N457" i="6"/>
  <c r="Q457" i="6" s="1"/>
  <c r="Q325" i="6"/>
  <c r="N325" i="6"/>
  <c r="N366" i="6"/>
  <c r="Q366" i="6" s="1"/>
  <c r="N438" i="6"/>
  <c r="Q438" i="6" s="1"/>
  <c r="N23" i="6"/>
  <c r="Q23" i="6" s="1"/>
  <c r="Q152" i="6"/>
  <c r="N152" i="6"/>
  <c r="N252" i="6"/>
  <c r="Q252" i="6" s="1"/>
  <c r="N588" i="6"/>
  <c r="Q588" i="6" s="1"/>
  <c r="N527" i="6"/>
  <c r="Q527" i="6" s="1"/>
  <c r="Q329" i="6"/>
  <c r="N329" i="6"/>
  <c r="N443" i="6"/>
  <c r="R443" i="6" s="1"/>
  <c r="U443" i="6" s="1"/>
  <c r="P128" i="6"/>
  <c r="Q128" i="6"/>
  <c r="N80" i="6"/>
  <c r="Q80" i="6" s="1"/>
  <c r="Q110" i="6"/>
  <c r="N110" i="6"/>
  <c r="N316" i="6"/>
  <c r="P316" i="6" s="1"/>
  <c r="N581" i="6"/>
  <c r="Q581" i="6" s="1"/>
  <c r="N272" i="6"/>
  <c r="Q272" i="6" s="1"/>
  <c r="Q401" i="6"/>
  <c r="N401" i="6"/>
  <c r="N265" i="6"/>
  <c r="R265" i="6" s="1"/>
  <c r="U265" i="6" s="1"/>
  <c r="N582" i="6"/>
  <c r="Q582" i="6" s="1"/>
  <c r="N530" i="6"/>
  <c r="Q530" i="6" s="1"/>
  <c r="Q536" i="6"/>
  <c r="N536" i="6"/>
  <c r="N99" i="6"/>
  <c r="R99" i="6" s="1"/>
  <c r="N502" i="6"/>
  <c r="Q502" i="6" s="1"/>
  <c r="N522" i="6"/>
  <c r="Q522" i="6" s="1"/>
  <c r="Q591" i="6"/>
  <c r="N591" i="6"/>
  <c r="N141" i="6"/>
  <c r="R141" i="6" s="1"/>
  <c r="U141" i="6" s="1"/>
  <c r="N46" i="6"/>
  <c r="Q46" i="6" s="1"/>
  <c r="N69" i="6"/>
  <c r="Q69" i="6" s="1"/>
  <c r="Q427" i="6"/>
  <c r="N427" i="6"/>
  <c r="N599" i="6"/>
  <c r="R599" i="6" s="1"/>
  <c r="N253" i="6"/>
  <c r="Q253" i="6" s="1"/>
  <c r="N335" i="6"/>
  <c r="Q335" i="6" s="1"/>
  <c r="Q262" i="6"/>
  <c r="N262" i="6"/>
  <c r="N471" i="6"/>
  <c r="R471" i="6" s="1"/>
  <c r="U471" i="6" s="1"/>
  <c r="N266" i="6"/>
  <c r="Q266" i="6" s="1"/>
  <c r="N578" i="6"/>
  <c r="Q578" i="6" s="1"/>
  <c r="Q139" i="6"/>
  <c r="N139" i="6"/>
  <c r="N413" i="6"/>
  <c r="R413" i="6" s="1"/>
  <c r="U413" i="6" s="1"/>
  <c r="N207" i="6"/>
  <c r="Q207" i="6" s="1"/>
  <c r="N196" i="6"/>
  <c r="Q196" i="6" s="1"/>
  <c r="Q370" i="6"/>
  <c r="N370" i="6"/>
  <c r="N160" i="6"/>
  <c r="Q160" i="6" s="1"/>
  <c r="N50" i="6"/>
  <c r="Q50" i="6" s="1"/>
  <c r="N269" i="6"/>
  <c r="Q269" i="6" s="1"/>
  <c r="Q119" i="6"/>
  <c r="N119" i="6"/>
  <c r="N36" i="6"/>
  <c r="R36" i="6" s="1"/>
  <c r="U36" i="6" s="1"/>
  <c r="N575" i="6"/>
  <c r="Q575" i="6" s="1"/>
  <c r="N557" i="6"/>
  <c r="Q557" i="6" s="1"/>
  <c r="Q299" i="6"/>
  <c r="N299" i="6"/>
  <c r="N456" i="6"/>
  <c r="R456" i="6" s="1"/>
  <c r="U456" i="6" s="1"/>
  <c r="N556" i="6"/>
  <c r="Q556" i="6" s="1"/>
  <c r="N519" i="6"/>
  <c r="Q519" i="6" s="1"/>
  <c r="Q467" i="6"/>
  <c r="N467" i="6"/>
  <c r="N488" i="6"/>
  <c r="Q488" i="6" s="1"/>
  <c r="N124" i="6"/>
  <c r="Q124" i="6" s="1"/>
  <c r="N205" i="6"/>
  <c r="Q205" i="6" s="1"/>
  <c r="Q83" i="6"/>
  <c r="N83" i="6"/>
  <c r="N214" i="6"/>
  <c r="R214" i="6" s="1"/>
  <c r="U214" i="6" s="1"/>
  <c r="N533" i="6"/>
  <c r="Q533" i="6" s="1"/>
  <c r="N48" i="6"/>
  <c r="Q48" i="6" s="1"/>
  <c r="Q158" i="6"/>
  <c r="N158" i="6"/>
  <c r="N297" i="6"/>
  <c r="R297" i="6" s="1"/>
  <c r="N298" i="6"/>
  <c r="Q298" i="6" s="1"/>
  <c r="N62" i="6"/>
  <c r="Q62" i="6" s="1"/>
  <c r="Q146" i="6"/>
  <c r="N146" i="6"/>
  <c r="N389" i="6"/>
  <c r="R389" i="6" s="1"/>
  <c r="N263" i="6"/>
  <c r="Q263" i="6" s="1"/>
  <c r="N67" i="6"/>
  <c r="Q67" i="6" s="1"/>
  <c r="Q113" i="6"/>
  <c r="N113" i="6"/>
  <c r="N294" i="6"/>
  <c r="R294" i="6" s="1"/>
  <c r="N240" i="6"/>
  <c r="Q240" i="6" s="1"/>
  <c r="N183" i="6"/>
  <c r="Q183" i="6" s="1"/>
  <c r="Q554" i="6"/>
  <c r="N554" i="6"/>
  <c r="N486" i="6"/>
  <c r="P486" i="6" s="1"/>
  <c r="N161" i="6"/>
  <c r="Q161" i="6" s="1"/>
  <c r="N540" i="6"/>
  <c r="Q540" i="6" s="1"/>
  <c r="Q326" i="6"/>
  <c r="N326" i="6"/>
  <c r="N19" i="6"/>
  <c r="R19" i="6" s="1"/>
  <c r="U19" i="6" s="1"/>
  <c r="N191" i="6"/>
  <c r="Q191" i="6" s="1"/>
  <c r="N5" i="6"/>
  <c r="Q5" i="6" s="1"/>
  <c r="Q567" i="6"/>
  <c r="N567" i="6"/>
  <c r="N322" i="6"/>
  <c r="P322" i="6" s="1"/>
  <c r="N529" i="6"/>
  <c r="Q529" i="6" s="1"/>
  <c r="P180" i="6"/>
  <c r="Q180" i="6"/>
  <c r="Q431" i="6"/>
  <c r="N431" i="6"/>
  <c r="N405" i="6"/>
  <c r="R405" i="6" s="1"/>
  <c r="U405" i="6" s="1"/>
  <c r="N509" i="6"/>
  <c r="Q509" i="6" s="1"/>
  <c r="N208" i="6"/>
  <c r="Q208" i="6" s="1"/>
  <c r="Q508" i="6"/>
  <c r="N508" i="6"/>
  <c r="N452" i="6"/>
  <c r="R452" i="6" s="1"/>
  <c r="U452" i="6" s="1"/>
  <c r="N18" i="6"/>
  <c r="Q18" i="6" s="1"/>
  <c r="N284" i="6"/>
  <c r="Q284" i="6" s="1"/>
  <c r="Q137" i="6"/>
  <c r="N137" i="6"/>
  <c r="P137" i="6" s="1"/>
  <c r="N484" i="6"/>
  <c r="R484" i="6" s="1"/>
  <c r="U484" i="6" s="1"/>
  <c r="N118" i="6"/>
  <c r="Q118" i="6" s="1"/>
  <c r="N203" i="6"/>
  <c r="Q203" i="6" s="1"/>
  <c r="Q26" i="6"/>
  <c r="N26" i="6"/>
  <c r="N68" i="6"/>
  <c r="R68" i="6" s="1"/>
  <c r="N199" i="6"/>
  <c r="Q199" i="6" s="1"/>
  <c r="N399" i="6"/>
  <c r="Q399" i="6" s="1"/>
  <c r="Q586" i="6"/>
  <c r="N586" i="6"/>
  <c r="N276" i="6"/>
  <c r="R276" i="6" s="1"/>
  <c r="U276" i="6" s="1"/>
  <c r="N364" i="6"/>
  <c r="Q364" i="6" s="1"/>
  <c r="N566" i="6"/>
  <c r="Q566" i="6" s="1"/>
  <c r="Q261" i="6"/>
  <c r="N261" i="6"/>
  <c r="N380" i="6"/>
  <c r="R380" i="6" s="1"/>
  <c r="N278" i="6"/>
  <c r="Q278" i="6" s="1"/>
  <c r="N121" i="6"/>
  <c r="Q121" i="6" s="1"/>
  <c r="Q524" i="6"/>
  <c r="N524" i="6"/>
  <c r="N476" i="6"/>
  <c r="P476" i="6" s="1"/>
  <c r="N79" i="6"/>
  <c r="Q79" i="6" s="1"/>
  <c r="N213" i="6"/>
  <c r="Q213" i="6" s="1"/>
  <c r="Q210" i="6"/>
  <c r="N210" i="6"/>
  <c r="N317" i="6"/>
  <c r="R317" i="6" s="1"/>
  <c r="U317" i="6" s="1"/>
  <c r="N546" i="6"/>
  <c r="Q546" i="6" s="1"/>
  <c r="N193" i="6"/>
  <c r="Q193" i="6" s="1"/>
  <c r="Q101" i="6"/>
  <c r="N101" i="6"/>
  <c r="N238" i="6"/>
  <c r="R238" i="6" s="1"/>
  <c r="U238" i="6" s="1"/>
  <c r="N268" i="6"/>
  <c r="Q268" i="6" s="1"/>
  <c r="N419" i="6"/>
  <c r="Q419" i="6" s="1"/>
  <c r="Q176" i="6"/>
  <c r="N176" i="6"/>
  <c r="N570" i="6"/>
  <c r="R570" i="6" s="1"/>
  <c r="N175" i="6"/>
  <c r="Q175" i="6" s="1"/>
  <c r="N493" i="6"/>
  <c r="Q493" i="6" s="1"/>
  <c r="Q251" i="6"/>
  <c r="N251" i="6"/>
  <c r="N300" i="6"/>
  <c r="R300" i="6" s="1"/>
  <c r="U300" i="6" s="1"/>
  <c r="N350" i="6"/>
  <c r="Q350" i="6" s="1"/>
  <c r="N66" i="6"/>
  <c r="Q66" i="6" s="1"/>
  <c r="Q314" i="6"/>
  <c r="N314" i="6"/>
  <c r="N189" i="6"/>
  <c r="P189" i="6" s="1"/>
  <c r="N59" i="6"/>
  <c r="Q59" i="6" s="1"/>
  <c r="N305" i="6"/>
  <c r="Q305" i="6" s="1"/>
  <c r="Q440" i="6"/>
  <c r="N440" i="6"/>
  <c r="R153" i="6"/>
  <c r="W153" i="6" s="1"/>
  <c r="Z153" i="6" s="1"/>
  <c r="AA153" i="6" s="1"/>
  <c r="R537" i="6"/>
  <c r="U537" i="6" s="1"/>
  <c r="P64" i="6"/>
  <c r="Q64" i="6"/>
  <c r="Q448" i="6"/>
  <c r="P448" i="6"/>
  <c r="T345" i="6"/>
  <c r="W345" i="6"/>
  <c r="Z345" i="6" s="1"/>
  <c r="AA345" i="6" s="1"/>
  <c r="U345" i="6"/>
  <c r="R13" i="6"/>
  <c r="U13" i="6" s="1"/>
  <c r="P13" i="6"/>
  <c r="R209" i="6"/>
  <c r="U209" i="6" s="1"/>
  <c r="P209" i="6"/>
  <c r="R310" i="6"/>
  <c r="U310" i="6" s="1"/>
  <c r="P310" i="6"/>
  <c r="R204" i="6"/>
  <c r="U204" i="6" s="1"/>
  <c r="P204" i="6"/>
  <c r="R40" i="6"/>
  <c r="U40" i="6" s="1"/>
  <c r="P40" i="6"/>
  <c r="R162" i="6"/>
  <c r="U162" i="6" s="1"/>
  <c r="P162" i="6"/>
  <c r="R432" i="6"/>
  <c r="U432" i="6" s="1"/>
  <c r="P432" i="6"/>
  <c r="R225" i="6"/>
  <c r="U225" i="6" s="1"/>
  <c r="P225" i="6"/>
  <c r="R218" i="6"/>
  <c r="U218" i="6" s="1"/>
  <c r="P218" i="6"/>
  <c r="R137" i="6"/>
  <c r="R427" i="6"/>
  <c r="U427" i="6" s="1"/>
  <c r="P427" i="6"/>
  <c r="R492" i="6"/>
  <c r="U492" i="6" s="1"/>
  <c r="P492" i="6"/>
  <c r="P518" i="6"/>
  <c r="R518" i="6"/>
  <c r="P311" i="6"/>
  <c r="R311" i="6"/>
  <c r="U311" i="6" s="1"/>
  <c r="R117" i="6"/>
  <c r="U117" i="6" s="1"/>
  <c r="P117" i="6"/>
  <c r="R106" i="6"/>
  <c r="U106" i="6" s="1"/>
  <c r="P106" i="6"/>
  <c r="R9" i="6"/>
  <c r="P9" i="6"/>
  <c r="R348" i="6"/>
  <c r="U348" i="6" s="1"/>
  <c r="P348" i="6"/>
  <c r="R579" i="6"/>
  <c r="U579" i="6" s="1"/>
  <c r="P579" i="6"/>
  <c r="R447" i="6"/>
  <c r="U447" i="6" s="1"/>
  <c r="P447" i="6"/>
  <c r="R446" i="6"/>
  <c r="P446" i="6"/>
  <c r="R149" i="6"/>
  <c r="U149" i="6" s="1"/>
  <c r="P149" i="6"/>
  <c r="R138" i="6"/>
  <c r="U138" i="6" s="1"/>
  <c r="P138" i="6"/>
  <c r="R466" i="6"/>
  <c r="P466" i="6"/>
  <c r="R461" i="6"/>
  <c r="U461" i="6" s="1"/>
  <c r="P461" i="6"/>
  <c r="R35" i="6"/>
  <c r="P35" i="6"/>
  <c r="R60" i="6"/>
  <c r="P60" i="6"/>
  <c r="R363" i="6"/>
  <c r="P363" i="6"/>
  <c r="R82" i="6"/>
  <c r="U82" i="6" s="1"/>
  <c r="P82" i="6"/>
  <c r="R163" i="6"/>
  <c r="P163" i="6"/>
  <c r="P223" i="6"/>
  <c r="R223" i="6"/>
  <c r="U223" i="6" s="1"/>
  <c r="R584" i="6"/>
  <c r="U584" i="6" s="1"/>
  <c r="P584" i="6"/>
  <c r="R134" i="6"/>
  <c r="U134" i="6" s="1"/>
  <c r="P134" i="6"/>
  <c r="R407" i="6"/>
  <c r="U407" i="6" s="1"/>
  <c r="P407" i="6"/>
  <c r="R42" i="6"/>
  <c r="U42" i="6" s="1"/>
  <c r="P42" i="6"/>
  <c r="R422" i="6"/>
  <c r="U422" i="6" s="1"/>
  <c r="P422" i="6"/>
  <c r="R85" i="6"/>
  <c r="U85" i="6" s="1"/>
  <c r="P85" i="6"/>
  <c r="R33" i="6"/>
  <c r="U33" i="6" s="1"/>
  <c r="P33" i="6"/>
  <c r="R332" i="6"/>
  <c r="U332" i="6" s="1"/>
  <c r="P332" i="6"/>
  <c r="Q13" i="6"/>
  <c r="R133" i="6"/>
  <c r="P133" i="6"/>
  <c r="R122" i="6"/>
  <c r="U122" i="6" s="1"/>
  <c r="P122" i="6"/>
  <c r="R12" i="6"/>
  <c r="U12" i="6" s="1"/>
  <c r="P12" i="6"/>
  <c r="R503" i="6"/>
  <c r="U503" i="6" s="1"/>
  <c r="P503" i="6"/>
  <c r="R495" i="6"/>
  <c r="U495" i="6" s="1"/>
  <c r="P495" i="6"/>
  <c r="Q33" i="6"/>
  <c r="Q332" i="6"/>
  <c r="R496" i="6"/>
  <c r="U496" i="6" s="1"/>
  <c r="P496" i="6"/>
  <c r="R236" i="6"/>
  <c r="U236" i="6" s="1"/>
  <c r="P236" i="6"/>
  <c r="R403" i="6"/>
  <c r="U403" i="6" s="1"/>
  <c r="P403" i="6"/>
  <c r="P351" i="6"/>
  <c r="R351" i="6"/>
  <c r="U351" i="6" s="1"/>
  <c r="R331" i="6"/>
  <c r="U331" i="6" s="1"/>
  <c r="P331" i="6"/>
  <c r="R185" i="6"/>
  <c r="U185" i="6" s="1"/>
  <c r="P185" i="6"/>
  <c r="P63" i="6"/>
  <c r="R63" i="6"/>
  <c r="U63" i="6" s="1"/>
  <c r="R592" i="6"/>
  <c r="U592" i="6" s="1"/>
  <c r="P592" i="6"/>
  <c r="R44" i="6"/>
  <c r="U44" i="6" s="1"/>
  <c r="P44" i="6"/>
  <c r="R424" i="6"/>
  <c r="U424" i="6" s="1"/>
  <c r="P424" i="6"/>
  <c r="R428" i="6"/>
  <c r="P428" i="6"/>
  <c r="R283" i="6"/>
  <c r="U283" i="6" s="1"/>
  <c r="P283" i="6"/>
  <c r="R569" i="6"/>
  <c r="U569" i="6" s="1"/>
  <c r="P569" i="6"/>
  <c r="R400" i="6"/>
  <c r="P400" i="6"/>
  <c r="R242" i="6"/>
  <c r="U242" i="6" s="1"/>
  <c r="P242" i="6"/>
  <c r="R129" i="6"/>
  <c r="U129" i="6" s="1"/>
  <c r="P129" i="6"/>
  <c r="R490" i="6"/>
  <c r="U490" i="6" s="1"/>
  <c r="P490" i="6"/>
  <c r="R277" i="6"/>
  <c r="U277" i="6" s="1"/>
  <c r="P277" i="6"/>
  <c r="R43" i="6"/>
  <c r="P43" i="6"/>
  <c r="R550" i="6"/>
  <c r="U550" i="6" s="1"/>
  <c r="P550" i="6"/>
  <c r="R506" i="6"/>
  <c r="P506" i="6"/>
  <c r="R328" i="6"/>
  <c r="U328" i="6" s="1"/>
  <c r="P328" i="6"/>
  <c r="R260" i="6"/>
  <c r="U260" i="6" s="1"/>
  <c r="P260" i="6"/>
  <c r="R355" i="6"/>
  <c r="U355" i="6" s="1"/>
  <c r="P355" i="6"/>
  <c r="R148" i="6"/>
  <c r="U148" i="6" s="1"/>
  <c r="P148" i="6"/>
  <c r="P279" i="6"/>
  <c r="R279" i="6"/>
  <c r="U279" i="6" s="1"/>
  <c r="R412" i="6"/>
  <c r="P412" i="6"/>
  <c r="R535" i="6"/>
  <c r="U535" i="6" s="1"/>
  <c r="P535" i="6"/>
  <c r="R523" i="6"/>
  <c r="U523" i="6" s="1"/>
  <c r="P523" i="6"/>
  <c r="Q209" i="6"/>
  <c r="R513" i="6"/>
  <c r="P513" i="6"/>
  <c r="R190" i="6"/>
  <c r="P190" i="6"/>
  <c r="R498" i="6"/>
  <c r="U498" i="6" s="1"/>
  <c r="P498" i="6"/>
  <c r="R212" i="6"/>
  <c r="P212" i="6"/>
  <c r="R90" i="6"/>
  <c r="P90" i="6"/>
  <c r="Q518" i="6"/>
  <c r="R502" i="6"/>
  <c r="U502" i="6" s="1"/>
  <c r="P502" i="6"/>
  <c r="R70" i="6"/>
  <c r="P70" i="6"/>
  <c r="Q218" i="6"/>
  <c r="Q461" i="6"/>
  <c r="R211" i="6"/>
  <c r="U211" i="6" s="1"/>
  <c r="P211" i="6"/>
  <c r="R4" i="6"/>
  <c r="U4" i="6" s="1"/>
  <c r="P4" i="6"/>
  <c r="Q43" i="6"/>
  <c r="R385" i="6"/>
  <c r="U385" i="6" s="1"/>
  <c r="P385" i="6"/>
  <c r="Q129" i="6"/>
  <c r="Q351" i="6"/>
  <c r="Q331" i="6"/>
  <c r="Q185" i="6"/>
  <c r="Q63" i="6"/>
  <c r="Q535" i="6"/>
  <c r="R463" i="6"/>
  <c r="U463" i="6" s="1"/>
  <c r="P463" i="6"/>
  <c r="R32" i="6"/>
  <c r="U32" i="6" s="1"/>
  <c r="P32" i="6"/>
  <c r="R534" i="6"/>
  <c r="U534" i="6" s="1"/>
  <c r="P534" i="6"/>
  <c r="R538" i="6"/>
  <c r="U538" i="6" s="1"/>
  <c r="P538" i="6"/>
  <c r="Q363" i="6"/>
  <c r="R92" i="6"/>
  <c r="U92" i="6" s="1"/>
  <c r="P92" i="6"/>
  <c r="R237" i="6"/>
  <c r="P237" i="6"/>
  <c r="R3" i="6"/>
  <c r="U3" i="6" s="1"/>
  <c r="P3" i="6"/>
  <c r="R135" i="6"/>
  <c r="U135" i="6" s="1"/>
  <c r="P135" i="6"/>
  <c r="R49" i="6"/>
  <c r="P49" i="6"/>
  <c r="R474" i="6"/>
  <c r="U474" i="6" s="1"/>
  <c r="P474" i="6"/>
  <c r="R108" i="6"/>
  <c r="U108" i="6" s="1"/>
  <c r="P108" i="6"/>
  <c r="R73" i="6"/>
  <c r="P73" i="6"/>
  <c r="Q236" i="6"/>
  <c r="R420" i="6"/>
  <c r="U420" i="6" s="1"/>
  <c r="P420" i="6"/>
  <c r="R528" i="6"/>
  <c r="P528" i="6"/>
  <c r="R45" i="6"/>
  <c r="U45" i="6" s="1"/>
  <c r="P45" i="6"/>
  <c r="R226" i="6"/>
  <c r="U226" i="6" s="1"/>
  <c r="P226" i="6"/>
  <c r="P287" i="6"/>
  <c r="R287" i="6"/>
  <c r="U287" i="6" s="1"/>
  <c r="P93" i="6"/>
  <c r="R93" i="6"/>
  <c r="R274" i="6"/>
  <c r="U274" i="6" s="1"/>
  <c r="P274" i="6"/>
  <c r="R516" i="6"/>
  <c r="U516" i="6" s="1"/>
  <c r="P516" i="6"/>
  <c r="R577" i="6"/>
  <c r="P577" i="6"/>
  <c r="R16" i="6"/>
  <c r="U16" i="6" s="1"/>
  <c r="P16" i="6"/>
  <c r="Q9" i="6"/>
  <c r="Q348" i="6"/>
  <c r="Q85" i="6"/>
  <c r="Q49" i="6"/>
  <c r="R439" i="6"/>
  <c r="P439" i="6"/>
  <c r="R194" i="6"/>
  <c r="U194" i="6" s="1"/>
  <c r="P194" i="6"/>
  <c r="R435" i="6"/>
  <c r="U435" i="6" s="1"/>
  <c r="P435" i="6"/>
  <c r="R176" i="6"/>
  <c r="U176" i="6" s="1"/>
  <c r="P176" i="6"/>
  <c r="R391" i="6"/>
  <c r="U391" i="6" s="1"/>
  <c r="P391" i="6"/>
  <c r="R430" i="6"/>
  <c r="U430" i="6" s="1"/>
  <c r="P430" i="6"/>
  <c r="P558" i="6"/>
  <c r="R558" i="6"/>
  <c r="R349" i="6"/>
  <c r="U349" i="6" s="1"/>
  <c r="P349" i="6"/>
  <c r="R419" i="6"/>
  <c r="U419" i="6" s="1"/>
  <c r="P419" i="6"/>
  <c r="R298" i="6"/>
  <c r="U298" i="6" s="1"/>
  <c r="P298" i="6"/>
  <c r="R156" i="6"/>
  <c r="U156" i="6" s="1"/>
  <c r="P156" i="6"/>
  <c r="R444" i="6"/>
  <c r="U444" i="6" s="1"/>
  <c r="P444" i="6"/>
  <c r="R572" i="6"/>
  <c r="U572" i="6" s="1"/>
  <c r="P572" i="6"/>
  <c r="R378" i="6"/>
  <c r="U378" i="6" s="1"/>
  <c r="P378" i="6"/>
  <c r="R434" i="6"/>
  <c r="U434" i="6" s="1"/>
  <c r="P434" i="6"/>
  <c r="R493" i="6"/>
  <c r="U493" i="6" s="1"/>
  <c r="P493" i="6"/>
  <c r="R164" i="6"/>
  <c r="U164" i="6" s="1"/>
  <c r="P164" i="6"/>
  <c r="P319" i="6"/>
  <c r="R319" i="6"/>
  <c r="R179" i="6"/>
  <c r="U179" i="6" s="1"/>
  <c r="P179" i="6"/>
  <c r="P183" i="6"/>
  <c r="R183" i="6"/>
  <c r="R188" i="6"/>
  <c r="U188" i="6" s="1"/>
  <c r="P188" i="6"/>
  <c r="R139" i="6"/>
  <c r="P139" i="6"/>
  <c r="R402" i="6"/>
  <c r="U402" i="6" s="1"/>
  <c r="P402" i="6"/>
  <c r="R275" i="6"/>
  <c r="U275" i="6" s="1"/>
  <c r="P275" i="6"/>
  <c r="R459" i="6"/>
  <c r="U459" i="6" s="1"/>
  <c r="P459" i="6"/>
  <c r="R289" i="6"/>
  <c r="U289" i="6" s="1"/>
  <c r="P289" i="6"/>
  <c r="R111" i="6"/>
  <c r="P111" i="6"/>
  <c r="R304" i="6"/>
  <c r="U304" i="6" s="1"/>
  <c r="P304" i="6"/>
  <c r="R408" i="6"/>
  <c r="U408" i="6" s="1"/>
  <c r="P408" i="6"/>
  <c r="R50" i="6"/>
  <c r="U50" i="6" s="1"/>
  <c r="P50" i="6"/>
  <c r="R478" i="6"/>
  <c r="U478" i="6" s="1"/>
  <c r="P478" i="6"/>
  <c r="R458" i="6"/>
  <c r="U458" i="6" s="1"/>
  <c r="P458" i="6"/>
  <c r="R580" i="6"/>
  <c r="U580" i="6" s="1"/>
  <c r="P580" i="6"/>
  <c r="R98" i="6"/>
  <c r="P98" i="6"/>
  <c r="R567" i="6"/>
  <c r="P567" i="6"/>
  <c r="R585" i="6"/>
  <c r="U585" i="6" s="1"/>
  <c r="P585" i="6"/>
  <c r="R109" i="6"/>
  <c r="U109" i="6" s="1"/>
  <c r="P109" i="6"/>
  <c r="R426" i="6"/>
  <c r="U426" i="6" s="1"/>
  <c r="P426" i="6"/>
  <c r="R272" i="6"/>
  <c r="U272" i="6" s="1"/>
  <c r="P272" i="6"/>
  <c r="R453" i="6"/>
  <c r="U453" i="6" s="1"/>
  <c r="P453" i="6"/>
  <c r="R27" i="6"/>
  <c r="U27" i="6" s="1"/>
  <c r="P27" i="6"/>
  <c r="R72" i="6"/>
  <c r="U72" i="6" s="1"/>
  <c r="P72" i="6"/>
  <c r="R595" i="6"/>
  <c r="P595" i="6"/>
  <c r="R396" i="6"/>
  <c r="U396" i="6" s="1"/>
  <c r="P396" i="6"/>
  <c r="R232" i="6"/>
  <c r="U232" i="6" s="1"/>
  <c r="P232" i="6"/>
  <c r="R454" i="6"/>
  <c r="U454" i="6" s="1"/>
  <c r="P454" i="6"/>
  <c r="R267" i="6"/>
  <c r="P267" i="6"/>
  <c r="R288" i="6"/>
  <c r="U288" i="6" s="1"/>
  <c r="P288" i="6"/>
  <c r="P255" i="6"/>
  <c r="R255" i="6"/>
  <c r="U255" i="6" s="1"/>
  <c r="R241" i="6"/>
  <c r="U241" i="6" s="1"/>
  <c r="P241" i="6"/>
  <c r="R360" i="6"/>
  <c r="U360" i="6" s="1"/>
  <c r="P360" i="6"/>
  <c r="R168" i="6"/>
  <c r="P168" i="6"/>
  <c r="R193" i="6"/>
  <c r="P193" i="6"/>
  <c r="P582" i="6"/>
  <c r="R582" i="6"/>
  <c r="U582" i="6" s="1"/>
  <c r="R187" i="6"/>
  <c r="U187" i="6" s="1"/>
  <c r="P187" i="6"/>
  <c r="R47" i="6"/>
  <c r="P47" i="6"/>
  <c r="P343" i="6"/>
  <c r="R343" i="6"/>
  <c r="U343" i="6" s="1"/>
  <c r="R299" i="6"/>
  <c r="U299" i="6" s="1"/>
  <c r="P299" i="6"/>
  <c r="Q444" i="6"/>
  <c r="R574" i="6"/>
  <c r="U574" i="6" s="1"/>
  <c r="P574" i="6"/>
  <c r="R507" i="6"/>
  <c r="U507" i="6" s="1"/>
  <c r="P507" i="6"/>
  <c r="Q35" i="6"/>
  <c r="Q60" i="6"/>
  <c r="Q428" i="6"/>
  <c r="Q283" i="6"/>
  <c r="R377" i="6"/>
  <c r="U377" i="6" s="1"/>
  <c r="P377" i="6"/>
  <c r="R510" i="6"/>
  <c r="U510" i="6" s="1"/>
  <c r="P510" i="6"/>
  <c r="Q44" i="6"/>
  <c r="Q523" i="6"/>
  <c r="Q106" i="6"/>
  <c r="Q260" i="6"/>
  <c r="Q355" i="6"/>
  <c r="Q148" i="6"/>
  <c r="Q279" i="6"/>
  <c r="Q580" i="6"/>
  <c r="Q408" i="6"/>
  <c r="Q242" i="6"/>
  <c r="R271" i="6"/>
  <c r="U271" i="6" s="1"/>
  <c r="P271" i="6"/>
  <c r="R37" i="6"/>
  <c r="U37" i="6" s="1"/>
  <c r="P37" i="6"/>
  <c r="Q179" i="6"/>
  <c r="Q453" i="6"/>
  <c r="Q27" i="6"/>
  <c r="Q190" i="6"/>
  <c r="R220" i="6"/>
  <c r="U220" i="6" s="1"/>
  <c r="P220" i="6"/>
  <c r="Q396" i="6"/>
  <c r="Q255" i="6"/>
  <c r="R56" i="6"/>
  <c r="U56" i="6" s="1"/>
  <c r="P56" i="6"/>
  <c r="R418" i="6"/>
  <c r="U418" i="6" s="1"/>
  <c r="P418" i="6"/>
  <c r="R417" i="6"/>
  <c r="U417" i="6" s="1"/>
  <c r="P417" i="6"/>
  <c r="R374" i="6"/>
  <c r="U374" i="6" s="1"/>
  <c r="P374" i="6"/>
  <c r="R571" i="6"/>
  <c r="U571" i="6" s="1"/>
  <c r="P571" i="6"/>
  <c r="R415" i="6"/>
  <c r="P415" i="6"/>
  <c r="R483" i="6"/>
  <c r="U483" i="6" s="1"/>
  <c r="P483" i="6"/>
  <c r="Q498" i="6"/>
  <c r="R329" i="6"/>
  <c r="U329" i="6" s="1"/>
  <c r="P329" i="6"/>
  <c r="R593" i="6"/>
  <c r="P593" i="6"/>
  <c r="R239" i="6"/>
  <c r="U239" i="6" s="1"/>
  <c r="P239" i="6"/>
  <c r="R318" i="6"/>
  <c r="U318" i="6" s="1"/>
  <c r="P318" i="6"/>
  <c r="R30" i="6"/>
  <c r="U30" i="6" s="1"/>
  <c r="P30" i="6"/>
  <c r="R195" i="6"/>
  <c r="U195" i="6" s="1"/>
  <c r="P195" i="6"/>
  <c r="Q134" i="6"/>
  <c r="R173" i="6"/>
  <c r="P173" i="6"/>
  <c r="R354" i="6"/>
  <c r="P354" i="6"/>
  <c r="R520" i="6"/>
  <c r="U520" i="6" s="1"/>
  <c r="P520" i="6"/>
  <c r="Q463" i="6"/>
  <c r="Q407" i="6"/>
  <c r="Q391" i="6"/>
  <c r="Q422" i="6"/>
  <c r="Q108" i="6"/>
  <c r="Q56" i="6"/>
  <c r="R282" i="6"/>
  <c r="U282" i="6" s="1"/>
  <c r="P282" i="6"/>
  <c r="R307" i="6"/>
  <c r="U307" i="6" s="1"/>
  <c r="P307" i="6"/>
  <c r="R361" i="6"/>
  <c r="P361" i="6"/>
  <c r="R21" i="6"/>
  <c r="U21" i="6" s="1"/>
  <c r="P21" i="6"/>
  <c r="R292" i="6"/>
  <c r="U292" i="6" s="1"/>
  <c r="P292" i="6"/>
  <c r="P221" i="6"/>
  <c r="R221" i="6"/>
  <c r="U221" i="6" s="1"/>
  <c r="Q204" i="6"/>
  <c r="R533" i="6"/>
  <c r="U533" i="6" s="1"/>
  <c r="P533" i="6"/>
  <c r="R136" i="6"/>
  <c r="U136" i="6" s="1"/>
  <c r="P136" i="6"/>
  <c r="R46" i="6"/>
  <c r="U46" i="6" s="1"/>
  <c r="P46" i="6"/>
  <c r="R544" i="6"/>
  <c r="U544" i="6" s="1"/>
  <c r="P544" i="6"/>
  <c r="R130" i="6"/>
  <c r="U130" i="6" s="1"/>
  <c r="P130" i="6"/>
  <c r="R175" i="6"/>
  <c r="P175" i="6"/>
  <c r="R392" i="6"/>
  <c r="U392" i="6" s="1"/>
  <c r="P392" i="6"/>
  <c r="R113" i="6"/>
  <c r="U113" i="6" s="1"/>
  <c r="P113" i="6"/>
  <c r="R479" i="6"/>
  <c r="U479" i="6" s="1"/>
  <c r="P479" i="6"/>
  <c r="R578" i="6"/>
  <c r="P578" i="6"/>
  <c r="R411" i="6"/>
  <c r="U411" i="6" s="1"/>
  <c r="P411" i="6"/>
  <c r="R112" i="6"/>
  <c r="U112" i="6" s="1"/>
  <c r="P112" i="6"/>
  <c r="R74" i="6"/>
  <c r="U74" i="6" s="1"/>
  <c r="P74" i="6"/>
  <c r="R145" i="6"/>
  <c r="P145" i="6"/>
  <c r="R233" i="6"/>
  <c r="U233" i="6" s="1"/>
  <c r="P233" i="6"/>
  <c r="Q82" i="6"/>
  <c r="R347" i="6"/>
  <c r="U347" i="6" s="1"/>
  <c r="P347" i="6"/>
  <c r="R94" i="6"/>
  <c r="U94" i="6" s="1"/>
  <c r="P94" i="6"/>
  <c r="R340" i="6"/>
  <c r="P340" i="6"/>
  <c r="R147" i="6"/>
  <c r="U147" i="6" s="1"/>
  <c r="P147" i="6"/>
  <c r="P191" i="6"/>
  <c r="R191" i="6"/>
  <c r="R587" i="6"/>
  <c r="P587" i="6"/>
  <c r="R425" i="6"/>
  <c r="U425" i="6" s="1"/>
  <c r="P425" i="6"/>
  <c r="R5" i="6"/>
  <c r="P5" i="6"/>
  <c r="R369" i="6"/>
  <c r="P369" i="6"/>
  <c r="R269" i="6"/>
  <c r="U269" i="6" s="1"/>
  <c r="P269" i="6"/>
  <c r="R455" i="6"/>
  <c r="U455" i="6" s="1"/>
  <c r="P455" i="6"/>
  <c r="P119" i="6"/>
  <c r="R119" i="6"/>
  <c r="U119" i="6" s="1"/>
  <c r="R379" i="6"/>
  <c r="U379" i="6" s="1"/>
  <c r="P379" i="6"/>
  <c r="R29" i="6"/>
  <c r="U29" i="6" s="1"/>
  <c r="R210" i="6"/>
  <c r="U210" i="6" s="1"/>
  <c r="P210" i="6"/>
  <c r="R342" i="6"/>
  <c r="P342" i="6"/>
  <c r="R291" i="6"/>
  <c r="U291" i="6" s="1"/>
  <c r="P291" i="6"/>
  <c r="R249" i="6"/>
  <c r="P249" i="6"/>
  <c r="R382" i="6"/>
  <c r="U382" i="6" s="1"/>
  <c r="P382" i="6"/>
  <c r="Q490" i="6"/>
  <c r="Q40" i="6"/>
  <c r="Q432" i="6"/>
  <c r="R525" i="6"/>
  <c r="U525" i="6" s="1"/>
  <c r="P525" i="6"/>
  <c r="R514" i="6"/>
  <c r="U514" i="6" s="1"/>
  <c r="P514" i="6"/>
  <c r="R264" i="6"/>
  <c r="U264" i="6" s="1"/>
  <c r="P264" i="6"/>
  <c r="R511" i="6"/>
  <c r="U511" i="6" s="1"/>
  <c r="P511" i="6"/>
  <c r="R341" i="6"/>
  <c r="U341" i="6" s="1"/>
  <c r="P341" i="6"/>
  <c r="R107" i="6"/>
  <c r="P107" i="6"/>
  <c r="R338" i="6"/>
  <c r="U338" i="6" s="1"/>
  <c r="P338" i="6"/>
  <c r="R79" i="6"/>
  <c r="U79" i="6" s="1"/>
  <c r="P79" i="6"/>
  <c r="R464" i="6"/>
  <c r="P464" i="6"/>
  <c r="R333" i="6"/>
  <c r="P333" i="6"/>
  <c r="R58" i="6"/>
  <c r="U58" i="6" s="1"/>
  <c r="P58" i="6"/>
  <c r="R166" i="6"/>
  <c r="U166" i="6" s="1"/>
  <c r="P166" i="6"/>
  <c r="Q94" i="6"/>
  <c r="Q392" i="6"/>
  <c r="R303" i="6"/>
  <c r="P303" i="6"/>
  <c r="R324" i="6"/>
  <c r="U324" i="6" s="1"/>
  <c r="P324" i="6"/>
  <c r="R259" i="6"/>
  <c r="U259" i="6" s="1"/>
  <c r="P259" i="6"/>
  <c r="R315" i="6"/>
  <c r="U315" i="6" s="1"/>
  <c r="P315" i="6"/>
  <c r="R330" i="6"/>
  <c r="P330" i="6"/>
  <c r="R553" i="6"/>
  <c r="P553" i="6"/>
  <c r="R531" i="6"/>
  <c r="U531" i="6" s="1"/>
  <c r="P531" i="6"/>
  <c r="R335" i="6"/>
  <c r="P335" i="6"/>
  <c r="R556" i="6"/>
  <c r="U556" i="6" s="1"/>
  <c r="P556" i="6"/>
  <c r="R203" i="6"/>
  <c r="P203" i="6"/>
  <c r="R460" i="6"/>
  <c r="U460" i="6" s="1"/>
  <c r="P460" i="6"/>
  <c r="R375" i="6"/>
  <c r="U375" i="6" s="1"/>
  <c r="P375" i="6"/>
  <c r="R301" i="6"/>
  <c r="P301" i="6"/>
  <c r="R67" i="6"/>
  <c r="U67" i="6" s="1"/>
  <c r="P67" i="6"/>
  <c r="R8" i="6"/>
  <c r="P8" i="6"/>
  <c r="R280" i="6"/>
  <c r="P280" i="6"/>
  <c r="Q164" i="6"/>
  <c r="R235" i="6"/>
  <c r="P235" i="6"/>
  <c r="R6" i="6"/>
  <c r="U6" i="6" s="1"/>
  <c r="P6" i="6"/>
  <c r="R547" i="6"/>
  <c r="U547" i="6" s="1"/>
  <c r="P547" i="6"/>
  <c r="R110" i="6"/>
  <c r="U110" i="6" s="1"/>
  <c r="P110" i="6"/>
  <c r="R266" i="6"/>
  <c r="P266" i="6"/>
  <c r="R594" i="6"/>
  <c r="U594" i="6" s="1"/>
  <c r="P594" i="6"/>
  <c r="R182" i="6"/>
  <c r="P182" i="6"/>
  <c r="P127" i="6"/>
  <c r="R127" i="6"/>
  <c r="U127" i="6" s="1"/>
  <c r="R489" i="6"/>
  <c r="P489" i="6"/>
  <c r="P366" i="6"/>
  <c r="P381" i="6"/>
  <c r="R381" i="6"/>
  <c r="Q232" i="6"/>
  <c r="R414" i="6"/>
  <c r="P414" i="6"/>
  <c r="R554" i="6"/>
  <c r="U554" i="6" s="1"/>
  <c r="P554" i="6"/>
  <c r="P494" i="6"/>
  <c r="R494" i="6"/>
  <c r="Q241" i="6"/>
  <c r="Q360" i="6"/>
  <c r="Q187" i="6"/>
  <c r="Q47" i="6"/>
  <c r="R597" i="6"/>
  <c r="U597" i="6" s="1"/>
  <c r="P597" i="6"/>
  <c r="R171" i="6"/>
  <c r="U171" i="6" s="1"/>
  <c r="P171" i="6"/>
  <c r="P497" i="6"/>
  <c r="R497" i="6"/>
  <c r="U497" i="6" s="1"/>
  <c r="Q525" i="6"/>
  <c r="R219" i="6"/>
  <c r="U219" i="6" s="1"/>
  <c r="P219" i="6"/>
  <c r="R527" i="6"/>
  <c r="P527" i="6"/>
  <c r="R440" i="6"/>
  <c r="U440" i="6" s="1"/>
  <c r="P440" i="6"/>
  <c r="R583" i="6"/>
  <c r="P583" i="6"/>
  <c r="R200" i="6"/>
  <c r="U200" i="6" s="1"/>
  <c r="P200" i="6"/>
  <c r="Q497" i="6"/>
  <c r="R321" i="6"/>
  <c r="U321" i="6" s="1"/>
  <c r="P321" i="6"/>
  <c r="P125" i="6"/>
  <c r="R125" i="6"/>
  <c r="R540" i="6"/>
  <c r="P540" i="6"/>
  <c r="R245" i="6"/>
  <c r="P245" i="6"/>
  <c r="R234" i="6"/>
  <c r="U234" i="6" s="1"/>
  <c r="P234" i="6"/>
  <c r="R406" i="6"/>
  <c r="U406" i="6" s="1"/>
  <c r="P406" i="6"/>
  <c r="R449" i="6"/>
  <c r="U449" i="6" s="1"/>
  <c r="P449" i="6"/>
  <c r="R11" i="6"/>
  <c r="U11" i="6" s="1"/>
  <c r="P11" i="6"/>
  <c r="R174" i="6"/>
  <c r="P174" i="6"/>
  <c r="Q579" i="6"/>
  <c r="Q447" i="6"/>
  <c r="R172" i="6"/>
  <c r="U172" i="6" s="1"/>
  <c r="P172" i="6"/>
  <c r="R388" i="6"/>
  <c r="U388" i="6" s="1"/>
  <c r="P388" i="6"/>
  <c r="R197" i="6"/>
  <c r="U197" i="6" s="1"/>
  <c r="P197" i="6"/>
  <c r="R186" i="6"/>
  <c r="P186" i="6"/>
  <c r="R481" i="6"/>
  <c r="U481" i="6" s="1"/>
  <c r="P481" i="6"/>
  <c r="R573" i="6"/>
  <c r="U573" i="6" s="1"/>
  <c r="P573" i="6"/>
  <c r="R562" i="6"/>
  <c r="P562" i="6"/>
  <c r="P215" i="6"/>
  <c r="R215" i="6"/>
  <c r="U215" i="6" s="1"/>
  <c r="R552" i="6"/>
  <c r="U552" i="6" s="1"/>
  <c r="P552" i="6"/>
  <c r="Q418" i="6"/>
  <c r="R555" i="6"/>
  <c r="U555" i="6" s="1"/>
  <c r="P555" i="6"/>
  <c r="R383" i="6"/>
  <c r="P383" i="6"/>
  <c r="R132" i="6"/>
  <c r="U132" i="6" s="1"/>
  <c r="P132" i="6"/>
  <c r="R169" i="6"/>
  <c r="U169" i="6" s="1"/>
  <c r="P169" i="6"/>
  <c r="R472" i="6"/>
  <c r="P472" i="6"/>
  <c r="R77" i="6"/>
  <c r="P77" i="6"/>
  <c r="R258" i="6"/>
  <c r="P258" i="6"/>
  <c r="Q98" i="6"/>
  <c r="R437" i="6"/>
  <c r="P437" i="6"/>
  <c r="R144" i="6"/>
  <c r="P144" i="6"/>
  <c r="R541" i="6"/>
  <c r="U541" i="6" s="1"/>
  <c r="P541" i="6"/>
  <c r="P247" i="6"/>
  <c r="R247" i="6"/>
  <c r="U247" i="6" s="1"/>
  <c r="R80" i="6"/>
  <c r="U80" i="6" s="1"/>
  <c r="P80" i="6"/>
  <c r="P31" i="6"/>
  <c r="R31" i="6"/>
  <c r="R563" i="6"/>
  <c r="U563" i="6" s="1"/>
  <c r="P563" i="6"/>
  <c r="R367" i="6"/>
  <c r="P367" i="6"/>
  <c r="R251" i="6"/>
  <c r="U251" i="6" s="1"/>
  <c r="P251" i="6"/>
  <c r="R350" i="6"/>
  <c r="P350" i="6"/>
  <c r="R589" i="6"/>
  <c r="U589" i="6" s="1"/>
  <c r="P589" i="6"/>
  <c r="P529" i="6"/>
  <c r="R529" i="6"/>
  <c r="U529" i="6" s="1"/>
  <c r="R565" i="6"/>
  <c r="P565" i="6"/>
  <c r="R143" i="6"/>
  <c r="U143" i="6" s="1"/>
  <c r="P143" i="6"/>
  <c r="P160" i="6"/>
  <c r="Q572" i="6"/>
  <c r="R359" i="6"/>
  <c r="R180" i="6"/>
  <c r="R295" i="6"/>
  <c r="R89" i="6"/>
  <c r="R512" i="6"/>
  <c r="R14" i="6"/>
  <c r="R128" i="6"/>
  <c r="R487" i="6"/>
  <c r="R384" i="6"/>
  <c r="R409" i="6"/>
  <c r="R244" i="6"/>
  <c r="R270" i="6"/>
  <c r="R206" i="6"/>
  <c r="R473" i="6"/>
  <c r="R398" i="6"/>
  <c r="R564" i="6"/>
  <c r="R448" i="6"/>
  <c r="R320" i="6"/>
  <c r="R551" i="6"/>
  <c r="R436" i="6"/>
  <c r="R231" i="6"/>
  <c r="R526" i="6"/>
  <c r="R590" i="6"/>
  <c r="R601" i="6"/>
  <c r="R116" i="6"/>
  <c r="R103" i="6"/>
  <c r="R281" i="6"/>
  <c r="R78" i="6"/>
  <c r="R64" i="6"/>
  <c r="R25" i="6"/>
  <c r="R7" i="6"/>
  <c r="R334" i="6"/>
  <c r="R192" i="6"/>
  <c r="R142" i="6"/>
  <c r="R256" i="6"/>
  <c r="R52" i="6"/>
  <c r="R217" i="6"/>
  <c r="R423" i="6"/>
  <c r="R372" i="6"/>
  <c r="R462" i="6"/>
  <c r="R500" i="6"/>
  <c r="R124" i="6"/>
  <c r="P124" i="6"/>
  <c r="Q435" i="6"/>
  <c r="R17" i="6"/>
  <c r="U17" i="6" s="1"/>
  <c r="P17" i="6"/>
  <c r="R442" i="6"/>
  <c r="U442" i="6" s="1"/>
  <c r="P442" i="6"/>
  <c r="R509" i="6"/>
  <c r="U509" i="6" s="1"/>
  <c r="P509" i="6"/>
  <c r="R178" i="6"/>
  <c r="U178" i="6" s="1"/>
  <c r="P178" i="6"/>
  <c r="R557" i="6"/>
  <c r="U557" i="6" s="1"/>
  <c r="P557" i="6"/>
  <c r="R131" i="6"/>
  <c r="U131" i="6" s="1"/>
  <c r="P131" i="6"/>
  <c r="R39" i="6"/>
  <c r="R602" i="6"/>
  <c r="P602" i="6"/>
  <c r="R358" i="6"/>
  <c r="P358" i="6"/>
  <c r="R576" i="6"/>
  <c r="R268" i="6"/>
  <c r="U268" i="6" s="1"/>
  <c r="P268" i="6"/>
  <c r="R421" i="6"/>
  <c r="U421" i="6" s="1"/>
  <c r="P421" i="6"/>
  <c r="R353" i="6"/>
  <c r="U353" i="6" s="1"/>
  <c r="P353" i="6"/>
  <c r="Q149" i="6"/>
  <c r="Q563" i="6"/>
  <c r="Q550" i="6"/>
  <c r="R306" i="6"/>
  <c r="P306" i="6"/>
  <c r="R433" i="6"/>
  <c r="U433" i="6" s="1"/>
  <c r="P433" i="6"/>
  <c r="Q138" i="6"/>
  <c r="Q147" i="6"/>
  <c r="Q426" i="6"/>
  <c r="Q143" i="6"/>
  <c r="Q109" i="6"/>
  <c r="R296" i="6"/>
  <c r="P296" i="6"/>
  <c r="R549" i="6"/>
  <c r="U549" i="6" s="1"/>
  <c r="P549" i="6"/>
  <c r="R26" i="6"/>
  <c r="P26" i="6"/>
  <c r="Q277" i="6"/>
  <c r="Q458" i="6"/>
  <c r="Q589" i="6"/>
  <c r="Q163" i="6"/>
  <c r="Q455" i="6"/>
  <c r="Q74" i="6"/>
  <c r="Q221" i="6"/>
  <c r="Q402" i="6"/>
  <c r="Q361" i="6"/>
  <c r="Q291" i="6"/>
  <c r="Q382" i="6"/>
  <c r="Q17" i="6"/>
  <c r="Q72" i="6"/>
  <c r="Q503" i="6"/>
  <c r="Q178" i="6"/>
  <c r="R515" i="6"/>
  <c r="U515" i="6" s="1"/>
  <c r="P515" i="6"/>
  <c r="R399" i="6"/>
  <c r="U399" i="6" s="1"/>
  <c r="P399" i="6"/>
  <c r="R485" i="6"/>
  <c r="P485" i="6"/>
  <c r="R548" i="6"/>
  <c r="P548" i="6"/>
  <c r="Q430" i="6"/>
  <c r="P488" i="6"/>
  <c r="R161" i="6"/>
  <c r="U161" i="6" s="1"/>
  <c r="P161" i="6"/>
  <c r="R588" i="6"/>
  <c r="U588" i="6" s="1"/>
  <c r="P588" i="6"/>
  <c r="Q442" i="6"/>
  <c r="Q496" i="6"/>
  <c r="Q289" i="6"/>
  <c r="R364" i="6"/>
  <c r="U364" i="6" s="1"/>
  <c r="P364" i="6"/>
  <c r="R323" i="6"/>
  <c r="P323" i="6"/>
  <c r="R505" i="6"/>
  <c r="P505" i="6"/>
  <c r="R167" i="6"/>
  <c r="R41" i="6"/>
  <c r="U41" i="6" s="1"/>
  <c r="P41" i="6"/>
  <c r="R371" i="6"/>
  <c r="P371" i="6"/>
  <c r="R20" i="6"/>
  <c r="P20" i="6"/>
  <c r="Q292" i="6"/>
  <c r="Q31" i="6"/>
  <c r="Q531" i="6"/>
  <c r="Q145" i="6"/>
  <c r="Q459" i="6"/>
  <c r="Q42" i="6"/>
  <c r="Q420" i="6"/>
  <c r="R344" i="6"/>
  <c r="U344" i="6" s="1"/>
  <c r="P344" i="6"/>
  <c r="Q311" i="6"/>
  <c r="R257" i="6"/>
  <c r="P257" i="6"/>
  <c r="Q220" i="6"/>
  <c r="Q188" i="6"/>
  <c r="P159" i="6"/>
  <c r="R159" i="6"/>
  <c r="U159" i="6" s="1"/>
  <c r="Q162" i="6"/>
  <c r="Q485" i="6"/>
  <c r="Q223" i="6"/>
  <c r="Q411" i="6"/>
  <c r="Q112" i="6"/>
  <c r="Q171" i="6"/>
  <c r="Q127" i="6"/>
  <c r="Q483" i="6"/>
  <c r="Q73" i="6"/>
  <c r="R401" i="6"/>
  <c r="P401" i="6"/>
  <c r="R121" i="6"/>
  <c r="P121" i="6"/>
  <c r="R470" i="6"/>
  <c r="U470" i="6" s="1"/>
  <c r="P470" i="6"/>
  <c r="P253" i="6"/>
  <c r="R253" i="6"/>
  <c r="R536" i="6"/>
  <c r="P536" i="6"/>
  <c r="R316" i="6"/>
  <c r="R273" i="6"/>
  <c r="U273" i="6" s="1"/>
  <c r="P273" i="6"/>
  <c r="R559" i="6"/>
  <c r="U559" i="6" s="1"/>
  <c r="P559" i="6"/>
  <c r="P95" i="6"/>
  <c r="R95" i="6"/>
  <c r="R213" i="6"/>
  <c r="U213" i="6" s="1"/>
  <c r="P213" i="6"/>
  <c r="R394" i="6"/>
  <c r="U394" i="6" s="1"/>
  <c r="P394" i="6"/>
  <c r="R390" i="6"/>
  <c r="P390" i="6"/>
  <c r="R205" i="6"/>
  <c r="U205" i="6" s="1"/>
  <c r="P205" i="6"/>
  <c r="Q310" i="6"/>
  <c r="R15" i="6"/>
  <c r="U15" i="6" s="1"/>
  <c r="P15" i="6"/>
  <c r="Q225" i="6"/>
  <c r="R18" i="6"/>
  <c r="P18" i="6"/>
  <c r="R76" i="6"/>
  <c r="U76" i="6" s="1"/>
  <c r="P76" i="6"/>
  <c r="R284" i="6"/>
  <c r="U284" i="6" s="1"/>
  <c r="P284" i="6"/>
  <c r="R198" i="6"/>
  <c r="P198" i="6"/>
  <c r="R522" i="6"/>
  <c r="P522" i="6"/>
  <c r="R184" i="6"/>
  <c r="P184" i="6"/>
  <c r="R48" i="6"/>
  <c r="P48" i="6"/>
  <c r="R322" i="6"/>
  <c r="U322" i="6" s="1"/>
  <c r="R581" i="6"/>
  <c r="P581" i="6"/>
  <c r="R155" i="6"/>
  <c r="U155" i="6" s="1"/>
  <c r="P155" i="6"/>
  <c r="R248" i="6"/>
  <c r="U248" i="6" s="1"/>
  <c r="P248" i="6"/>
  <c r="R395" i="6"/>
  <c r="P395" i="6"/>
  <c r="R84" i="6"/>
  <c r="P84" i="6"/>
  <c r="R336" i="6"/>
  <c r="U336" i="6" s="1"/>
  <c r="P336" i="6"/>
  <c r="R376" i="6"/>
  <c r="P376" i="6"/>
  <c r="R102" i="6"/>
  <c r="U102" i="6" s="1"/>
  <c r="P102" i="6"/>
  <c r="R224" i="6"/>
  <c r="U224" i="6" s="1"/>
  <c r="P224" i="6"/>
  <c r="R356" i="6"/>
  <c r="P356" i="6"/>
  <c r="R227" i="6"/>
  <c r="P227" i="6"/>
  <c r="R352" i="6"/>
  <c r="U352" i="6" s="1"/>
  <c r="P352" i="6"/>
  <c r="R120" i="6"/>
  <c r="U120" i="6" s="1"/>
  <c r="P120" i="6"/>
  <c r="R475" i="6"/>
  <c r="P475" i="6"/>
  <c r="R263" i="6"/>
  <c r="P263" i="6"/>
  <c r="R118" i="6"/>
  <c r="U118" i="6" s="1"/>
  <c r="P118" i="6"/>
  <c r="R445" i="6"/>
  <c r="U445" i="6" s="1"/>
  <c r="P445" i="6"/>
  <c r="R600" i="6"/>
  <c r="U600" i="6" s="1"/>
  <c r="P600" i="6"/>
  <c r="R216" i="6"/>
  <c r="P216" i="6"/>
  <c r="R262" i="6"/>
  <c r="P262" i="6"/>
  <c r="R482" i="6"/>
  <c r="U482" i="6" s="1"/>
  <c r="P482" i="6"/>
  <c r="Q328" i="6"/>
  <c r="R477" i="6"/>
  <c r="U477" i="6" s="1"/>
  <c r="P477" i="6"/>
  <c r="R51" i="6"/>
  <c r="P51" i="6"/>
  <c r="R532" i="6"/>
  <c r="P532" i="6"/>
  <c r="R140" i="6"/>
  <c r="U140" i="6" s="1"/>
  <c r="P140" i="6"/>
  <c r="R519" i="6"/>
  <c r="P519" i="6"/>
  <c r="R165" i="6"/>
  <c r="U165" i="6" s="1"/>
  <c r="P165" i="6"/>
  <c r="R240" i="6"/>
  <c r="P240" i="6"/>
  <c r="R545" i="6"/>
  <c r="P545" i="6"/>
  <c r="R66" i="6"/>
  <c r="P66" i="6"/>
  <c r="R325" i="6"/>
  <c r="P325" i="6"/>
  <c r="R314" i="6"/>
  <c r="U314" i="6" s="1"/>
  <c r="P314" i="6"/>
  <c r="R100" i="6"/>
  <c r="U100" i="6" s="1"/>
  <c r="P100" i="6"/>
  <c r="R53" i="6"/>
  <c r="U53" i="6" s="1"/>
  <c r="P53" i="6"/>
  <c r="Q131" i="6"/>
  <c r="Q212" i="6"/>
  <c r="R586" i="6"/>
  <c r="U586" i="6" s="1"/>
  <c r="P586" i="6"/>
  <c r="R81" i="6"/>
  <c r="U81" i="6" s="1"/>
  <c r="P81" i="6"/>
  <c r="R499" i="6"/>
  <c r="U499" i="6" s="1"/>
  <c r="P499" i="6"/>
  <c r="R196" i="6"/>
  <c r="U196" i="6" s="1"/>
  <c r="P196" i="6"/>
  <c r="R370" i="6"/>
  <c r="U370" i="6" s="1"/>
  <c r="P370" i="6"/>
  <c r="R373" i="6"/>
  <c r="U373" i="6" s="1"/>
  <c r="P373" i="6"/>
  <c r="R362" i="6"/>
  <c r="P362" i="6"/>
  <c r="R54" i="6"/>
  <c r="P54" i="6"/>
  <c r="Q81" i="6"/>
  <c r="Q594" i="6"/>
  <c r="R71" i="6"/>
  <c r="U71" i="6" s="1"/>
  <c r="P71" i="6"/>
  <c r="R201" i="6"/>
  <c r="P201" i="6"/>
  <c r="R566" i="6"/>
  <c r="P566" i="6"/>
  <c r="R286" i="6"/>
  <c r="P286" i="6"/>
  <c r="R261" i="6"/>
  <c r="P261" i="6"/>
  <c r="R250" i="6"/>
  <c r="U250" i="6" s="1"/>
  <c r="P250" i="6"/>
  <c r="Q417" i="6"/>
  <c r="R97" i="6"/>
  <c r="U97" i="6" s="1"/>
  <c r="P97" i="6"/>
  <c r="Q374" i="6"/>
  <c r="R337" i="6"/>
  <c r="U337" i="6" s="1"/>
  <c r="P337" i="6"/>
  <c r="R339" i="6"/>
  <c r="P339" i="6"/>
  <c r="R346" i="6"/>
  <c r="U346" i="6" s="1"/>
  <c r="P346" i="6"/>
  <c r="P87" i="6"/>
  <c r="R87" i="6"/>
  <c r="R480" i="6"/>
  <c r="P480" i="6"/>
  <c r="R38" i="6"/>
  <c r="U38" i="6" s="1"/>
  <c r="P38" i="6"/>
  <c r="R501" i="6"/>
  <c r="P501" i="6"/>
  <c r="R75" i="6"/>
  <c r="P75" i="6"/>
  <c r="R596" i="6"/>
  <c r="P596" i="6"/>
  <c r="R521" i="6"/>
  <c r="U521" i="6" s="1"/>
  <c r="P521" i="6"/>
  <c r="P404" i="6"/>
  <c r="R404" i="6"/>
  <c r="R469" i="6"/>
  <c r="P469" i="6"/>
  <c r="R104" i="6"/>
  <c r="U104" i="6" s="1"/>
  <c r="P104" i="6"/>
  <c r="R517" i="6"/>
  <c r="U517" i="6" s="1"/>
  <c r="P517" i="6"/>
  <c r="R91" i="6"/>
  <c r="U91" i="6" s="1"/>
  <c r="P91" i="6"/>
  <c r="R278" i="6"/>
  <c r="P278" i="6"/>
  <c r="R22" i="6"/>
  <c r="U22" i="6" s="1"/>
  <c r="P22" i="6"/>
  <c r="R312" i="6"/>
  <c r="U312" i="6" s="1"/>
  <c r="P312" i="6"/>
  <c r="R568" i="6"/>
  <c r="P568" i="6"/>
  <c r="R387" i="6"/>
  <c r="P387" i="6"/>
  <c r="R96" i="6"/>
  <c r="U96" i="6" s="1"/>
  <c r="P96" i="6"/>
  <c r="R228" i="6"/>
  <c r="P228" i="6"/>
  <c r="Q233" i="6"/>
  <c r="R254" i="6"/>
  <c r="U254" i="6" s="1"/>
  <c r="P254" i="6"/>
  <c r="R115" i="6"/>
  <c r="P115" i="6"/>
  <c r="R560" i="6"/>
  <c r="U560" i="6" s="1"/>
  <c r="R591" i="6"/>
  <c r="P591" i="6"/>
  <c r="R468" i="6"/>
  <c r="P468" i="6"/>
  <c r="R86" i="6"/>
  <c r="U86" i="6" s="1"/>
  <c r="P86" i="6"/>
  <c r="R491" i="6"/>
  <c r="U491" i="6" s="1"/>
  <c r="P491" i="6"/>
  <c r="R530" i="6"/>
  <c r="U530" i="6" s="1"/>
  <c r="P530" i="6"/>
  <c r="U518" i="6"/>
  <c r="R10" i="6"/>
  <c r="P10" i="6"/>
  <c r="R158" i="6"/>
  <c r="P158" i="6"/>
  <c r="R69" i="6"/>
  <c r="U69" i="6" s="1"/>
  <c r="P69" i="6"/>
  <c r="R62" i="6"/>
  <c r="P62" i="6"/>
  <c r="R504" i="6"/>
  <c r="P504" i="6"/>
  <c r="R146" i="6"/>
  <c r="U146" i="6" s="1"/>
  <c r="P146" i="6"/>
  <c r="R450" i="6"/>
  <c r="P450" i="6"/>
  <c r="R457" i="6"/>
  <c r="U457" i="6" s="1"/>
  <c r="P457" i="6"/>
  <c r="R57" i="6"/>
  <c r="P57" i="6"/>
  <c r="R467" i="6"/>
  <c r="U467" i="6" s="1"/>
  <c r="P467" i="6"/>
  <c r="Q558" i="6"/>
  <c r="R290" i="6"/>
  <c r="P290" i="6"/>
  <c r="R441" i="6"/>
  <c r="P441" i="6"/>
  <c r="R431" i="6"/>
  <c r="U431" i="6" s="1"/>
  <c r="P431" i="6"/>
  <c r="Q21" i="6"/>
  <c r="Q349" i="6"/>
  <c r="R326" i="6"/>
  <c r="U326" i="6" s="1"/>
  <c r="P326" i="6"/>
  <c r="R539" i="6"/>
  <c r="U539" i="6" s="1"/>
  <c r="P539" i="6"/>
  <c r="R575" i="6"/>
  <c r="P575" i="6"/>
  <c r="R83" i="6"/>
  <c r="U83" i="6" s="1"/>
  <c r="P83" i="6"/>
  <c r="R230" i="6"/>
  <c r="P230" i="6"/>
  <c r="R208" i="6"/>
  <c r="U208" i="6" s="1"/>
  <c r="P208" i="6"/>
  <c r="R170" i="6"/>
  <c r="U170" i="6" s="1"/>
  <c r="P170" i="6"/>
  <c r="R508" i="6"/>
  <c r="U508" i="6" s="1"/>
  <c r="P508" i="6"/>
  <c r="R246" i="6"/>
  <c r="P246" i="6"/>
  <c r="R365" i="6"/>
  <c r="P365" i="6"/>
  <c r="R546" i="6"/>
  <c r="U546" i="6" s="1"/>
  <c r="P546" i="6"/>
  <c r="R88" i="6"/>
  <c r="U88" i="6" s="1"/>
  <c r="P88" i="6"/>
  <c r="R542" i="6"/>
  <c r="P542" i="6"/>
  <c r="R101" i="6"/>
  <c r="U101" i="6" s="1"/>
  <c r="P101" i="6"/>
  <c r="R524" i="6"/>
  <c r="P524" i="6"/>
  <c r="R202" i="6"/>
  <c r="U202" i="6" s="1"/>
  <c r="P202" i="6"/>
  <c r="Q492" i="6"/>
  <c r="Q224" i="6"/>
  <c r="Q464" i="6"/>
  <c r="Q227" i="6"/>
  <c r="Q352" i="6"/>
  <c r="R476" i="6"/>
  <c r="R308" i="6"/>
  <c r="R229" i="6"/>
  <c r="P229" i="6"/>
  <c r="R410" i="6"/>
  <c r="P410" i="6"/>
  <c r="Q446" i="6"/>
  <c r="Q504" i="6"/>
  <c r="Q330" i="6"/>
  <c r="Q477" i="6"/>
  <c r="Q532" i="6"/>
  <c r="Q356" i="6"/>
  <c r="R114" i="6"/>
  <c r="U114" i="6" s="1"/>
  <c r="P114" i="6"/>
  <c r="P598" i="6"/>
  <c r="R598" i="6"/>
  <c r="R28" i="6"/>
  <c r="P28" i="6"/>
  <c r="Q301" i="6"/>
  <c r="Q340" i="6"/>
  <c r="Q466" i="6"/>
  <c r="Q450" i="6"/>
  <c r="Q367" i="6"/>
  <c r="Q412" i="6"/>
  <c r="Q569" i="6"/>
  <c r="Q400" i="6"/>
  <c r="R313" i="6"/>
  <c r="P313" i="6"/>
  <c r="R368" i="6"/>
  <c r="R357" i="6"/>
  <c r="U357" i="6" s="1"/>
  <c r="P357" i="6"/>
  <c r="R123" i="6"/>
  <c r="P123" i="6"/>
  <c r="R150" i="6"/>
  <c r="P150" i="6"/>
  <c r="Q545" i="6"/>
  <c r="Q182" i="6"/>
  <c r="Q273" i="6"/>
  <c r="Q379" i="6"/>
  <c r="Q559" i="6"/>
  <c r="Q95" i="6"/>
  <c r="Q144" i="6"/>
  <c r="Q307" i="6"/>
  <c r="Q254" i="6"/>
  <c r="Q249" i="6"/>
  <c r="Q513" i="6"/>
  <c r="Q539" i="6"/>
  <c r="Q595" i="6"/>
  <c r="Q583" i="6"/>
  <c r="R438" i="6"/>
  <c r="P438" i="6"/>
  <c r="Q454" i="6"/>
  <c r="Q267" i="6"/>
  <c r="R429" i="6"/>
  <c r="U429" i="6" s="1"/>
  <c r="P429" i="6"/>
  <c r="R199" i="6"/>
  <c r="P199" i="6"/>
  <c r="P23" i="6"/>
  <c r="R23" i="6"/>
  <c r="R152" i="6"/>
  <c r="P152" i="6"/>
  <c r="R293" i="6"/>
  <c r="P293" i="6"/>
  <c r="R59" i="6"/>
  <c r="U59" i="6" s="1"/>
  <c r="P59" i="6"/>
  <c r="P252" i="6"/>
  <c r="R305" i="6"/>
  <c r="P305" i="6"/>
  <c r="Q394" i="6"/>
  <c r="Q541" i="6"/>
  <c r="Q115" i="6"/>
  <c r="R397" i="6"/>
  <c r="U397" i="6" s="1"/>
  <c r="P397" i="6"/>
  <c r="R386" i="6"/>
  <c r="P386" i="6"/>
  <c r="R207" i="6"/>
  <c r="U207" i="6" s="1"/>
  <c r="P207" i="6"/>
  <c r="Q403" i="6"/>
  <c r="Q71" i="6"/>
  <c r="Q478" i="6"/>
  <c r="Q587" i="6"/>
  <c r="Q170" i="6"/>
  <c r="Q30" i="6"/>
  <c r="R285" i="6"/>
  <c r="U285" i="6" s="1"/>
  <c r="P285" i="6"/>
  <c r="R327" i="6"/>
  <c r="P327" i="6"/>
  <c r="P151" i="6"/>
  <c r="R151" i="6"/>
  <c r="Q86" i="6"/>
  <c r="Q433" i="6"/>
  <c r="Q565" i="6"/>
  <c r="Q475" i="6"/>
  <c r="Q58" i="6"/>
  <c r="R561" i="6"/>
  <c r="U561" i="6" s="1"/>
  <c r="P561" i="6"/>
  <c r="R177" i="6"/>
  <c r="P177" i="6"/>
  <c r="Q381" i="6"/>
  <c r="Q562" i="6"/>
  <c r="Q100" i="6"/>
  <c r="R105" i="6"/>
  <c r="U105" i="6" s="1"/>
  <c r="P105" i="6"/>
  <c r="R465" i="6"/>
  <c r="P465" i="6"/>
  <c r="R451" i="6"/>
  <c r="U451" i="6" s="1"/>
  <c r="P451" i="6"/>
  <c r="R302" i="6"/>
  <c r="U302" i="6" s="1"/>
  <c r="P302" i="6"/>
  <c r="R126" i="6"/>
  <c r="U126" i="6" s="1"/>
  <c r="P126" i="6"/>
  <c r="Q135" i="6"/>
  <c r="Q571" i="6"/>
  <c r="Q12" i="6"/>
  <c r="Q275" i="6"/>
  <c r="Q495" i="6"/>
  <c r="Q117" i="6"/>
  <c r="Q216" i="6"/>
  <c r="Q460" i="6"/>
  <c r="Q449" i="6"/>
  <c r="Q54" i="6"/>
  <c r="Q489" i="6"/>
  <c r="Q133" i="6"/>
  <c r="Q584" i="6"/>
  <c r="Q234" i="6"/>
  <c r="Q323" i="6"/>
  <c r="Q397" i="6"/>
  <c r="Q429" i="6"/>
  <c r="Q3" i="6"/>
  <c r="Q111" i="6"/>
  <c r="R24" i="6"/>
  <c r="U24" i="6" s="1"/>
  <c r="P24" i="6"/>
  <c r="C4" i="6"/>
  <c r="W2" i="6"/>
  <c r="T119" i="3"/>
  <c r="T77" i="3"/>
  <c r="T61" i="3"/>
  <c r="T239" i="3"/>
  <c r="T38" i="3"/>
  <c r="T4" i="3"/>
  <c r="T126" i="3"/>
  <c r="T445" i="3"/>
  <c r="T428" i="3"/>
  <c r="T367" i="3"/>
  <c r="T82" i="3"/>
  <c r="T139" i="3"/>
  <c r="T443" i="3"/>
  <c r="T47" i="3"/>
  <c r="T190" i="3"/>
  <c r="V190" i="3"/>
  <c r="T251" i="3"/>
  <c r="V251" i="3"/>
  <c r="T115" i="3"/>
  <c r="V115" i="3"/>
  <c r="T587" i="3"/>
  <c r="T589" i="3"/>
  <c r="T116" i="3"/>
  <c r="T432" i="3"/>
  <c r="T96" i="3"/>
  <c r="T279" i="3"/>
  <c r="T144" i="3"/>
  <c r="T464" i="3"/>
  <c r="T327" i="3"/>
  <c r="T492" i="3"/>
  <c r="T256" i="3"/>
  <c r="T237" i="3"/>
  <c r="T247" i="3"/>
  <c r="T75" i="3"/>
  <c r="T602" i="3"/>
  <c r="T532" i="3"/>
  <c r="T565" i="3"/>
  <c r="T206" i="3"/>
  <c r="T526" i="3"/>
  <c r="T293" i="3"/>
  <c r="T473" i="3"/>
  <c r="T306" i="3"/>
  <c r="T491" i="3"/>
  <c r="T512" i="3"/>
  <c r="T499" i="3"/>
  <c r="T568" i="3"/>
  <c r="T26" i="3"/>
  <c r="T216" i="3"/>
  <c r="T280" i="3"/>
  <c r="T534" i="3"/>
  <c r="T32" i="3"/>
  <c r="T290" i="3"/>
  <c r="T461" i="3"/>
  <c r="T9" i="3"/>
  <c r="T501" i="3"/>
  <c r="T425" i="3"/>
  <c r="T5" i="3"/>
  <c r="T135" i="3"/>
  <c r="T375" i="3"/>
  <c r="T465" i="3"/>
  <c r="T326" i="3"/>
  <c r="T416" i="3"/>
  <c r="T164" i="3"/>
  <c r="T6" i="3"/>
  <c r="T227" i="3"/>
  <c r="T403" i="3"/>
  <c r="T550" i="3"/>
  <c r="T307" i="3"/>
  <c r="T352" i="3"/>
  <c r="T454" i="3"/>
  <c r="T536" i="3"/>
  <c r="T112" i="3"/>
  <c r="T480" i="3"/>
  <c r="T558" i="3"/>
  <c r="T69" i="3"/>
  <c r="T444" i="3"/>
  <c r="T345" i="3"/>
  <c r="T334" i="3"/>
  <c r="T103" i="3"/>
  <c r="T597" i="3"/>
  <c r="T12" i="3"/>
  <c r="T44" i="3"/>
  <c r="T93" i="3"/>
  <c r="T107" i="3"/>
  <c r="T523" i="3"/>
  <c r="T259" i="3"/>
  <c r="T34" i="3"/>
  <c r="T11" i="3"/>
  <c r="T25" i="3"/>
  <c r="T282" i="3"/>
  <c r="T438" i="3"/>
  <c r="T600" i="3"/>
  <c r="T442" i="3"/>
  <c r="T511" i="3"/>
  <c r="T487" i="3"/>
  <c r="T478" i="3"/>
  <c r="T440" i="3"/>
  <c r="T539" i="3"/>
  <c r="T374" i="3"/>
  <c r="T261" i="3"/>
  <c r="T182" i="3"/>
  <c r="T409" i="3"/>
  <c r="T193" i="3"/>
  <c r="T287" i="3"/>
  <c r="T601" i="3"/>
  <c r="T551" i="3"/>
  <c r="T413" i="3"/>
  <c r="T148" i="3"/>
  <c r="T245" i="3"/>
  <c r="T572" i="3"/>
  <c r="T439" i="3"/>
  <c r="T529" i="3"/>
  <c r="T594" i="3"/>
  <c r="T422" i="3"/>
  <c r="T382" i="3"/>
  <c r="T561" i="3"/>
  <c r="T264" i="3"/>
  <c r="T467" i="3"/>
  <c r="T395" i="3"/>
  <c r="T533" i="3"/>
  <c r="T598" i="3"/>
  <c r="T513" i="3"/>
  <c r="T265" i="3"/>
  <c r="T468" i="3"/>
  <c r="T120" i="3"/>
  <c r="T391" i="3"/>
  <c r="T22" i="3"/>
  <c r="T178" i="3"/>
  <c r="T63" i="3"/>
  <c r="T278" i="3"/>
  <c r="T563" i="3"/>
  <c r="T27" i="3"/>
  <c r="T173" i="3"/>
  <c r="T274" i="3"/>
  <c r="T557" i="3"/>
  <c r="T3" i="3"/>
  <c r="T59" i="3"/>
  <c r="T8" i="3"/>
  <c r="T215" i="3"/>
  <c r="T153" i="3"/>
  <c r="T505" i="3"/>
  <c r="T335" i="3"/>
  <c r="T244" i="3"/>
  <c r="T302" i="3"/>
  <c r="T86" i="3"/>
  <c r="T304" i="3"/>
  <c r="T567" i="3"/>
  <c r="T204" i="3"/>
  <c r="T482" i="3"/>
  <c r="T400" i="3"/>
  <c r="T147" i="3"/>
  <c r="T338" i="3"/>
  <c r="T35" i="3"/>
  <c r="T124" i="3"/>
  <c r="T373" i="3"/>
  <c r="T318" i="3"/>
  <c r="T149" i="3"/>
  <c r="T220" i="3"/>
  <c r="T389" i="3"/>
  <c r="T441" i="3"/>
  <c r="T309" i="3"/>
  <c r="T553" i="3"/>
  <c r="T13" i="3"/>
  <c r="T255" i="3"/>
  <c r="T484" i="3"/>
  <c r="T201" i="3"/>
  <c r="T593" i="3"/>
  <c r="T137" i="3"/>
  <c r="T187" i="3"/>
  <c r="T141" i="3"/>
  <c r="T508" i="3"/>
  <c r="T300" i="3"/>
  <c r="T456" i="3"/>
  <c r="T294" i="3"/>
  <c r="T410" i="3"/>
  <c r="T390" i="3"/>
  <c r="T21" i="3"/>
  <c r="T214" i="3"/>
  <c r="T273" i="3"/>
  <c r="T358" i="3"/>
  <c r="T292" i="3"/>
  <c r="T305" i="3"/>
  <c r="T104" i="3"/>
  <c r="T449" i="3"/>
  <c r="T29" i="3"/>
  <c r="T277" i="3"/>
  <c r="T515" i="3"/>
  <c r="T351" i="3"/>
  <c r="T100" i="3"/>
  <c r="T183" i="3"/>
  <c r="T483" i="3"/>
  <c r="T366" i="3"/>
  <c r="T402" i="3"/>
  <c r="T378" i="3"/>
  <c r="T350" i="3"/>
  <c r="T556" i="3"/>
  <c r="T108" i="3"/>
  <c r="T160" i="3"/>
  <c r="T509" i="3"/>
  <c r="T497" i="3"/>
  <c r="T411" i="3"/>
  <c r="T333" i="3"/>
  <c r="T48" i="3"/>
  <c r="T253" i="3"/>
  <c r="T394" i="3"/>
  <c r="T476" i="3"/>
  <c r="T249" i="3"/>
  <c r="T502" i="3"/>
  <c r="T78" i="3"/>
  <c r="T580" i="3"/>
  <c r="T376" i="3"/>
  <c r="T474" i="3"/>
  <c r="T311" i="3"/>
  <c r="T466" i="3"/>
  <c r="T325" i="3"/>
  <c r="T248" i="3"/>
  <c r="T128" i="3"/>
  <c r="T177" i="3"/>
  <c r="T52" i="3"/>
  <c r="T133" i="3"/>
  <c r="T123" i="3"/>
  <c r="T397" i="3"/>
  <c r="T431" i="3"/>
  <c r="T54" i="3"/>
  <c r="T346" i="3"/>
  <c r="T407" i="3"/>
  <c r="T332" i="3"/>
  <c r="T297" i="3"/>
  <c r="T423" i="3"/>
  <c r="T217" i="3"/>
  <c r="T196" i="3"/>
  <c r="T436" i="3"/>
  <c r="T337" i="3"/>
  <c r="T284" i="3"/>
  <c r="T172" i="3"/>
  <c r="T235" i="3"/>
  <c r="T88" i="3"/>
  <c r="T60" i="3"/>
  <c r="T200" i="3"/>
  <c r="T142" i="3"/>
  <c r="T266" i="3"/>
  <c r="T524" i="3"/>
  <c r="T455" i="3"/>
  <c r="T354" i="3"/>
  <c r="T475" i="3"/>
  <c r="T585" i="3"/>
  <c r="T562" i="3"/>
  <c r="T457" i="3"/>
  <c r="T145" i="3"/>
  <c r="T298" i="3"/>
  <c r="T159" i="3"/>
  <c r="T231" i="3"/>
  <c r="T170" i="3"/>
  <c r="T404" i="3"/>
  <c r="T246" i="3"/>
  <c r="T66" i="3"/>
  <c r="T541" i="3"/>
  <c r="T470" i="3"/>
  <c r="T496" i="3"/>
  <c r="T7" i="3"/>
  <c r="T71" i="3"/>
  <c r="T471" i="3"/>
  <c r="T437" i="3"/>
  <c r="T344" i="3"/>
  <c r="T260" i="3"/>
  <c r="T17" i="3"/>
  <c r="T393" i="3"/>
  <c r="T542" i="3"/>
  <c r="T113" i="3"/>
  <c r="T40" i="3"/>
  <c r="T74" i="3"/>
  <c r="T58" i="3"/>
  <c r="T433" i="3"/>
  <c r="T125" i="3"/>
  <c r="T421" i="3"/>
  <c r="T495" i="3"/>
  <c r="T581" i="3"/>
  <c r="T341" i="3"/>
  <c r="T530" i="3"/>
  <c r="T202" i="3"/>
  <c r="T340" i="3"/>
  <c r="T143" i="3"/>
  <c r="T519" i="3"/>
  <c r="T356" i="3"/>
  <c r="T191" i="3"/>
  <c r="T408" i="3"/>
  <c r="T162" i="3"/>
  <c r="T106" i="3"/>
  <c r="T570" i="3"/>
  <c r="T314" i="3"/>
  <c r="T303" i="3"/>
  <c r="T161" i="3"/>
  <c r="T435" i="3"/>
  <c r="T53" i="3"/>
  <c r="T371" i="3"/>
  <c r="T516" i="3"/>
  <c r="T118" i="3"/>
  <c r="T188" i="3"/>
  <c r="T489" i="3"/>
  <c r="T288" i="3"/>
  <c r="T91" i="3"/>
  <c r="T258" i="3"/>
  <c r="T342" i="3"/>
  <c r="T203" i="3"/>
  <c r="T268" i="3"/>
  <c r="T19" i="3"/>
  <c r="T451" i="3"/>
  <c r="T518" i="3"/>
  <c r="T320" i="3"/>
  <c r="T324" i="3"/>
  <c r="T92" i="3"/>
  <c r="T520" i="3"/>
  <c r="T415" i="3"/>
  <c r="T377" i="3"/>
  <c r="T181" i="3"/>
  <c r="T291" i="3"/>
  <c r="T154" i="3"/>
  <c r="T481" i="3"/>
  <c r="T590" i="3"/>
  <c r="T73" i="3"/>
  <c r="T127" i="3"/>
  <c r="T99" i="3"/>
  <c r="T16" i="3"/>
  <c r="T136" i="3"/>
  <c r="T446" i="3"/>
  <c r="T486" i="3"/>
  <c r="T205" i="3"/>
  <c r="T140" i="3"/>
  <c r="T189" i="3"/>
  <c r="T548" i="3"/>
  <c r="T540" i="3"/>
  <c r="T569" i="3"/>
  <c r="T219" i="3"/>
  <c r="T180" i="3"/>
  <c r="T194" i="3"/>
  <c r="T417" i="3"/>
  <c r="T169" i="3"/>
  <c r="T506" i="3"/>
  <c r="T538" i="3"/>
  <c r="T283" i="3"/>
  <c r="T229" i="3"/>
  <c r="T175" i="3"/>
  <c r="T460" i="3"/>
  <c r="T357" i="3"/>
  <c r="T285" i="3"/>
  <c r="T469" i="3"/>
  <c r="T388" i="3"/>
  <c r="T209" i="3"/>
  <c r="T114" i="3"/>
  <c r="T186" i="3"/>
  <c r="T272" i="3"/>
  <c r="T33" i="3"/>
  <c r="T385" i="3"/>
  <c r="T353" i="3"/>
  <c r="T514" i="3"/>
  <c r="T286" i="3"/>
  <c r="T401" i="3"/>
  <c r="T369" i="3"/>
  <c r="T24" i="3"/>
  <c r="T381" i="3"/>
  <c r="T121" i="3"/>
  <c r="T365" i="3"/>
  <c r="T339" i="3"/>
  <c r="T406" i="3"/>
  <c r="T49" i="3"/>
  <c r="T129" i="3"/>
  <c r="T81" i="3"/>
  <c r="T67" i="3"/>
  <c r="T226" i="3"/>
  <c r="T355" i="3"/>
  <c r="T263" i="3"/>
  <c r="T150" i="3"/>
  <c r="T380" i="3"/>
  <c r="T537" i="3"/>
  <c r="T156" i="3"/>
  <c r="T57" i="3"/>
  <c r="T386" i="3"/>
  <c r="T45" i="3"/>
  <c r="T10" i="3"/>
  <c r="T546" i="3"/>
  <c r="T241" i="3"/>
  <c r="T267" i="3"/>
  <c r="T359" i="3"/>
  <c r="T238" i="3"/>
  <c r="T84" i="3"/>
  <c r="T218" i="3"/>
  <c r="T289" i="3"/>
  <c r="T588" i="3"/>
  <c r="T225" i="3"/>
  <c r="T36" i="3"/>
  <c r="T122" i="3"/>
  <c r="T577" i="3"/>
  <c r="T547" i="3"/>
  <c r="T414" i="3"/>
  <c r="T109" i="3"/>
  <c r="T599" i="3"/>
  <c r="T430" i="3"/>
  <c r="T308" i="3"/>
  <c r="T262" i="3"/>
  <c r="T571" i="3"/>
  <c r="T83" i="3"/>
  <c r="T213" i="3"/>
  <c r="T197" i="3"/>
  <c r="T328" i="3"/>
  <c r="T199" i="3"/>
  <c r="T313" i="3"/>
  <c r="T240" i="3"/>
  <c r="T14" i="3"/>
  <c r="T472" i="3"/>
  <c r="T383" i="3"/>
  <c r="T68" i="3"/>
  <c r="T310" i="3"/>
  <c r="T23" i="3"/>
  <c r="T171" i="3"/>
  <c r="T453" i="3"/>
  <c r="T299" i="3"/>
  <c r="T167" i="3"/>
  <c r="T168" i="3"/>
  <c r="T500" i="3"/>
  <c r="T184" i="3"/>
  <c r="T208" i="3"/>
  <c r="T321" i="3"/>
  <c r="T392" i="3"/>
  <c r="T296" i="3"/>
  <c r="T419" i="3"/>
  <c r="T361" i="3"/>
  <c r="T329" i="3"/>
  <c r="T575" i="3"/>
  <c r="T132" i="3"/>
  <c r="T450" i="3"/>
  <c r="T234" i="3"/>
  <c r="T224" i="3"/>
  <c r="T348" i="3"/>
  <c r="T596" i="3"/>
  <c r="T396" i="3"/>
  <c r="T111" i="3"/>
  <c r="T211" i="3"/>
  <c r="T405" i="3"/>
  <c r="T379" i="3"/>
  <c r="T28" i="3"/>
  <c r="T257" i="3"/>
  <c r="T398" i="3"/>
  <c r="T131" i="3"/>
  <c r="T76" i="3"/>
  <c r="T494" i="3"/>
  <c r="T322" i="3"/>
  <c r="T31" i="3"/>
  <c r="T281" i="3"/>
  <c r="T521" i="3"/>
  <c r="T364" i="3"/>
  <c r="T89" i="3"/>
  <c r="T349" i="3"/>
  <c r="T566" i="3"/>
  <c r="T236" i="3"/>
  <c r="T130" i="3"/>
  <c r="T531" i="3"/>
  <c r="T591" i="3"/>
  <c r="T276" i="3"/>
  <c r="T504" i="3"/>
  <c r="T98" i="3"/>
  <c r="T316" i="3"/>
  <c r="T488" i="3"/>
  <c r="T65" i="3"/>
  <c r="T110" i="3"/>
  <c r="T507" i="3"/>
  <c r="T330" i="3"/>
  <c r="T582" i="3"/>
  <c r="T527" i="3"/>
  <c r="T498" i="3"/>
  <c r="T447" i="3"/>
  <c r="T87" i="3"/>
  <c r="T146" i="3"/>
  <c r="T157" i="3"/>
  <c r="T427" i="3"/>
  <c r="T64" i="3"/>
  <c r="T174" i="3"/>
  <c r="T15" i="3"/>
  <c r="T343" i="3"/>
  <c r="T42" i="3"/>
  <c r="T95" i="3"/>
  <c r="T105" i="3"/>
  <c r="T138" i="3"/>
  <c r="T51" i="3"/>
  <c r="T20" i="3"/>
  <c r="T372" i="3"/>
  <c r="T275" i="3"/>
  <c r="T517" i="3"/>
  <c r="T46" i="3"/>
  <c r="T163" i="3"/>
  <c r="T80" i="3"/>
  <c r="T79" i="3"/>
  <c r="T176" i="3"/>
  <c r="T510" i="3"/>
  <c r="T165" i="3"/>
  <c r="T242" i="3"/>
  <c r="T535" i="3"/>
  <c r="T463" i="3"/>
  <c r="T370" i="3"/>
  <c r="T41" i="3"/>
  <c r="T223" i="3"/>
  <c r="T250" i="3"/>
  <c r="T90" i="3"/>
  <c r="T101" i="3"/>
  <c r="T72" i="3"/>
  <c r="T152" i="3"/>
  <c r="T97" i="3"/>
  <c r="T210" i="3"/>
  <c r="T549" i="3"/>
  <c r="T595" i="3"/>
  <c r="T323" i="3"/>
  <c r="T459" i="3"/>
  <c r="T543" i="3"/>
  <c r="T295" i="3"/>
  <c r="T578" i="3"/>
  <c r="T155" i="3"/>
  <c r="T583" i="3"/>
  <c r="T43" i="3"/>
  <c r="T319" i="3"/>
  <c r="T434" i="3"/>
  <c r="T151" i="3"/>
  <c r="T185" i="3"/>
  <c r="T232" i="3"/>
  <c r="T207" i="3"/>
  <c r="T555" i="3"/>
  <c r="T39" i="3"/>
  <c r="T347" i="3"/>
  <c r="T477" i="3"/>
  <c r="T56" i="3"/>
  <c r="T192" i="3"/>
  <c r="T212" i="3"/>
  <c r="T479" i="3"/>
  <c r="T228" i="3"/>
  <c r="T117" i="3"/>
  <c r="T462" i="3"/>
  <c r="T233" i="3"/>
  <c r="T545" i="3"/>
  <c r="T418" i="3"/>
  <c r="T503" i="3"/>
  <c r="T420" i="3"/>
  <c r="T574" i="3"/>
  <c r="U153" i="6" l="1"/>
  <c r="C3" i="6"/>
  <c r="R55" i="6"/>
  <c r="U55" i="6" s="1"/>
  <c r="R252" i="6"/>
  <c r="U252" i="6" s="1"/>
  <c r="P599" i="6"/>
  <c r="P238" i="6"/>
  <c r="P380" i="6"/>
  <c r="R189" i="6"/>
  <c r="U189" i="6" s="1"/>
  <c r="P154" i="6"/>
  <c r="P141" i="6"/>
  <c r="R488" i="6"/>
  <c r="T488" i="6" s="1"/>
  <c r="R160" i="6"/>
  <c r="U160" i="6" s="1"/>
  <c r="R366" i="6"/>
  <c r="U366" i="6" s="1"/>
  <c r="P29" i="6"/>
  <c r="P456" i="6"/>
  <c r="P65" i="6"/>
  <c r="Q189" i="6"/>
  <c r="Q300" i="6"/>
  <c r="Q570" i="6"/>
  <c r="Q238" i="6"/>
  <c r="Q317" i="6"/>
  <c r="Q476" i="6"/>
  <c r="Q380" i="6"/>
  <c r="Q276" i="6"/>
  <c r="Q68" i="6"/>
  <c r="Q484" i="6"/>
  <c r="Q452" i="6"/>
  <c r="Q405" i="6"/>
  <c r="Q322" i="6"/>
  <c r="Q19" i="6"/>
  <c r="Q486" i="6"/>
  <c r="Q294" i="6"/>
  <c r="Q389" i="6"/>
  <c r="Q297" i="6"/>
  <c r="Q214" i="6"/>
  <c r="Q456" i="6"/>
  <c r="Q36" i="6"/>
  <c r="Q413" i="6"/>
  <c r="Q471" i="6"/>
  <c r="Q599" i="6"/>
  <c r="Q141" i="6"/>
  <c r="Q99" i="6"/>
  <c r="Q265" i="6"/>
  <c r="Q316" i="6"/>
  <c r="Q443" i="6"/>
  <c r="Q368" i="6"/>
  <c r="Q243" i="6"/>
  <c r="Q157" i="6"/>
  <c r="Q560" i="6"/>
  <c r="Q181" i="6"/>
  <c r="Q61" i="6"/>
  <c r="Q393" i="6"/>
  <c r="Q309" i="6"/>
  <c r="Q222" i="6"/>
  <c r="Q55" i="6"/>
  <c r="Q65" i="6"/>
  <c r="Q416" i="6"/>
  <c r="Q34" i="6"/>
  <c r="Q154" i="6"/>
  <c r="Q543" i="6"/>
  <c r="P297" i="6"/>
  <c r="P214" i="6"/>
  <c r="P405" i="6"/>
  <c r="R486" i="6"/>
  <c r="U486" i="6" s="1"/>
  <c r="P34" i="6"/>
  <c r="P389" i="6"/>
  <c r="P484" i="6"/>
  <c r="P416" i="6"/>
  <c r="P452" i="6"/>
  <c r="P443" i="6"/>
  <c r="P222" i="6"/>
  <c r="P265" i="6"/>
  <c r="P393" i="6"/>
  <c r="P276" i="6"/>
  <c r="P309" i="6"/>
  <c r="P19" i="6"/>
  <c r="P471" i="6"/>
  <c r="P543" i="6"/>
  <c r="T153" i="6"/>
  <c r="P300" i="6"/>
  <c r="P36" i="6"/>
  <c r="P68" i="6"/>
  <c r="P243" i="6"/>
  <c r="R61" i="6"/>
  <c r="U61" i="6" s="1"/>
  <c r="R157" i="6"/>
  <c r="T157" i="6" s="1"/>
  <c r="P181" i="6"/>
  <c r="P317" i="6"/>
  <c r="P413" i="6"/>
  <c r="P99" i="6"/>
  <c r="P294" i="6"/>
  <c r="P570" i="6"/>
  <c r="W537" i="6"/>
  <c r="Z537" i="6" s="1"/>
  <c r="AA537" i="6" s="1"/>
  <c r="T537" i="6"/>
  <c r="T465" i="6"/>
  <c r="W465" i="6"/>
  <c r="Z465" i="6" s="1"/>
  <c r="AA465" i="6" s="1"/>
  <c r="T177" i="6"/>
  <c r="W177" i="6"/>
  <c r="Z177" i="6" s="1"/>
  <c r="AA177" i="6" s="1"/>
  <c r="T297" i="6"/>
  <c r="W297" i="6"/>
  <c r="Z297" i="6" s="1"/>
  <c r="AA297" i="6" s="1"/>
  <c r="T542" i="6"/>
  <c r="W542" i="6"/>
  <c r="Z542" i="6" s="1"/>
  <c r="AA542" i="6" s="1"/>
  <c r="T365" i="6"/>
  <c r="W365" i="6"/>
  <c r="Z365" i="6" s="1"/>
  <c r="AA365" i="6" s="1"/>
  <c r="T181" i="6"/>
  <c r="W181" i="6"/>
  <c r="Z181" i="6" s="1"/>
  <c r="AA181" i="6" s="1"/>
  <c r="T158" i="6"/>
  <c r="W158" i="6"/>
  <c r="Z158" i="6" s="1"/>
  <c r="AA158" i="6" s="1"/>
  <c r="T278" i="6"/>
  <c r="W278" i="6"/>
  <c r="Z278" i="6" s="1"/>
  <c r="AA278" i="6" s="1"/>
  <c r="T339" i="6"/>
  <c r="W339" i="6"/>
  <c r="Z339" i="6" s="1"/>
  <c r="AA339" i="6" s="1"/>
  <c r="T286" i="6"/>
  <c r="W286" i="6"/>
  <c r="Z286" i="6" s="1"/>
  <c r="AA286" i="6" s="1"/>
  <c r="T201" i="6"/>
  <c r="W201" i="6"/>
  <c r="Z201" i="6" s="1"/>
  <c r="AA201" i="6" s="1"/>
  <c r="T68" i="6"/>
  <c r="W68" i="6"/>
  <c r="Z68" i="6" s="1"/>
  <c r="AA68" i="6" s="1"/>
  <c r="T393" i="6"/>
  <c r="W393" i="6"/>
  <c r="Z393" i="6" s="1"/>
  <c r="AA393" i="6" s="1"/>
  <c r="T532" i="6"/>
  <c r="W532" i="6"/>
  <c r="Z532" i="6" s="1"/>
  <c r="AA532" i="6" s="1"/>
  <c r="T243" i="6"/>
  <c r="W243" i="6"/>
  <c r="Z243" i="6" s="1"/>
  <c r="AA243" i="6" s="1"/>
  <c r="T376" i="6"/>
  <c r="W376" i="6"/>
  <c r="Z376" i="6" s="1"/>
  <c r="AA376" i="6" s="1"/>
  <c r="T416" i="6"/>
  <c r="W416" i="6"/>
  <c r="Z416" i="6" s="1"/>
  <c r="AA416" i="6" s="1"/>
  <c r="T18" i="6"/>
  <c r="W18" i="6"/>
  <c r="Z18" i="6" s="1"/>
  <c r="AA18" i="6" s="1"/>
  <c r="U18" i="6"/>
  <c r="T95" i="6"/>
  <c r="W95" i="6"/>
  <c r="Z95" i="6" s="1"/>
  <c r="AA95" i="6" s="1"/>
  <c r="T316" i="6"/>
  <c r="W316" i="6"/>
  <c r="Z316" i="6" s="1"/>
  <c r="AA316" i="6" s="1"/>
  <c r="T253" i="6"/>
  <c r="W253" i="6"/>
  <c r="Z253" i="6" s="1"/>
  <c r="AA253" i="6" s="1"/>
  <c r="T485" i="6"/>
  <c r="W485" i="6"/>
  <c r="Z485" i="6" s="1"/>
  <c r="AA485" i="6" s="1"/>
  <c r="T296" i="6"/>
  <c r="W296" i="6"/>
  <c r="Z296" i="6" s="1"/>
  <c r="AA296" i="6" s="1"/>
  <c r="T124" i="6"/>
  <c r="W124" i="6"/>
  <c r="Z124" i="6" s="1"/>
  <c r="AA124" i="6" s="1"/>
  <c r="T52" i="6"/>
  <c r="W52" i="6"/>
  <c r="Z52" i="6" s="1"/>
  <c r="AA52" i="6" s="1"/>
  <c r="U52" i="6"/>
  <c r="T78" i="6"/>
  <c r="W78" i="6"/>
  <c r="Z78" i="6" s="1"/>
  <c r="AA78" i="6" s="1"/>
  <c r="U78" i="6"/>
  <c r="T436" i="6"/>
  <c r="W436" i="6"/>
  <c r="Z436" i="6" s="1"/>
  <c r="AA436" i="6" s="1"/>
  <c r="U436" i="6"/>
  <c r="T270" i="6"/>
  <c r="W270" i="6"/>
  <c r="Z270" i="6" s="1"/>
  <c r="AA270" i="6" s="1"/>
  <c r="U270" i="6"/>
  <c r="T89" i="6"/>
  <c r="W89" i="6"/>
  <c r="Z89" i="6" s="1"/>
  <c r="AA89" i="6" s="1"/>
  <c r="U89" i="6"/>
  <c r="T350" i="6"/>
  <c r="W350" i="6"/>
  <c r="Z350" i="6" s="1"/>
  <c r="AA350" i="6" s="1"/>
  <c r="T19" i="6"/>
  <c r="W19" i="6"/>
  <c r="Z19" i="6" s="1"/>
  <c r="AA19" i="6" s="1"/>
  <c r="T174" i="6"/>
  <c r="W174" i="6"/>
  <c r="Z174" i="6" s="1"/>
  <c r="AA174" i="6" s="1"/>
  <c r="T245" i="6"/>
  <c r="W245" i="6"/>
  <c r="Z245" i="6" s="1"/>
  <c r="AA245" i="6" s="1"/>
  <c r="T321" i="6"/>
  <c r="W321" i="6"/>
  <c r="Z321" i="6" s="1"/>
  <c r="AA321" i="6" s="1"/>
  <c r="T266" i="6"/>
  <c r="W266" i="6"/>
  <c r="Z266" i="6" s="1"/>
  <c r="AA266" i="6" s="1"/>
  <c r="T166" i="6"/>
  <c r="W166" i="6"/>
  <c r="Z166" i="6" s="1"/>
  <c r="AA166" i="6" s="1"/>
  <c r="T338" i="6"/>
  <c r="W338" i="6"/>
  <c r="Z338" i="6" s="1"/>
  <c r="AA338" i="6" s="1"/>
  <c r="T369" i="6"/>
  <c r="W369" i="6"/>
  <c r="Z369" i="6" s="1"/>
  <c r="AA369" i="6" s="1"/>
  <c r="T145" i="6"/>
  <c r="W145" i="6"/>
  <c r="Z145" i="6" s="1"/>
  <c r="AA145" i="6" s="1"/>
  <c r="T361" i="6"/>
  <c r="W361" i="6"/>
  <c r="Z361" i="6" s="1"/>
  <c r="AA361" i="6" s="1"/>
  <c r="T354" i="6"/>
  <c r="W354" i="6"/>
  <c r="Z354" i="6" s="1"/>
  <c r="AA354" i="6" s="1"/>
  <c r="T193" i="6"/>
  <c r="W193" i="6"/>
  <c r="Z193" i="6" s="1"/>
  <c r="AA193" i="6" s="1"/>
  <c r="T34" i="6"/>
  <c r="W34" i="6"/>
  <c r="Z34" i="6" s="1"/>
  <c r="AA34" i="6" s="1"/>
  <c r="T267" i="6"/>
  <c r="W267" i="6"/>
  <c r="Z267" i="6" s="1"/>
  <c r="AA267" i="6" s="1"/>
  <c r="T98" i="6"/>
  <c r="W98" i="6"/>
  <c r="Z98" i="6" s="1"/>
  <c r="AA98" i="6" s="1"/>
  <c r="T439" i="6"/>
  <c r="W439" i="6"/>
  <c r="Z439" i="6" s="1"/>
  <c r="AA439" i="6" s="1"/>
  <c r="T93" i="6"/>
  <c r="W93" i="6"/>
  <c r="Z93" i="6" s="1"/>
  <c r="AA93" i="6" s="1"/>
  <c r="T73" i="6"/>
  <c r="W73" i="6"/>
  <c r="Z73" i="6" s="1"/>
  <c r="AA73" i="6" s="1"/>
  <c r="T212" i="6"/>
  <c r="W212" i="6"/>
  <c r="Z212" i="6" s="1"/>
  <c r="AA212" i="6" s="1"/>
  <c r="T190" i="6"/>
  <c r="W190" i="6"/>
  <c r="Z190" i="6" s="1"/>
  <c r="AA190" i="6" s="1"/>
  <c r="T424" i="6"/>
  <c r="W424" i="6"/>
  <c r="Z424" i="6" s="1"/>
  <c r="AA424" i="6" s="1"/>
  <c r="T63" i="6"/>
  <c r="W63" i="6"/>
  <c r="Z63" i="6" s="1"/>
  <c r="AA63" i="6" s="1"/>
  <c r="U267" i="6"/>
  <c r="T163" i="6"/>
  <c r="W163" i="6"/>
  <c r="Z163" i="6" s="1"/>
  <c r="AA163" i="6" s="1"/>
  <c r="T363" i="6"/>
  <c r="W363" i="6"/>
  <c r="Z363" i="6" s="1"/>
  <c r="AA363" i="6" s="1"/>
  <c r="T60" i="6"/>
  <c r="W60" i="6"/>
  <c r="Z60" i="6" s="1"/>
  <c r="AA60" i="6" s="1"/>
  <c r="T466" i="6"/>
  <c r="W466" i="6"/>
  <c r="Z466" i="6" s="1"/>
  <c r="AA466" i="6" s="1"/>
  <c r="T9" i="6"/>
  <c r="W9" i="6"/>
  <c r="Z9" i="6" s="1"/>
  <c r="AA9" i="6" s="1"/>
  <c r="T137" i="6"/>
  <c r="W137" i="6"/>
  <c r="Z137" i="6" s="1"/>
  <c r="AA137" i="6" s="1"/>
  <c r="T151" i="6"/>
  <c r="W151" i="6"/>
  <c r="Z151" i="6" s="1"/>
  <c r="AA151" i="6" s="1"/>
  <c r="T293" i="6"/>
  <c r="W293" i="6"/>
  <c r="Z293" i="6" s="1"/>
  <c r="AA293" i="6" s="1"/>
  <c r="T199" i="6"/>
  <c r="W199" i="6"/>
  <c r="Z199" i="6" s="1"/>
  <c r="AA199" i="6" s="1"/>
  <c r="T438" i="6"/>
  <c r="W438" i="6"/>
  <c r="Z438" i="6" s="1"/>
  <c r="AA438" i="6" s="1"/>
  <c r="T28" i="6"/>
  <c r="W28" i="6"/>
  <c r="Z28" i="6" s="1"/>
  <c r="AA28" i="6" s="1"/>
  <c r="T410" i="6"/>
  <c r="W410" i="6"/>
  <c r="Z410" i="6" s="1"/>
  <c r="AA410" i="6" s="1"/>
  <c r="T524" i="6"/>
  <c r="W524" i="6"/>
  <c r="Z524" i="6" s="1"/>
  <c r="AA524" i="6" s="1"/>
  <c r="T317" i="6"/>
  <c r="W317" i="6"/>
  <c r="Z317" i="6" s="1"/>
  <c r="AA317" i="6" s="1"/>
  <c r="T290" i="6"/>
  <c r="W290" i="6"/>
  <c r="Z290" i="6" s="1"/>
  <c r="AA290" i="6" s="1"/>
  <c r="T300" i="6"/>
  <c r="W300" i="6"/>
  <c r="Z300" i="6" s="1"/>
  <c r="AA300" i="6" s="1"/>
  <c r="T504" i="6"/>
  <c r="W504" i="6"/>
  <c r="Z504" i="6" s="1"/>
  <c r="AA504" i="6" s="1"/>
  <c r="T468" i="6"/>
  <c r="W468" i="6"/>
  <c r="Z468" i="6" s="1"/>
  <c r="AA468" i="6" s="1"/>
  <c r="T36" i="6"/>
  <c r="W36" i="6"/>
  <c r="Z36" i="6" s="1"/>
  <c r="AA36" i="6" s="1"/>
  <c r="T387" i="6"/>
  <c r="W387" i="6"/>
  <c r="Z387" i="6" s="1"/>
  <c r="AA387" i="6" s="1"/>
  <c r="T312" i="6"/>
  <c r="W312" i="6"/>
  <c r="Z312" i="6" s="1"/>
  <c r="AA312" i="6" s="1"/>
  <c r="T596" i="6"/>
  <c r="W596" i="6"/>
  <c r="Z596" i="6" s="1"/>
  <c r="AA596" i="6" s="1"/>
  <c r="T480" i="6"/>
  <c r="W480" i="6"/>
  <c r="Z480" i="6" s="1"/>
  <c r="AA480" i="6" s="1"/>
  <c r="T54" i="6"/>
  <c r="W54" i="6"/>
  <c r="Z54" i="6" s="1"/>
  <c r="AA54" i="6" s="1"/>
  <c r="T370" i="6"/>
  <c r="W370" i="6"/>
  <c r="Z370" i="6" s="1"/>
  <c r="AA370" i="6" s="1"/>
  <c r="T66" i="6"/>
  <c r="W66" i="6"/>
  <c r="Z66" i="6" s="1"/>
  <c r="AA66" i="6" s="1"/>
  <c r="T519" i="6"/>
  <c r="W519" i="6"/>
  <c r="Z519" i="6" s="1"/>
  <c r="AA519" i="6" s="1"/>
  <c r="T216" i="6"/>
  <c r="W216" i="6"/>
  <c r="Z216" i="6" s="1"/>
  <c r="AA216" i="6" s="1"/>
  <c r="T475" i="6"/>
  <c r="W475" i="6"/>
  <c r="Z475" i="6" s="1"/>
  <c r="AA475" i="6" s="1"/>
  <c r="T227" i="6"/>
  <c r="W227" i="6"/>
  <c r="Z227" i="6" s="1"/>
  <c r="AA227" i="6" s="1"/>
  <c r="T84" i="6"/>
  <c r="W84" i="6"/>
  <c r="Z84" i="6" s="1"/>
  <c r="AA84" i="6" s="1"/>
  <c r="T155" i="6"/>
  <c r="W155" i="6"/>
  <c r="Z155" i="6" s="1"/>
  <c r="AA155" i="6" s="1"/>
  <c r="T141" i="6"/>
  <c r="W141" i="6"/>
  <c r="Z141" i="6" s="1"/>
  <c r="AA141" i="6" s="1"/>
  <c r="T184" i="6"/>
  <c r="W184" i="6"/>
  <c r="Z184" i="6" s="1"/>
  <c r="AA184" i="6" s="1"/>
  <c r="U243" i="6"/>
  <c r="T20" i="6"/>
  <c r="W20" i="6"/>
  <c r="Z20" i="6" s="1"/>
  <c r="AA20" i="6" s="1"/>
  <c r="T505" i="6"/>
  <c r="W505" i="6"/>
  <c r="Z505" i="6" s="1"/>
  <c r="AA505" i="6" s="1"/>
  <c r="T268" i="6"/>
  <c r="W268" i="6"/>
  <c r="Z268" i="6" s="1"/>
  <c r="AA268" i="6" s="1"/>
  <c r="T256" i="6"/>
  <c r="W256" i="6"/>
  <c r="Z256" i="6" s="1"/>
  <c r="AA256" i="6" s="1"/>
  <c r="U256" i="6"/>
  <c r="T281" i="6"/>
  <c r="W281" i="6"/>
  <c r="Z281" i="6" s="1"/>
  <c r="AA281" i="6" s="1"/>
  <c r="U281" i="6"/>
  <c r="T551" i="6"/>
  <c r="W551" i="6"/>
  <c r="Z551" i="6" s="1"/>
  <c r="AA551" i="6" s="1"/>
  <c r="U551" i="6"/>
  <c r="T244" i="6"/>
  <c r="W244" i="6"/>
  <c r="Z244" i="6" s="1"/>
  <c r="AA244" i="6" s="1"/>
  <c r="U244" i="6"/>
  <c r="T295" i="6"/>
  <c r="W295" i="6"/>
  <c r="Z295" i="6" s="1"/>
  <c r="AA295" i="6" s="1"/>
  <c r="U295" i="6"/>
  <c r="U596" i="6"/>
  <c r="T565" i="6"/>
  <c r="W565" i="6"/>
  <c r="Z565" i="6" s="1"/>
  <c r="AA565" i="6" s="1"/>
  <c r="U387" i="6"/>
  <c r="T99" i="6"/>
  <c r="W99" i="6"/>
  <c r="Z99" i="6" s="1"/>
  <c r="AA99" i="6" s="1"/>
  <c r="T481" i="6"/>
  <c r="W481" i="6"/>
  <c r="Z481" i="6" s="1"/>
  <c r="AA481" i="6" s="1"/>
  <c r="T583" i="6"/>
  <c r="W583" i="6"/>
  <c r="Z583" i="6" s="1"/>
  <c r="AA583" i="6" s="1"/>
  <c r="T219" i="6"/>
  <c r="W219" i="6"/>
  <c r="Z219" i="6" s="1"/>
  <c r="AA219" i="6" s="1"/>
  <c r="T414" i="6"/>
  <c r="W414" i="6"/>
  <c r="Z414" i="6" s="1"/>
  <c r="AA414" i="6" s="1"/>
  <c r="W366" i="6"/>
  <c r="Z366" i="6" s="1"/>
  <c r="AA366" i="6" s="1"/>
  <c r="T547" i="6"/>
  <c r="W547" i="6"/>
  <c r="Z547" i="6" s="1"/>
  <c r="AA547" i="6" s="1"/>
  <c r="T235" i="6"/>
  <c r="W235" i="6"/>
  <c r="Z235" i="6" s="1"/>
  <c r="AA235" i="6" s="1"/>
  <c r="T67" i="6"/>
  <c r="W67" i="6"/>
  <c r="Z67" i="6" s="1"/>
  <c r="AA67" i="6" s="1"/>
  <c r="T553" i="6"/>
  <c r="W553" i="6"/>
  <c r="Z553" i="6" s="1"/>
  <c r="AA553" i="6" s="1"/>
  <c r="T303" i="6"/>
  <c r="W303" i="6"/>
  <c r="Z303" i="6" s="1"/>
  <c r="AA303" i="6" s="1"/>
  <c r="T333" i="6"/>
  <c r="W333" i="6"/>
  <c r="Z333" i="6" s="1"/>
  <c r="AA333" i="6" s="1"/>
  <c r="W157" i="6"/>
  <c r="Z157" i="6" s="1"/>
  <c r="AA157" i="6" s="1"/>
  <c r="T511" i="6"/>
  <c r="W511" i="6"/>
  <c r="Z511" i="6" s="1"/>
  <c r="AA511" i="6" s="1"/>
  <c r="T382" i="6"/>
  <c r="W382" i="6"/>
  <c r="Z382" i="6" s="1"/>
  <c r="AA382" i="6" s="1"/>
  <c r="T342" i="6"/>
  <c r="W342" i="6"/>
  <c r="Z342" i="6" s="1"/>
  <c r="AA342" i="6" s="1"/>
  <c r="T405" i="6"/>
  <c r="W405" i="6"/>
  <c r="Z405" i="6" s="1"/>
  <c r="AA405" i="6" s="1"/>
  <c r="T587" i="6"/>
  <c r="W587" i="6"/>
  <c r="Z587" i="6" s="1"/>
  <c r="AA587" i="6" s="1"/>
  <c r="T340" i="6"/>
  <c r="W340" i="6"/>
  <c r="Z340" i="6" s="1"/>
  <c r="AA340" i="6" s="1"/>
  <c r="T411" i="6"/>
  <c r="W411" i="6"/>
  <c r="Z411" i="6" s="1"/>
  <c r="AA411" i="6" s="1"/>
  <c r="T294" i="6"/>
  <c r="W294" i="6"/>
  <c r="Z294" i="6" s="1"/>
  <c r="AA294" i="6" s="1"/>
  <c r="T175" i="6"/>
  <c r="W175" i="6"/>
  <c r="Z175" i="6" s="1"/>
  <c r="AA175" i="6" s="1"/>
  <c r="T570" i="6"/>
  <c r="W570" i="6"/>
  <c r="Z570" i="6" s="1"/>
  <c r="AA570" i="6" s="1"/>
  <c r="T30" i="6"/>
  <c r="W30" i="6"/>
  <c r="Z30" i="6" s="1"/>
  <c r="AA30" i="6" s="1"/>
  <c r="T415" i="6"/>
  <c r="W415" i="6"/>
  <c r="Z415" i="6" s="1"/>
  <c r="AA415" i="6" s="1"/>
  <c r="T374" i="6"/>
  <c r="W374" i="6"/>
  <c r="Z374" i="6" s="1"/>
  <c r="AA374" i="6" s="1"/>
  <c r="T37" i="6"/>
  <c r="W37" i="6"/>
  <c r="Z37" i="6" s="1"/>
  <c r="AA37" i="6" s="1"/>
  <c r="T595" i="6"/>
  <c r="W595" i="6"/>
  <c r="Z595" i="6" s="1"/>
  <c r="AA595" i="6" s="1"/>
  <c r="T453" i="6"/>
  <c r="W453" i="6"/>
  <c r="Z453" i="6" s="1"/>
  <c r="AA453" i="6" s="1"/>
  <c r="T109" i="6"/>
  <c r="W109" i="6"/>
  <c r="Z109" i="6" s="1"/>
  <c r="AA109" i="6" s="1"/>
  <c r="T304" i="6"/>
  <c r="W304" i="6"/>
  <c r="Z304" i="6" s="1"/>
  <c r="AA304" i="6" s="1"/>
  <c r="T459" i="6"/>
  <c r="W459" i="6"/>
  <c r="Z459" i="6" s="1"/>
  <c r="AA459" i="6" s="1"/>
  <c r="T139" i="6"/>
  <c r="W139" i="6"/>
  <c r="Z139" i="6" s="1"/>
  <c r="AA139" i="6" s="1"/>
  <c r="T179" i="6"/>
  <c r="W179" i="6"/>
  <c r="Z179" i="6" s="1"/>
  <c r="AA179" i="6" s="1"/>
  <c r="T572" i="6"/>
  <c r="W572" i="6"/>
  <c r="Z572" i="6" s="1"/>
  <c r="AA572" i="6" s="1"/>
  <c r="T298" i="6"/>
  <c r="W298" i="6"/>
  <c r="Z298" i="6" s="1"/>
  <c r="AA298" i="6" s="1"/>
  <c r="T558" i="6"/>
  <c r="W558" i="6"/>
  <c r="Z558" i="6" s="1"/>
  <c r="AA558" i="6" s="1"/>
  <c r="T435" i="6"/>
  <c r="W435" i="6"/>
  <c r="Z435" i="6" s="1"/>
  <c r="AA435" i="6" s="1"/>
  <c r="T45" i="6"/>
  <c r="W45" i="6"/>
  <c r="Z45" i="6" s="1"/>
  <c r="AA45" i="6" s="1"/>
  <c r="T3" i="6"/>
  <c r="W3" i="6"/>
  <c r="Z3" i="6" s="1"/>
  <c r="AA3" i="6" s="1"/>
  <c r="T32" i="6"/>
  <c r="W32" i="6"/>
  <c r="Z32" i="6" s="1"/>
  <c r="AA32" i="6" s="1"/>
  <c r="U174" i="6"/>
  <c r="U137" i="6"/>
  <c r="U28" i="6"/>
  <c r="U468" i="6"/>
  <c r="T355" i="6"/>
  <c r="W355" i="6"/>
  <c r="Z355" i="6" s="1"/>
  <c r="AA355" i="6" s="1"/>
  <c r="T43" i="6"/>
  <c r="W43" i="6"/>
  <c r="Z43" i="6" s="1"/>
  <c r="AA43" i="6" s="1"/>
  <c r="T490" i="6"/>
  <c r="W490" i="6"/>
  <c r="Z490" i="6" s="1"/>
  <c r="AA490" i="6" s="1"/>
  <c r="T428" i="6"/>
  <c r="W428" i="6"/>
  <c r="Z428" i="6" s="1"/>
  <c r="AA428" i="6" s="1"/>
  <c r="T133" i="6"/>
  <c r="W133" i="6"/>
  <c r="Z133" i="6" s="1"/>
  <c r="AA133" i="6" s="1"/>
  <c r="T584" i="6"/>
  <c r="W584" i="6"/>
  <c r="Z584" i="6" s="1"/>
  <c r="AA584" i="6" s="1"/>
  <c r="U415" i="6"/>
  <c r="U95" i="6"/>
  <c r="U93" i="6"/>
  <c r="T447" i="6"/>
  <c r="W447" i="6"/>
  <c r="Z447" i="6" s="1"/>
  <c r="AA447" i="6" s="1"/>
  <c r="U466" i="6"/>
  <c r="T432" i="6"/>
  <c r="W432" i="6"/>
  <c r="Z432" i="6" s="1"/>
  <c r="AA432" i="6" s="1"/>
  <c r="T204" i="6"/>
  <c r="W204" i="6"/>
  <c r="Z204" i="6" s="1"/>
  <c r="AA204" i="6" s="1"/>
  <c r="T13" i="6"/>
  <c r="W13" i="6"/>
  <c r="Z13" i="6" s="1"/>
  <c r="AA13" i="6" s="1"/>
  <c r="T386" i="6"/>
  <c r="W386" i="6"/>
  <c r="Z386" i="6" s="1"/>
  <c r="AA386" i="6" s="1"/>
  <c r="T368" i="6"/>
  <c r="W368" i="6"/>
  <c r="Z368" i="6" s="1"/>
  <c r="AA368" i="6" s="1"/>
  <c r="T208" i="6"/>
  <c r="W208" i="6"/>
  <c r="Z208" i="6" s="1"/>
  <c r="AA208" i="6" s="1"/>
  <c r="T599" i="6"/>
  <c r="W599" i="6"/>
  <c r="Z599" i="6" s="1"/>
  <c r="AA599" i="6" s="1"/>
  <c r="T469" i="6"/>
  <c r="W469" i="6"/>
  <c r="Z469" i="6" s="1"/>
  <c r="AA469" i="6" s="1"/>
  <c r="T71" i="6"/>
  <c r="W71" i="6"/>
  <c r="Z71" i="6" s="1"/>
  <c r="AA71" i="6" s="1"/>
  <c r="T445" i="6"/>
  <c r="W445" i="6"/>
  <c r="Z445" i="6" s="1"/>
  <c r="AA445" i="6" s="1"/>
  <c r="T602" i="6"/>
  <c r="W602" i="6"/>
  <c r="Z602" i="6" s="1"/>
  <c r="AA602" i="6" s="1"/>
  <c r="T103" i="6"/>
  <c r="W103" i="6"/>
  <c r="Z103" i="6" s="1"/>
  <c r="AA103" i="6" s="1"/>
  <c r="U103" i="6"/>
  <c r="U201" i="6"/>
  <c r="T472" i="6"/>
  <c r="W472" i="6"/>
  <c r="Z472" i="6" s="1"/>
  <c r="AA472" i="6" s="1"/>
  <c r="T172" i="6"/>
  <c r="W172" i="6"/>
  <c r="Z172" i="6" s="1"/>
  <c r="AA172" i="6" s="1"/>
  <c r="T171" i="6"/>
  <c r="W171" i="6"/>
  <c r="Z171" i="6" s="1"/>
  <c r="AA171" i="6" s="1"/>
  <c r="T203" i="6"/>
  <c r="W203" i="6"/>
  <c r="Z203" i="6" s="1"/>
  <c r="AA203" i="6" s="1"/>
  <c r="T455" i="6"/>
  <c r="W455" i="6"/>
  <c r="Z455" i="6" s="1"/>
  <c r="AA455" i="6" s="1"/>
  <c r="T173" i="6"/>
  <c r="W173" i="6"/>
  <c r="Z173" i="6" s="1"/>
  <c r="AA173" i="6" s="1"/>
  <c r="T56" i="6"/>
  <c r="W56" i="6"/>
  <c r="Z56" i="6" s="1"/>
  <c r="AA56" i="6" s="1"/>
  <c r="T168" i="6"/>
  <c r="W168" i="6"/>
  <c r="Z168" i="6" s="1"/>
  <c r="AA168" i="6" s="1"/>
  <c r="T319" i="6"/>
  <c r="W319" i="6"/>
  <c r="Z319" i="6" s="1"/>
  <c r="AA319" i="6" s="1"/>
  <c r="T49" i="6"/>
  <c r="W49" i="6"/>
  <c r="Z49" i="6" s="1"/>
  <c r="AA49" i="6" s="1"/>
  <c r="T218" i="6"/>
  <c r="W218" i="6"/>
  <c r="Z218" i="6" s="1"/>
  <c r="AA218" i="6" s="1"/>
  <c r="T24" i="6"/>
  <c r="W24" i="6"/>
  <c r="Z24" i="6" s="1"/>
  <c r="AA24" i="6" s="1"/>
  <c r="T305" i="6"/>
  <c r="W305" i="6"/>
  <c r="Z305" i="6" s="1"/>
  <c r="AA305" i="6" s="1"/>
  <c r="T150" i="6"/>
  <c r="W150" i="6"/>
  <c r="Z150" i="6" s="1"/>
  <c r="AA150" i="6" s="1"/>
  <c r="T229" i="6"/>
  <c r="W229" i="6"/>
  <c r="Z229" i="6" s="1"/>
  <c r="AA229" i="6" s="1"/>
  <c r="T101" i="6"/>
  <c r="W101" i="6"/>
  <c r="Z101" i="6" s="1"/>
  <c r="AA101" i="6" s="1"/>
  <c r="T575" i="6"/>
  <c r="W575" i="6"/>
  <c r="Z575" i="6" s="1"/>
  <c r="AA575" i="6" s="1"/>
  <c r="T450" i="6"/>
  <c r="W450" i="6"/>
  <c r="Z450" i="6" s="1"/>
  <c r="AA450" i="6" s="1"/>
  <c r="T62" i="6"/>
  <c r="W62" i="6"/>
  <c r="Z62" i="6" s="1"/>
  <c r="AA62" i="6" s="1"/>
  <c r="T491" i="6"/>
  <c r="W491" i="6"/>
  <c r="Z491" i="6" s="1"/>
  <c r="AA491" i="6" s="1"/>
  <c r="T591" i="6"/>
  <c r="W591" i="6"/>
  <c r="Z591" i="6" s="1"/>
  <c r="AA591" i="6" s="1"/>
  <c r="T568" i="6"/>
  <c r="W568" i="6"/>
  <c r="Z568" i="6" s="1"/>
  <c r="AA568" i="6" s="1"/>
  <c r="T404" i="6"/>
  <c r="W404" i="6"/>
  <c r="Z404" i="6" s="1"/>
  <c r="AA404" i="6" s="1"/>
  <c r="T75" i="6"/>
  <c r="W75" i="6"/>
  <c r="Z75" i="6" s="1"/>
  <c r="AA75" i="6" s="1"/>
  <c r="T346" i="6"/>
  <c r="W346" i="6"/>
  <c r="Z346" i="6" s="1"/>
  <c r="AA346" i="6" s="1"/>
  <c r="T362" i="6"/>
  <c r="W362" i="6"/>
  <c r="Z362" i="6" s="1"/>
  <c r="AA362" i="6" s="1"/>
  <c r="T499" i="6"/>
  <c r="W499" i="6"/>
  <c r="Z499" i="6" s="1"/>
  <c r="AA499" i="6" s="1"/>
  <c r="T314" i="6"/>
  <c r="W314" i="6"/>
  <c r="Z314" i="6" s="1"/>
  <c r="AA314" i="6" s="1"/>
  <c r="U361" i="6"/>
  <c r="T240" i="6"/>
  <c r="W240" i="6"/>
  <c r="Z240" i="6" s="1"/>
  <c r="AA240" i="6" s="1"/>
  <c r="U163" i="6"/>
  <c r="T482" i="6"/>
  <c r="W482" i="6"/>
  <c r="Z482" i="6" s="1"/>
  <c r="AA482" i="6" s="1"/>
  <c r="U245" i="6"/>
  <c r="T120" i="6"/>
  <c r="W120" i="6"/>
  <c r="Z120" i="6" s="1"/>
  <c r="AA120" i="6" s="1"/>
  <c r="T395" i="6"/>
  <c r="W395" i="6"/>
  <c r="Z395" i="6" s="1"/>
  <c r="AA395" i="6" s="1"/>
  <c r="T581" i="6"/>
  <c r="W581" i="6"/>
  <c r="Z581" i="6" s="1"/>
  <c r="AA581" i="6" s="1"/>
  <c r="T522" i="6"/>
  <c r="W522" i="6"/>
  <c r="Z522" i="6" s="1"/>
  <c r="AA522" i="6" s="1"/>
  <c r="T452" i="6"/>
  <c r="W452" i="6"/>
  <c r="Z452" i="6" s="1"/>
  <c r="AA452" i="6" s="1"/>
  <c r="T390" i="6"/>
  <c r="W390" i="6"/>
  <c r="Z390" i="6" s="1"/>
  <c r="AA390" i="6" s="1"/>
  <c r="T559" i="6"/>
  <c r="W559" i="6"/>
  <c r="Z559" i="6" s="1"/>
  <c r="AA559" i="6" s="1"/>
  <c r="T470" i="6"/>
  <c r="W470" i="6"/>
  <c r="Z470" i="6" s="1"/>
  <c r="AA470" i="6" s="1"/>
  <c r="T371" i="6"/>
  <c r="W371" i="6"/>
  <c r="Z371" i="6" s="1"/>
  <c r="AA371" i="6" s="1"/>
  <c r="T323" i="6"/>
  <c r="W323" i="6"/>
  <c r="Z323" i="6" s="1"/>
  <c r="AA323" i="6" s="1"/>
  <c r="T588" i="6"/>
  <c r="W588" i="6"/>
  <c r="Z588" i="6" s="1"/>
  <c r="AA588" i="6" s="1"/>
  <c r="T26" i="6"/>
  <c r="W26" i="6"/>
  <c r="Z26" i="6" s="1"/>
  <c r="AA26" i="6" s="1"/>
  <c r="U229" i="6"/>
  <c r="T500" i="6"/>
  <c r="W500" i="6"/>
  <c r="Z500" i="6" s="1"/>
  <c r="AA500" i="6" s="1"/>
  <c r="U500" i="6"/>
  <c r="T192" i="6"/>
  <c r="W192" i="6"/>
  <c r="Z192" i="6" s="1"/>
  <c r="AA192" i="6" s="1"/>
  <c r="U192" i="6"/>
  <c r="T116" i="6"/>
  <c r="W116" i="6"/>
  <c r="Z116" i="6" s="1"/>
  <c r="AA116" i="6" s="1"/>
  <c r="U116" i="6"/>
  <c r="T448" i="6"/>
  <c r="W448" i="6"/>
  <c r="Z448" i="6" s="1"/>
  <c r="AA448" i="6" s="1"/>
  <c r="U448" i="6"/>
  <c r="T384" i="6"/>
  <c r="W384" i="6"/>
  <c r="Z384" i="6" s="1"/>
  <c r="AA384" i="6" s="1"/>
  <c r="U384" i="6"/>
  <c r="T359" i="6"/>
  <c r="W359" i="6"/>
  <c r="Z359" i="6" s="1"/>
  <c r="AA359" i="6" s="1"/>
  <c r="U359" i="6"/>
  <c r="T529" i="6"/>
  <c r="W529" i="6"/>
  <c r="Z529" i="6" s="1"/>
  <c r="AA529" i="6" s="1"/>
  <c r="T309" i="6"/>
  <c r="W309" i="6"/>
  <c r="Z309" i="6" s="1"/>
  <c r="AA309" i="6" s="1"/>
  <c r="T541" i="6"/>
  <c r="W541" i="6"/>
  <c r="Z541" i="6" s="1"/>
  <c r="AA541" i="6" s="1"/>
  <c r="T552" i="6"/>
  <c r="W552" i="6"/>
  <c r="Z552" i="6" s="1"/>
  <c r="AA552" i="6" s="1"/>
  <c r="T186" i="6"/>
  <c r="W186" i="6"/>
  <c r="Z186" i="6" s="1"/>
  <c r="AA186" i="6" s="1"/>
  <c r="T494" i="6"/>
  <c r="W494" i="6"/>
  <c r="Z494" i="6" s="1"/>
  <c r="AA494" i="6" s="1"/>
  <c r="U342" i="6"/>
  <c r="U293" i="6"/>
  <c r="T6" i="6"/>
  <c r="W6" i="6"/>
  <c r="Z6" i="6" s="1"/>
  <c r="AA6" i="6" s="1"/>
  <c r="T301" i="6"/>
  <c r="W301" i="6"/>
  <c r="Z301" i="6" s="1"/>
  <c r="AA301" i="6" s="1"/>
  <c r="T330" i="6"/>
  <c r="W330" i="6"/>
  <c r="Z330" i="6" s="1"/>
  <c r="AA330" i="6" s="1"/>
  <c r="U316" i="6"/>
  <c r="T464" i="6"/>
  <c r="W464" i="6"/>
  <c r="Z464" i="6" s="1"/>
  <c r="AA464" i="6" s="1"/>
  <c r="U553" i="6"/>
  <c r="T264" i="6"/>
  <c r="W264" i="6"/>
  <c r="Z264" i="6" s="1"/>
  <c r="AA264" i="6" s="1"/>
  <c r="U157" i="6"/>
  <c r="T249" i="6"/>
  <c r="W249" i="6"/>
  <c r="Z249" i="6" s="1"/>
  <c r="AA249" i="6" s="1"/>
  <c r="T210" i="6"/>
  <c r="W210" i="6"/>
  <c r="Z210" i="6" s="1"/>
  <c r="AA210" i="6" s="1"/>
  <c r="T578" i="6"/>
  <c r="W578" i="6"/>
  <c r="Z578" i="6" s="1"/>
  <c r="AA578" i="6" s="1"/>
  <c r="T113" i="6"/>
  <c r="W113" i="6"/>
  <c r="Z113" i="6" s="1"/>
  <c r="AA113" i="6" s="1"/>
  <c r="T130" i="6"/>
  <c r="W130" i="6"/>
  <c r="Z130" i="6" s="1"/>
  <c r="AA130" i="6" s="1"/>
  <c r="U532" i="6"/>
  <c r="T593" i="6"/>
  <c r="W593" i="6"/>
  <c r="Z593" i="6" s="1"/>
  <c r="AA593" i="6" s="1"/>
  <c r="T574" i="6"/>
  <c r="W574" i="6"/>
  <c r="Z574" i="6" s="1"/>
  <c r="AA574" i="6" s="1"/>
  <c r="T255" i="6"/>
  <c r="W255" i="6"/>
  <c r="Z255" i="6" s="1"/>
  <c r="AA255" i="6" s="1"/>
  <c r="T585" i="6"/>
  <c r="W585" i="6"/>
  <c r="Z585" i="6" s="1"/>
  <c r="AA585" i="6" s="1"/>
  <c r="T580" i="6"/>
  <c r="W580" i="6"/>
  <c r="Z580" i="6" s="1"/>
  <c r="AA580" i="6" s="1"/>
  <c r="T275" i="6"/>
  <c r="W275" i="6"/>
  <c r="Z275" i="6" s="1"/>
  <c r="AA275" i="6" s="1"/>
  <c r="T188" i="6"/>
  <c r="W188" i="6"/>
  <c r="Z188" i="6" s="1"/>
  <c r="AA188" i="6" s="1"/>
  <c r="T444" i="6"/>
  <c r="W444" i="6"/>
  <c r="Z444" i="6" s="1"/>
  <c r="AA444" i="6" s="1"/>
  <c r="T391" i="6"/>
  <c r="W391" i="6"/>
  <c r="Z391" i="6" s="1"/>
  <c r="AA391" i="6" s="1"/>
  <c r="T16" i="6"/>
  <c r="W16" i="6"/>
  <c r="Z16" i="6" s="1"/>
  <c r="AA16" i="6" s="1"/>
  <c r="T516" i="6"/>
  <c r="W516" i="6"/>
  <c r="Z516" i="6" s="1"/>
  <c r="AA516" i="6" s="1"/>
  <c r="T528" i="6"/>
  <c r="W528" i="6"/>
  <c r="Z528" i="6" s="1"/>
  <c r="AA528" i="6" s="1"/>
  <c r="T237" i="6"/>
  <c r="W237" i="6"/>
  <c r="Z237" i="6" s="1"/>
  <c r="AA237" i="6" s="1"/>
  <c r="T211" i="6"/>
  <c r="W211" i="6"/>
  <c r="Z211" i="6" s="1"/>
  <c r="AA211" i="6" s="1"/>
  <c r="T90" i="6"/>
  <c r="W90" i="6"/>
  <c r="Z90" i="6" s="1"/>
  <c r="AA90" i="6" s="1"/>
  <c r="U173" i="6"/>
  <c r="U581" i="6"/>
  <c r="T412" i="6"/>
  <c r="W412" i="6"/>
  <c r="Z412" i="6" s="1"/>
  <c r="AA412" i="6" s="1"/>
  <c r="T506" i="6"/>
  <c r="W506" i="6"/>
  <c r="Z506" i="6" s="1"/>
  <c r="AA506" i="6" s="1"/>
  <c r="T277" i="6"/>
  <c r="W277" i="6"/>
  <c r="Z277" i="6" s="1"/>
  <c r="AA277" i="6" s="1"/>
  <c r="T185" i="6"/>
  <c r="W185" i="6"/>
  <c r="Z185" i="6" s="1"/>
  <c r="AA185" i="6" s="1"/>
  <c r="T403" i="6"/>
  <c r="W403" i="6"/>
  <c r="Z403" i="6" s="1"/>
  <c r="AA403" i="6" s="1"/>
  <c r="T503" i="6"/>
  <c r="W503" i="6"/>
  <c r="Z503" i="6" s="1"/>
  <c r="AA503" i="6" s="1"/>
  <c r="T85" i="6"/>
  <c r="W85" i="6"/>
  <c r="Z85" i="6" s="1"/>
  <c r="AA85" i="6" s="1"/>
  <c r="T407" i="6"/>
  <c r="W407" i="6"/>
  <c r="Z407" i="6" s="1"/>
  <c r="AA407" i="6" s="1"/>
  <c r="T223" i="6"/>
  <c r="W223" i="6"/>
  <c r="Z223" i="6" s="1"/>
  <c r="AA223" i="6" s="1"/>
  <c r="T138" i="6"/>
  <c r="W138" i="6"/>
  <c r="Z138" i="6" s="1"/>
  <c r="AA138" i="6" s="1"/>
  <c r="T579" i="6"/>
  <c r="W579" i="6"/>
  <c r="Z579" i="6" s="1"/>
  <c r="AA579" i="6" s="1"/>
  <c r="U412" i="6"/>
  <c r="T492" i="6"/>
  <c r="W492" i="6"/>
  <c r="Z492" i="6" s="1"/>
  <c r="AA492" i="6" s="1"/>
  <c r="T162" i="6"/>
  <c r="W162" i="6"/>
  <c r="Z162" i="6" s="1"/>
  <c r="AA162" i="6" s="1"/>
  <c r="T310" i="6"/>
  <c r="W310" i="6"/>
  <c r="Z310" i="6" s="1"/>
  <c r="AA310" i="6" s="1"/>
  <c r="T561" i="6"/>
  <c r="W561" i="6"/>
  <c r="Z561" i="6" s="1"/>
  <c r="AA561" i="6" s="1"/>
  <c r="T246" i="6"/>
  <c r="W246" i="6"/>
  <c r="Z246" i="6" s="1"/>
  <c r="AA246" i="6" s="1"/>
  <c r="T10" i="6"/>
  <c r="W10" i="6"/>
  <c r="Z10" i="6" s="1"/>
  <c r="AA10" i="6" s="1"/>
  <c r="T91" i="6"/>
  <c r="W91" i="6"/>
  <c r="Z91" i="6" s="1"/>
  <c r="AA91" i="6" s="1"/>
  <c r="T566" i="6"/>
  <c r="W566" i="6"/>
  <c r="Z566" i="6" s="1"/>
  <c r="AA566" i="6" s="1"/>
  <c r="T257" i="6"/>
  <c r="W257" i="6"/>
  <c r="Z257" i="6" s="1"/>
  <c r="AA257" i="6" s="1"/>
  <c r="T433" i="6"/>
  <c r="W433" i="6"/>
  <c r="Z433" i="6" s="1"/>
  <c r="AA433" i="6" s="1"/>
  <c r="T131" i="6"/>
  <c r="W131" i="6"/>
  <c r="Z131" i="6" s="1"/>
  <c r="AA131" i="6" s="1"/>
  <c r="T180" i="6"/>
  <c r="W180" i="6"/>
  <c r="Z180" i="6" s="1"/>
  <c r="AA180" i="6" s="1"/>
  <c r="U180" i="6"/>
  <c r="T31" i="6"/>
  <c r="W31" i="6"/>
  <c r="Z31" i="6" s="1"/>
  <c r="AA31" i="6" s="1"/>
  <c r="T540" i="6"/>
  <c r="W540" i="6"/>
  <c r="Z540" i="6" s="1"/>
  <c r="AA540" i="6" s="1"/>
  <c r="T58" i="6"/>
  <c r="W58" i="6"/>
  <c r="Z58" i="6" s="1"/>
  <c r="AA58" i="6" s="1"/>
  <c r="T46" i="6"/>
  <c r="W46" i="6"/>
  <c r="Z46" i="6" s="1"/>
  <c r="AA46" i="6" s="1"/>
  <c r="U386" i="6"/>
  <c r="T47" i="6"/>
  <c r="W47" i="6"/>
  <c r="Z47" i="6" s="1"/>
  <c r="AA47" i="6" s="1"/>
  <c r="T493" i="6"/>
  <c r="W493" i="6"/>
  <c r="Z493" i="6" s="1"/>
  <c r="AA493" i="6" s="1"/>
  <c r="T287" i="6"/>
  <c r="W287" i="6"/>
  <c r="Z287" i="6" s="1"/>
  <c r="AA287" i="6" s="1"/>
  <c r="T302" i="6"/>
  <c r="W302" i="6"/>
  <c r="Z302" i="6" s="1"/>
  <c r="AA302" i="6" s="1"/>
  <c r="T327" i="6"/>
  <c r="W327" i="6"/>
  <c r="Z327" i="6" s="1"/>
  <c r="AA327" i="6" s="1"/>
  <c r="T397" i="6"/>
  <c r="W397" i="6"/>
  <c r="Z397" i="6" s="1"/>
  <c r="AA397" i="6" s="1"/>
  <c r="T152" i="6"/>
  <c r="W152" i="6"/>
  <c r="Z152" i="6" s="1"/>
  <c r="AA152" i="6" s="1"/>
  <c r="T429" i="6"/>
  <c r="W429" i="6"/>
  <c r="Z429" i="6" s="1"/>
  <c r="AA429" i="6" s="1"/>
  <c r="T313" i="6"/>
  <c r="W313" i="6"/>
  <c r="Z313" i="6" s="1"/>
  <c r="AA313" i="6" s="1"/>
  <c r="T308" i="6"/>
  <c r="W308" i="6"/>
  <c r="Z308" i="6" s="1"/>
  <c r="AA308" i="6" s="1"/>
  <c r="U308" i="6"/>
  <c r="T214" i="6"/>
  <c r="W214" i="6"/>
  <c r="Z214" i="6" s="1"/>
  <c r="AA214" i="6" s="1"/>
  <c r="T508" i="6"/>
  <c r="W508" i="6"/>
  <c r="Z508" i="6" s="1"/>
  <c r="AA508" i="6" s="1"/>
  <c r="T230" i="6"/>
  <c r="W230" i="6"/>
  <c r="Z230" i="6" s="1"/>
  <c r="AA230" i="6" s="1"/>
  <c r="T431" i="6"/>
  <c r="W431" i="6"/>
  <c r="Z431" i="6" s="1"/>
  <c r="AA431" i="6" s="1"/>
  <c r="T57" i="6"/>
  <c r="W57" i="6"/>
  <c r="Z57" i="6" s="1"/>
  <c r="AA57" i="6" s="1"/>
  <c r="U350" i="6"/>
  <c r="T389" i="6"/>
  <c r="W389" i="6"/>
  <c r="Z389" i="6" s="1"/>
  <c r="AA389" i="6" s="1"/>
  <c r="T238" i="6"/>
  <c r="W238" i="6"/>
  <c r="Z238" i="6" s="1"/>
  <c r="AA238" i="6" s="1"/>
  <c r="U504" i="6"/>
  <c r="U354" i="6"/>
  <c r="T22" i="6"/>
  <c r="W22" i="6"/>
  <c r="Z22" i="6" s="1"/>
  <c r="AA22" i="6" s="1"/>
  <c r="T517" i="6"/>
  <c r="W517" i="6"/>
  <c r="Z517" i="6" s="1"/>
  <c r="AA517" i="6" s="1"/>
  <c r="U485" i="6"/>
  <c r="T250" i="6"/>
  <c r="W250" i="6"/>
  <c r="Z250" i="6" s="1"/>
  <c r="AA250" i="6" s="1"/>
  <c r="U31" i="6"/>
  <c r="T196" i="6"/>
  <c r="W196" i="6"/>
  <c r="Z196" i="6" s="1"/>
  <c r="AA196" i="6" s="1"/>
  <c r="U362" i="6"/>
  <c r="T477" i="6"/>
  <c r="W477" i="6"/>
  <c r="Z477" i="6" s="1"/>
  <c r="AA477" i="6" s="1"/>
  <c r="T118" i="6"/>
  <c r="W118" i="6"/>
  <c r="Z118" i="6" s="1"/>
  <c r="AA118" i="6" s="1"/>
  <c r="T356" i="6"/>
  <c r="W356" i="6"/>
  <c r="Z356" i="6" s="1"/>
  <c r="AA356" i="6" s="1"/>
  <c r="T336" i="6"/>
  <c r="W336" i="6"/>
  <c r="Z336" i="6" s="1"/>
  <c r="AA336" i="6" s="1"/>
  <c r="T284" i="6"/>
  <c r="W284" i="6"/>
  <c r="Z284" i="6" s="1"/>
  <c r="AA284" i="6" s="1"/>
  <c r="U410" i="6"/>
  <c r="U602" i="6"/>
  <c r="T159" i="6"/>
  <c r="W159" i="6"/>
  <c r="Z159" i="6" s="1"/>
  <c r="AA159" i="6" s="1"/>
  <c r="T548" i="6"/>
  <c r="W548" i="6"/>
  <c r="Z548" i="6" s="1"/>
  <c r="AA548" i="6" s="1"/>
  <c r="U124" i="6"/>
  <c r="T353" i="6"/>
  <c r="W353" i="6"/>
  <c r="Z353" i="6" s="1"/>
  <c r="AA353" i="6" s="1"/>
  <c r="T358" i="6"/>
  <c r="W358" i="6"/>
  <c r="Z358" i="6" s="1"/>
  <c r="AA358" i="6" s="1"/>
  <c r="T39" i="6"/>
  <c r="W39" i="6"/>
  <c r="Z39" i="6" s="1"/>
  <c r="AA39" i="6" s="1"/>
  <c r="U39" i="6"/>
  <c r="T557" i="6"/>
  <c r="W557" i="6"/>
  <c r="Z557" i="6" s="1"/>
  <c r="AA557" i="6" s="1"/>
  <c r="T178" i="6"/>
  <c r="W178" i="6"/>
  <c r="Z178" i="6" s="1"/>
  <c r="AA178" i="6" s="1"/>
  <c r="T462" i="6"/>
  <c r="W462" i="6"/>
  <c r="Z462" i="6" s="1"/>
  <c r="AA462" i="6" s="1"/>
  <c r="U462" i="6"/>
  <c r="T334" i="6"/>
  <c r="W334" i="6"/>
  <c r="Z334" i="6" s="1"/>
  <c r="AA334" i="6" s="1"/>
  <c r="U334" i="6"/>
  <c r="T601" i="6"/>
  <c r="W601" i="6"/>
  <c r="Z601" i="6" s="1"/>
  <c r="AA601" i="6" s="1"/>
  <c r="U601" i="6"/>
  <c r="T564" i="6"/>
  <c r="W564" i="6"/>
  <c r="Z564" i="6" s="1"/>
  <c r="AA564" i="6" s="1"/>
  <c r="U564" i="6"/>
  <c r="T487" i="6"/>
  <c r="U487" i="6"/>
  <c r="W487" i="6"/>
  <c r="Z487" i="6" s="1"/>
  <c r="AA487" i="6" s="1"/>
  <c r="T160" i="6"/>
  <c r="W160" i="6"/>
  <c r="Z160" i="6" s="1"/>
  <c r="AA160" i="6" s="1"/>
  <c r="T276" i="6"/>
  <c r="W276" i="6"/>
  <c r="Z276" i="6" s="1"/>
  <c r="AA276" i="6" s="1"/>
  <c r="T367" i="6"/>
  <c r="W367" i="6"/>
  <c r="Z367" i="6" s="1"/>
  <c r="AA367" i="6" s="1"/>
  <c r="T437" i="6"/>
  <c r="W437" i="6"/>
  <c r="Z437" i="6" s="1"/>
  <c r="AA437" i="6" s="1"/>
  <c r="T169" i="6"/>
  <c r="W169" i="6"/>
  <c r="Z169" i="6" s="1"/>
  <c r="AA169" i="6" s="1"/>
  <c r="T383" i="6"/>
  <c r="W383" i="6"/>
  <c r="Z383" i="6" s="1"/>
  <c r="AA383" i="6" s="1"/>
  <c r="T215" i="6"/>
  <c r="W215" i="6"/>
  <c r="Z215" i="6" s="1"/>
  <c r="AA215" i="6" s="1"/>
  <c r="T562" i="6"/>
  <c r="W562" i="6"/>
  <c r="Z562" i="6" s="1"/>
  <c r="AA562" i="6" s="1"/>
  <c r="T11" i="6"/>
  <c r="W11" i="6"/>
  <c r="Z11" i="6" s="1"/>
  <c r="AA11" i="6" s="1"/>
  <c r="T406" i="6"/>
  <c r="W406" i="6"/>
  <c r="Z406" i="6" s="1"/>
  <c r="AA406" i="6" s="1"/>
  <c r="T200" i="6"/>
  <c r="W200" i="6"/>
  <c r="Z200" i="6" s="1"/>
  <c r="AA200" i="6" s="1"/>
  <c r="T440" i="6"/>
  <c r="W440" i="6"/>
  <c r="Z440" i="6" s="1"/>
  <c r="AA440" i="6" s="1"/>
  <c r="T497" i="6"/>
  <c r="W497" i="6"/>
  <c r="Z497" i="6" s="1"/>
  <c r="AA497" i="6" s="1"/>
  <c r="T597" i="6"/>
  <c r="W597" i="6"/>
  <c r="Z597" i="6" s="1"/>
  <c r="AA597" i="6" s="1"/>
  <c r="T556" i="6"/>
  <c r="W556" i="6"/>
  <c r="Z556" i="6" s="1"/>
  <c r="AA556" i="6" s="1"/>
  <c r="U469" i="6"/>
  <c r="U428" i="6"/>
  <c r="T29" i="6"/>
  <c r="W29" i="6"/>
  <c r="Z29" i="6" s="1"/>
  <c r="AA29" i="6" s="1"/>
  <c r="T269" i="6"/>
  <c r="W269" i="6"/>
  <c r="Z269" i="6" s="1"/>
  <c r="AA269" i="6" s="1"/>
  <c r="T94" i="6"/>
  <c r="W94" i="6"/>
  <c r="Z94" i="6" s="1"/>
  <c r="AA94" i="6" s="1"/>
  <c r="T74" i="6"/>
  <c r="W74" i="6"/>
  <c r="Z74" i="6" s="1"/>
  <c r="AA74" i="6" s="1"/>
  <c r="U404" i="6"/>
  <c r="T136" i="6"/>
  <c r="W136" i="6"/>
  <c r="Z136" i="6" s="1"/>
  <c r="AA136" i="6" s="1"/>
  <c r="T221" i="6"/>
  <c r="W221" i="6"/>
  <c r="Z221" i="6" s="1"/>
  <c r="AA221" i="6" s="1"/>
  <c r="T282" i="6"/>
  <c r="W282" i="6"/>
  <c r="Z282" i="6" s="1"/>
  <c r="AA282" i="6" s="1"/>
  <c r="U305" i="6"/>
  <c r="U177" i="6"/>
  <c r="T377" i="6"/>
  <c r="W377" i="6"/>
  <c r="Z377" i="6" s="1"/>
  <c r="AA377" i="6" s="1"/>
  <c r="T187" i="6"/>
  <c r="W187" i="6"/>
  <c r="Z187" i="6" s="1"/>
  <c r="AA187" i="6" s="1"/>
  <c r="T360" i="6"/>
  <c r="W360" i="6"/>
  <c r="Z360" i="6" s="1"/>
  <c r="AA360" i="6" s="1"/>
  <c r="T232" i="6"/>
  <c r="W232" i="6"/>
  <c r="Z232" i="6" s="1"/>
  <c r="AA232" i="6" s="1"/>
  <c r="T272" i="6"/>
  <c r="W272" i="6"/>
  <c r="Z272" i="6" s="1"/>
  <c r="AA272" i="6" s="1"/>
  <c r="U578" i="6"/>
  <c r="T50" i="6"/>
  <c r="W50" i="6"/>
  <c r="Z50" i="6" s="1"/>
  <c r="AA50" i="6" s="1"/>
  <c r="T111" i="6"/>
  <c r="W111" i="6"/>
  <c r="Z111" i="6" s="1"/>
  <c r="AA111" i="6" s="1"/>
  <c r="U286" i="6"/>
  <c r="U575" i="6"/>
  <c r="U43" i="6"/>
  <c r="T430" i="6"/>
  <c r="W430" i="6"/>
  <c r="Z430" i="6" s="1"/>
  <c r="AA430" i="6" s="1"/>
  <c r="U548" i="6"/>
  <c r="T108" i="6"/>
  <c r="W108" i="6"/>
  <c r="Z108" i="6" s="1"/>
  <c r="AA108" i="6" s="1"/>
  <c r="T135" i="6"/>
  <c r="W135" i="6"/>
  <c r="Z135" i="6" s="1"/>
  <c r="AA135" i="6" s="1"/>
  <c r="U528" i="6"/>
  <c r="T538" i="6"/>
  <c r="W538" i="6"/>
  <c r="Z538" i="6" s="1"/>
  <c r="AA538" i="6" s="1"/>
  <c r="T463" i="6"/>
  <c r="W463" i="6"/>
  <c r="Z463" i="6" s="1"/>
  <c r="AA463" i="6" s="1"/>
  <c r="T385" i="6"/>
  <c r="W385" i="6"/>
  <c r="Z385" i="6" s="1"/>
  <c r="AA385" i="6" s="1"/>
  <c r="T502" i="6"/>
  <c r="W502" i="6"/>
  <c r="Z502" i="6" s="1"/>
  <c r="AA502" i="6" s="1"/>
  <c r="T498" i="6"/>
  <c r="W498" i="6"/>
  <c r="Z498" i="6" s="1"/>
  <c r="AA498" i="6" s="1"/>
  <c r="T523" i="6"/>
  <c r="W523" i="6"/>
  <c r="Z523" i="6" s="1"/>
  <c r="AA523" i="6" s="1"/>
  <c r="T279" i="6"/>
  <c r="W279" i="6"/>
  <c r="Z279" i="6" s="1"/>
  <c r="AA279" i="6" s="1"/>
  <c r="T260" i="6"/>
  <c r="W260" i="6"/>
  <c r="Z260" i="6" s="1"/>
  <c r="AA260" i="6" s="1"/>
  <c r="U133" i="6"/>
  <c r="U54" i="6"/>
  <c r="T129" i="6"/>
  <c r="W129" i="6"/>
  <c r="Z129" i="6" s="1"/>
  <c r="AA129" i="6" s="1"/>
  <c r="U475" i="6"/>
  <c r="U587" i="6"/>
  <c r="T332" i="6"/>
  <c r="W332" i="6"/>
  <c r="Z332" i="6" s="1"/>
  <c r="AA332" i="6" s="1"/>
  <c r="U583" i="6"/>
  <c r="T82" i="6"/>
  <c r="W82" i="6"/>
  <c r="Z82" i="6" s="1"/>
  <c r="AA82" i="6" s="1"/>
  <c r="T461" i="6"/>
  <c r="W461" i="6"/>
  <c r="Z461" i="6" s="1"/>
  <c r="AA461" i="6" s="1"/>
  <c r="U568" i="6"/>
  <c r="T117" i="6"/>
  <c r="W117" i="6"/>
  <c r="Z117" i="6" s="1"/>
  <c r="AA117" i="6" s="1"/>
  <c r="U367" i="6"/>
  <c r="U301" i="6"/>
  <c r="U227" i="6"/>
  <c r="T598" i="6"/>
  <c r="W598" i="6"/>
  <c r="Z598" i="6" s="1"/>
  <c r="AA598" i="6" s="1"/>
  <c r="T467" i="6"/>
  <c r="W467" i="6"/>
  <c r="Z467" i="6" s="1"/>
  <c r="AA467" i="6" s="1"/>
  <c r="T115" i="6"/>
  <c r="W115" i="6"/>
  <c r="Z115" i="6" s="1"/>
  <c r="AA115" i="6" s="1"/>
  <c r="T380" i="6"/>
  <c r="W380" i="6"/>
  <c r="Z380" i="6" s="1"/>
  <c r="AA380" i="6" s="1"/>
  <c r="T51" i="6"/>
  <c r="W51" i="6"/>
  <c r="Z51" i="6" s="1"/>
  <c r="AA51" i="6" s="1"/>
  <c r="T399" i="6"/>
  <c r="W399" i="6"/>
  <c r="Z399" i="6" s="1"/>
  <c r="AA399" i="6" s="1"/>
  <c r="T576" i="6"/>
  <c r="W576" i="6"/>
  <c r="Z576" i="6" s="1"/>
  <c r="AA576" i="6" s="1"/>
  <c r="U576" i="6"/>
  <c r="T142" i="6"/>
  <c r="W142" i="6"/>
  <c r="Z142" i="6" s="1"/>
  <c r="AA142" i="6" s="1"/>
  <c r="U142" i="6"/>
  <c r="T409" i="6"/>
  <c r="U409" i="6"/>
  <c r="W409" i="6"/>
  <c r="Z409" i="6" s="1"/>
  <c r="AA409" i="6" s="1"/>
  <c r="T182" i="6"/>
  <c r="W182" i="6"/>
  <c r="Z182" i="6" s="1"/>
  <c r="AA182" i="6" s="1"/>
  <c r="T5" i="6"/>
  <c r="W5" i="6"/>
  <c r="Z5" i="6" s="1"/>
  <c r="AA5" i="6" s="1"/>
  <c r="T454" i="6"/>
  <c r="W454" i="6"/>
  <c r="Z454" i="6" s="1"/>
  <c r="AA454" i="6" s="1"/>
  <c r="T70" i="6"/>
  <c r="W70" i="6"/>
  <c r="Z70" i="6" s="1"/>
  <c r="AA70" i="6" s="1"/>
  <c r="T400" i="6"/>
  <c r="W400" i="6"/>
  <c r="Z400" i="6" s="1"/>
  <c r="AA400" i="6" s="1"/>
  <c r="T106" i="6"/>
  <c r="W106" i="6"/>
  <c r="Z106" i="6" s="1"/>
  <c r="AA106" i="6" s="1"/>
  <c r="U365" i="6"/>
  <c r="T55" i="6"/>
  <c r="W55" i="6"/>
  <c r="Z55" i="6" s="1"/>
  <c r="AA55" i="6" s="1"/>
  <c r="T252" i="6"/>
  <c r="W252" i="6"/>
  <c r="Z252" i="6" s="1"/>
  <c r="AA252" i="6" s="1"/>
  <c r="U212" i="6"/>
  <c r="U246" i="6"/>
  <c r="T123" i="6"/>
  <c r="W123" i="6"/>
  <c r="Z123" i="6" s="1"/>
  <c r="AA123" i="6" s="1"/>
  <c r="U257" i="6"/>
  <c r="T114" i="6"/>
  <c r="W114" i="6"/>
  <c r="Z114" i="6" s="1"/>
  <c r="AA114" i="6" s="1"/>
  <c r="U296" i="6"/>
  <c r="T539" i="6"/>
  <c r="W539" i="6"/>
  <c r="Z539" i="6" s="1"/>
  <c r="AA539" i="6" s="1"/>
  <c r="T228" i="6"/>
  <c r="W228" i="6"/>
  <c r="Z228" i="6" s="1"/>
  <c r="AA228" i="6" s="1"/>
  <c r="U73" i="6"/>
  <c r="T501" i="6"/>
  <c r="W501" i="6"/>
  <c r="Z501" i="6" s="1"/>
  <c r="AA501" i="6" s="1"/>
  <c r="T87" i="6"/>
  <c r="W87" i="6"/>
  <c r="Z87" i="6" s="1"/>
  <c r="AA87" i="6" s="1"/>
  <c r="U519" i="6"/>
  <c r="T373" i="6"/>
  <c r="W373" i="6"/>
  <c r="Z373" i="6" s="1"/>
  <c r="AA373" i="6" s="1"/>
  <c r="T81" i="6"/>
  <c r="W81" i="6"/>
  <c r="Z81" i="6" s="1"/>
  <c r="AA81" i="6" s="1"/>
  <c r="T325" i="6"/>
  <c r="W325" i="6"/>
  <c r="Z325" i="6" s="1"/>
  <c r="AA325" i="6" s="1"/>
  <c r="T545" i="6"/>
  <c r="W545" i="6"/>
  <c r="Z545" i="6" s="1"/>
  <c r="AA545" i="6" s="1"/>
  <c r="T154" i="6"/>
  <c r="W154" i="6"/>
  <c r="Z154" i="6" s="1"/>
  <c r="AA154" i="6" s="1"/>
  <c r="U87" i="6"/>
  <c r="T484" i="6"/>
  <c r="W484" i="6"/>
  <c r="Z484" i="6" s="1"/>
  <c r="AA484" i="6" s="1"/>
  <c r="T102" i="6"/>
  <c r="W102" i="6"/>
  <c r="Z102" i="6" s="1"/>
  <c r="AA102" i="6" s="1"/>
  <c r="U228" i="6"/>
  <c r="T248" i="6"/>
  <c r="W248" i="6"/>
  <c r="Z248" i="6" s="1"/>
  <c r="AA248" i="6" s="1"/>
  <c r="T48" i="6"/>
  <c r="W48" i="6"/>
  <c r="Z48" i="6" s="1"/>
  <c r="AA48" i="6" s="1"/>
  <c r="T205" i="6"/>
  <c r="W205" i="6"/>
  <c r="Z205" i="6" s="1"/>
  <c r="AA205" i="6" s="1"/>
  <c r="T394" i="6"/>
  <c r="W394" i="6"/>
  <c r="Z394" i="6" s="1"/>
  <c r="AA394" i="6" s="1"/>
  <c r="T536" i="6"/>
  <c r="W536" i="6"/>
  <c r="Z536" i="6" s="1"/>
  <c r="AA536" i="6" s="1"/>
  <c r="T121" i="6"/>
  <c r="W121" i="6"/>
  <c r="Z121" i="6" s="1"/>
  <c r="AA121" i="6" s="1"/>
  <c r="T344" i="6"/>
  <c r="W344" i="6"/>
  <c r="Z344" i="6" s="1"/>
  <c r="AA344" i="6" s="1"/>
  <c r="T364" i="6"/>
  <c r="W364" i="6"/>
  <c r="Z364" i="6" s="1"/>
  <c r="AA364" i="6" s="1"/>
  <c r="T161" i="6"/>
  <c r="W161" i="6"/>
  <c r="Z161" i="6" s="1"/>
  <c r="AA161" i="6" s="1"/>
  <c r="U47" i="6"/>
  <c r="T306" i="6"/>
  <c r="W306" i="6"/>
  <c r="Z306" i="6" s="1"/>
  <c r="AA306" i="6" s="1"/>
  <c r="U123" i="6"/>
  <c r="U62" i="6"/>
  <c r="T17" i="6"/>
  <c r="W17" i="6"/>
  <c r="Z17" i="6" s="1"/>
  <c r="AA17" i="6" s="1"/>
  <c r="T372" i="6"/>
  <c r="W372" i="6"/>
  <c r="Z372" i="6" s="1"/>
  <c r="AA372" i="6" s="1"/>
  <c r="U372" i="6"/>
  <c r="T7" i="6"/>
  <c r="W7" i="6"/>
  <c r="Z7" i="6" s="1"/>
  <c r="AA7" i="6" s="1"/>
  <c r="U7" i="6"/>
  <c r="T590" i="6"/>
  <c r="W590" i="6"/>
  <c r="Z590" i="6" s="1"/>
  <c r="AA590" i="6" s="1"/>
  <c r="U590" i="6"/>
  <c r="T398" i="6"/>
  <c r="W398" i="6"/>
  <c r="Z398" i="6" s="1"/>
  <c r="AA398" i="6" s="1"/>
  <c r="U398" i="6"/>
  <c r="T128" i="6"/>
  <c r="W128" i="6"/>
  <c r="Z128" i="6" s="1"/>
  <c r="AA128" i="6" s="1"/>
  <c r="U128" i="6"/>
  <c r="T80" i="6"/>
  <c r="W80" i="6"/>
  <c r="Z80" i="6" s="1"/>
  <c r="AA80" i="6" s="1"/>
  <c r="U566" i="6"/>
  <c r="T258" i="6"/>
  <c r="W258" i="6"/>
  <c r="Z258" i="6" s="1"/>
  <c r="AA258" i="6" s="1"/>
  <c r="U266" i="6"/>
  <c r="T197" i="6"/>
  <c r="W197" i="6"/>
  <c r="Z197" i="6" s="1"/>
  <c r="AA197" i="6" s="1"/>
  <c r="U175" i="6"/>
  <c r="T125" i="6"/>
  <c r="W125" i="6"/>
  <c r="Z125" i="6" s="1"/>
  <c r="AA125" i="6" s="1"/>
  <c r="U75" i="6"/>
  <c r="T381" i="6"/>
  <c r="W381" i="6"/>
  <c r="Z381" i="6" s="1"/>
  <c r="AA381" i="6" s="1"/>
  <c r="T489" i="6"/>
  <c r="W489" i="6"/>
  <c r="Z489" i="6" s="1"/>
  <c r="AA489" i="6" s="1"/>
  <c r="T594" i="6"/>
  <c r="W594" i="6"/>
  <c r="Z594" i="6" s="1"/>
  <c r="AA594" i="6" s="1"/>
  <c r="T471" i="6"/>
  <c r="W471" i="6"/>
  <c r="Z471" i="6" s="1"/>
  <c r="AA471" i="6" s="1"/>
  <c r="U327" i="6"/>
  <c r="T280" i="6"/>
  <c r="W280" i="6"/>
  <c r="Z280" i="6" s="1"/>
  <c r="AA280" i="6" s="1"/>
  <c r="T375" i="6"/>
  <c r="W375" i="6"/>
  <c r="Z375" i="6" s="1"/>
  <c r="AA375" i="6" s="1"/>
  <c r="U369" i="6"/>
  <c r="U151" i="6"/>
  <c r="T259" i="6"/>
  <c r="W259" i="6"/>
  <c r="Z259" i="6" s="1"/>
  <c r="AA259" i="6" s="1"/>
  <c r="U383" i="6"/>
  <c r="T79" i="6"/>
  <c r="W79" i="6"/>
  <c r="Z79" i="6" s="1"/>
  <c r="AA79" i="6" s="1"/>
  <c r="T107" i="6"/>
  <c r="W107" i="6"/>
  <c r="Z107" i="6" s="1"/>
  <c r="AA107" i="6" s="1"/>
  <c r="T514" i="6"/>
  <c r="W514" i="6"/>
  <c r="Z514" i="6" s="1"/>
  <c r="AA514" i="6" s="1"/>
  <c r="T291" i="6"/>
  <c r="W291" i="6"/>
  <c r="Z291" i="6" s="1"/>
  <c r="AA291" i="6" s="1"/>
  <c r="T379" i="6"/>
  <c r="W379" i="6"/>
  <c r="Z379" i="6" s="1"/>
  <c r="AA379" i="6" s="1"/>
  <c r="U49" i="6"/>
  <c r="T147" i="6"/>
  <c r="W147" i="6"/>
  <c r="Z147" i="6" s="1"/>
  <c r="AA147" i="6" s="1"/>
  <c r="U139" i="6"/>
  <c r="U26" i="6"/>
  <c r="T21" i="6"/>
  <c r="W21" i="6"/>
  <c r="Z21" i="6" s="1"/>
  <c r="AA21" i="6" s="1"/>
  <c r="U98" i="6"/>
  <c r="U393" i="6"/>
  <c r="T318" i="6"/>
  <c r="W318" i="6"/>
  <c r="Z318" i="6" s="1"/>
  <c r="AA318" i="6" s="1"/>
  <c r="U558" i="6"/>
  <c r="T571" i="6"/>
  <c r="W571" i="6"/>
  <c r="Z571" i="6" s="1"/>
  <c r="AA571" i="6" s="1"/>
  <c r="T417" i="6"/>
  <c r="W417" i="6"/>
  <c r="Z417" i="6" s="1"/>
  <c r="AA417" i="6" s="1"/>
  <c r="U258" i="6"/>
  <c r="T271" i="6"/>
  <c r="W271" i="6"/>
  <c r="Z271" i="6" s="1"/>
  <c r="AA271" i="6" s="1"/>
  <c r="U150" i="6"/>
  <c r="T582" i="6"/>
  <c r="W582" i="6"/>
  <c r="Z582" i="6" s="1"/>
  <c r="AA582" i="6" s="1"/>
  <c r="T72" i="6"/>
  <c r="W72" i="6"/>
  <c r="Z72" i="6" s="1"/>
  <c r="AA72" i="6" s="1"/>
  <c r="U358" i="6"/>
  <c r="T458" i="6"/>
  <c r="W458" i="6"/>
  <c r="Z458" i="6" s="1"/>
  <c r="AA458" i="6" s="1"/>
  <c r="T183" i="6"/>
  <c r="W183" i="6"/>
  <c r="Z183" i="6" s="1"/>
  <c r="AA183" i="6" s="1"/>
  <c r="T164" i="6"/>
  <c r="W164" i="6"/>
  <c r="Z164" i="6" s="1"/>
  <c r="AA164" i="6" s="1"/>
  <c r="T434" i="6"/>
  <c r="W434" i="6"/>
  <c r="Z434" i="6" s="1"/>
  <c r="AA434" i="6" s="1"/>
  <c r="U472" i="6"/>
  <c r="T419" i="6"/>
  <c r="W419" i="6"/>
  <c r="Z419" i="6" s="1"/>
  <c r="AA419" i="6" s="1"/>
  <c r="U536" i="6"/>
  <c r="T194" i="6"/>
  <c r="W194" i="6"/>
  <c r="Z194" i="6" s="1"/>
  <c r="AA194" i="6" s="1"/>
  <c r="U506" i="6"/>
  <c r="T577" i="6"/>
  <c r="W577" i="6"/>
  <c r="Z577" i="6" s="1"/>
  <c r="AA577" i="6" s="1"/>
  <c r="T420" i="6"/>
  <c r="W420" i="6"/>
  <c r="Z420" i="6" s="1"/>
  <c r="AA420" i="6" s="1"/>
  <c r="U524" i="6"/>
  <c r="U168" i="6"/>
  <c r="U368" i="6"/>
  <c r="U376" i="6"/>
  <c r="U125" i="6"/>
  <c r="T513" i="6"/>
  <c r="W513" i="6"/>
  <c r="Z513" i="6" s="1"/>
  <c r="AA513" i="6" s="1"/>
  <c r="U489" i="6"/>
  <c r="T569" i="6"/>
  <c r="W569" i="6"/>
  <c r="Z569" i="6" s="1"/>
  <c r="AA569" i="6" s="1"/>
  <c r="U562" i="6"/>
  <c r="T331" i="6"/>
  <c r="W331" i="6"/>
  <c r="Z331" i="6" s="1"/>
  <c r="AA331" i="6" s="1"/>
  <c r="T236" i="6"/>
  <c r="W236" i="6"/>
  <c r="Z236" i="6" s="1"/>
  <c r="AA236" i="6" s="1"/>
  <c r="T12" i="6"/>
  <c r="W12" i="6"/>
  <c r="Z12" i="6" s="1"/>
  <c r="AA12" i="6" s="1"/>
  <c r="T422" i="6"/>
  <c r="W422" i="6"/>
  <c r="Z422" i="6" s="1"/>
  <c r="AA422" i="6" s="1"/>
  <c r="U595" i="6"/>
  <c r="U513" i="6"/>
  <c r="U182" i="6"/>
  <c r="T149" i="6"/>
  <c r="W149" i="6"/>
  <c r="Z149" i="6" s="1"/>
  <c r="AA149" i="6" s="1"/>
  <c r="T311" i="6"/>
  <c r="W311" i="6"/>
  <c r="Z311" i="6" s="1"/>
  <c r="AA311" i="6" s="1"/>
  <c r="U450" i="6"/>
  <c r="T225" i="6"/>
  <c r="W225" i="6"/>
  <c r="Z225" i="6" s="1"/>
  <c r="AA225" i="6" s="1"/>
  <c r="T209" i="6"/>
  <c r="W209" i="6"/>
  <c r="Z209" i="6" s="1"/>
  <c r="AA209" i="6" s="1"/>
  <c r="T126" i="6"/>
  <c r="W126" i="6"/>
  <c r="Z126" i="6" s="1"/>
  <c r="AA126" i="6" s="1"/>
  <c r="T451" i="6"/>
  <c r="W451" i="6"/>
  <c r="Z451" i="6" s="1"/>
  <c r="AA451" i="6" s="1"/>
  <c r="T23" i="6"/>
  <c r="W23" i="6"/>
  <c r="Z23" i="6" s="1"/>
  <c r="AA23" i="6" s="1"/>
  <c r="U290" i="6"/>
  <c r="U339" i="6"/>
  <c r="T202" i="6"/>
  <c r="W202" i="6"/>
  <c r="Z202" i="6" s="1"/>
  <c r="AA202" i="6" s="1"/>
  <c r="T265" i="6"/>
  <c r="W265" i="6"/>
  <c r="Z265" i="6" s="1"/>
  <c r="AA265" i="6" s="1"/>
  <c r="T546" i="6"/>
  <c r="W546" i="6"/>
  <c r="Z546" i="6" s="1"/>
  <c r="AA546" i="6" s="1"/>
  <c r="T170" i="6"/>
  <c r="W170" i="6"/>
  <c r="Z170" i="6" s="1"/>
  <c r="AA170" i="6" s="1"/>
  <c r="T441" i="6"/>
  <c r="W441" i="6"/>
  <c r="Z441" i="6" s="1"/>
  <c r="AA441" i="6" s="1"/>
  <c r="T69" i="6"/>
  <c r="W69" i="6"/>
  <c r="Z69" i="6" s="1"/>
  <c r="AA69" i="6" s="1"/>
  <c r="T86" i="6"/>
  <c r="W86" i="6"/>
  <c r="Z86" i="6" s="1"/>
  <c r="AA86" i="6" s="1"/>
  <c r="T254" i="6"/>
  <c r="W254" i="6"/>
  <c r="Z254" i="6" s="1"/>
  <c r="AA254" i="6" s="1"/>
  <c r="U66" i="6"/>
  <c r="U68" i="6"/>
  <c r="T104" i="6"/>
  <c r="W104" i="6"/>
  <c r="Z104" i="6" s="1"/>
  <c r="AA104" i="6" s="1"/>
  <c r="T97" i="6"/>
  <c r="W97" i="6"/>
  <c r="Z97" i="6" s="1"/>
  <c r="AA97" i="6" s="1"/>
  <c r="T261" i="6"/>
  <c r="W261" i="6"/>
  <c r="Z261" i="6" s="1"/>
  <c r="AA261" i="6" s="1"/>
  <c r="U145" i="6"/>
  <c r="T53" i="6"/>
  <c r="W53" i="6"/>
  <c r="Z53" i="6" s="1"/>
  <c r="AA53" i="6" s="1"/>
  <c r="T140" i="6"/>
  <c r="W140" i="6"/>
  <c r="Z140" i="6" s="1"/>
  <c r="AA140" i="6" s="1"/>
  <c r="T262" i="6"/>
  <c r="W262" i="6"/>
  <c r="Z262" i="6" s="1"/>
  <c r="AA262" i="6" s="1"/>
  <c r="T600" i="6"/>
  <c r="W600" i="6"/>
  <c r="Z600" i="6" s="1"/>
  <c r="AA600" i="6" s="1"/>
  <c r="T224" i="6"/>
  <c r="W224" i="6"/>
  <c r="Z224" i="6" s="1"/>
  <c r="AA224" i="6" s="1"/>
  <c r="U262" i="6"/>
  <c r="U599" i="6"/>
  <c r="T198" i="6"/>
  <c r="W198" i="6"/>
  <c r="Z198" i="6" s="1"/>
  <c r="AA198" i="6" s="1"/>
  <c r="T76" i="6"/>
  <c r="W76" i="6"/>
  <c r="Z76" i="6" s="1"/>
  <c r="AA76" i="6" s="1"/>
  <c r="U158" i="6"/>
  <c r="T273" i="6"/>
  <c r="W273" i="6"/>
  <c r="Z273" i="6" s="1"/>
  <c r="AA273" i="6" s="1"/>
  <c r="U438" i="6"/>
  <c r="U152" i="6"/>
  <c r="T41" i="6"/>
  <c r="W41" i="6"/>
  <c r="Z41" i="6" s="1"/>
  <c r="AA41" i="6" s="1"/>
  <c r="U99" i="6"/>
  <c r="T549" i="6"/>
  <c r="W549" i="6"/>
  <c r="Z549" i="6" s="1"/>
  <c r="AA549" i="6" s="1"/>
  <c r="U253" i="6"/>
  <c r="U522" i="6"/>
  <c r="U303" i="6"/>
  <c r="T423" i="6"/>
  <c r="U423" i="6"/>
  <c r="W423" i="6"/>
  <c r="Z423" i="6" s="1"/>
  <c r="AA423" i="6" s="1"/>
  <c r="T25" i="6"/>
  <c r="W25" i="6"/>
  <c r="Z25" i="6" s="1"/>
  <c r="AA25" i="6" s="1"/>
  <c r="U25" i="6"/>
  <c r="T526" i="6"/>
  <c r="W526" i="6"/>
  <c r="Z526" i="6" s="1"/>
  <c r="AA526" i="6" s="1"/>
  <c r="U526" i="6"/>
  <c r="T473" i="6"/>
  <c r="U473" i="6"/>
  <c r="W473" i="6"/>
  <c r="Z473" i="6" s="1"/>
  <c r="AA473" i="6" s="1"/>
  <c r="T14" i="6"/>
  <c r="W14" i="6"/>
  <c r="Z14" i="6" s="1"/>
  <c r="AA14" i="6" s="1"/>
  <c r="U14" i="6"/>
  <c r="T143" i="6"/>
  <c r="W143" i="6"/>
  <c r="Z143" i="6" s="1"/>
  <c r="AA143" i="6" s="1"/>
  <c r="T589" i="6"/>
  <c r="W589" i="6"/>
  <c r="Z589" i="6" s="1"/>
  <c r="AA589" i="6" s="1"/>
  <c r="T563" i="6"/>
  <c r="W563" i="6"/>
  <c r="Z563" i="6" s="1"/>
  <c r="AA563" i="6" s="1"/>
  <c r="T247" i="6"/>
  <c r="W247" i="6"/>
  <c r="Z247" i="6" s="1"/>
  <c r="AA247" i="6" s="1"/>
  <c r="U51" i="6"/>
  <c r="T144" i="6"/>
  <c r="W144" i="6"/>
  <c r="Z144" i="6" s="1"/>
  <c r="AA144" i="6" s="1"/>
  <c r="U23" i="6"/>
  <c r="T573" i="6"/>
  <c r="W573" i="6"/>
  <c r="Z573" i="6" s="1"/>
  <c r="AA573" i="6" s="1"/>
  <c r="U570" i="6"/>
  <c r="T234" i="6"/>
  <c r="W234" i="6"/>
  <c r="Z234" i="6" s="1"/>
  <c r="AA234" i="6" s="1"/>
  <c r="U501" i="6"/>
  <c r="T527" i="6"/>
  <c r="W527" i="6"/>
  <c r="Z527" i="6" s="1"/>
  <c r="AA527" i="6" s="1"/>
  <c r="T554" i="6"/>
  <c r="W554" i="6"/>
  <c r="Z554" i="6" s="1"/>
  <c r="AA554" i="6" s="1"/>
  <c r="T127" i="6"/>
  <c r="W127" i="6"/>
  <c r="Z127" i="6" s="1"/>
  <c r="AA127" i="6" s="1"/>
  <c r="U390" i="6"/>
  <c r="T335" i="6"/>
  <c r="W335" i="6"/>
  <c r="Z335" i="6" s="1"/>
  <c r="AA335" i="6" s="1"/>
  <c r="U186" i="6"/>
  <c r="U20" i="6"/>
  <c r="U60" i="6"/>
  <c r="U294" i="6"/>
  <c r="U333" i="6"/>
  <c r="U184" i="6"/>
  <c r="U70" i="6"/>
  <c r="U494" i="6"/>
  <c r="T425" i="6"/>
  <c r="W425" i="6"/>
  <c r="Z425" i="6" s="1"/>
  <c r="AA425" i="6" s="1"/>
  <c r="U278" i="6"/>
  <c r="T233" i="6"/>
  <c r="W233" i="6"/>
  <c r="Z233" i="6" s="1"/>
  <c r="AA233" i="6" s="1"/>
  <c r="T112" i="6"/>
  <c r="W112" i="6"/>
  <c r="Z112" i="6" s="1"/>
  <c r="AA112" i="6" s="1"/>
  <c r="T479" i="6"/>
  <c r="W479" i="6"/>
  <c r="Z479" i="6" s="1"/>
  <c r="AA479" i="6" s="1"/>
  <c r="T533" i="6"/>
  <c r="W533" i="6"/>
  <c r="Z533" i="6" s="1"/>
  <c r="AA533" i="6" s="1"/>
  <c r="U313" i="6"/>
  <c r="T520" i="6"/>
  <c r="W520" i="6"/>
  <c r="Z520" i="6" s="1"/>
  <c r="AA520" i="6" s="1"/>
  <c r="T329" i="6"/>
  <c r="W329" i="6"/>
  <c r="Z329" i="6" s="1"/>
  <c r="AA329" i="6" s="1"/>
  <c r="T220" i="6"/>
  <c r="W220" i="6"/>
  <c r="Z220" i="6" s="1"/>
  <c r="AA220" i="6" s="1"/>
  <c r="U439" i="6"/>
  <c r="T299" i="6"/>
  <c r="W299" i="6"/>
  <c r="Z299" i="6" s="1"/>
  <c r="AA299" i="6" s="1"/>
  <c r="T241" i="6"/>
  <c r="W241" i="6"/>
  <c r="Z241" i="6" s="1"/>
  <c r="AA241" i="6" s="1"/>
  <c r="T288" i="6"/>
  <c r="W288" i="6"/>
  <c r="Z288" i="6" s="1"/>
  <c r="AA288" i="6" s="1"/>
  <c r="T396" i="6"/>
  <c r="W396" i="6"/>
  <c r="Z396" i="6" s="1"/>
  <c r="AA396" i="6" s="1"/>
  <c r="T567" i="6"/>
  <c r="W567" i="6"/>
  <c r="Z567" i="6" s="1"/>
  <c r="AA567" i="6" s="1"/>
  <c r="U542" i="6"/>
  <c r="T408" i="6"/>
  <c r="W408" i="6"/>
  <c r="Z408" i="6" s="1"/>
  <c r="AA408" i="6" s="1"/>
  <c r="T402" i="6"/>
  <c r="W402" i="6"/>
  <c r="Z402" i="6" s="1"/>
  <c r="AA402" i="6" s="1"/>
  <c r="U567" i="6"/>
  <c r="T176" i="6"/>
  <c r="W176" i="6"/>
  <c r="Z176" i="6" s="1"/>
  <c r="AA176" i="6" s="1"/>
  <c r="U464" i="6"/>
  <c r="U280" i="6"/>
  <c r="U237" i="6"/>
  <c r="U84" i="6"/>
  <c r="U297" i="6"/>
  <c r="T535" i="6"/>
  <c r="W535" i="6"/>
  <c r="Z535" i="6" s="1"/>
  <c r="AA535" i="6" s="1"/>
  <c r="T328" i="6"/>
  <c r="W328" i="6"/>
  <c r="Z328" i="6" s="1"/>
  <c r="AA328" i="6" s="1"/>
  <c r="U381" i="6"/>
  <c r="T592" i="6"/>
  <c r="W592" i="6"/>
  <c r="Z592" i="6" s="1"/>
  <c r="AA592" i="6" s="1"/>
  <c r="T351" i="6"/>
  <c r="W351" i="6"/>
  <c r="Z351" i="6" s="1"/>
  <c r="AA351" i="6" s="1"/>
  <c r="T33" i="6"/>
  <c r="W33" i="6"/>
  <c r="Z33" i="6" s="1"/>
  <c r="AA33" i="6" s="1"/>
  <c r="U249" i="6"/>
  <c r="U144" i="6"/>
  <c r="T65" i="6"/>
  <c r="W65" i="6"/>
  <c r="Z65" i="6" s="1"/>
  <c r="AA65" i="6" s="1"/>
  <c r="U545" i="6"/>
  <c r="T348" i="6"/>
  <c r="W348" i="6"/>
  <c r="Z348" i="6" s="1"/>
  <c r="AA348" i="6" s="1"/>
  <c r="T518" i="6"/>
  <c r="W518" i="6"/>
  <c r="Z518" i="6" s="1"/>
  <c r="AA518" i="6" s="1"/>
  <c r="T427" i="6"/>
  <c r="W427" i="6"/>
  <c r="Z427" i="6" s="1"/>
  <c r="AA427" i="6" s="1"/>
  <c r="U340" i="6"/>
  <c r="T40" i="6"/>
  <c r="W40" i="6"/>
  <c r="Z40" i="6" s="1"/>
  <c r="AA40" i="6" s="1"/>
  <c r="U330" i="6"/>
  <c r="T105" i="6"/>
  <c r="W105" i="6"/>
  <c r="Z105" i="6" s="1"/>
  <c r="AA105" i="6" s="1"/>
  <c r="T88" i="6"/>
  <c r="W88" i="6"/>
  <c r="Z88" i="6" s="1"/>
  <c r="AA88" i="6" s="1"/>
  <c r="T337" i="6"/>
  <c r="W337" i="6"/>
  <c r="Z337" i="6" s="1"/>
  <c r="AA337" i="6" s="1"/>
  <c r="T100" i="6"/>
  <c r="W100" i="6"/>
  <c r="Z100" i="6" s="1"/>
  <c r="AA100" i="6" s="1"/>
  <c r="T442" i="6"/>
  <c r="W442" i="6"/>
  <c r="Z442" i="6" s="1"/>
  <c r="AA442" i="6" s="1"/>
  <c r="T320" i="6"/>
  <c r="W320" i="6"/>
  <c r="Z320" i="6" s="1"/>
  <c r="AA320" i="6" s="1"/>
  <c r="U320" i="6"/>
  <c r="T251" i="6"/>
  <c r="W251" i="6"/>
  <c r="Z251" i="6" s="1"/>
  <c r="AA251" i="6" s="1"/>
  <c r="T449" i="6"/>
  <c r="W449" i="6"/>
  <c r="Z449" i="6" s="1"/>
  <c r="AA449" i="6" s="1"/>
  <c r="T531" i="6"/>
  <c r="W531" i="6"/>
  <c r="Z531" i="6" s="1"/>
  <c r="AA531" i="6" s="1"/>
  <c r="T191" i="6"/>
  <c r="W191" i="6"/>
  <c r="Z191" i="6" s="1"/>
  <c r="AA191" i="6" s="1"/>
  <c r="T307" i="6"/>
  <c r="W307" i="6"/>
  <c r="Z307" i="6" s="1"/>
  <c r="AA307" i="6" s="1"/>
  <c r="T510" i="6"/>
  <c r="W510" i="6"/>
  <c r="Z510" i="6" s="1"/>
  <c r="AA510" i="6" s="1"/>
  <c r="U465" i="6"/>
  <c r="T478" i="6"/>
  <c r="W478" i="6"/>
  <c r="Z478" i="6" s="1"/>
  <c r="AA478" i="6" s="1"/>
  <c r="T456" i="6"/>
  <c r="W456" i="6"/>
  <c r="Z456" i="6" s="1"/>
  <c r="AA456" i="6" s="1"/>
  <c r="U598" i="6"/>
  <c r="T44" i="6"/>
  <c r="W44" i="6"/>
  <c r="Z44" i="6" s="1"/>
  <c r="AA44" i="6" s="1"/>
  <c r="T35" i="6"/>
  <c r="W35" i="6"/>
  <c r="Z35" i="6" s="1"/>
  <c r="AA35" i="6" s="1"/>
  <c r="T285" i="6"/>
  <c r="W285" i="6"/>
  <c r="Z285" i="6" s="1"/>
  <c r="AA285" i="6" s="1"/>
  <c r="T222" i="6"/>
  <c r="W222" i="6"/>
  <c r="Z222" i="6" s="1"/>
  <c r="AA222" i="6" s="1"/>
  <c r="T207" i="6"/>
  <c r="W207" i="6"/>
  <c r="Z207" i="6" s="1"/>
  <c r="AA207" i="6" s="1"/>
  <c r="T59" i="6"/>
  <c r="W59" i="6"/>
  <c r="Z59" i="6" s="1"/>
  <c r="AA59" i="6" s="1"/>
  <c r="U441" i="6"/>
  <c r="T357" i="6"/>
  <c r="W357" i="6"/>
  <c r="Z357" i="6" s="1"/>
  <c r="AA357" i="6" s="1"/>
  <c r="T476" i="6"/>
  <c r="W476" i="6"/>
  <c r="Z476" i="6" s="1"/>
  <c r="AA476" i="6" s="1"/>
  <c r="T83" i="6"/>
  <c r="W83" i="6"/>
  <c r="Z83" i="6" s="1"/>
  <c r="AA83" i="6" s="1"/>
  <c r="T326" i="6"/>
  <c r="W326" i="6"/>
  <c r="Z326" i="6" s="1"/>
  <c r="AA326" i="6" s="1"/>
  <c r="U476" i="6"/>
  <c r="T457" i="6"/>
  <c r="W457" i="6"/>
  <c r="Z457" i="6" s="1"/>
  <c r="AA457" i="6" s="1"/>
  <c r="T146" i="6"/>
  <c r="W146" i="6"/>
  <c r="Z146" i="6" s="1"/>
  <c r="AA146" i="6" s="1"/>
  <c r="T530" i="6"/>
  <c r="W530" i="6"/>
  <c r="Z530" i="6" s="1"/>
  <c r="AA530" i="6" s="1"/>
  <c r="T560" i="6"/>
  <c r="W560" i="6"/>
  <c r="Z560" i="6" s="1"/>
  <c r="AA560" i="6" s="1"/>
  <c r="T96" i="6"/>
  <c r="W96" i="6"/>
  <c r="Z96" i="6" s="1"/>
  <c r="AA96" i="6" s="1"/>
  <c r="T521" i="6"/>
  <c r="W521" i="6"/>
  <c r="Z521" i="6" s="1"/>
  <c r="AA521" i="6" s="1"/>
  <c r="T38" i="6"/>
  <c r="W38" i="6"/>
  <c r="Z38" i="6" s="1"/>
  <c r="AA38" i="6" s="1"/>
  <c r="U57" i="6"/>
  <c r="U261" i="6"/>
  <c r="T586" i="6"/>
  <c r="W586" i="6"/>
  <c r="Z586" i="6" s="1"/>
  <c r="AA586" i="6" s="1"/>
  <c r="T165" i="6"/>
  <c r="W165" i="6"/>
  <c r="Z165" i="6" s="1"/>
  <c r="AA165" i="6" s="1"/>
  <c r="U240" i="6"/>
  <c r="U480" i="6"/>
  <c r="T263" i="6"/>
  <c r="W263" i="6"/>
  <c r="Z263" i="6" s="1"/>
  <c r="AA263" i="6" s="1"/>
  <c r="T352" i="6"/>
  <c r="W352" i="6"/>
  <c r="Z352" i="6" s="1"/>
  <c r="AA352" i="6" s="1"/>
  <c r="U263" i="6"/>
  <c r="T322" i="6"/>
  <c r="W322" i="6"/>
  <c r="Z322" i="6" s="1"/>
  <c r="AA322" i="6" s="1"/>
  <c r="T15" i="6"/>
  <c r="W15" i="6"/>
  <c r="Z15" i="6" s="1"/>
  <c r="AA15" i="6" s="1"/>
  <c r="U48" i="6"/>
  <c r="T213" i="6"/>
  <c r="W213" i="6"/>
  <c r="Z213" i="6" s="1"/>
  <c r="AA213" i="6" s="1"/>
  <c r="T401" i="6"/>
  <c r="W401" i="6"/>
  <c r="Z401" i="6" s="1"/>
  <c r="AA401" i="6" s="1"/>
  <c r="U199" i="6"/>
  <c r="T167" i="6"/>
  <c r="W167" i="6"/>
  <c r="Z167" i="6" s="1"/>
  <c r="AA167" i="6" s="1"/>
  <c r="U167" i="6"/>
  <c r="T515" i="6"/>
  <c r="W515" i="6"/>
  <c r="Z515" i="6" s="1"/>
  <c r="AA515" i="6" s="1"/>
  <c r="T421" i="6"/>
  <c r="W421" i="6"/>
  <c r="Z421" i="6" s="1"/>
  <c r="AA421" i="6" s="1"/>
  <c r="U198" i="6"/>
  <c r="T509" i="6"/>
  <c r="W509" i="6"/>
  <c r="Z509" i="6" s="1"/>
  <c r="AA509" i="6" s="1"/>
  <c r="T217" i="6"/>
  <c r="W217" i="6"/>
  <c r="Z217" i="6" s="1"/>
  <c r="AA217" i="6" s="1"/>
  <c r="U217" i="6"/>
  <c r="T64" i="6"/>
  <c r="W64" i="6"/>
  <c r="Z64" i="6" s="1"/>
  <c r="AA64" i="6" s="1"/>
  <c r="U64" i="6"/>
  <c r="T231" i="6"/>
  <c r="W231" i="6"/>
  <c r="Z231" i="6" s="1"/>
  <c r="AA231" i="6" s="1"/>
  <c r="U231" i="6"/>
  <c r="T206" i="6"/>
  <c r="W206" i="6"/>
  <c r="Z206" i="6" s="1"/>
  <c r="AA206" i="6" s="1"/>
  <c r="U206" i="6"/>
  <c r="T512" i="6"/>
  <c r="W512" i="6"/>
  <c r="Z512" i="6" s="1"/>
  <c r="AA512" i="6" s="1"/>
  <c r="U512" i="6"/>
  <c r="T443" i="6"/>
  <c r="W443" i="6"/>
  <c r="Z443" i="6" s="1"/>
  <c r="AA443" i="6" s="1"/>
  <c r="U335" i="6"/>
  <c r="T413" i="6"/>
  <c r="W413" i="6"/>
  <c r="Z413" i="6" s="1"/>
  <c r="AA413" i="6" s="1"/>
  <c r="U235" i="6"/>
  <c r="T77" i="6"/>
  <c r="W77" i="6"/>
  <c r="Z77" i="6" s="1"/>
  <c r="AA77" i="6" s="1"/>
  <c r="T132" i="6"/>
  <c r="W132" i="6"/>
  <c r="Z132" i="6" s="1"/>
  <c r="AA132" i="6" s="1"/>
  <c r="T555" i="6"/>
  <c r="W555" i="6"/>
  <c r="Z555" i="6" s="1"/>
  <c r="AA555" i="6" s="1"/>
  <c r="U203" i="6"/>
  <c r="U527" i="6"/>
  <c r="T388" i="6"/>
  <c r="W388" i="6"/>
  <c r="Z388" i="6" s="1"/>
  <c r="AA388" i="6" s="1"/>
  <c r="U389" i="6"/>
  <c r="U540" i="6"/>
  <c r="U380" i="6"/>
  <c r="U181" i="6"/>
  <c r="U190" i="6"/>
  <c r="T110" i="6"/>
  <c r="W110" i="6"/>
  <c r="Z110" i="6" s="1"/>
  <c r="AA110" i="6" s="1"/>
  <c r="U593" i="6"/>
  <c r="T8" i="6"/>
  <c r="W8" i="6"/>
  <c r="Z8" i="6" s="1"/>
  <c r="AA8" i="6" s="1"/>
  <c r="T460" i="6"/>
  <c r="W460" i="6"/>
  <c r="Z460" i="6" s="1"/>
  <c r="AA460" i="6" s="1"/>
  <c r="U191" i="6"/>
  <c r="U5" i="6"/>
  <c r="U371" i="6"/>
  <c r="T315" i="6"/>
  <c r="W315" i="6"/>
  <c r="Z315" i="6" s="1"/>
  <c r="AA315" i="6" s="1"/>
  <c r="T324" i="6"/>
  <c r="W324" i="6"/>
  <c r="Z324" i="6" s="1"/>
  <c r="AA324" i="6" s="1"/>
  <c r="U35" i="6"/>
  <c r="T341" i="6"/>
  <c r="W341" i="6"/>
  <c r="Z341" i="6" s="1"/>
  <c r="AA341" i="6" s="1"/>
  <c r="T525" i="6"/>
  <c r="W525" i="6"/>
  <c r="Z525" i="6" s="1"/>
  <c r="AA525" i="6" s="1"/>
  <c r="U591" i="6"/>
  <c r="U107" i="6"/>
  <c r="T119" i="6"/>
  <c r="W119" i="6"/>
  <c r="Z119" i="6" s="1"/>
  <c r="AA119" i="6" s="1"/>
  <c r="U9" i="6"/>
  <c r="U325" i="6"/>
  <c r="T347" i="6"/>
  <c r="W347" i="6"/>
  <c r="Z347" i="6" s="1"/>
  <c r="AA347" i="6" s="1"/>
  <c r="U230" i="6"/>
  <c r="U77" i="6"/>
  <c r="T392" i="6"/>
  <c r="W392" i="6"/>
  <c r="Z392" i="6" s="1"/>
  <c r="AA392" i="6" s="1"/>
  <c r="T544" i="6"/>
  <c r="W544" i="6"/>
  <c r="Z544" i="6" s="1"/>
  <c r="AA544" i="6" s="1"/>
  <c r="T292" i="6"/>
  <c r="W292" i="6"/>
  <c r="Z292" i="6" s="1"/>
  <c r="AA292" i="6" s="1"/>
  <c r="T195" i="6"/>
  <c r="W195" i="6"/>
  <c r="Z195" i="6" s="1"/>
  <c r="AA195" i="6" s="1"/>
  <c r="T239" i="6"/>
  <c r="W239" i="6"/>
  <c r="Z239" i="6" s="1"/>
  <c r="AA239" i="6" s="1"/>
  <c r="U34" i="6"/>
  <c r="T483" i="6"/>
  <c r="W483" i="6"/>
  <c r="Z483" i="6" s="1"/>
  <c r="AA483" i="6" s="1"/>
  <c r="U193" i="6"/>
  <c r="T418" i="6"/>
  <c r="W418" i="6"/>
  <c r="Z418" i="6" s="1"/>
  <c r="AA418" i="6" s="1"/>
  <c r="U319" i="6"/>
  <c r="T543" i="6"/>
  <c r="W543" i="6"/>
  <c r="Z543" i="6" s="1"/>
  <c r="AA543" i="6" s="1"/>
  <c r="T507" i="6"/>
  <c r="W507" i="6"/>
  <c r="Z507" i="6" s="1"/>
  <c r="AA507" i="6" s="1"/>
  <c r="T343" i="6"/>
  <c r="W343" i="6"/>
  <c r="Z343" i="6" s="1"/>
  <c r="AA343" i="6" s="1"/>
  <c r="U306" i="6"/>
  <c r="T27" i="6"/>
  <c r="W27" i="6"/>
  <c r="Z27" i="6" s="1"/>
  <c r="AA27" i="6" s="1"/>
  <c r="T426" i="6"/>
  <c r="W426" i="6"/>
  <c r="Z426" i="6" s="1"/>
  <c r="AA426" i="6" s="1"/>
  <c r="U183" i="6"/>
  <c r="T289" i="6"/>
  <c r="W289" i="6"/>
  <c r="Z289" i="6" s="1"/>
  <c r="AA289" i="6" s="1"/>
  <c r="U401" i="6"/>
  <c r="U121" i="6"/>
  <c r="U363" i="6"/>
  <c r="T378" i="6"/>
  <c r="W378" i="6"/>
  <c r="Z378" i="6" s="1"/>
  <c r="AA378" i="6" s="1"/>
  <c r="T156" i="6"/>
  <c r="W156" i="6"/>
  <c r="Z156" i="6" s="1"/>
  <c r="AA156" i="6" s="1"/>
  <c r="T349" i="6"/>
  <c r="W349" i="6"/>
  <c r="Z349" i="6" s="1"/>
  <c r="AA349" i="6" s="1"/>
  <c r="U356" i="6"/>
  <c r="U8" i="6"/>
  <c r="U414" i="6"/>
  <c r="T274" i="6"/>
  <c r="W274" i="6"/>
  <c r="Z274" i="6" s="1"/>
  <c r="AA274" i="6" s="1"/>
  <c r="T226" i="6"/>
  <c r="W226" i="6"/>
  <c r="Z226" i="6" s="1"/>
  <c r="AA226" i="6" s="1"/>
  <c r="T474" i="6"/>
  <c r="W474" i="6"/>
  <c r="Z474" i="6" s="1"/>
  <c r="AA474" i="6" s="1"/>
  <c r="U505" i="6"/>
  <c r="T92" i="6"/>
  <c r="W92" i="6"/>
  <c r="Z92" i="6" s="1"/>
  <c r="AA92" i="6" s="1"/>
  <c r="T534" i="6"/>
  <c r="W534" i="6"/>
  <c r="Z534" i="6" s="1"/>
  <c r="AA534" i="6" s="1"/>
  <c r="T4" i="6"/>
  <c r="W4" i="6"/>
  <c r="Z4" i="6" s="1"/>
  <c r="AA4" i="6" s="1"/>
  <c r="U10" i="6"/>
  <c r="U395" i="6"/>
  <c r="U90" i="6"/>
  <c r="U111" i="6"/>
  <c r="T148" i="6"/>
  <c r="W148" i="6"/>
  <c r="Z148" i="6" s="1"/>
  <c r="AA148" i="6" s="1"/>
  <c r="U323" i="6"/>
  <c r="T550" i="6"/>
  <c r="W550" i="6"/>
  <c r="Z550" i="6" s="1"/>
  <c r="AA550" i="6" s="1"/>
  <c r="U216" i="6"/>
  <c r="T242" i="6"/>
  <c r="W242" i="6"/>
  <c r="Z242" i="6" s="1"/>
  <c r="AA242" i="6" s="1"/>
  <c r="T283" i="6"/>
  <c r="W283" i="6"/>
  <c r="Z283" i="6" s="1"/>
  <c r="AA283" i="6" s="1"/>
  <c r="U565" i="6"/>
  <c r="T496" i="6"/>
  <c r="W496" i="6"/>
  <c r="Z496" i="6" s="1"/>
  <c r="AA496" i="6" s="1"/>
  <c r="T495" i="6"/>
  <c r="W495" i="6"/>
  <c r="Z495" i="6" s="1"/>
  <c r="AA495" i="6" s="1"/>
  <c r="T122" i="6"/>
  <c r="W122" i="6"/>
  <c r="Z122" i="6" s="1"/>
  <c r="AA122" i="6" s="1"/>
  <c r="U115" i="6"/>
  <c r="T42" i="6"/>
  <c r="W42" i="6"/>
  <c r="Z42" i="6" s="1"/>
  <c r="AA42" i="6" s="1"/>
  <c r="T134" i="6"/>
  <c r="W134" i="6"/>
  <c r="Z134" i="6" s="1"/>
  <c r="AA134" i="6" s="1"/>
  <c r="T446" i="6"/>
  <c r="W446" i="6"/>
  <c r="Z446" i="6" s="1"/>
  <c r="AA446" i="6" s="1"/>
  <c r="U400" i="6"/>
  <c r="U577" i="6"/>
  <c r="U437" i="6"/>
  <c r="U446" i="6"/>
  <c r="Q2" i="6"/>
  <c r="W2" i="3"/>
  <c r="W3" i="3"/>
  <c r="U3" i="3"/>
  <c r="U2" i="3"/>
  <c r="W488" i="6" l="1"/>
  <c r="Z488" i="6" s="1"/>
  <c r="AA488" i="6" s="1"/>
  <c r="T366" i="6"/>
  <c r="U488" i="6"/>
  <c r="W61" i="6"/>
  <c r="Z61" i="6" s="1"/>
  <c r="AA61" i="6" s="1"/>
  <c r="T61" i="6"/>
  <c r="B17" i="6"/>
  <c r="W486" i="6"/>
  <c r="Z486" i="6" s="1"/>
  <c r="AA486" i="6" s="1"/>
  <c r="B31" i="6"/>
  <c r="T486" i="6"/>
  <c r="W189" i="6"/>
  <c r="Z189" i="6" s="1"/>
  <c r="AA189" i="6" s="1"/>
  <c r="B32" i="6"/>
  <c r="T189" i="6"/>
  <c r="Z2" i="6"/>
  <c r="AA2" i="6" s="1"/>
  <c r="B18" i="6"/>
  <c r="B14" i="6"/>
  <c r="U2" i="6"/>
  <c r="P2" i="6"/>
  <c r="B13" i="6"/>
  <c r="B51" i="6" l="1"/>
  <c r="B50" i="6"/>
  <c r="T2" i="6"/>
  <c r="B34" i="6"/>
  <c r="B33" i="6"/>
  <c r="B16" i="6"/>
  <c r="B15" i="6"/>
  <c r="B37" i="6" l="1"/>
  <c r="B38" i="6"/>
  <c r="B36" i="6"/>
  <c r="B35" i="6"/>
  <c r="B45" i="6" l="1"/>
  <c r="V3" i="6" s="1"/>
  <c r="V518" i="6" l="1"/>
  <c r="X518" i="6" s="1"/>
  <c r="V530" i="6"/>
  <c r="V290" i="6"/>
  <c r="Y290" i="6" s="1"/>
  <c r="V560" i="6"/>
  <c r="V449" i="6"/>
  <c r="V207" i="6"/>
  <c r="V432" i="6"/>
  <c r="V536" i="6"/>
  <c r="X536" i="6" s="1"/>
  <c r="V306" i="6"/>
  <c r="X306" i="6" s="1"/>
  <c r="V193" i="6"/>
  <c r="V584" i="6"/>
  <c r="X584" i="6" s="1"/>
  <c r="V400" i="6"/>
  <c r="V601" i="6"/>
  <c r="V296" i="6"/>
  <c r="V58" i="6"/>
  <c r="V40" i="6"/>
  <c r="Y40" i="6" s="1"/>
  <c r="V550" i="6"/>
  <c r="Y550" i="6" s="1"/>
  <c r="V392" i="6"/>
  <c r="V448" i="6"/>
  <c r="Y448" i="6" s="1"/>
  <c r="V401" i="6"/>
  <c r="V145" i="6"/>
  <c r="V248" i="6"/>
  <c r="V591" i="6"/>
  <c r="Y591" i="6" s="1"/>
  <c r="V143" i="6"/>
  <c r="Y143" i="6" s="1"/>
  <c r="V384" i="6"/>
  <c r="Y384" i="6" s="1"/>
  <c r="V385" i="6"/>
  <c r="V575" i="6"/>
  <c r="X575" i="6" s="1"/>
  <c r="V79" i="6"/>
  <c r="V554" i="6"/>
  <c r="V537" i="6"/>
  <c r="V480" i="6"/>
  <c r="Y480" i="6" s="1"/>
  <c r="V577" i="6"/>
  <c r="X577" i="6" s="1"/>
  <c r="V18" i="6"/>
  <c r="X18" i="6" s="1"/>
  <c r="V337" i="6"/>
  <c r="V81" i="6"/>
  <c r="X81" i="6" s="1"/>
  <c r="V184" i="6"/>
  <c r="V527" i="6"/>
  <c r="V15" i="6"/>
  <c r="V376" i="6"/>
  <c r="X376" i="6" s="1"/>
  <c r="V574" i="6"/>
  <c r="X574" i="6" s="1"/>
  <c r="V321" i="6"/>
  <c r="X321" i="6" s="1"/>
  <c r="V65" i="6"/>
  <c r="V168" i="6"/>
  <c r="X168" i="6" s="1"/>
  <c r="V463" i="6"/>
  <c r="V454" i="6"/>
  <c r="V545" i="6"/>
  <c r="V586" i="6"/>
  <c r="V368" i="6"/>
  <c r="Y368" i="6" s="1"/>
  <c r="V464" i="6"/>
  <c r="X464" i="6" s="1"/>
  <c r="V234" i="6"/>
  <c r="V418" i="6"/>
  <c r="V466" i="6"/>
  <c r="V273" i="6"/>
  <c r="V17" i="6"/>
  <c r="V120" i="6"/>
  <c r="Y120" i="6" s="1"/>
  <c r="V399" i="6"/>
  <c r="Y399" i="6" s="1"/>
  <c r="V390" i="6"/>
  <c r="V232" i="6"/>
  <c r="V505" i="6"/>
  <c r="Y505" i="6" s="1"/>
  <c r="V602" i="6"/>
  <c r="V314" i="6"/>
  <c r="V106" i="6"/>
  <c r="V346" i="6"/>
  <c r="X346" i="6" s="1"/>
  <c r="V410" i="6"/>
  <c r="X410" i="6" s="1"/>
  <c r="V257" i="6"/>
  <c r="Y257" i="6" s="1"/>
  <c r="V360" i="6"/>
  <c r="V104" i="6"/>
  <c r="X104" i="6" s="1"/>
  <c r="V335" i="6"/>
  <c r="V326" i="6"/>
  <c r="V129" i="6"/>
  <c r="V362" i="6"/>
  <c r="V570" i="6"/>
  <c r="X570" i="6" s="1"/>
  <c r="V258" i="6"/>
  <c r="Y258" i="6" s="1"/>
  <c r="V465" i="6"/>
  <c r="V186" i="6"/>
  <c r="X186" i="6" s="1"/>
  <c r="V562" i="6"/>
  <c r="V592" i="6"/>
  <c r="V74" i="6"/>
  <c r="V209" i="6"/>
  <c r="X209" i="6" s="1"/>
  <c r="V312" i="6"/>
  <c r="Y312" i="6" s="1"/>
  <c r="V56" i="6"/>
  <c r="X56" i="6" s="1"/>
  <c r="V271" i="6"/>
  <c r="V262" i="6"/>
  <c r="X262" i="6" s="1"/>
  <c r="Y3" i="6"/>
  <c r="X3" i="6"/>
  <c r="Y577" i="6"/>
  <c r="Y337" i="6"/>
  <c r="X337" i="6"/>
  <c r="X591" i="6"/>
  <c r="Y554" i="6"/>
  <c r="X554" i="6"/>
  <c r="X290" i="6"/>
  <c r="X384" i="6"/>
  <c r="Y385" i="6"/>
  <c r="X385" i="6"/>
  <c r="X193" i="6"/>
  <c r="Y193" i="6"/>
  <c r="Y65" i="6"/>
  <c r="X65" i="6"/>
  <c r="Y168" i="6"/>
  <c r="Y104" i="6"/>
  <c r="V511" i="6"/>
  <c r="V447" i="6"/>
  <c r="V383" i="6"/>
  <c r="V319" i="6"/>
  <c r="V255" i="6"/>
  <c r="V191" i="6"/>
  <c r="V127" i="6"/>
  <c r="V63" i="6"/>
  <c r="V502" i="6"/>
  <c r="V438" i="6"/>
  <c r="V374" i="6"/>
  <c r="V310" i="6"/>
  <c r="V246" i="6"/>
  <c r="V182" i="6"/>
  <c r="V118" i="6"/>
  <c r="V54" i="6"/>
  <c r="V589" i="6"/>
  <c r="V525" i="6"/>
  <c r="V461" i="6"/>
  <c r="V397" i="6"/>
  <c r="V333" i="6"/>
  <c r="V269" i="6"/>
  <c r="V205" i="6"/>
  <c r="V141" i="6"/>
  <c r="V77" i="6"/>
  <c r="V13" i="6"/>
  <c r="V548" i="6"/>
  <c r="V484" i="6"/>
  <c r="V420" i="6"/>
  <c r="V356" i="6"/>
  <c r="V292" i="6"/>
  <c r="V228" i="6"/>
  <c r="V164" i="6"/>
  <c r="V100" i="6"/>
  <c r="V36" i="6"/>
  <c r="V571" i="6"/>
  <c r="V507" i="6"/>
  <c r="V443" i="6"/>
  <c r="V379" i="6"/>
  <c r="V315" i="6"/>
  <c r="V251" i="6"/>
  <c r="V187" i="6"/>
  <c r="V123" i="6"/>
  <c r="V59" i="6"/>
  <c r="V522" i="6"/>
  <c r="V520" i="6"/>
  <c r="V488" i="6"/>
  <c r="V538" i="6"/>
  <c r="V50" i="6"/>
  <c r="V482" i="6"/>
  <c r="V122" i="6"/>
  <c r="V498" i="6"/>
  <c r="V170" i="6"/>
  <c r="V514" i="6"/>
  <c r="V226" i="6"/>
  <c r="V529" i="6"/>
  <c r="V282" i="6"/>
  <c r="V544" i="6"/>
  <c r="V338" i="6"/>
  <c r="V558" i="6"/>
  <c r="V378" i="6"/>
  <c r="V441" i="6"/>
  <c r="V377" i="6"/>
  <c r="V313" i="6"/>
  <c r="V249" i="6"/>
  <c r="V185" i="6"/>
  <c r="V121" i="6"/>
  <c r="V57" i="6"/>
  <c r="V352" i="6"/>
  <c r="V288" i="6"/>
  <c r="V224" i="6"/>
  <c r="V160" i="6"/>
  <c r="V96" i="6"/>
  <c r="V32" i="6"/>
  <c r="V567" i="6"/>
  <c r="V503" i="6"/>
  <c r="V439" i="6"/>
  <c r="V375" i="6"/>
  <c r="V311" i="6"/>
  <c r="V247" i="6"/>
  <c r="V183" i="6"/>
  <c r="V119" i="6"/>
  <c r="V55" i="6"/>
  <c r="V494" i="6"/>
  <c r="V430" i="6"/>
  <c r="V366" i="6"/>
  <c r="V302" i="6"/>
  <c r="V238" i="6"/>
  <c r="V174" i="6"/>
  <c r="V110" i="6"/>
  <c r="V46" i="6"/>
  <c r="V581" i="6"/>
  <c r="V517" i="6"/>
  <c r="V453" i="6"/>
  <c r="V389" i="6"/>
  <c r="V325" i="6"/>
  <c r="V261" i="6"/>
  <c r="V197" i="6"/>
  <c r="V133" i="6"/>
  <c r="V69" i="6"/>
  <c r="V5" i="6"/>
  <c r="V540" i="6"/>
  <c r="V476" i="6"/>
  <c r="V412" i="6"/>
  <c r="V348" i="6"/>
  <c r="V284" i="6"/>
  <c r="V220" i="6"/>
  <c r="V156" i="6"/>
  <c r="V92" i="6"/>
  <c r="V28" i="6"/>
  <c r="V563" i="6"/>
  <c r="V499" i="6"/>
  <c r="V435" i="6"/>
  <c r="V371" i="6"/>
  <c r="V307" i="6"/>
  <c r="V243" i="6"/>
  <c r="V179" i="6"/>
  <c r="V115" i="6"/>
  <c r="V51" i="6"/>
  <c r="X400" i="6"/>
  <c r="Y400" i="6"/>
  <c r="X362" i="6"/>
  <c r="Y362" i="6"/>
  <c r="X448" i="6"/>
  <c r="Y273" i="6"/>
  <c r="X273" i="6"/>
  <c r="X184" i="6"/>
  <c r="Y184" i="6"/>
  <c r="X586" i="6"/>
  <c r="Y586" i="6"/>
  <c r="Y306" i="6"/>
  <c r="X530" i="6"/>
  <c r="Y530" i="6"/>
  <c r="X129" i="6"/>
  <c r="Y129" i="6"/>
  <c r="V162" i="6"/>
  <c r="V274" i="6"/>
  <c r="V305" i="6"/>
  <c r="V280" i="6"/>
  <c r="V24" i="6"/>
  <c r="V367" i="6"/>
  <c r="V47" i="6"/>
  <c r="V166" i="6"/>
  <c r="V573" i="6"/>
  <c r="V445" i="6"/>
  <c r="V381" i="6"/>
  <c r="V317" i="6"/>
  <c r="V125" i="6"/>
  <c r="V596" i="6"/>
  <c r="V532" i="6"/>
  <c r="V468" i="6"/>
  <c r="V404" i="6"/>
  <c r="V340" i="6"/>
  <c r="V276" i="6"/>
  <c r="V212" i="6"/>
  <c r="V148" i="6"/>
  <c r="V84" i="6"/>
  <c r="V20" i="6"/>
  <c r="V555" i="6"/>
  <c r="V491" i="6"/>
  <c r="V427" i="6"/>
  <c r="V363" i="6"/>
  <c r="V299" i="6"/>
  <c r="V235" i="6"/>
  <c r="V171" i="6"/>
  <c r="V107" i="6"/>
  <c r="V43" i="6"/>
  <c r="X537" i="6"/>
  <c r="Y537" i="6"/>
  <c r="Y562" i="6"/>
  <c r="X562" i="6"/>
  <c r="X145" i="6"/>
  <c r="Y145" i="6"/>
  <c r="Y234" i="6"/>
  <c r="X234" i="6"/>
  <c r="Y560" i="6"/>
  <c r="X560" i="6"/>
  <c r="X232" i="6"/>
  <c r="Y232" i="6"/>
  <c r="Y601" i="6"/>
  <c r="X601" i="6"/>
  <c r="Y106" i="6"/>
  <c r="X106" i="6"/>
  <c r="V528" i="6"/>
  <c r="V433" i="6"/>
  <c r="V177" i="6"/>
  <c r="V344" i="6"/>
  <c r="V88" i="6"/>
  <c r="V431" i="6"/>
  <c r="V175" i="6"/>
  <c r="V486" i="6"/>
  <c r="V294" i="6"/>
  <c r="V38" i="6"/>
  <c r="V253" i="6"/>
  <c r="V130" i="6"/>
  <c r="V598" i="6"/>
  <c r="V474" i="6"/>
  <c r="V154" i="6"/>
  <c r="V266" i="6"/>
  <c r="V233" i="6"/>
  <c r="V41" i="6"/>
  <c r="V208" i="6"/>
  <c r="V16" i="6"/>
  <c r="V487" i="6"/>
  <c r="V359" i="6"/>
  <c r="V231" i="6"/>
  <c r="V167" i="6"/>
  <c r="V103" i="6"/>
  <c r="V39" i="6"/>
  <c r="V478" i="6"/>
  <c r="V414" i="6"/>
  <c r="V350" i="6"/>
  <c r="V286" i="6"/>
  <c r="V222" i="6"/>
  <c r="V158" i="6"/>
  <c r="V94" i="6"/>
  <c r="V30" i="6"/>
  <c r="V565" i="6"/>
  <c r="V501" i="6"/>
  <c r="V437" i="6"/>
  <c r="V373" i="6"/>
  <c r="V309" i="6"/>
  <c r="V245" i="6"/>
  <c r="V181" i="6"/>
  <c r="V117" i="6"/>
  <c r="V53" i="6"/>
  <c r="V588" i="6"/>
  <c r="V524" i="6"/>
  <c r="V460" i="6"/>
  <c r="V396" i="6"/>
  <c r="V332" i="6"/>
  <c r="V268" i="6"/>
  <c r="V204" i="6"/>
  <c r="V140" i="6"/>
  <c r="V76" i="6"/>
  <c r="V12" i="6"/>
  <c r="V547" i="6"/>
  <c r="V483" i="6"/>
  <c r="V419" i="6"/>
  <c r="V355" i="6"/>
  <c r="V291" i="6"/>
  <c r="V227" i="6"/>
  <c r="V163" i="6"/>
  <c r="V99" i="6"/>
  <c r="V35" i="6"/>
  <c r="Y392" i="6"/>
  <c r="X392" i="6"/>
  <c r="X74" i="6"/>
  <c r="Y74" i="6"/>
  <c r="Y17" i="6"/>
  <c r="X17" i="6"/>
  <c r="Y545" i="6"/>
  <c r="X545" i="6"/>
  <c r="Y449" i="6"/>
  <c r="X449" i="6"/>
  <c r="Y360" i="6"/>
  <c r="X360" i="6"/>
  <c r="X432" i="6"/>
  <c r="Y432" i="6"/>
  <c r="Y58" i="6"/>
  <c r="X58" i="6"/>
  <c r="V497" i="6"/>
  <c r="V218" i="6"/>
  <c r="V330" i="6"/>
  <c r="V241" i="6"/>
  <c r="V49" i="6"/>
  <c r="V152" i="6"/>
  <c r="V495" i="6"/>
  <c r="V239" i="6"/>
  <c r="V422" i="6"/>
  <c r="V102" i="6"/>
  <c r="V189" i="6"/>
  <c r="V506" i="6"/>
  <c r="V322" i="6"/>
  <c r="V434" i="6"/>
  <c r="V42" i="6"/>
  <c r="V496" i="6"/>
  <c r="V512" i="6"/>
  <c r="V526" i="6"/>
  <c r="V361" i="6"/>
  <c r="V169" i="6"/>
  <c r="V272" i="6"/>
  <c r="V80" i="6"/>
  <c r="V423" i="6"/>
  <c r="V440" i="6"/>
  <c r="V66" i="6"/>
  <c r="V402" i="6"/>
  <c r="V594" i="6"/>
  <c r="V34" i="6"/>
  <c r="V490" i="6"/>
  <c r="V510" i="6"/>
  <c r="V417" i="6"/>
  <c r="V353" i="6"/>
  <c r="V289" i="6"/>
  <c r="V225" i="6"/>
  <c r="V161" i="6"/>
  <c r="V97" i="6"/>
  <c r="V33" i="6"/>
  <c r="V328" i="6"/>
  <c r="V264" i="6"/>
  <c r="V200" i="6"/>
  <c r="V136" i="6"/>
  <c r="V72" i="6"/>
  <c r="V8" i="6"/>
  <c r="V543" i="6"/>
  <c r="V479" i="6"/>
  <c r="V415" i="6"/>
  <c r="V351" i="6"/>
  <c r="V287" i="6"/>
  <c r="V223" i="6"/>
  <c r="V159" i="6"/>
  <c r="V95" i="6"/>
  <c r="V31" i="6"/>
  <c r="V470" i="6"/>
  <c r="V406" i="6"/>
  <c r="V342" i="6"/>
  <c r="V278" i="6"/>
  <c r="V214" i="6"/>
  <c r="V150" i="6"/>
  <c r="V86" i="6"/>
  <c r="V22" i="6"/>
  <c r="V557" i="6"/>
  <c r="V493" i="6"/>
  <c r="V429" i="6"/>
  <c r="V365" i="6"/>
  <c r="V301" i="6"/>
  <c r="V237" i="6"/>
  <c r="V173" i="6"/>
  <c r="V109" i="6"/>
  <c r="V45" i="6"/>
  <c r="V580" i="6"/>
  <c r="V516" i="6"/>
  <c r="V452" i="6"/>
  <c r="V388" i="6"/>
  <c r="V324" i="6"/>
  <c r="V260" i="6"/>
  <c r="V196" i="6"/>
  <c r="V132" i="6"/>
  <c r="V68" i="6"/>
  <c r="V4" i="6"/>
  <c r="V539" i="6"/>
  <c r="V475" i="6"/>
  <c r="V411" i="6"/>
  <c r="V347" i="6"/>
  <c r="V283" i="6"/>
  <c r="V219" i="6"/>
  <c r="V155" i="6"/>
  <c r="V91" i="6"/>
  <c r="V27" i="6"/>
  <c r="X258" i="6"/>
  <c r="X550" i="6"/>
  <c r="X592" i="6"/>
  <c r="Y592" i="6"/>
  <c r="Y466" i="6"/>
  <c r="X466" i="6"/>
  <c r="Y81" i="6"/>
  <c r="X463" i="6"/>
  <c r="Y463" i="6"/>
  <c r="Y602" i="6"/>
  <c r="X602" i="6"/>
  <c r="Y518" i="6"/>
  <c r="X257" i="6"/>
  <c r="Y296" i="6"/>
  <c r="X296" i="6"/>
  <c r="X465" i="6"/>
  <c r="Y465" i="6"/>
  <c r="V513" i="6"/>
  <c r="V542" i="6"/>
  <c r="V369" i="6"/>
  <c r="V113" i="6"/>
  <c r="V216" i="6"/>
  <c r="V559" i="6"/>
  <c r="V303" i="6"/>
  <c r="V111" i="6"/>
  <c r="V358" i="6"/>
  <c r="V230" i="6"/>
  <c r="V509" i="6"/>
  <c r="V61" i="6"/>
  <c r="V242" i="6"/>
  <c r="V585" i="6"/>
  <c r="V457" i="6"/>
  <c r="V98" i="6"/>
  <c r="V210" i="6"/>
  <c r="V425" i="6"/>
  <c r="V297" i="6"/>
  <c r="V105" i="6"/>
  <c r="V336" i="6"/>
  <c r="V144" i="6"/>
  <c r="V551" i="6"/>
  <c r="V295" i="6"/>
  <c r="V568" i="6"/>
  <c r="V552" i="6"/>
  <c r="V569" i="6"/>
  <c r="V582" i="6"/>
  <c r="V426" i="6"/>
  <c r="V456" i="6"/>
  <c r="V473" i="6"/>
  <c r="V90" i="6"/>
  <c r="V146" i="6"/>
  <c r="V202" i="6"/>
  <c r="V408" i="6"/>
  <c r="V504" i="6"/>
  <c r="V481" i="6"/>
  <c r="V600" i="6"/>
  <c r="V553" i="6"/>
  <c r="V370" i="6"/>
  <c r="V566" i="6"/>
  <c r="V394" i="6"/>
  <c r="V578" i="6"/>
  <c r="V424" i="6"/>
  <c r="V593" i="6"/>
  <c r="V450" i="6"/>
  <c r="V26" i="6"/>
  <c r="V472" i="6"/>
  <c r="V82" i="6"/>
  <c r="V489" i="6"/>
  <c r="V138" i="6"/>
  <c r="V409" i="6"/>
  <c r="V345" i="6"/>
  <c r="V281" i="6"/>
  <c r="V217" i="6"/>
  <c r="V153" i="6"/>
  <c r="V89" i="6"/>
  <c r="V25" i="6"/>
  <c r="V320" i="6"/>
  <c r="V256" i="6"/>
  <c r="V192" i="6"/>
  <c r="V128" i="6"/>
  <c r="V64" i="6"/>
  <c r="V599" i="6"/>
  <c r="V535" i="6"/>
  <c r="V471" i="6"/>
  <c r="V407" i="6"/>
  <c r="V343" i="6"/>
  <c r="V279" i="6"/>
  <c r="V215" i="6"/>
  <c r="V151" i="6"/>
  <c r="V87" i="6"/>
  <c r="V23" i="6"/>
  <c r="V462" i="6"/>
  <c r="V398" i="6"/>
  <c r="V334" i="6"/>
  <c r="V270" i="6"/>
  <c r="V206" i="6"/>
  <c r="V142" i="6"/>
  <c r="V78" i="6"/>
  <c r="V14" i="6"/>
  <c r="V549" i="6"/>
  <c r="V485" i="6"/>
  <c r="V421" i="6"/>
  <c r="V357" i="6"/>
  <c r="V293" i="6"/>
  <c r="V229" i="6"/>
  <c r="V165" i="6"/>
  <c r="V101" i="6"/>
  <c r="V37" i="6"/>
  <c r="V572" i="6"/>
  <c r="V508" i="6"/>
  <c r="V444" i="6"/>
  <c r="V380" i="6"/>
  <c r="V316" i="6"/>
  <c r="V252" i="6"/>
  <c r="V188" i="6"/>
  <c r="V124" i="6"/>
  <c r="V60" i="6"/>
  <c r="V595" i="6"/>
  <c r="V531" i="6"/>
  <c r="V467" i="6"/>
  <c r="V403" i="6"/>
  <c r="V339" i="6"/>
  <c r="V275" i="6"/>
  <c r="V211" i="6"/>
  <c r="V147" i="6"/>
  <c r="V83" i="6"/>
  <c r="V19" i="6"/>
  <c r="V198" i="6"/>
  <c r="V134" i="6"/>
  <c r="V70" i="6"/>
  <c r="V6" i="6"/>
  <c r="V541" i="6"/>
  <c r="V477" i="6"/>
  <c r="V413" i="6"/>
  <c r="V349" i="6"/>
  <c r="V285" i="6"/>
  <c r="V221" i="6"/>
  <c r="V157" i="6"/>
  <c r="V93" i="6"/>
  <c r="V29" i="6"/>
  <c r="V564" i="6"/>
  <c r="V500" i="6"/>
  <c r="V436" i="6"/>
  <c r="V372" i="6"/>
  <c r="V308" i="6"/>
  <c r="V244" i="6"/>
  <c r="V180" i="6"/>
  <c r="V116" i="6"/>
  <c r="V52" i="6"/>
  <c r="V587" i="6"/>
  <c r="V523" i="6"/>
  <c r="V459" i="6"/>
  <c r="V395" i="6"/>
  <c r="V331" i="6"/>
  <c r="V267" i="6"/>
  <c r="V203" i="6"/>
  <c r="V139" i="6"/>
  <c r="V75" i="6"/>
  <c r="V11" i="6"/>
  <c r="X314" i="6"/>
  <c r="Y314" i="6"/>
  <c r="Y418" i="6"/>
  <c r="X418" i="6"/>
  <c r="X401" i="6"/>
  <c r="Y401" i="6"/>
  <c r="Y248" i="6"/>
  <c r="X248" i="6"/>
  <c r="X527" i="6"/>
  <c r="Y527" i="6"/>
  <c r="Y335" i="6"/>
  <c r="X335" i="6"/>
  <c r="X271" i="6"/>
  <c r="Y271" i="6"/>
  <c r="X207" i="6"/>
  <c r="Y207" i="6"/>
  <c r="Y79" i="6"/>
  <c r="X79" i="6"/>
  <c r="X15" i="6"/>
  <c r="Y15" i="6"/>
  <c r="Y454" i="6"/>
  <c r="X454" i="6"/>
  <c r="Y390" i="6"/>
  <c r="X390" i="6"/>
  <c r="X326" i="6"/>
  <c r="Y326" i="6"/>
  <c r="V194" i="6"/>
  <c r="V178" i="6"/>
  <c r="V114" i="6"/>
  <c r="V458" i="6"/>
  <c r="V521" i="6"/>
  <c r="V250" i="6"/>
  <c r="V534" i="6"/>
  <c r="V298" i="6"/>
  <c r="V546" i="6"/>
  <c r="V354" i="6"/>
  <c r="V561" i="6"/>
  <c r="V386" i="6"/>
  <c r="V576" i="6"/>
  <c r="V416" i="6"/>
  <c r="V590" i="6"/>
  <c r="V442" i="6"/>
  <c r="V10" i="6"/>
  <c r="V393" i="6"/>
  <c r="V329" i="6"/>
  <c r="V265" i="6"/>
  <c r="V201" i="6"/>
  <c r="V137" i="6"/>
  <c r="V73" i="6"/>
  <c r="V9" i="6"/>
  <c r="V304" i="6"/>
  <c r="V240" i="6"/>
  <c r="V176" i="6"/>
  <c r="V112" i="6"/>
  <c r="V48" i="6"/>
  <c r="V583" i="6"/>
  <c r="V519" i="6"/>
  <c r="V455" i="6"/>
  <c r="V391" i="6"/>
  <c r="V327" i="6"/>
  <c r="V263" i="6"/>
  <c r="V199" i="6"/>
  <c r="V135" i="6"/>
  <c r="V71" i="6"/>
  <c r="V7" i="6"/>
  <c r="V446" i="6"/>
  <c r="V382" i="6"/>
  <c r="V318" i="6"/>
  <c r="V254" i="6"/>
  <c r="V190" i="6"/>
  <c r="V126" i="6"/>
  <c r="V62" i="6"/>
  <c r="V597" i="6"/>
  <c r="V533" i="6"/>
  <c r="V469" i="6"/>
  <c r="V405" i="6"/>
  <c r="V341" i="6"/>
  <c r="V277" i="6"/>
  <c r="V213" i="6"/>
  <c r="V149" i="6"/>
  <c r="V85" i="6"/>
  <c r="V21" i="6"/>
  <c r="V556" i="6"/>
  <c r="V492" i="6"/>
  <c r="V428" i="6"/>
  <c r="V364" i="6"/>
  <c r="V300" i="6"/>
  <c r="V236" i="6"/>
  <c r="V172" i="6"/>
  <c r="V108" i="6"/>
  <c r="V44" i="6"/>
  <c r="V579" i="6"/>
  <c r="V515" i="6"/>
  <c r="V451" i="6"/>
  <c r="V387" i="6"/>
  <c r="V323" i="6"/>
  <c r="V259" i="6"/>
  <c r="V195" i="6"/>
  <c r="V131" i="6"/>
  <c r="V67" i="6"/>
  <c r="Y2" i="6"/>
  <c r="Y536" i="6" l="1"/>
  <c r="X505" i="6"/>
  <c r="Y584" i="6"/>
  <c r="Y186" i="6"/>
  <c r="Y262" i="6"/>
  <c r="Y464" i="6"/>
  <c r="X40" i="6"/>
  <c r="Y18" i="6"/>
  <c r="X480" i="6"/>
  <c r="Y574" i="6"/>
  <c r="Y56" i="6"/>
  <c r="X368" i="6"/>
  <c r="Y321" i="6"/>
  <c r="X120" i="6"/>
  <c r="Y410" i="6"/>
  <c r="Y209" i="6"/>
  <c r="Y575" i="6"/>
  <c r="X312" i="6"/>
  <c r="Y346" i="6"/>
  <c r="X399" i="6"/>
  <c r="X143" i="6"/>
  <c r="Y376" i="6"/>
  <c r="Y570" i="6"/>
  <c r="Y323" i="6"/>
  <c r="X323" i="6"/>
  <c r="Y416" i="6"/>
  <c r="X416" i="6"/>
  <c r="X52" i="6"/>
  <c r="Y52" i="6"/>
  <c r="X357" i="6"/>
  <c r="Y357" i="6"/>
  <c r="Y426" i="6"/>
  <c r="X426" i="6"/>
  <c r="Y136" i="6"/>
  <c r="X136" i="6"/>
  <c r="Y422" i="6"/>
  <c r="X422" i="6"/>
  <c r="Y524" i="6"/>
  <c r="X524" i="6"/>
  <c r="Y598" i="6"/>
  <c r="X598" i="6"/>
  <c r="X532" i="6"/>
  <c r="Y532" i="6"/>
  <c r="X115" i="6"/>
  <c r="Y115" i="6"/>
  <c r="X28" i="6"/>
  <c r="Y28" i="6"/>
  <c r="X540" i="6"/>
  <c r="Y540" i="6"/>
  <c r="X375" i="6"/>
  <c r="Y375" i="6"/>
  <c r="Y514" i="6"/>
  <c r="X514" i="6"/>
  <c r="X520" i="6"/>
  <c r="Y520" i="6"/>
  <c r="Y443" i="6"/>
  <c r="X443" i="6"/>
  <c r="Y356" i="6"/>
  <c r="X356" i="6"/>
  <c r="X269" i="6"/>
  <c r="Y269" i="6"/>
  <c r="Y182" i="6"/>
  <c r="X182" i="6"/>
  <c r="Y191" i="6"/>
  <c r="X191" i="6"/>
  <c r="X387" i="6"/>
  <c r="Y387" i="6"/>
  <c r="Y300" i="6"/>
  <c r="X300" i="6"/>
  <c r="Y213" i="6"/>
  <c r="X213" i="6"/>
  <c r="X126" i="6"/>
  <c r="Y126" i="6"/>
  <c r="X135" i="6"/>
  <c r="Y135" i="6"/>
  <c r="Y48" i="6"/>
  <c r="X48" i="6"/>
  <c r="Y201" i="6"/>
  <c r="X201" i="6"/>
  <c r="Y576" i="6"/>
  <c r="X576" i="6"/>
  <c r="Y521" i="6"/>
  <c r="X521" i="6"/>
  <c r="X203" i="6"/>
  <c r="Y203" i="6"/>
  <c r="X116" i="6"/>
  <c r="Y116" i="6"/>
  <c r="X29" i="6"/>
  <c r="Y29" i="6"/>
  <c r="X541" i="6"/>
  <c r="Y541" i="6"/>
  <c r="X83" i="6"/>
  <c r="Y83" i="6"/>
  <c r="X595" i="6"/>
  <c r="Y595" i="6"/>
  <c r="X508" i="6"/>
  <c r="Y508" i="6"/>
  <c r="X421" i="6"/>
  <c r="Y421" i="6"/>
  <c r="X334" i="6"/>
  <c r="Y334" i="6"/>
  <c r="X343" i="6"/>
  <c r="Y343" i="6"/>
  <c r="X256" i="6"/>
  <c r="Y256" i="6"/>
  <c r="Y409" i="6"/>
  <c r="X409" i="6"/>
  <c r="X424" i="6"/>
  <c r="Y424" i="6"/>
  <c r="X504" i="6"/>
  <c r="Y504" i="6"/>
  <c r="X582" i="6"/>
  <c r="Y582" i="6"/>
  <c r="Y105" i="6"/>
  <c r="X105" i="6"/>
  <c r="Y61" i="6"/>
  <c r="X61" i="6"/>
  <c r="X113" i="6"/>
  <c r="Y113" i="6"/>
  <c r="Y27" i="6"/>
  <c r="X27" i="6"/>
  <c r="Y539" i="6"/>
  <c r="X539" i="6"/>
  <c r="Y452" i="6"/>
  <c r="X452" i="6"/>
  <c r="X365" i="6"/>
  <c r="Y365" i="6"/>
  <c r="X278" i="6"/>
  <c r="Y278" i="6"/>
  <c r="Y287" i="6"/>
  <c r="X287" i="6"/>
  <c r="Y200" i="6"/>
  <c r="X200" i="6"/>
  <c r="X353" i="6"/>
  <c r="Y353" i="6"/>
  <c r="Y440" i="6"/>
  <c r="X440" i="6"/>
  <c r="Y496" i="6"/>
  <c r="X496" i="6"/>
  <c r="Y239" i="6"/>
  <c r="X239" i="6"/>
  <c r="Y163" i="6"/>
  <c r="X163" i="6"/>
  <c r="X76" i="6"/>
  <c r="Y76" i="6"/>
  <c r="X588" i="6"/>
  <c r="Y588" i="6"/>
  <c r="Y501" i="6"/>
  <c r="X501" i="6"/>
  <c r="X414" i="6"/>
  <c r="Y414" i="6"/>
  <c r="Y16" i="6"/>
  <c r="X16" i="6"/>
  <c r="Y130" i="6"/>
  <c r="X130" i="6"/>
  <c r="Y344" i="6"/>
  <c r="X344" i="6"/>
  <c r="Y171" i="6"/>
  <c r="X171" i="6"/>
  <c r="Y84" i="6"/>
  <c r="X84" i="6"/>
  <c r="Y596" i="6"/>
  <c r="X596" i="6"/>
  <c r="Y367" i="6"/>
  <c r="X367" i="6"/>
  <c r="X179" i="6"/>
  <c r="Y179" i="6"/>
  <c r="X92" i="6"/>
  <c r="Y92" i="6"/>
  <c r="Y5" i="6"/>
  <c r="X5" i="6"/>
  <c r="Y517" i="6"/>
  <c r="X517" i="6"/>
  <c r="Y430" i="6"/>
  <c r="X430" i="6"/>
  <c r="X439" i="6"/>
  <c r="Y439" i="6"/>
  <c r="X352" i="6"/>
  <c r="Y352" i="6"/>
  <c r="X378" i="6"/>
  <c r="Y378" i="6"/>
  <c r="X170" i="6"/>
  <c r="Y170" i="6"/>
  <c r="X522" i="6"/>
  <c r="Y522" i="6"/>
  <c r="X507" i="6"/>
  <c r="Y507" i="6"/>
  <c r="X420" i="6"/>
  <c r="Y420" i="6"/>
  <c r="Y333" i="6"/>
  <c r="X333" i="6"/>
  <c r="X246" i="6"/>
  <c r="Y246" i="6"/>
  <c r="X255" i="6"/>
  <c r="Y255" i="6"/>
  <c r="X149" i="6"/>
  <c r="Y149" i="6"/>
  <c r="X477" i="6"/>
  <c r="Y477" i="6"/>
  <c r="X192" i="6"/>
  <c r="Y192" i="6"/>
  <c r="X216" i="6"/>
  <c r="Y216" i="6"/>
  <c r="X214" i="6"/>
  <c r="Y214" i="6"/>
  <c r="X512" i="6"/>
  <c r="Y512" i="6"/>
  <c r="Y99" i="6"/>
  <c r="X99" i="6"/>
  <c r="X487" i="6"/>
  <c r="Y487" i="6"/>
  <c r="X453" i="6"/>
  <c r="Y453" i="6"/>
  <c r="Y277" i="6"/>
  <c r="X277" i="6"/>
  <c r="X386" i="6"/>
  <c r="Y386" i="6"/>
  <c r="X147" i="6"/>
  <c r="Y147" i="6"/>
  <c r="X407" i="6"/>
  <c r="Y407" i="6"/>
  <c r="Y408" i="6"/>
  <c r="X408" i="6"/>
  <c r="X91" i="6"/>
  <c r="Y91" i="6"/>
  <c r="Y429" i="6"/>
  <c r="X429" i="6"/>
  <c r="X264" i="6"/>
  <c r="Y264" i="6"/>
  <c r="Y423" i="6"/>
  <c r="X423" i="6"/>
  <c r="X227" i="6"/>
  <c r="Y227" i="6"/>
  <c r="X140" i="6"/>
  <c r="Y140" i="6"/>
  <c r="X53" i="6"/>
  <c r="Y53" i="6"/>
  <c r="X565" i="6"/>
  <c r="Y565" i="6"/>
  <c r="X478" i="6"/>
  <c r="Y478" i="6"/>
  <c r="Y208" i="6"/>
  <c r="X208" i="6"/>
  <c r="X177" i="6"/>
  <c r="Y177" i="6"/>
  <c r="X235" i="6"/>
  <c r="Y235" i="6"/>
  <c r="Y148" i="6"/>
  <c r="X148" i="6"/>
  <c r="X125" i="6"/>
  <c r="Y125" i="6"/>
  <c r="X24" i="6"/>
  <c r="Y24" i="6"/>
  <c r="X243" i="6"/>
  <c r="Y243" i="6"/>
  <c r="Y156" i="6"/>
  <c r="X156" i="6"/>
  <c r="Y69" i="6"/>
  <c r="X69" i="6"/>
  <c r="Y581" i="6"/>
  <c r="X581" i="6"/>
  <c r="Y494" i="6"/>
  <c r="X494" i="6"/>
  <c r="Y503" i="6"/>
  <c r="X503" i="6"/>
  <c r="X57" i="6"/>
  <c r="Y57" i="6"/>
  <c r="X558" i="6"/>
  <c r="Y558" i="6"/>
  <c r="X498" i="6"/>
  <c r="Y498" i="6"/>
  <c r="X59" i="6"/>
  <c r="Y59" i="6"/>
  <c r="X571" i="6"/>
  <c r="Y571" i="6"/>
  <c r="X484" i="6"/>
  <c r="Y484" i="6"/>
  <c r="Y397" i="6"/>
  <c r="X397" i="6"/>
  <c r="Y310" i="6"/>
  <c r="X310" i="6"/>
  <c r="X319" i="6"/>
  <c r="Y319" i="6"/>
  <c r="Y71" i="6"/>
  <c r="X71" i="6"/>
  <c r="Y531" i="6"/>
  <c r="X531" i="6"/>
  <c r="Y593" i="6"/>
  <c r="X593" i="6"/>
  <c r="X301" i="6"/>
  <c r="Y301" i="6"/>
  <c r="Y66" i="6"/>
  <c r="X66" i="6"/>
  <c r="Y12" i="6"/>
  <c r="X12" i="6"/>
  <c r="Y88" i="6"/>
  <c r="X88" i="6"/>
  <c r="X20" i="6"/>
  <c r="Y20" i="6"/>
  <c r="Y441" i="6"/>
  <c r="X441" i="6"/>
  <c r="X364" i="6"/>
  <c r="Y364" i="6"/>
  <c r="X199" i="6"/>
  <c r="Y199" i="6"/>
  <c r="Y458" i="6"/>
  <c r="X458" i="6"/>
  <c r="Y93" i="6"/>
  <c r="X93" i="6"/>
  <c r="Y60" i="6"/>
  <c r="X60" i="6"/>
  <c r="X398" i="6"/>
  <c r="Y398" i="6"/>
  <c r="Y578" i="6"/>
  <c r="X578" i="6"/>
  <c r="Y509" i="6"/>
  <c r="X509" i="6"/>
  <c r="X516" i="6"/>
  <c r="Y516" i="6"/>
  <c r="Y342" i="6"/>
  <c r="X342" i="6"/>
  <c r="X417" i="6"/>
  <c r="Y417" i="6"/>
  <c r="Y253" i="6"/>
  <c r="X253" i="6"/>
  <c r="Y515" i="6"/>
  <c r="X515" i="6"/>
  <c r="X428" i="6"/>
  <c r="Y428" i="6"/>
  <c r="X341" i="6"/>
  <c r="Y341" i="6"/>
  <c r="Y254" i="6"/>
  <c r="X254" i="6"/>
  <c r="Y263" i="6"/>
  <c r="X263" i="6"/>
  <c r="X176" i="6"/>
  <c r="Y176" i="6"/>
  <c r="X329" i="6"/>
  <c r="Y329" i="6"/>
  <c r="Y561" i="6"/>
  <c r="X561" i="6"/>
  <c r="Y114" i="6"/>
  <c r="X114" i="6"/>
  <c r="Y331" i="6"/>
  <c r="X331" i="6"/>
  <c r="X244" i="6"/>
  <c r="Y244" i="6"/>
  <c r="Y157" i="6"/>
  <c r="X157" i="6"/>
  <c r="X70" i="6"/>
  <c r="Y70" i="6"/>
  <c r="Y211" i="6"/>
  <c r="X211" i="6"/>
  <c r="Y124" i="6"/>
  <c r="X124" i="6"/>
  <c r="Y37" i="6"/>
  <c r="X37" i="6"/>
  <c r="Y549" i="6"/>
  <c r="X549" i="6"/>
  <c r="Y462" i="6"/>
  <c r="X462" i="6"/>
  <c r="Y471" i="6"/>
  <c r="X471" i="6"/>
  <c r="X25" i="6"/>
  <c r="Y25" i="6"/>
  <c r="X489" i="6"/>
  <c r="Y489" i="6"/>
  <c r="Y394" i="6"/>
  <c r="X394" i="6"/>
  <c r="Y202" i="6"/>
  <c r="X202" i="6"/>
  <c r="Y552" i="6"/>
  <c r="X552" i="6"/>
  <c r="Y425" i="6"/>
  <c r="X425" i="6"/>
  <c r="Y230" i="6"/>
  <c r="X230" i="6"/>
  <c r="Y542" i="6"/>
  <c r="X542" i="6"/>
  <c r="X155" i="6"/>
  <c r="Y155" i="6"/>
  <c r="X68" i="6"/>
  <c r="Y68" i="6"/>
  <c r="X580" i="6"/>
  <c r="Y580" i="6"/>
  <c r="Y493" i="6"/>
  <c r="X493" i="6"/>
  <c r="Y406" i="6"/>
  <c r="X406" i="6"/>
  <c r="X415" i="6"/>
  <c r="Y415" i="6"/>
  <c r="X328" i="6"/>
  <c r="Y328" i="6"/>
  <c r="Y510" i="6"/>
  <c r="X510" i="6"/>
  <c r="X80" i="6"/>
  <c r="Y80" i="6"/>
  <c r="Y434" i="6"/>
  <c r="X434" i="6"/>
  <c r="Y152" i="6"/>
  <c r="X152" i="6"/>
  <c r="X291" i="6"/>
  <c r="Y291" i="6"/>
  <c r="Y204" i="6"/>
  <c r="X204" i="6"/>
  <c r="Y117" i="6"/>
  <c r="X117" i="6"/>
  <c r="Y30" i="6"/>
  <c r="X30" i="6"/>
  <c r="X39" i="6"/>
  <c r="Y39" i="6"/>
  <c r="X41" i="6"/>
  <c r="Y41" i="6"/>
  <c r="X38" i="6"/>
  <c r="Y38" i="6"/>
  <c r="X433" i="6"/>
  <c r="Y433" i="6"/>
  <c r="Y299" i="6"/>
  <c r="X299" i="6"/>
  <c r="X212" i="6"/>
  <c r="Y212" i="6"/>
  <c r="Y317" i="6"/>
  <c r="X317" i="6"/>
  <c r="X280" i="6"/>
  <c r="Y280" i="6"/>
  <c r="X307" i="6"/>
  <c r="Y307" i="6"/>
  <c r="Y220" i="6"/>
  <c r="X220" i="6"/>
  <c r="X133" i="6"/>
  <c r="Y133" i="6"/>
  <c r="X46" i="6"/>
  <c r="Y46" i="6"/>
  <c r="Y55" i="6"/>
  <c r="X55" i="6"/>
  <c r="Y567" i="6"/>
  <c r="X567" i="6"/>
  <c r="Y121" i="6"/>
  <c r="X121" i="6"/>
  <c r="X338" i="6"/>
  <c r="Y338" i="6"/>
  <c r="X122" i="6"/>
  <c r="Y122" i="6"/>
  <c r="Y123" i="6"/>
  <c r="X123" i="6"/>
  <c r="Y36" i="6"/>
  <c r="X36" i="6"/>
  <c r="Y548" i="6"/>
  <c r="X548" i="6"/>
  <c r="X461" i="6"/>
  <c r="Y461" i="6"/>
  <c r="X374" i="6"/>
  <c r="Y374" i="6"/>
  <c r="Y383" i="6"/>
  <c r="X383" i="6"/>
  <c r="Y236" i="6"/>
  <c r="X236" i="6"/>
  <c r="Y279" i="6"/>
  <c r="X279" i="6"/>
  <c r="Y289" i="6"/>
  <c r="X289" i="6"/>
  <c r="Y350" i="6"/>
  <c r="X350" i="6"/>
  <c r="Y366" i="6"/>
  <c r="X366" i="6"/>
  <c r="X451" i="6"/>
  <c r="Y451" i="6"/>
  <c r="Y265" i="6"/>
  <c r="X265" i="6"/>
  <c r="X267" i="6"/>
  <c r="Y267" i="6"/>
  <c r="X6" i="6"/>
  <c r="Y6" i="6"/>
  <c r="Y485" i="6"/>
  <c r="X485" i="6"/>
  <c r="Y320" i="6"/>
  <c r="X320" i="6"/>
  <c r="X569" i="6"/>
  <c r="Y569" i="6"/>
  <c r="X495" i="6"/>
  <c r="Y495" i="6"/>
  <c r="Y579" i="6"/>
  <c r="X579" i="6"/>
  <c r="X405" i="6"/>
  <c r="Y405" i="6"/>
  <c r="X318" i="6"/>
  <c r="Y318" i="6"/>
  <c r="Y327" i="6"/>
  <c r="X327" i="6"/>
  <c r="Y240" i="6"/>
  <c r="X240" i="6"/>
  <c r="X393" i="6"/>
  <c r="Y393" i="6"/>
  <c r="X354" i="6"/>
  <c r="Y354" i="6"/>
  <c r="X178" i="6"/>
  <c r="Y178" i="6"/>
  <c r="Y395" i="6"/>
  <c r="X395" i="6"/>
  <c r="Y308" i="6"/>
  <c r="X308" i="6"/>
  <c r="X221" i="6"/>
  <c r="Y221" i="6"/>
  <c r="Y134" i="6"/>
  <c r="X134" i="6"/>
  <c r="Y275" i="6"/>
  <c r="X275" i="6"/>
  <c r="X188" i="6"/>
  <c r="Y188" i="6"/>
  <c r="X101" i="6"/>
  <c r="Y101" i="6"/>
  <c r="Y14" i="6"/>
  <c r="X14" i="6"/>
  <c r="Y23" i="6"/>
  <c r="X23" i="6"/>
  <c r="Y535" i="6"/>
  <c r="X535" i="6"/>
  <c r="Y89" i="6"/>
  <c r="X89" i="6"/>
  <c r="Y82" i="6"/>
  <c r="X82" i="6"/>
  <c r="X566" i="6"/>
  <c r="Y566" i="6"/>
  <c r="X146" i="6"/>
  <c r="Y146" i="6"/>
  <c r="Y568" i="6"/>
  <c r="X568" i="6"/>
  <c r="X210" i="6"/>
  <c r="Y210" i="6"/>
  <c r="X358" i="6"/>
  <c r="Y358" i="6"/>
  <c r="Y513" i="6"/>
  <c r="X513" i="6"/>
  <c r="Y219" i="6"/>
  <c r="X219" i="6"/>
  <c r="Y132" i="6"/>
  <c r="X132" i="6"/>
  <c r="Y45" i="6"/>
  <c r="X45" i="6"/>
  <c r="X557" i="6"/>
  <c r="Y557" i="6"/>
  <c r="X470" i="6"/>
  <c r="Y470" i="6"/>
  <c r="Y479" i="6"/>
  <c r="X479" i="6"/>
  <c r="Y33" i="6"/>
  <c r="X33" i="6"/>
  <c r="X490" i="6"/>
  <c r="Y490" i="6"/>
  <c r="Y272" i="6"/>
  <c r="X272" i="6"/>
  <c r="X322" i="6"/>
  <c r="Y322" i="6"/>
  <c r="Y49" i="6"/>
  <c r="X49" i="6"/>
  <c r="Y355" i="6"/>
  <c r="X355" i="6"/>
  <c r="Y268" i="6"/>
  <c r="X268" i="6"/>
  <c r="X181" i="6"/>
  <c r="Y181" i="6"/>
  <c r="Y94" i="6"/>
  <c r="X94" i="6"/>
  <c r="Y103" i="6"/>
  <c r="X103" i="6"/>
  <c r="X233" i="6"/>
  <c r="Y233" i="6"/>
  <c r="X294" i="6"/>
  <c r="Y294" i="6"/>
  <c r="Y528" i="6"/>
  <c r="X528" i="6"/>
  <c r="Y363" i="6"/>
  <c r="X363" i="6"/>
  <c r="X276" i="6"/>
  <c r="Y276" i="6"/>
  <c r="X381" i="6"/>
  <c r="Y381" i="6"/>
  <c r="Y305" i="6"/>
  <c r="X305" i="6"/>
  <c r="Y371" i="6"/>
  <c r="X371" i="6"/>
  <c r="X284" i="6"/>
  <c r="Y284" i="6"/>
  <c r="X197" i="6"/>
  <c r="Y197" i="6"/>
  <c r="Y110" i="6"/>
  <c r="X110" i="6"/>
  <c r="Y119" i="6"/>
  <c r="X119" i="6"/>
  <c r="X32" i="6"/>
  <c r="Y32" i="6"/>
  <c r="Y185" i="6"/>
  <c r="X185" i="6"/>
  <c r="X544" i="6"/>
  <c r="Y544" i="6"/>
  <c r="X482" i="6"/>
  <c r="Y482" i="6"/>
  <c r="Y187" i="6"/>
  <c r="X187" i="6"/>
  <c r="Y100" i="6"/>
  <c r="X100" i="6"/>
  <c r="X13" i="6"/>
  <c r="Y13" i="6"/>
  <c r="X525" i="6"/>
  <c r="Y525" i="6"/>
  <c r="X438" i="6"/>
  <c r="Y438" i="6"/>
  <c r="Y447" i="6"/>
  <c r="X447" i="6"/>
  <c r="X137" i="6"/>
  <c r="Y137" i="6"/>
  <c r="Y139" i="6"/>
  <c r="X139" i="6"/>
  <c r="X444" i="6"/>
  <c r="Y444" i="6"/>
  <c r="Y481" i="6"/>
  <c r="X481" i="6"/>
  <c r="Y223" i="6"/>
  <c r="X223" i="6"/>
  <c r="Y497" i="6"/>
  <c r="X497" i="6"/>
  <c r="Y437" i="6"/>
  <c r="X437" i="6"/>
  <c r="Y107" i="6"/>
  <c r="X107" i="6"/>
  <c r="X288" i="6"/>
  <c r="Y288" i="6"/>
  <c r="Y190" i="6"/>
  <c r="X190" i="6"/>
  <c r="X112" i="6"/>
  <c r="Y112" i="6"/>
  <c r="X180" i="6"/>
  <c r="Y180" i="6"/>
  <c r="Y572" i="6"/>
  <c r="X572" i="6"/>
  <c r="X138" i="6"/>
  <c r="Y138" i="6"/>
  <c r="X297" i="6"/>
  <c r="Y297" i="6"/>
  <c r="X369" i="6"/>
  <c r="Y369" i="6"/>
  <c r="X4" i="6"/>
  <c r="Y4" i="6"/>
  <c r="X351" i="6"/>
  <c r="Y351" i="6"/>
  <c r="Y42" i="6"/>
  <c r="X42" i="6"/>
  <c r="Y67" i="6"/>
  <c r="X67" i="6"/>
  <c r="Y492" i="6"/>
  <c r="X492" i="6"/>
  <c r="X131" i="6"/>
  <c r="Y131" i="6"/>
  <c r="Y44" i="6"/>
  <c r="X44" i="6"/>
  <c r="Y556" i="6"/>
  <c r="X556" i="6"/>
  <c r="Y469" i="6"/>
  <c r="X469" i="6"/>
  <c r="X382" i="6"/>
  <c r="Y382" i="6"/>
  <c r="X391" i="6"/>
  <c r="Y391" i="6"/>
  <c r="Y304" i="6"/>
  <c r="X304" i="6"/>
  <c r="X10" i="6"/>
  <c r="Y10" i="6"/>
  <c r="X546" i="6"/>
  <c r="Y546" i="6"/>
  <c r="Y194" i="6"/>
  <c r="X194" i="6"/>
  <c r="X459" i="6"/>
  <c r="Y459" i="6"/>
  <c r="X372" i="6"/>
  <c r="Y372" i="6"/>
  <c r="X285" i="6"/>
  <c r="Y285" i="6"/>
  <c r="Y198" i="6"/>
  <c r="X198" i="6"/>
  <c r="X339" i="6"/>
  <c r="Y339" i="6"/>
  <c r="X252" i="6"/>
  <c r="Y252" i="6"/>
  <c r="Y165" i="6"/>
  <c r="X165" i="6"/>
  <c r="X78" i="6"/>
  <c r="Y78" i="6"/>
  <c r="X87" i="6"/>
  <c r="Y87" i="6"/>
  <c r="X599" i="6"/>
  <c r="Y599" i="6"/>
  <c r="Y153" i="6"/>
  <c r="X153" i="6"/>
  <c r="X472" i="6"/>
  <c r="Y472" i="6"/>
  <c r="X370" i="6"/>
  <c r="Y370" i="6"/>
  <c r="Y90" i="6"/>
  <c r="X90" i="6"/>
  <c r="X295" i="6"/>
  <c r="Y295" i="6"/>
  <c r="Y98" i="6"/>
  <c r="X98" i="6"/>
  <c r="Y111" i="6"/>
  <c r="X111" i="6"/>
  <c r="Y283" i="6"/>
  <c r="X283" i="6"/>
  <c r="Y196" i="6"/>
  <c r="X196" i="6"/>
  <c r="X109" i="6"/>
  <c r="Y109" i="6"/>
  <c r="X22" i="6"/>
  <c r="Y22" i="6"/>
  <c r="Y31" i="6"/>
  <c r="X31" i="6"/>
  <c r="Y543" i="6"/>
  <c r="X543" i="6"/>
  <c r="X97" i="6"/>
  <c r="Y97" i="6"/>
  <c r="X34" i="6"/>
  <c r="Y34" i="6"/>
  <c r="Y169" i="6"/>
  <c r="X169" i="6"/>
  <c r="Y506" i="6"/>
  <c r="X506" i="6"/>
  <c r="Y241" i="6"/>
  <c r="X241" i="6"/>
  <c r="Y419" i="6"/>
  <c r="X419" i="6"/>
  <c r="X332" i="6"/>
  <c r="Y332" i="6"/>
  <c r="X245" i="6"/>
  <c r="Y245" i="6"/>
  <c r="X158" i="6"/>
  <c r="Y158" i="6"/>
  <c r="Y167" i="6"/>
  <c r="X167" i="6"/>
  <c r="Y266" i="6"/>
  <c r="X266" i="6"/>
  <c r="Y486" i="6"/>
  <c r="X486" i="6"/>
  <c r="X427" i="6"/>
  <c r="Y427" i="6"/>
  <c r="Y340" i="6"/>
  <c r="X340" i="6"/>
  <c r="X445" i="6"/>
  <c r="Y445" i="6"/>
  <c r="Y274" i="6"/>
  <c r="X274" i="6"/>
  <c r="Y435" i="6"/>
  <c r="X435" i="6"/>
  <c r="X348" i="6"/>
  <c r="Y348" i="6"/>
  <c r="Y261" i="6"/>
  <c r="X261" i="6"/>
  <c r="Y174" i="6"/>
  <c r="X174" i="6"/>
  <c r="Y183" i="6"/>
  <c r="X183" i="6"/>
  <c r="X96" i="6"/>
  <c r="Y96" i="6"/>
  <c r="Y249" i="6"/>
  <c r="X249" i="6"/>
  <c r="X282" i="6"/>
  <c r="Y282" i="6"/>
  <c r="Y50" i="6"/>
  <c r="X50" i="6"/>
  <c r="X251" i="6"/>
  <c r="Y251" i="6"/>
  <c r="X164" i="6"/>
  <c r="Y164" i="6"/>
  <c r="Y77" i="6"/>
  <c r="X77" i="6"/>
  <c r="Y589" i="6"/>
  <c r="X589" i="6"/>
  <c r="Y502" i="6"/>
  <c r="X502" i="6"/>
  <c r="X511" i="6"/>
  <c r="Y511" i="6"/>
  <c r="X62" i="6"/>
  <c r="Y62" i="6"/>
  <c r="Y250" i="6"/>
  <c r="X250" i="6"/>
  <c r="Y564" i="6"/>
  <c r="X564" i="6"/>
  <c r="Y270" i="6"/>
  <c r="X270" i="6"/>
  <c r="X336" i="6"/>
  <c r="Y336" i="6"/>
  <c r="Y475" i="6"/>
  <c r="X475" i="6"/>
  <c r="X108" i="6"/>
  <c r="Y108" i="6"/>
  <c r="Y533" i="6"/>
  <c r="X533" i="6"/>
  <c r="X455" i="6"/>
  <c r="Y455" i="6"/>
  <c r="X442" i="6"/>
  <c r="Y442" i="6"/>
  <c r="X11" i="6"/>
  <c r="Y11" i="6"/>
  <c r="Y436" i="6"/>
  <c r="X436" i="6"/>
  <c r="Y349" i="6"/>
  <c r="X349" i="6"/>
  <c r="Y316" i="6"/>
  <c r="X316" i="6"/>
  <c r="X142" i="6"/>
  <c r="Y142" i="6"/>
  <c r="Y64" i="6"/>
  <c r="X64" i="6"/>
  <c r="X26" i="6"/>
  <c r="Y26" i="6"/>
  <c r="X473" i="6"/>
  <c r="Y473" i="6"/>
  <c r="Y303" i="6"/>
  <c r="X303" i="6"/>
  <c r="X260" i="6"/>
  <c r="Y260" i="6"/>
  <c r="X95" i="6"/>
  <c r="Y95" i="6"/>
  <c r="X161" i="6"/>
  <c r="Y161" i="6"/>
  <c r="Y361" i="6"/>
  <c r="X361" i="6"/>
  <c r="Y330" i="6"/>
  <c r="X330" i="6"/>
  <c r="X483" i="6"/>
  <c r="Y483" i="6"/>
  <c r="X222" i="6"/>
  <c r="Y222" i="6"/>
  <c r="X175" i="6"/>
  <c r="Y175" i="6"/>
  <c r="Y491" i="6"/>
  <c r="X491" i="6"/>
  <c r="Y573" i="6"/>
  <c r="X573" i="6"/>
  <c r="X162" i="6"/>
  <c r="Y162" i="6"/>
  <c r="Y499" i="6"/>
  <c r="X499" i="6"/>
  <c r="Y412" i="6"/>
  <c r="X412" i="6"/>
  <c r="Y325" i="6"/>
  <c r="X325" i="6"/>
  <c r="X238" i="6"/>
  <c r="Y238" i="6"/>
  <c r="Y160" i="6"/>
  <c r="X160" i="6"/>
  <c r="X313" i="6"/>
  <c r="Y313" i="6"/>
  <c r="Y529" i="6"/>
  <c r="X529" i="6"/>
  <c r="Y538" i="6"/>
  <c r="X538" i="6"/>
  <c r="X315" i="6"/>
  <c r="Y315" i="6"/>
  <c r="X228" i="6"/>
  <c r="Y228" i="6"/>
  <c r="Y141" i="6"/>
  <c r="X141" i="6"/>
  <c r="X54" i="6"/>
  <c r="Y54" i="6"/>
  <c r="X63" i="6"/>
  <c r="Y63" i="6"/>
  <c r="Y583" i="6"/>
  <c r="X583" i="6"/>
  <c r="Y19" i="6"/>
  <c r="X19" i="6"/>
  <c r="Y345" i="6"/>
  <c r="X345" i="6"/>
  <c r="Y242" i="6"/>
  <c r="X242" i="6"/>
  <c r="Y388" i="6"/>
  <c r="X388" i="6"/>
  <c r="Y47" i="6"/>
  <c r="X47" i="6"/>
  <c r="X195" i="6"/>
  <c r="Y195" i="6"/>
  <c r="Y21" i="6"/>
  <c r="X21" i="6"/>
  <c r="Y446" i="6"/>
  <c r="X446" i="6"/>
  <c r="Y9" i="6"/>
  <c r="X9" i="6"/>
  <c r="X298" i="6"/>
  <c r="Y298" i="6"/>
  <c r="X523" i="6"/>
  <c r="Y523" i="6"/>
  <c r="X403" i="6"/>
  <c r="Y403" i="6"/>
  <c r="Y229" i="6"/>
  <c r="X229" i="6"/>
  <c r="X151" i="6"/>
  <c r="Y151" i="6"/>
  <c r="X217" i="6"/>
  <c r="Y217" i="6"/>
  <c r="X553" i="6"/>
  <c r="Y553" i="6"/>
  <c r="X551" i="6"/>
  <c r="Y551" i="6"/>
  <c r="Y457" i="6"/>
  <c r="X457" i="6"/>
  <c r="X347" i="6"/>
  <c r="Y347" i="6"/>
  <c r="Y173" i="6"/>
  <c r="X173" i="6"/>
  <c r="Y86" i="6"/>
  <c r="X86" i="6"/>
  <c r="X8" i="6"/>
  <c r="Y8" i="6"/>
  <c r="Y594" i="6"/>
  <c r="X594" i="6"/>
  <c r="X189" i="6"/>
  <c r="Y189" i="6"/>
  <c r="X396" i="6"/>
  <c r="Y396" i="6"/>
  <c r="Y309" i="6"/>
  <c r="X309" i="6"/>
  <c r="X231" i="6"/>
  <c r="Y231" i="6"/>
  <c r="X154" i="6"/>
  <c r="Y154" i="6"/>
  <c r="Y404" i="6"/>
  <c r="X404" i="6"/>
  <c r="X247" i="6"/>
  <c r="Y247" i="6"/>
  <c r="Y259" i="6"/>
  <c r="X259" i="6"/>
  <c r="X172" i="6"/>
  <c r="Y172" i="6"/>
  <c r="X85" i="6"/>
  <c r="Y85" i="6"/>
  <c r="X597" i="6"/>
  <c r="Y597" i="6"/>
  <c r="Y7" i="6"/>
  <c r="X7" i="6"/>
  <c r="Y519" i="6"/>
  <c r="X519" i="6"/>
  <c r="X73" i="6"/>
  <c r="Y73" i="6"/>
  <c r="X590" i="6"/>
  <c r="Y590" i="6"/>
  <c r="X534" i="6"/>
  <c r="Y534" i="6"/>
  <c r="Y75" i="6"/>
  <c r="X75" i="6"/>
  <c r="Y587" i="6"/>
  <c r="X587" i="6"/>
  <c r="Y500" i="6"/>
  <c r="X500" i="6"/>
  <c r="Y413" i="6"/>
  <c r="X413" i="6"/>
  <c r="Y467" i="6"/>
  <c r="X467" i="6"/>
  <c r="Y380" i="6"/>
  <c r="X380" i="6"/>
  <c r="Y293" i="6"/>
  <c r="X293" i="6"/>
  <c r="Y206" i="6"/>
  <c r="X206" i="6"/>
  <c r="Y215" i="6"/>
  <c r="X215" i="6"/>
  <c r="Y128" i="6"/>
  <c r="X128" i="6"/>
  <c r="X281" i="6"/>
  <c r="Y281" i="6"/>
  <c r="X450" i="6"/>
  <c r="Y450" i="6"/>
  <c r="Y600" i="6"/>
  <c r="X600" i="6"/>
  <c r="Y456" i="6"/>
  <c r="X456" i="6"/>
  <c r="X144" i="6"/>
  <c r="Y144" i="6"/>
  <c r="X585" i="6"/>
  <c r="Y585" i="6"/>
  <c r="Y559" i="6"/>
  <c r="X559" i="6"/>
  <c r="X411" i="6"/>
  <c r="Y411" i="6"/>
  <c r="X324" i="6"/>
  <c r="Y324" i="6"/>
  <c r="Y237" i="6"/>
  <c r="X237" i="6"/>
  <c r="Y150" i="6"/>
  <c r="X150" i="6"/>
  <c r="X159" i="6"/>
  <c r="Y159" i="6"/>
  <c r="X72" i="6"/>
  <c r="Y72" i="6"/>
  <c r="Y225" i="6"/>
  <c r="X225" i="6"/>
  <c r="Y402" i="6"/>
  <c r="X402" i="6"/>
  <c r="Y526" i="6"/>
  <c r="X526" i="6"/>
  <c r="X102" i="6"/>
  <c r="Y102" i="6"/>
  <c r="Y218" i="6"/>
  <c r="X218" i="6"/>
  <c r="X35" i="6"/>
  <c r="Y35" i="6"/>
  <c r="X547" i="6"/>
  <c r="Y547" i="6"/>
  <c r="Y460" i="6"/>
  <c r="X460" i="6"/>
  <c r="X373" i="6"/>
  <c r="Y373" i="6"/>
  <c r="Y286" i="6"/>
  <c r="X286" i="6"/>
  <c r="Y359" i="6"/>
  <c r="X359" i="6"/>
  <c r="X474" i="6"/>
  <c r="Y474" i="6"/>
  <c r="X431" i="6"/>
  <c r="Y431" i="6"/>
  <c r="Y43" i="6"/>
  <c r="X43" i="6"/>
  <c r="Y555" i="6"/>
  <c r="X555" i="6"/>
  <c r="X468" i="6"/>
  <c r="Y468" i="6"/>
  <c r="Y166" i="6"/>
  <c r="X166" i="6"/>
  <c r="X51" i="6"/>
  <c r="Y51" i="6"/>
  <c r="Y563" i="6"/>
  <c r="X563" i="6"/>
  <c r="Y476" i="6"/>
  <c r="X476" i="6"/>
  <c r="X389" i="6"/>
  <c r="Y389" i="6"/>
  <c r="X302" i="6"/>
  <c r="Y302" i="6"/>
  <c r="X311" i="6"/>
  <c r="Y311" i="6"/>
  <c r="Y224" i="6"/>
  <c r="X224" i="6"/>
  <c r="X377" i="6"/>
  <c r="Y377" i="6"/>
  <c r="Y226" i="6"/>
  <c r="X226" i="6"/>
  <c r="Y488" i="6"/>
  <c r="X488" i="6"/>
  <c r="Y379" i="6"/>
  <c r="X379" i="6"/>
  <c r="Y292" i="6"/>
  <c r="X292" i="6"/>
  <c r="X205" i="6"/>
  <c r="Y205" i="6"/>
  <c r="Y118" i="6"/>
  <c r="X118" i="6"/>
  <c r="Y127" i="6"/>
  <c r="X127" i="6"/>
  <c r="X2" i="6"/>
  <c r="B48" i="6" l="1"/>
  <c r="B4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<sst xmlns="http://schemas.openxmlformats.org/spreadsheetml/2006/main" count="210" uniqueCount="155">
  <si>
    <t>Point</t>
  </si>
  <si>
    <t>Bit</t>
  </si>
  <si>
    <t>D_out</t>
  </si>
  <si>
    <t>VDD</t>
  </si>
  <si>
    <t>GND</t>
  </si>
  <si>
    <t>Offset Error</t>
  </si>
  <si>
    <t>LSB</t>
  </si>
  <si>
    <t>LSB/V</t>
  </si>
  <si>
    <t>SPS</t>
  </si>
  <si>
    <t>Resolution</t>
  </si>
  <si>
    <t>dB</t>
  </si>
  <si>
    <t>raw_zero_25</t>
  </si>
  <si>
    <t>raw_full_25</t>
  </si>
  <si>
    <t>raw_zero_20</t>
  </si>
  <si>
    <t>raw_full_20</t>
  </si>
  <si>
    <t>raw_zero_50</t>
  </si>
  <si>
    <t>raw_full_50</t>
  </si>
  <si>
    <t>raw_zero_80</t>
  </si>
  <si>
    <t>raw_full_80</t>
  </si>
  <si>
    <t>Error</t>
  </si>
  <si>
    <t>T_s</t>
  </si>
  <si>
    <t>V_i</t>
  </si>
  <si>
    <t>V</t>
  </si>
  <si>
    <t>%</t>
  </si>
  <si>
    <t>Requirement</t>
  </si>
  <si>
    <t>ERROR</t>
  </si>
  <si>
    <t>ADC</t>
  </si>
  <si>
    <t>Min</t>
  </si>
  <si>
    <t>Typ</t>
  </si>
  <si>
    <t>Max</t>
  </si>
  <si>
    <t>Analog_In_V_to_GND</t>
  </si>
  <si>
    <t>Temperature</t>
  </si>
  <si>
    <t>độ C</t>
  </si>
  <si>
    <t>PGA (program gain amplifier)</t>
  </si>
  <si>
    <t>FS (Full-Scale)</t>
  </si>
  <si>
    <t>Unit</t>
  </si>
  <si>
    <t>Common-Mode Input Impedance</t>
  </si>
  <si>
    <t>Ohm</t>
  </si>
  <si>
    <t>DR (Data Rate)</t>
  </si>
  <si>
    <t>Range_Temperature</t>
  </si>
  <si>
    <t>Gain Drift</t>
  </si>
  <si>
    <t>%/độ C</t>
  </si>
  <si>
    <t>Common Mode Rejection</t>
  </si>
  <si>
    <t>Tại FS = 6.144</t>
  </si>
  <si>
    <t>Digital Input/Output</t>
  </si>
  <si>
    <t>V_IH</t>
  </si>
  <si>
    <t>V_IL</t>
  </si>
  <si>
    <t>Offset Voltage</t>
  </si>
  <si>
    <t>Gain Error</t>
  </si>
  <si>
    <t>INL _vs_VoltageSupply</t>
  </si>
  <si>
    <t>INL_vs_Temperature</t>
  </si>
  <si>
    <t>Offset_Vol</t>
  </si>
  <si>
    <t>Gain_Error</t>
  </si>
  <si>
    <t>Calibration</t>
  </si>
  <si>
    <t>Value_Standard</t>
  </si>
  <si>
    <t>Value_Measurement</t>
  </si>
  <si>
    <t>V_i_ADC</t>
  </si>
  <si>
    <t>G_E</t>
  </si>
  <si>
    <t>Error_V_i_ADC</t>
  </si>
  <si>
    <t>Digtal output</t>
  </si>
  <si>
    <t>Input Signal (V_i)</t>
  </si>
  <si>
    <t>&gt;= FS(2^15-1)/(2^15)</t>
  </si>
  <si>
    <t>Offset Drift</t>
  </si>
  <si>
    <t>LSB/độ C</t>
  </si>
  <si>
    <t>FS = 6.144V</t>
  </si>
  <si>
    <t>Offset power supply rejection</t>
  </si>
  <si>
    <t>VDD = 5.5V</t>
  </si>
  <si>
    <t>D_cal_error</t>
  </si>
  <si>
    <t>BIN</t>
  </si>
  <si>
    <t>Cal_V</t>
  </si>
  <si>
    <t>Cal_Temp</t>
  </si>
  <si>
    <t>T_standard</t>
  </si>
  <si>
    <t>V_standard</t>
  </si>
  <si>
    <t>T_cal</t>
  </si>
  <si>
    <t>Error_Temperature</t>
  </si>
  <si>
    <t>Error_Voltage</t>
  </si>
  <si>
    <t>Max_E_T</t>
  </si>
  <si>
    <t>Min_E_T</t>
  </si>
  <si>
    <t>Max_E_V</t>
  </si>
  <si>
    <t>Min_E_V</t>
  </si>
  <si>
    <t xml:space="preserve">INL </t>
  </si>
  <si>
    <t>Error_re</t>
  </si>
  <si>
    <t>Error_ab</t>
  </si>
  <si>
    <t>A</t>
  </si>
  <si>
    <t>B</t>
  </si>
  <si>
    <t>C</t>
  </si>
  <si>
    <t>D</t>
  </si>
  <si>
    <t>T_standard (K)</t>
  </si>
  <si>
    <t>Parameters of NTC</t>
  </si>
  <si>
    <t>T_standard (Celsius)</t>
  </si>
  <si>
    <t>R_parallel</t>
  </si>
  <si>
    <t>R_wire</t>
  </si>
  <si>
    <t>I_const</t>
  </si>
  <si>
    <t>V_o_MIN</t>
  </si>
  <si>
    <t>V_o_MAX</t>
  </si>
  <si>
    <t>A_V_o</t>
  </si>
  <si>
    <t>B_V_o</t>
  </si>
  <si>
    <t>A_V_o_NTC_Linear</t>
  </si>
  <si>
    <t>B_V_o_NTC_Linear</t>
  </si>
  <si>
    <t>Num</t>
  </si>
  <si>
    <t>Value</t>
  </si>
  <si>
    <t>Parameters</t>
  </si>
  <si>
    <t>G_INA</t>
  </si>
  <si>
    <t>R_G</t>
  </si>
  <si>
    <t>Lần</t>
  </si>
  <si>
    <t>G_INA_add_Noise</t>
  </si>
  <si>
    <t>Offset_Vol_T</t>
  </si>
  <si>
    <t>Gain_Drift</t>
  </si>
  <si>
    <t>Gain_Nonlinearity</t>
  </si>
  <si>
    <t>MAX_V_affter_NTC_ideal</t>
  </si>
  <si>
    <t>MIN_V_affter_NTC_ideal</t>
  </si>
  <si>
    <t>V_o_Standard (V)</t>
  </si>
  <si>
    <t>R_NTC (Ohm)</t>
  </si>
  <si>
    <t>V_o_NTC_NonLinearization (V)</t>
  </si>
  <si>
    <t>R_eq (Ohm)</t>
  </si>
  <si>
    <t>V_o_NTC_Linearization (V)</t>
  </si>
  <si>
    <t>V_affter_NTC_Ideal (V)</t>
  </si>
  <si>
    <t>V_o_INA (V)</t>
  </si>
  <si>
    <t>V_o_INA_ideal (V)</t>
  </si>
  <si>
    <t>Error_V_o_INA_ab (V)</t>
  </si>
  <si>
    <t>Error_V_o_INA_re (%)</t>
  </si>
  <si>
    <t>MAX_V_o_INA</t>
  </si>
  <si>
    <t>MIN_V_o_INA</t>
  </si>
  <si>
    <t>MAX_Error_V_o_INA_ab</t>
  </si>
  <si>
    <t>MIN_Error_V_o_INA_ab</t>
  </si>
  <si>
    <t>MAX_Error_V_o_INA_re</t>
  </si>
  <si>
    <t>MIN_Error_V_o_INA_re</t>
  </si>
  <si>
    <t>Amplifier</t>
  </si>
  <si>
    <t>INA128PA</t>
  </si>
  <si>
    <t>MAX_V_o_INA_ideal</t>
  </si>
  <si>
    <t>MIN_V_o_INA_ideal</t>
  </si>
  <si>
    <t>V_o_ideal (V)</t>
  </si>
  <si>
    <t>A_V_o_Cal</t>
  </si>
  <si>
    <t>B_V_o_Cal</t>
  </si>
  <si>
    <t>V_o_Cal (V)</t>
  </si>
  <si>
    <t>Error_V_o_Cal_ab (V)</t>
  </si>
  <si>
    <t>Error_V_o_Cal_re (%)</t>
  </si>
  <si>
    <t>MAX_Error_V_o_Cal</t>
  </si>
  <si>
    <t>MIN_Error_V_o_Cal</t>
  </si>
  <si>
    <t>Error_V_o_NTC_Linear_ab (V)</t>
  </si>
  <si>
    <t>MAX_Error_V_o_NTC_Linear_ab</t>
  </si>
  <si>
    <t>MIN_Error_V_o_NTC_Linear_ab</t>
  </si>
  <si>
    <t>Error_V_o_NTC_Linear_re (%)</t>
  </si>
  <si>
    <t>MAX_ERror_V_o_NTC_Linear_re</t>
  </si>
  <si>
    <t>MIN_ERror_V_o_NTC_Linear_re</t>
  </si>
  <si>
    <t>Error_T_cal</t>
  </si>
  <si>
    <t>MAX_Error_T_cal</t>
  </si>
  <si>
    <t>MIN_Error_T_cal</t>
  </si>
  <si>
    <t>Error_V_o_Measurement_ab (V)</t>
  </si>
  <si>
    <t>V_o_Measurement (V)</t>
  </si>
  <si>
    <t>Error_V_o_Measurement_re (%)</t>
  </si>
  <si>
    <t>T_Measurement_Cal (Celsius)</t>
  </si>
  <si>
    <t>Error_T_Measurement_Cal (%)</t>
  </si>
  <si>
    <t>R_offset</t>
  </si>
  <si>
    <t>R_eq_Sim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</si>
</sst>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"/>
    <numFmt numFmtId="166" formatCode="0.000000%"/>
    <numFmt numFmtId="167" formatCode="0.000000000"/>
    <numFmt numFmtId="172" formatCode="0.0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6" borderId="2" applyNumberFormat="0" applyAlignment="0" applyProtection="0"/>
    <xf numFmtId="0" fontId="4" fillId="7" borderId="0" applyNumberFormat="0" applyBorder="0" applyAlignment="0" applyProtection="0"/>
    <xf numFmtId="0" fontId="5" fillId="8" borderId="1" applyNumberFormat="0" applyAlignment="0" applyProtection="0"/>
  </cellStyleXfs>
  <cellXfs count="38">
    <xf numFmtId="0" fontId="0" fillId="0" borderId="0" xfId="0"/>
    <xf numFmtId="9" fontId="0" fillId="0" borderId="0" xfId="1" applyFont="1"/>
    <xf numFmtId="164" fontId="0" fillId="0" borderId="0" xfId="1" applyNumberFormat="1" applyFont="1"/>
    <xf numFmtId="0" fontId="2" fillId="2" borderId="0" xfId="2"/>
    <xf numFmtId="0" fontId="0" fillId="3" borderId="0" xfId="0" applyFill="1"/>
    <xf numFmtId="0" fontId="0" fillId="0" borderId="0" xfId="0" applyAlignment="1">
      <alignment horizontal="center" vertical="center"/>
    </xf>
    <xf numFmtId="0" fontId="3" fillId="6" borderId="2" xfId="3"/>
    <xf numFmtId="167" fontId="0" fillId="0" borderId="0" xfId="0" applyNumberFormat="1"/>
    <xf numFmtId="164" fontId="4" fillId="7" borderId="0" xfId="4" applyNumberFormat="1"/>
    <xf numFmtId="0" fontId="4" fillId="7" borderId="0" xfId="4"/>
    <xf numFmtId="0" fontId="5" fillId="8" borderId="1" xfId="5"/>
    <xf numFmtId="164" fontId="5" fillId="8" borderId="1" xfId="5" applyNumberFormat="1"/>
    <xf numFmtId="167" fontId="2" fillId="2" borderId="0" xfId="2" applyNumberFormat="1"/>
    <xf numFmtId="0" fontId="0" fillId="0" borderId="0" xfId="0" applyBorder="1"/>
    <xf numFmtId="0" fontId="0" fillId="0" borderId="3" xfId="0" applyBorder="1"/>
    <xf numFmtId="165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Fill="1" applyBorder="1"/>
    <xf numFmtId="164" fontId="0" fillId="0" borderId="3" xfId="1" applyNumberFormat="1" applyFont="1" applyBorder="1"/>
    <xf numFmtId="9" fontId="0" fillId="0" borderId="3" xfId="1" applyFont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3" xfId="2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9" fontId="0" fillId="0" borderId="3" xfId="0" applyNumberFormat="1" applyBorder="1"/>
    <xf numFmtId="10" fontId="0" fillId="0" borderId="3" xfId="0" applyNumberFormat="1" applyBorder="1"/>
    <xf numFmtId="166" fontId="0" fillId="0" borderId="3" xfId="0" applyNumberFormat="1" applyBorder="1"/>
    <xf numFmtId="166" fontId="0" fillId="0" borderId="3" xfId="1" applyNumberFormat="1" applyFont="1" applyBorder="1"/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0" fontId="3" fillId="6" borderId="7" xfId="3" applyBorder="1"/>
    <xf numFmtId="0" fontId="2" fillId="0" borderId="0" xfId="2" applyFill="1"/>
    <xf numFmtId="172" fontId="0" fillId="0" borderId="3" xfId="1" applyNumberFormat="1" applyFont="1" applyBorder="1"/>
    <xf numFmtId="0" fontId="0" fillId="0" borderId="3" xfId="1" applyNumberFormat="1" applyFont="1" applyBorder="1"/>
    <xf numFmtId="0" fontId="0" fillId="0" borderId="0" xfId="0" applyFill="1" applyBorder="1"/>
  </cellXfs>
  <cellStyles count="6">
    <cellStyle name="Calculation" xfId="5" builtinId="22"/>
    <cellStyle name="Check Cell" xfId="3" builtinId="23"/>
    <cellStyle name="Good" xfId="4" builtinId="26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Cal_Error!$F$1</c:f>
              <c:strCache>
                <c:ptCount val="1"/>
                <c:pt idx="0">
                  <c:v>Error_Temperature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Cal_Error!$B$2:$B$602</c:f>
              <c:numCache>
                <c:formatCode>General</c:formatCode>
                <c:ptCount val="601"/>
                <c:pt idx="0">
                  <c:v>20</c:v>
                </c:pt>
                <c:pt idx="1">
                  <c:v>20.100000000000001</c:v>
                </c:pt>
                <c:pt idx="2">
                  <c:v>20.2</c:v>
                </c:pt>
                <c:pt idx="3">
                  <c:v>20.3</c:v>
                </c:pt>
                <c:pt idx="4">
                  <c:v>20.399999999999999</c:v>
                </c:pt>
                <c:pt idx="5">
                  <c:v>20.5</c:v>
                </c:pt>
                <c:pt idx="6">
                  <c:v>20.6</c:v>
                </c:pt>
                <c:pt idx="7">
                  <c:v>20.7</c:v>
                </c:pt>
                <c:pt idx="8">
                  <c:v>20.8</c:v>
                </c:pt>
                <c:pt idx="9">
                  <c:v>20.9</c:v>
                </c:pt>
                <c:pt idx="10">
                  <c:v>21</c:v>
                </c:pt>
                <c:pt idx="11">
                  <c:v>21.1</c:v>
                </c:pt>
                <c:pt idx="12">
                  <c:v>21.2</c:v>
                </c:pt>
                <c:pt idx="13">
                  <c:v>21.3</c:v>
                </c:pt>
                <c:pt idx="14">
                  <c:v>21.4</c:v>
                </c:pt>
                <c:pt idx="15">
                  <c:v>21.5</c:v>
                </c:pt>
                <c:pt idx="16">
                  <c:v>21.6</c:v>
                </c:pt>
                <c:pt idx="17">
                  <c:v>21.7</c:v>
                </c:pt>
                <c:pt idx="18">
                  <c:v>21.8</c:v>
                </c:pt>
                <c:pt idx="19">
                  <c:v>21.9</c:v>
                </c:pt>
                <c:pt idx="20">
                  <c:v>22</c:v>
                </c:pt>
                <c:pt idx="21">
                  <c:v>22.1</c:v>
                </c:pt>
                <c:pt idx="22">
                  <c:v>22.2</c:v>
                </c:pt>
                <c:pt idx="23">
                  <c:v>22.3</c:v>
                </c:pt>
                <c:pt idx="24">
                  <c:v>22.4</c:v>
                </c:pt>
                <c:pt idx="25">
                  <c:v>22.5</c:v>
                </c:pt>
                <c:pt idx="26">
                  <c:v>22.6</c:v>
                </c:pt>
                <c:pt idx="27">
                  <c:v>22.7</c:v>
                </c:pt>
                <c:pt idx="28">
                  <c:v>22.8</c:v>
                </c:pt>
                <c:pt idx="29">
                  <c:v>22.9</c:v>
                </c:pt>
                <c:pt idx="30">
                  <c:v>23</c:v>
                </c:pt>
                <c:pt idx="31">
                  <c:v>23.1</c:v>
                </c:pt>
                <c:pt idx="32">
                  <c:v>23.2</c:v>
                </c:pt>
                <c:pt idx="33">
                  <c:v>23.3</c:v>
                </c:pt>
                <c:pt idx="34">
                  <c:v>23.4</c:v>
                </c:pt>
                <c:pt idx="35">
                  <c:v>23.5</c:v>
                </c:pt>
                <c:pt idx="36">
                  <c:v>23.6</c:v>
                </c:pt>
                <c:pt idx="37">
                  <c:v>23.7</c:v>
                </c:pt>
                <c:pt idx="38">
                  <c:v>23.8</c:v>
                </c:pt>
                <c:pt idx="39">
                  <c:v>23.9</c:v>
                </c:pt>
                <c:pt idx="40">
                  <c:v>24</c:v>
                </c:pt>
                <c:pt idx="41">
                  <c:v>24.1</c:v>
                </c:pt>
                <c:pt idx="42">
                  <c:v>24.2</c:v>
                </c:pt>
                <c:pt idx="43">
                  <c:v>24.3</c:v>
                </c:pt>
                <c:pt idx="44">
                  <c:v>24.4</c:v>
                </c:pt>
                <c:pt idx="45">
                  <c:v>24.5</c:v>
                </c:pt>
                <c:pt idx="46">
                  <c:v>24.6</c:v>
                </c:pt>
                <c:pt idx="47">
                  <c:v>24.7</c:v>
                </c:pt>
                <c:pt idx="48">
                  <c:v>24.8</c:v>
                </c:pt>
                <c:pt idx="49">
                  <c:v>24.9</c:v>
                </c:pt>
                <c:pt idx="50">
                  <c:v>25</c:v>
                </c:pt>
                <c:pt idx="51">
                  <c:v>25.1</c:v>
                </c:pt>
                <c:pt idx="52">
                  <c:v>25.2</c:v>
                </c:pt>
                <c:pt idx="53">
                  <c:v>25.3</c:v>
                </c:pt>
                <c:pt idx="54">
                  <c:v>25.4</c:v>
                </c:pt>
                <c:pt idx="55">
                  <c:v>25.5</c:v>
                </c:pt>
                <c:pt idx="56">
                  <c:v>25.6</c:v>
                </c:pt>
                <c:pt idx="57">
                  <c:v>25.7</c:v>
                </c:pt>
                <c:pt idx="58">
                  <c:v>25.8</c:v>
                </c:pt>
                <c:pt idx="59">
                  <c:v>25.9</c:v>
                </c:pt>
                <c:pt idx="60">
                  <c:v>26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26.5</c:v>
                </c:pt>
                <c:pt idx="66">
                  <c:v>26.6</c:v>
                </c:pt>
                <c:pt idx="67">
                  <c:v>26.7</c:v>
                </c:pt>
                <c:pt idx="68">
                  <c:v>26.8</c:v>
                </c:pt>
                <c:pt idx="69">
                  <c:v>26.9</c:v>
                </c:pt>
                <c:pt idx="70">
                  <c:v>27</c:v>
                </c:pt>
                <c:pt idx="71">
                  <c:v>27.1</c:v>
                </c:pt>
                <c:pt idx="72">
                  <c:v>27.2</c:v>
                </c:pt>
                <c:pt idx="73">
                  <c:v>27.3</c:v>
                </c:pt>
                <c:pt idx="74">
                  <c:v>27.4</c:v>
                </c:pt>
                <c:pt idx="75">
                  <c:v>27.5</c:v>
                </c:pt>
                <c:pt idx="76">
                  <c:v>27.6</c:v>
                </c:pt>
                <c:pt idx="77">
                  <c:v>27.7</c:v>
                </c:pt>
                <c:pt idx="78">
                  <c:v>27.8</c:v>
                </c:pt>
                <c:pt idx="79">
                  <c:v>27.9</c:v>
                </c:pt>
                <c:pt idx="80">
                  <c:v>28</c:v>
                </c:pt>
                <c:pt idx="81">
                  <c:v>28.1</c:v>
                </c:pt>
                <c:pt idx="82">
                  <c:v>28.200000000000003</c:v>
                </c:pt>
                <c:pt idx="83">
                  <c:v>28.3</c:v>
                </c:pt>
                <c:pt idx="84">
                  <c:v>28.4</c:v>
                </c:pt>
                <c:pt idx="85">
                  <c:v>28.5</c:v>
                </c:pt>
                <c:pt idx="86">
                  <c:v>28.6</c:v>
                </c:pt>
                <c:pt idx="87">
                  <c:v>28.700000000000003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29.1</c:v>
                </c:pt>
                <c:pt idx="92">
                  <c:v>29.200000000000003</c:v>
                </c:pt>
                <c:pt idx="93">
                  <c:v>29.3</c:v>
                </c:pt>
                <c:pt idx="94">
                  <c:v>29.4</c:v>
                </c:pt>
                <c:pt idx="95">
                  <c:v>29.5</c:v>
                </c:pt>
                <c:pt idx="96">
                  <c:v>29.6</c:v>
                </c:pt>
                <c:pt idx="97">
                  <c:v>29.700000000000003</c:v>
                </c:pt>
                <c:pt idx="98">
                  <c:v>29.8</c:v>
                </c:pt>
                <c:pt idx="99">
                  <c:v>29.9</c:v>
                </c:pt>
                <c:pt idx="100">
                  <c:v>30</c:v>
                </c:pt>
                <c:pt idx="101">
                  <c:v>30.1</c:v>
                </c:pt>
                <c:pt idx="102">
                  <c:v>30.200000000000003</c:v>
                </c:pt>
                <c:pt idx="103">
                  <c:v>30.3</c:v>
                </c:pt>
                <c:pt idx="104">
                  <c:v>30.4</c:v>
                </c:pt>
                <c:pt idx="105">
                  <c:v>30.5</c:v>
                </c:pt>
                <c:pt idx="106">
                  <c:v>30.6</c:v>
                </c:pt>
                <c:pt idx="107">
                  <c:v>30.700000000000003</c:v>
                </c:pt>
                <c:pt idx="108">
                  <c:v>30.8</c:v>
                </c:pt>
                <c:pt idx="109">
                  <c:v>30.9</c:v>
                </c:pt>
                <c:pt idx="110">
                  <c:v>31</c:v>
                </c:pt>
                <c:pt idx="111">
                  <c:v>31.1</c:v>
                </c:pt>
                <c:pt idx="112">
                  <c:v>31.200000000000003</c:v>
                </c:pt>
                <c:pt idx="113">
                  <c:v>31.3</c:v>
                </c:pt>
                <c:pt idx="114">
                  <c:v>31.4</c:v>
                </c:pt>
                <c:pt idx="115">
                  <c:v>31.5</c:v>
                </c:pt>
                <c:pt idx="116">
                  <c:v>31.6</c:v>
                </c:pt>
                <c:pt idx="117">
                  <c:v>31.700000000000003</c:v>
                </c:pt>
                <c:pt idx="118">
                  <c:v>31.8</c:v>
                </c:pt>
                <c:pt idx="119">
                  <c:v>31.9</c:v>
                </c:pt>
                <c:pt idx="120">
                  <c:v>32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32.299999999999997</c:v>
                </c:pt>
                <c:pt idx="124">
                  <c:v>32.4</c:v>
                </c:pt>
                <c:pt idx="125">
                  <c:v>32.5</c:v>
                </c:pt>
                <c:pt idx="126">
                  <c:v>32.6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32.9</c:v>
                </c:pt>
                <c:pt idx="130">
                  <c:v>33</c:v>
                </c:pt>
                <c:pt idx="131">
                  <c:v>33.1</c:v>
                </c:pt>
                <c:pt idx="132">
                  <c:v>33.200000000000003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34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34.5</c:v>
                </c:pt>
                <c:pt idx="146">
                  <c:v>34.6</c:v>
                </c:pt>
                <c:pt idx="147">
                  <c:v>34.700000000000003</c:v>
                </c:pt>
                <c:pt idx="148">
                  <c:v>34.799999999999997</c:v>
                </c:pt>
                <c:pt idx="149">
                  <c:v>34.9</c:v>
                </c:pt>
                <c:pt idx="150">
                  <c:v>35</c:v>
                </c:pt>
                <c:pt idx="151">
                  <c:v>35.1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35.5</c:v>
                </c:pt>
                <c:pt idx="156">
                  <c:v>35.6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36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36.400000000000006</c:v>
                </c:pt>
                <c:pt idx="165">
                  <c:v>36.5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36.900000000000006</c:v>
                </c:pt>
                <c:pt idx="170">
                  <c:v>37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37.400000000000006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37.900000000000006</c:v>
                </c:pt>
                <c:pt idx="180">
                  <c:v>38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38.400000000000006</c:v>
                </c:pt>
                <c:pt idx="185">
                  <c:v>38.5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38.799999999999997</c:v>
                </c:pt>
                <c:pt idx="189">
                  <c:v>38.900000000000006</c:v>
                </c:pt>
                <c:pt idx="190">
                  <c:v>39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39.400000000000006</c:v>
                </c:pt>
                <c:pt idx="195">
                  <c:v>39.5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39.799999999999997</c:v>
                </c:pt>
                <c:pt idx="199">
                  <c:v>39.900000000000006</c:v>
                </c:pt>
                <c:pt idx="200">
                  <c:v>40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40.299999999999997</c:v>
                </c:pt>
                <c:pt idx="204">
                  <c:v>40.400000000000006</c:v>
                </c:pt>
                <c:pt idx="205">
                  <c:v>40.5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40.799999999999997</c:v>
                </c:pt>
                <c:pt idx="209">
                  <c:v>40.900000000000006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41.3</c:v>
                </c:pt>
                <c:pt idx="214">
                  <c:v>41.400000000000006</c:v>
                </c:pt>
                <c:pt idx="215">
                  <c:v>41.5</c:v>
                </c:pt>
                <c:pt idx="216">
                  <c:v>41.6</c:v>
                </c:pt>
                <c:pt idx="217">
                  <c:v>41.7</c:v>
                </c:pt>
                <c:pt idx="218">
                  <c:v>41.8</c:v>
                </c:pt>
                <c:pt idx="219">
                  <c:v>41.900000000000006</c:v>
                </c:pt>
                <c:pt idx="220">
                  <c:v>42</c:v>
                </c:pt>
                <c:pt idx="221">
                  <c:v>42.1</c:v>
                </c:pt>
                <c:pt idx="222">
                  <c:v>42.2</c:v>
                </c:pt>
                <c:pt idx="223">
                  <c:v>42.3</c:v>
                </c:pt>
                <c:pt idx="224">
                  <c:v>42.400000000000006</c:v>
                </c:pt>
                <c:pt idx="225">
                  <c:v>42.5</c:v>
                </c:pt>
                <c:pt idx="226">
                  <c:v>42.6</c:v>
                </c:pt>
                <c:pt idx="227">
                  <c:v>42.7</c:v>
                </c:pt>
                <c:pt idx="228">
                  <c:v>42.8</c:v>
                </c:pt>
                <c:pt idx="229">
                  <c:v>42.900000000000006</c:v>
                </c:pt>
                <c:pt idx="230">
                  <c:v>43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43.400000000000006</c:v>
                </c:pt>
                <c:pt idx="235">
                  <c:v>43.5</c:v>
                </c:pt>
                <c:pt idx="236">
                  <c:v>43.6</c:v>
                </c:pt>
                <c:pt idx="237">
                  <c:v>43.7</c:v>
                </c:pt>
                <c:pt idx="238">
                  <c:v>43.8</c:v>
                </c:pt>
                <c:pt idx="239">
                  <c:v>43.900000000000006</c:v>
                </c:pt>
                <c:pt idx="240">
                  <c:v>44</c:v>
                </c:pt>
                <c:pt idx="241">
                  <c:v>44.1</c:v>
                </c:pt>
                <c:pt idx="242">
                  <c:v>44.2</c:v>
                </c:pt>
                <c:pt idx="243">
                  <c:v>44.3</c:v>
                </c:pt>
                <c:pt idx="244">
                  <c:v>44.400000000000006</c:v>
                </c:pt>
                <c:pt idx="245">
                  <c:v>44.5</c:v>
                </c:pt>
                <c:pt idx="246">
                  <c:v>44.6</c:v>
                </c:pt>
                <c:pt idx="247">
                  <c:v>44.7</c:v>
                </c:pt>
                <c:pt idx="248">
                  <c:v>44.8</c:v>
                </c:pt>
                <c:pt idx="249">
                  <c:v>44.900000000000006</c:v>
                </c:pt>
                <c:pt idx="250">
                  <c:v>45</c:v>
                </c:pt>
                <c:pt idx="251">
                  <c:v>45.1</c:v>
                </c:pt>
                <c:pt idx="252">
                  <c:v>45.2</c:v>
                </c:pt>
                <c:pt idx="253">
                  <c:v>45.3</c:v>
                </c:pt>
                <c:pt idx="254">
                  <c:v>45.400000000000006</c:v>
                </c:pt>
                <c:pt idx="255">
                  <c:v>45.5</c:v>
                </c:pt>
                <c:pt idx="256">
                  <c:v>45.6</c:v>
                </c:pt>
                <c:pt idx="257">
                  <c:v>45.7</c:v>
                </c:pt>
                <c:pt idx="258">
                  <c:v>45.8</c:v>
                </c:pt>
                <c:pt idx="259">
                  <c:v>45.900000000000006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46.400000000000006</c:v>
                </c:pt>
                <c:pt idx="265">
                  <c:v>46.5</c:v>
                </c:pt>
                <c:pt idx="266">
                  <c:v>46.6</c:v>
                </c:pt>
                <c:pt idx="267">
                  <c:v>46.7</c:v>
                </c:pt>
                <c:pt idx="268">
                  <c:v>46.8</c:v>
                </c:pt>
                <c:pt idx="269">
                  <c:v>46.900000000000006</c:v>
                </c:pt>
                <c:pt idx="270">
                  <c:v>47</c:v>
                </c:pt>
                <c:pt idx="271">
                  <c:v>47.1</c:v>
                </c:pt>
                <c:pt idx="272">
                  <c:v>47.2</c:v>
                </c:pt>
                <c:pt idx="273">
                  <c:v>47.3</c:v>
                </c:pt>
                <c:pt idx="274">
                  <c:v>47.400000000000006</c:v>
                </c:pt>
                <c:pt idx="275">
                  <c:v>47.5</c:v>
                </c:pt>
                <c:pt idx="276">
                  <c:v>47.6</c:v>
                </c:pt>
                <c:pt idx="277">
                  <c:v>47.7</c:v>
                </c:pt>
                <c:pt idx="278">
                  <c:v>47.8</c:v>
                </c:pt>
                <c:pt idx="279">
                  <c:v>47.900000000000006</c:v>
                </c:pt>
                <c:pt idx="280">
                  <c:v>48</c:v>
                </c:pt>
                <c:pt idx="281">
                  <c:v>48.1</c:v>
                </c:pt>
                <c:pt idx="282">
                  <c:v>48.2</c:v>
                </c:pt>
                <c:pt idx="283">
                  <c:v>48.3</c:v>
                </c:pt>
                <c:pt idx="284">
                  <c:v>48.400000000000006</c:v>
                </c:pt>
                <c:pt idx="285">
                  <c:v>48.5</c:v>
                </c:pt>
                <c:pt idx="286">
                  <c:v>48.6</c:v>
                </c:pt>
                <c:pt idx="287">
                  <c:v>48.7</c:v>
                </c:pt>
                <c:pt idx="288">
                  <c:v>48.8</c:v>
                </c:pt>
                <c:pt idx="289">
                  <c:v>48.900000000000006</c:v>
                </c:pt>
                <c:pt idx="290">
                  <c:v>49</c:v>
                </c:pt>
                <c:pt idx="291">
                  <c:v>49.1</c:v>
                </c:pt>
                <c:pt idx="292">
                  <c:v>49.2</c:v>
                </c:pt>
                <c:pt idx="293">
                  <c:v>49.3</c:v>
                </c:pt>
                <c:pt idx="294">
                  <c:v>49.400000000000006</c:v>
                </c:pt>
                <c:pt idx="295">
                  <c:v>49.5</c:v>
                </c:pt>
                <c:pt idx="296">
                  <c:v>49.6</c:v>
                </c:pt>
                <c:pt idx="297">
                  <c:v>49.7</c:v>
                </c:pt>
                <c:pt idx="298">
                  <c:v>49.8</c:v>
                </c:pt>
                <c:pt idx="299">
                  <c:v>49.900000000000006</c:v>
                </c:pt>
                <c:pt idx="300">
                  <c:v>50</c:v>
                </c:pt>
                <c:pt idx="301">
                  <c:v>50.1</c:v>
                </c:pt>
                <c:pt idx="302">
                  <c:v>50.2</c:v>
                </c:pt>
                <c:pt idx="303">
                  <c:v>50.3</c:v>
                </c:pt>
                <c:pt idx="304">
                  <c:v>50.400000000000006</c:v>
                </c:pt>
                <c:pt idx="305">
                  <c:v>50.5</c:v>
                </c:pt>
                <c:pt idx="306">
                  <c:v>50.6</c:v>
                </c:pt>
                <c:pt idx="307">
                  <c:v>50.7</c:v>
                </c:pt>
                <c:pt idx="308">
                  <c:v>50.8</c:v>
                </c:pt>
                <c:pt idx="309">
                  <c:v>50.900000000000006</c:v>
                </c:pt>
                <c:pt idx="310">
                  <c:v>51</c:v>
                </c:pt>
                <c:pt idx="311">
                  <c:v>51.1</c:v>
                </c:pt>
                <c:pt idx="312">
                  <c:v>51.2</c:v>
                </c:pt>
                <c:pt idx="313">
                  <c:v>51.3</c:v>
                </c:pt>
                <c:pt idx="314">
                  <c:v>51.400000000000006</c:v>
                </c:pt>
                <c:pt idx="315">
                  <c:v>51.5</c:v>
                </c:pt>
                <c:pt idx="316">
                  <c:v>51.6</c:v>
                </c:pt>
                <c:pt idx="317">
                  <c:v>51.7</c:v>
                </c:pt>
                <c:pt idx="318">
                  <c:v>51.8</c:v>
                </c:pt>
                <c:pt idx="319">
                  <c:v>51.900000000000006</c:v>
                </c:pt>
                <c:pt idx="320">
                  <c:v>52</c:v>
                </c:pt>
                <c:pt idx="321">
                  <c:v>52.1</c:v>
                </c:pt>
                <c:pt idx="322">
                  <c:v>52.2</c:v>
                </c:pt>
                <c:pt idx="323">
                  <c:v>52.300000000000004</c:v>
                </c:pt>
                <c:pt idx="324">
                  <c:v>52.4</c:v>
                </c:pt>
                <c:pt idx="325">
                  <c:v>52.5</c:v>
                </c:pt>
                <c:pt idx="326">
                  <c:v>52.6</c:v>
                </c:pt>
                <c:pt idx="327">
                  <c:v>52.7</c:v>
                </c:pt>
                <c:pt idx="328">
                  <c:v>52.800000000000004</c:v>
                </c:pt>
                <c:pt idx="329">
                  <c:v>52.9</c:v>
                </c:pt>
                <c:pt idx="330">
                  <c:v>53</c:v>
                </c:pt>
                <c:pt idx="331">
                  <c:v>53.1</c:v>
                </c:pt>
                <c:pt idx="332">
                  <c:v>53.2</c:v>
                </c:pt>
                <c:pt idx="333">
                  <c:v>53.300000000000004</c:v>
                </c:pt>
                <c:pt idx="334">
                  <c:v>53.4</c:v>
                </c:pt>
                <c:pt idx="335">
                  <c:v>53.5</c:v>
                </c:pt>
                <c:pt idx="336">
                  <c:v>53.6</c:v>
                </c:pt>
                <c:pt idx="337">
                  <c:v>53.7</c:v>
                </c:pt>
                <c:pt idx="338">
                  <c:v>53.800000000000004</c:v>
                </c:pt>
                <c:pt idx="339">
                  <c:v>53.9</c:v>
                </c:pt>
                <c:pt idx="340">
                  <c:v>54</c:v>
                </c:pt>
                <c:pt idx="341">
                  <c:v>54.1</c:v>
                </c:pt>
                <c:pt idx="342">
                  <c:v>54.2</c:v>
                </c:pt>
                <c:pt idx="343">
                  <c:v>54.300000000000004</c:v>
                </c:pt>
                <c:pt idx="344">
                  <c:v>54.4</c:v>
                </c:pt>
                <c:pt idx="345">
                  <c:v>54.5</c:v>
                </c:pt>
                <c:pt idx="346">
                  <c:v>54.6</c:v>
                </c:pt>
                <c:pt idx="347">
                  <c:v>54.7</c:v>
                </c:pt>
                <c:pt idx="348">
                  <c:v>54.800000000000004</c:v>
                </c:pt>
                <c:pt idx="349">
                  <c:v>54.9</c:v>
                </c:pt>
                <c:pt idx="350">
                  <c:v>55</c:v>
                </c:pt>
                <c:pt idx="351">
                  <c:v>55.1</c:v>
                </c:pt>
                <c:pt idx="352">
                  <c:v>55.2</c:v>
                </c:pt>
                <c:pt idx="353">
                  <c:v>55.300000000000004</c:v>
                </c:pt>
                <c:pt idx="354">
                  <c:v>55.4</c:v>
                </c:pt>
                <c:pt idx="355">
                  <c:v>55.5</c:v>
                </c:pt>
                <c:pt idx="356">
                  <c:v>55.6</c:v>
                </c:pt>
                <c:pt idx="357">
                  <c:v>55.7</c:v>
                </c:pt>
                <c:pt idx="358">
                  <c:v>55.800000000000004</c:v>
                </c:pt>
                <c:pt idx="359">
                  <c:v>55.9</c:v>
                </c:pt>
                <c:pt idx="360">
                  <c:v>56</c:v>
                </c:pt>
                <c:pt idx="361">
                  <c:v>56.1</c:v>
                </c:pt>
                <c:pt idx="362">
                  <c:v>56.2</c:v>
                </c:pt>
                <c:pt idx="363">
                  <c:v>56.300000000000004</c:v>
                </c:pt>
                <c:pt idx="364">
                  <c:v>56.4</c:v>
                </c:pt>
                <c:pt idx="365">
                  <c:v>56.5</c:v>
                </c:pt>
                <c:pt idx="366">
                  <c:v>56.6</c:v>
                </c:pt>
                <c:pt idx="367">
                  <c:v>56.7</c:v>
                </c:pt>
                <c:pt idx="368">
                  <c:v>56.800000000000004</c:v>
                </c:pt>
                <c:pt idx="369">
                  <c:v>56.9</c:v>
                </c:pt>
                <c:pt idx="370">
                  <c:v>57</c:v>
                </c:pt>
                <c:pt idx="371">
                  <c:v>57.1</c:v>
                </c:pt>
                <c:pt idx="372">
                  <c:v>57.2</c:v>
                </c:pt>
                <c:pt idx="373">
                  <c:v>57.300000000000004</c:v>
                </c:pt>
                <c:pt idx="374">
                  <c:v>57.4</c:v>
                </c:pt>
                <c:pt idx="375">
                  <c:v>57.5</c:v>
                </c:pt>
                <c:pt idx="376">
                  <c:v>57.6</c:v>
                </c:pt>
                <c:pt idx="377">
                  <c:v>57.7</c:v>
                </c:pt>
                <c:pt idx="378">
                  <c:v>57.800000000000004</c:v>
                </c:pt>
                <c:pt idx="379">
                  <c:v>57.9</c:v>
                </c:pt>
                <c:pt idx="380">
                  <c:v>58</c:v>
                </c:pt>
                <c:pt idx="381">
                  <c:v>58.1</c:v>
                </c:pt>
                <c:pt idx="382">
                  <c:v>58.2</c:v>
                </c:pt>
                <c:pt idx="383">
                  <c:v>58.300000000000004</c:v>
                </c:pt>
                <c:pt idx="384">
                  <c:v>58.400000000000006</c:v>
                </c:pt>
                <c:pt idx="385">
                  <c:v>58.5</c:v>
                </c:pt>
                <c:pt idx="386">
                  <c:v>58.6</c:v>
                </c:pt>
                <c:pt idx="387">
                  <c:v>58.7</c:v>
                </c:pt>
                <c:pt idx="388">
                  <c:v>58.800000000000004</c:v>
                </c:pt>
                <c:pt idx="389">
                  <c:v>58.900000000000006</c:v>
                </c:pt>
                <c:pt idx="390">
                  <c:v>59</c:v>
                </c:pt>
                <c:pt idx="391">
                  <c:v>59.1</c:v>
                </c:pt>
                <c:pt idx="392">
                  <c:v>59.2</c:v>
                </c:pt>
                <c:pt idx="393">
                  <c:v>59.300000000000004</c:v>
                </c:pt>
                <c:pt idx="394">
                  <c:v>59.400000000000006</c:v>
                </c:pt>
                <c:pt idx="395">
                  <c:v>59.5</c:v>
                </c:pt>
                <c:pt idx="396">
                  <c:v>59.6</c:v>
                </c:pt>
                <c:pt idx="397">
                  <c:v>59.7</c:v>
                </c:pt>
                <c:pt idx="398">
                  <c:v>59.800000000000004</c:v>
                </c:pt>
                <c:pt idx="399">
                  <c:v>59.900000000000006</c:v>
                </c:pt>
                <c:pt idx="400">
                  <c:v>60</c:v>
                </c:pt>
                <c:pt idx="401">
                  <c:v>60.1</c:v>
                </c:pt>
                <c:pt idx="402">
                  <c:v>60.2</c:v>
                </c:pt>
                <c:pt idx="403">
                  <c:v>60.300000000000004</c:v>
                </c:pt>
                <c:pt idx="404">
                  <c:v>60.400000000000006</c:v>
                </c:pt>
                <c:pt idx="405">
                  <c:v>60.5</c:v>
                </c:pt>
                <c:pt idx="406">
                  <c:v>60.6</c:v>
                </c:pt>
                <c:pt idx="407">
                  <c:v>60.7</c:v>
                </c:pt>
                <c:pt idx="408">
                  <c:v>60.800000000000004</c:v>
                </c:pt>
                <c:pt idx="409">
                  <c:v>60.900000000000006</c:v>
                </c:pt>
                <c:pt idx="410">
                  <c:v>61</c:v>
                </c:pt>
                <c:pt idx="411">
                  <c:v>61.1</c:v>
                </c:pt>
                <c:pt idx="412">
                  <c:v>61.2</c:v>
                </c:pt>
                <c:pt idx="413">
                  <c:v>61.300000000000004</c:v>
                </c:pt>
                <c:pt idx="414">
                  <c:v>61.400000000000006</c:v>
                </c:pt>
                <c:pt idx="415">
                  <c:v>61.5</c:v>
                </c:pt>
                <c:pt idx="416">
                  <c:v>61.6</c:v>
                </c:pt>
                <c:pt idx="417">
                  <c:v>61.7</c:v>
                </c:pt>
                <c:pt idx="418">
                  <c:v>61.800000000000004</c:v>
                </c:pt>
                <c:pt idx="419">
                  <c:v>61.900000000000006</c:v>
                </c:pt>
                <c:pt idx="420">
                  <c:v>62</c:v>
                </c:pt>
                <c:pt idx="421">
                  <c:v>62.1</c:v>
                </c:pt>
                <c:pt idx="422">
                  <c:v>62.2</c:v>
                </c:pt>
                <c:pt idx="423">
                  <c:v>62.300000000000004</c:v>
                </c:pt>
                <c:pt idx="424">
                  <c:v>62.400000000000006</c:v>
                </c:pt>
                <c:pt idx="425">
                  <c:v>62.5</c:v>
                </c:pt>
                <c:pt idx="426">
                  <c:v>62.6</c:v>
                </c:pt>
                <c:pt idx="427">
                  <c:v>62.7</c:v>
                </c:pt>
                <c:pt idx="428">
                  <c:v>62.800000000000004</c:v>
                </c:pt>
                <c:pt idx="429">
                  <c:v>62.900000000000006</c:v>
                </c:pt>
                <c:pt idx="430">
                  <c:v>63</c:v>
                </c:pt>
                <c:pt idx="431">
                  <c:v>63.1</c:v>
                </c:pt>
                <c:pt idx="432">
                  <c:v>63.2</c:v>
                </c:pt>
                <c:pt idx="433">
                  <c:v>63.300000000000004</c:v>
                </c:pt>
                <c:pt idx="434">
                  <c:v>63.400000000000006</c:v>
                </c:pt>
                <c:pt idx="435">
                  <c:v>63.5</c:v>
                </c:pt>
                <c:pt idx="436">
                  <c:v>63.6</c:v>
                </c:pt>
                <c:pt idx="437">
                  <c:v>63.7</c:v>
                </c:pt>
                <c:pt idx="438">
                  <c:v>63.800000000000004</c:v>
                </c:pt>
                <c:pt idx="439">
                  <c:v>63.900000000000006</c:v>
                </c:pt>
                <c:pt idx="440">
                  <c:v>64</c:v>
                </c:pt>
                <c:pt idx="441">
                  <c:v>64.099999999999994</c:v>
                </c:pt>
                <c:pt idx="442">
                  <c:v>64.2</c:v>
                </c:pt>
                <c:pt idx="443">
                  <c:v>64.300000000000011</c:v>
                </c:pt>
                <c:pt idx="444">
                  <c:v>64.400000000000006</c:v>
                </c:pt>
                <c:pt idx="445">
                  <c:v>64.5</c:v>
                </c:pt>
                <c:pt idx="446">
                  <c:v>64.599999999999994</c:v>
                </c:pt>
                <c:pt idx="447">
                  <c:v>64.7</c:v>
                </c:pt>
                <c:pt idx="448">
                  <c:v>64.800000000000011</c:v>
                </c:pt>
                <c:pt idx="449">
                  <c:v>64.900000000000006</c:v>
                </c:pt>
                <c:pt idx="450">
                  <c:v>65</c:v>
                </c:pt>
                <c:pt idx="451">
                  <c:v>65.099999999999994</c:v>
                </c:pt>
                <c:pt idx="452">
                  <c:v>65.2</c:v>
                </c:pt>
                <c:pt idx="453">
                  <c:v>65.300000000000011</c:v>
                </c:pt>
                <c:pt idx="454">
                  <c:v>65.400000000000006</c:v>
                </c:pt>
                <c:pt idx="455">
                  <c:v>65.5</c:v>
                </c:pt>
                <c:pt idx="456">
                  <c:v>65.599999999999994</c:v>
                </c:pt>
                <c:pt idx="457">
                  <c:v>65.7</c:v>
                </c:pt>
                <c:pt idx="458">
                  <c:v>65.800000000000011</c:v>
                </c:pt>
                <c:pt idx="459">
                  <c:v>65.900000000000006</c:v>
                </c:pt>
                <c:pt idx="460">
                  <c:v>66</c:v>
                </c:pt>
                <c:pt idx="461">
                  <c:v>66.099999999999994</c:v>
                </c:pt>
                <c:pt idx="462">
                  <c:v>66.2</c:v>
                </c:pt>
                <c:pt idx="463">
                  <c:v>66.300000000000011</c:v>
                </c:pt>
                <c:pt idx="464">
                  <c:v>66.400000000000006</c:v>
                </c:pt>
                <c:pt idx="465">
                  <c:v>66.5</c:v>
                </c:pt>
                <c:pt idx="466">
                  <c:v>66.599999999999994</c:v>
                </c:pt>
                <c:pt idx="467">
                  <c:v>66.7</c:v>
                </c:pt>
                <c:pt idx="468">
                  <c:v>66.800000000000011</c:v>
                </c:pt>
                <c:pt idx="469">
                  <c:v>66.900000000000006</c:v>
                </c:pt>
                <c:pt idx="470">
                  <c:v>67</c:v>
                </c:pt>
                <c:pt idx="471">
                  <c:v>67.099999999999994</c:v>
                </c:pt>
                <c:pt idx="472">
                  <c:v>67.2</c:v>
                </c:pt>
                <c:pt idx="473">
                  <c:v>67.300000000000011</c:v>
                </c:pt>
                <c:pt idx="474">
                  <c:v>67.400000000000006</c:v>
                </c:pt>
                <c:pt idx="475">
                  <c:v>67.5</c:v>
                </c:pt>
                <c:pt idx="476">
                  <c:v>67.599999999999994</c:v>
                </c:pt>
                <c:pt idx="477">
                  <c:v>67.7</c:v>
                </c:pt>
                <c:pt idx="478">
                  <c:v>67.800000000000011</c:v>
                </c:pt>
                <c:pt idx="479">
                  <c:v>67.900000000000006</c:v>
                </c:pt>
                <c:pt idx="480">
                  <c:v>68</c:v>
                </c:pt>
                <c:pt idx="481">
                  <c:v>68.099999999999994</c:v>
                </c:pt>
                <c:pt idx="482">
                  <c:v>68.2</c:v>
                </c:pt>
                <c:pt idx="483">
                  <c:v>68.300000000000011</c:v>
                </c:pt>
                <c:pt idx="484">
                  <c:v>68.400000000000006</c:v>
                </c:pt>
                <c:pt idx="485">
                  <c:v>68.5</c:v>
                </c:pt>
                <c:pt idx="486">
                  <c:v>68.599999999999994</c:v>
                </c:pt>
                <c:pt idx="487">
                  <c:v>68.7</c:v>
                </c:pt>
                <c:pt idx="488">
                  <c:v>68.800000000000011</c:v>
                </c:pt>
                <c:pt idx="489">
                  <c:v>68.900000000000006</c:v>
                </c:pt>
                <c:pt idx="490">
                  <c:v>69</c:v>
                </c:pt>
                <c:pt idx="491">
                  <c:v>69.099999999999994</c:v>
                </c:pt>
                <c:pt idx="492">
                  <c:v>69.2</c:v>
                </c:pt>
                <c:pt idx="493">
                  <c:v>69.300000000000011</c:v>
                </c:pt>
                <c:pt idx="494">
                  <c:v>69.400000000000006</c:v>
                </c:pt>
                <c:pt idx="495">
                  <c:v>69.5</c:v>
                </c:pt>
                <c:pt idx="496">
                  <c:v>69.599999999999994</c:v>
                </c:pt>
                <c:pt idx="497">
                  <c:v>69.7</c:v>
                </c:pt>
                <c:pt idx="498">
                  <c:v>69.800000000000011</c:v>
                </c:pt>
                <c:pt idx="499">
                  <c:v>69.900000000000006</c:v>
                </c:pt>
                <c:pt idx="500">
                  <c:v>70</c:v>
                </c:pt>
                <c:pt idx="501">
                  <c:v>70.099999999999994</c:v>
                </c:pt>
                <c:pt idx="502">
                  <c:v>70.2</c:v>
                </c:pt>
                <c:pt idx="503">
                  <c:v>70.300000000000011</c:v>
                </c:pt>
                <c:pt idx="504">
                  <c:v>70.400000000000006</c:v>
                </c:pt>
                <c:pt idx="505">
                  <c:v>70.5</c:v>
                </c:pt>
                <c:pt idx="506">
                  <c:v>70.599999999999994</c:v>
                </c:pt>
                <c:pt idx="507">
                  <c:v>70.7</c:v>
                </c:pt>
                <c:pt idx="508">
                  <c:v>70.800000000000011</c:v>
                </c:pt>
                <c:pt idx="509">
                  <c:v>70.900000000000006</c:v>
                </c:pt>
                <c:pt idx="510">
                  <c:v>71</c:v>
                </c:pt>
                <c:pt idx="511">
                  <c:v>71.099999999999994</c:v>
                </c:pt>
                <c:pt idx="512">
                  <c:v>71.2</c:v>
                </c:pt>
                <c:pt idx="513">
                  <c:v>71.300000000000011</c:v>
                </c:pt>
                <c:pt idx="514">
                  <c:v>71.400000000000006</c:v>
                </c:pt>
                <c:pt idx="515">
                  <c:v>71.5</c:v>
                </c:pt>
                <c:pt idx="516">
                  <c:v>71.599999999999994</c:v>
                </c:pt>
                <c:pt idx="517">
                  <c:v>71.7</c:v>
                </c:pt>
                <c:pt idx="518">
                  <c:v>71.800000000000011</c:v>
                </c:pt>
                <c:pt idx="519">
                  <c:v>71.900000000000006</c:v>
                </c:pt>
                <c:pt idx="520">
                  <c:v>72</c:v>
                </c:pt>
                <c:pt idx="521">
                  <c:v>72.099999999999994</c:v>
                </c:pt>
                <c:pt idx="522">
                  <c:v>72.2</c:v>
                </c:pt>
                <c:pt idx="523">
                  <c:v>72.300000000000011</c:v>
                </c:pt>
                <c:pt idx="524">
                  <c:v>72.400000000000006</c:v>
                </c:pt>
                <c:pt idx="525">
                  <c:v>72.5</c:v>
                </c:pt>
                <c:pt idx="526">
                  <c:v>72.599999999999994</c:v>
                </c:pt>
                <c:pt idx="527">
                  <c:v>72.7</c:v>
                </c:pt>
                <c:pt idx="528">
                  <c:v>72.800000000000011</c:v>
                </c:pt>
                <c:pt idx="529">
                  <c:v>72.900000000000006</c:v>
                </c:pt>
                <c:pt idx="530">
                  <c:v>73</c:v>
                </c:pt>
                <c:pt idx="531">
                  <c:v>73.099999999999994</c:v>
                </c:pt>
                <c:pt idx="532">
                  <c:v>73.2</c:v>
                </c:pt>
                <c:pt idx="533">
                  <c:v>73.300000000000011</c:v>
                </c:pt>
                <c:pt idx="534">
                  <c:v>73.400000000000006</c:v>
                </c:pt>
                <c:pt idx="535">
                  <c:v>73.5</c:v>
                </c:pt>
                <c:pt idx="536">
                  <c:v>73.599999999999994</c:v>
                </c:pt>
                <c:pt idx="537">
                  <c:v>73.7</c:v>
                </c:pt>
                <c:pt idx="538">
                  <c:v>73.800000000000011</c:v>
                </c:pt>
                <c:pt idx="539">
                  <c:v>73.900000000000006</c:v>
                </c:pt>
                <c:pt idx="540">
                  <c:v>74</c:v>
                </c:pt>
                <c:pt idx="541">
                  <c:v>74.099999999999994</c:v>
                </c:pt>
                <c:pt idx="542">
                  <c:v>74.2</c:v>
                </c:pt>
                <c:pt idx="543">
                  <c:v>74.300000000000011</c:v>
                </c:pt>
                <c:pt idx="544">
                  <c:v>74.400000000000006</c:v>
                </c:pt>
                <c:pt idx="545">
                  <c:v>74.5</c:v>
                </c:pt>
                <c:pt idx="546">
                  <c:v>74.599999999999994</c:v>
                </c:pt>
                <c:pt idx="547">
                  <c:v>74.7</c:v>
                </c:pt>
                <c:pt idx="548">
                  <c:v>74.800000000000011</c:v>
                </c:pt>
                <c:pt idx="549">
                  <c:v>74.900000000000006</c:v>
                </c:pt>
                <c:pt idx="550">
                  <c:v>75</c:v>
                </c:pt>
                <c:pt idx="551">
                  <c:v>75.099999999999994</c:v>
                </c:pt>
                <c:pt idx="552">
                  <c:v>75.2</c:v>
                </c:pt>
                <c:pt idx="553">
                  <c:v>75.300000000000011</c:v>
                </c:pt>
                <c:pt idx="554">
                  <c:v>75.400000000000006</c:v>
                </c:pt>
                <c:pt idx="555">
                  <c:v>75.5</c:v>
                </c:pt>
                <c:pt idx="556">
                  <c:v>75.599999999999994</c:v>
                </c:pt>
                <c:pt idx="557">
                  <c:v>75.7</c:v>
                </c:pt>
                <c:pt idx="558">
                  <c:v>75.800000000000011</c:v>
                </c:pt>
                <c:pt idx="559">
                  <c:v>75.900000000000006</c:v>
                </c:pt>
                <c:pt idx="560">
                  <c:v>76</c:v>
                </c:pt>
                <c:pt idx="561">
                  <c:v>76.099999999999994</c:v>
                </c:pt>
                <c:pt idx="562">
                  <c:v>76.2</c:v>
                </c:pt>
                <c:pt idx="563">
                  <c:v>76.300000000000011</c:v>
                </c:pt>
                <c:pt idx="564">
                  <c:v>76.400000000000006</c:v>
                </c:pt>
                <c:pt idx="565">
                  <c:v>76.5</c:v>
                </c:pt>
                <c:pt idx="566">
                  <c:v>76.599999999999994</c:v>
                </c:pt>
                <c:pt idx="567">
                  <c:v>76.7</c:v>
                </c:pt>
                <c:pt idx="568">
                  <c:v>76.800000000000011</c:v>
                </c:pt>
                <c:pt idx="569">
                  <c:v>76.900000000000006</c:v>
                </c:pt>
                <c:pt idx="570">
                  <c:v>77</c:v>
                </c:pt>
                <c:pt idx="571">
                  <c:v>77.099999999999994</c:v>
                </c:pt>
                <c:pt idx="572">
                  <c:v>77.2</c:v>
                </c:pt>
                <c:pt idx="573">
                  <c:v>77.300000000000011</c:v>
                </c:pt>
                <c:pt idx="574">
                  <c:v>77.400000000000006</c:v>
                </c:pt>
                <c:pt idx="575">
                  <c:v>77.5</c:v>
                </c:pt>
                <c:pt idx="576">
                  <c:v>77.599999999999994</c:v>
                </c:pt>
                <c:pt idx="577">
                  <c:v>77.7</c:v>
                </c:pt>
                <c:pt idx="578">
                  <c:v>77.800000000000011</c:v>
                </c:pt>
                <c:pt idx="579">
                  <c:v>77.900000000000006</c:v>
                </c:pt>
                <c:pt idx="580">
                  <c:v>78</c:v>
                </c:pt>
                <c:pt idx="581">
                  <c:v>78.099999999999994</c:v>
                </c:pt>
                <c:pt idx="582">
                  <c:v>78.2</c:v>
                </c:pt>
                <c:pt idx="583">
                  <c:v>78.300000000000011</c:v>
                </c:pt>
                <c:pt idx="584">
                  <c:v>78.400000000000006</c:v>
                </c:pt>
                <c:pt idx="585">
                  <c:v>78.5</c:v>
                </c:pt>
                <c:pt idx="586">
                  <c:v>78.599999999999994</c:v>
                </c:pt>
                <c:pt idx="587">
                  <c:v>78.7</c:v>
                </c:pt>
                <c:pt idx="588">
                  <c:v>78.800000000000011</c:v>
                </c:pt>
                <c:pt idx="589">
                  <c:v>78.900000000000006</c:v>
                </c:pt>
                <c:pt idx="590">
                  <c:v>79</c:v>
                </c:pt>
                <c:pt idx="591">
                  <c:v>79.099999999999994</c:v>
                </c:pt>
                <c:pt idx="592">
                  <c:v>79.2</c:v>
                </c:pt>
                <c:pt idx="593">
                  <c:v>79.300000000000011</c:v>
                </c:pt>
                <c:pt idx="594">
                  <c:v>79.400000000000006</c:v>
                </c:pt>
                <c:pt idx="595">
                  <c:v>79.5</c:v>
                </c:pt>
                <c:pt idx="596">
                  <c:v>79.599999999999994</c:v>
                </c:pt>
                <c:pt idx="597">
                  <c:v>79.7</c:v>
                </c:pt>
                <c:pt idx="598">
                  <c:v>79.800000000000011</c:v>
                </c:pt>
                <c:pt idx="599">
                  <c:v>79.900000000000006</c:v>
                </c:pt>
                <c:pt idx="600">
                  <c:v>80</c:v>
                </c:pt>
              </c:numCache>
            </c:numRef>
          </c:xVal>
          <c:yVal>
            <c:numRef>
              <c:f>Cal_Error!$F$2:$F$602</c:f>
              <c:numCache>
                <c:formatCode>0.0000%</c:formatCode>
                <c:ptCount val="601"/>
                <c:pt idx="0">
                  <c:v>3.8251799999999394E-3</c:v>
                </c:pt>
                <c:pt idx="1">
                  <c:v>6.938118586359442E-3</c:v>
                </c:pt>
                <c:pt idx="2">
                  <c:v>5.3321197214791817E-3</c:v>
                </c:pt>
                <c:pt idx="3">
                  <c:v>4.3334438068776838E-3</c:v>
                </c:pt>
                <c:pt idx="4">
                  <c:v>2.7888202938172028E-3</c:v>
                </c:pt>
                <c:pt idx="5">
                  <c:v>1.8440558320373186E-3</c:v>
                </c:pt>
                <c:pt idx="6">
                  <c:v>9.2402907365734383E-4</c:v>
                </c:pt>
                <c:pt idx="7">
                  <c:v>2.8376795132122363E-5</c:v>
                </c:pt>
                <c:pt idx="8">
                  <c:v>8.4325759453282784E-4</c:v>
                </c:pt>
                <c:pt idx="9">
                  <c:v>1.6912238783244348E-3</c:v>
                </c:pt>
                <c:pt idx="10">
                  <c:v>2.5158658251506999E-3</c:v>
                </c:pt>
                <c:pt idx="11">
                  <c:v>3.8668176340656605E-3</c:v>
                </c:pt>
                <c:pt idx="12">
                  <c:v>4.6427655842709737E-3</c:v>
                </c:pt>
                <c:pt idx="13">
                  <c:v>5.3964105926627755E-3</c:v>
                </c:pt>
                <c:pt idx="14">
                  <c:v>6.1280718600092736E-3</c:v>
                </c:pt>
                <c:pt idx="15">
                  <c:v>6.8380627134471258E-3</c:v>
                </c:pt>
                <c:pt idx="16">
                  <c:v>8.0610034445122766E-3</c:v>
                </c:pt>
                <c:pt idx="17">
                  <c:v>8.7256550627776378E-3</c:v>
                </c:pt>
                <c:pt idx="18">
                  <c:v>9.3695696724446602E-3</c:v>
                </c:pt>
                <c:pt idx="19">
                  <c:v>9.9930388036703049E-3</c:v>
                </c:pt>
                <c:pt idx="20">
                  <c:v>1.1119146346706349E-2</c:v>
                </c:pt>
                <c:pt idx="21">
                  <c:v>1.1699763952892657E-2</c:v>
                </c:pt>
                <c:pt idx="22">
                  <c:v>1.2260805624276373E-2</c:v>
                </c:pt>
                <c:pt idx="23">
                  <c:v>1.3316965344105149E-2</c:v>
                </c:pt>
                <c:pt idx="24">
                  <c:v>1.3836922885620393E-2</c:v>
                </c:pt>
                <c:pt idx="25">
                  <c:v>1.4338130201984711E-2</c:v>
                </c:pt>
                <c:pt idx="26">
                  <c:v>1.5327105128858307E-2</c:v>
                </c:pt>
                <c:pt idx="27">
                  <c:v>1.5788907167671982E-2</c:v>
                </c:pt>
                <c:pt idx="28">
                  <c:v>1.6232742814312827E-2</c:v>
                </c:pt>
                <c:pt idx="29">
                  <c:v>1.7157161163260562E-2</c:v>
                </c:pt>
                <c:pt idx="30">
                  <c:v>1.7563187836707381E-2</c:v>
                </c:pt>
                <c:pt idx="31">
                  <c:v>1.8445103313505906E-2</c:v>
                </c:pt>
                <c:pt idx="32">
                  <c:v>1.8814356328391721E-2</c:v>
                </c:pt>
                <c:pt idx="33">
                  <c:v>1.9654873215467279E-2</c:v>
                </c:pt>
                <c:pt idx="34">
                  <c:v>1.9988353971993573E-2</c:v>
                </c:pt>
                <c:pt idx="35">
                  <c:v>2.030556509223325E-2</c:v>
                </c:pt>
                <c:pt idx="36">
                  <c:v>2.1087219361597898E-2</c:v>
                </c:pt>
                <c:pt idx="37">
                  <c:v>2.1370080390956791E-2</c:v>
                </c:pt>
                <c:pt idx="38">
                  <c:v>2.2112926572216016E-2</c:v>
                </c:pt>
                <c:pt idx="39">
                  <c:v>2.236236151856736E-2</c:v>
                </c:pt>
                <c:pt idx="40">
                  <c:v>2.3067387673513906E-2</c:v>
                </c:pt>
                <c:pt idx="41">
                  <c:v>2.3752672369822161E-2</c:v>
                </c:pt>
                <c:pt idx="42">
                  <c:v>2.4418470508196691E-2</c:v>
                </c:pt>
                <c:pt idx="43">
                  <c:v>2.5065032577907084E-2</c:v>
                </c:pt>
                <c:pt idx="44">
                  <c:v>2.5231266635851891E-2</c:v>
                </c:pt>
                <c:pt idx="45">
                  <c:v>2.5842404163336025E-2</c:v>
                </c:pt>
                <c:pt idx="46">
                  <c:v>2.6435017092704224E-2</c:v>
                </c:pt>
                <c:pt idx="47">
                  <c:v>2.6554879475914849E-2</c:v>
                </c:pt>
                <c:pt idx="48">
                  <c:v>2.7113404670929139E-2</c:v>
                </c:pt>
                <c:pt idx="49">
                  <c:v>2.76540852879174E-2</c:v>
                </c:pt>
                <c:pt idx="50">
                  <c:v>2.7729404048451159E-2</c:v>
                </c:pt>
                <c:pt idx="51">
                  <c:v>2.8237274929741835E-2</c:v>
                </c:pt>
                <c:pt idx="52">
                  <c:v>2.8727951351259249E-2</c:v>
                </c:pt>
                <c:pt idx="53">
                  <c:v>2.8760473991982675E-2</c:v>
                </c:pt>
                <c:pt idx="54">
                  <c:v>2.9219563398391681E-2</c:v>
                </c:pt>
                <c:pt idx="55">
                  <c:v>2.9662080791514209E-2</c:v>
                </c:pt>
                <c:pt idx="56">
                  <c:v>3.0088233413654158E-2</c:v>
                </c:pt>
                <c:pt idx="57">
                  <c:v>3.0065578429681095E-2</c:v>
                </c:pt>
                <c:pt idx="58">
                  <c:v>3.0461703367347766E-2</c:v>
                </c:pt>
                <c:pt idx="59">
                  <c:v>3.084205119409187E-2</c:v>
                </c:pt>
                <c:pt idx="60">
                  <c:v>3.1206817355956727E-2</c:v>
                </c:pt>
                <c:pt idx="61">
                  <c:v>3.1556194691605248E-2</c:v>
                </c:pt>
                <c:pt idx="62">
                  <c:v>3.1468038642873709E-2</c:v>
                </c:pt>
                <c:pt idx="63">
                  <c:v>3.1789223790749291E-2</c:v>
                </c:pt>
                <c:pt idx="64">
                  <c:v>3.2095567758315444E-2</c:v>
                </c:pt>
                <c:pt idx="65">
                  <c:v>3.2387253026104026E-2</c:v>
                </c:pt>
                <c:pt idx="66">
                  <c:v>3.266445947497814E-2</c:v>
                </c:pt>
                <c:pt idx="67">
                  <c:v>3.2927364513276922E-2</c:v>
                </c:pt>
                <c:pt idx="68">
                  <c:v>3.3176143292294916E-2</c:v>
                </c:pt>
                <c:pt idx="69">
                  <c:v>3.3410968242032817E-2</c:v>
                </c:pt>
                <c:pt idx="70">
                  <c:v>3.3632009884563274E-2</c:v>
                </c:pt>
                <c:pt idx="71">
                  <c:v>3.3839435993128837E-2</c:v>
                </c:pt>
                <c:pt idx="72">
                  <c:v>3.4033412618227017E-2</c:v>
                </c:pt>
                <c:pt idx="73">
                  <c:v>3.4214103223930939E-2</c:v>
                </c:pt>
                <c:pt idx="74">
                  <c:v>3.4780715911684287E-2</c:v>
                </c:pt>
                <c:pt idx="75">
                  <c:v>3.4933463158355431E-2</c:v>
                </c:pt>
                <c:pt idx="76">
                  <c:v>3.5073415066285966E-2</c:v>
                </c:pt>
                <c:pt idx="77">
                  <c:v>3.5200726650247455E-2</c:v>
                </c:pt>
                <c:pt idx="78">
                  <c:v>3.5315551008588013E-2</c:v>
                </c:pt>
                <c:pt idx="79">
                  <c:v>3.5418039132293924E-2</c:v>
                </c:pt>
                <c:pt idx="80">
                  <c:v>3.5508340129673854E-2</c:v>
                </c:pt>
                <c:pt idx="81">
                  <c:v>3.5586601098342392E-2</c:v>
                </c:pt>
                <c:pt idx="82">
                  <c:v>3.6037535231204114E-2</c:v>
                </c:pt>
                <c:pt idx="83">
                  <c:v>3.6090395501841954E-2</c:v>
                </c:pt>
                <c:pt idx="84">
                  <c:v>3.6131657997350755E-2</c:v>
                </c:pt>
                <c:pt idx="85">
                  <c:v>3.6161462686481856E-2</c:v>
                </c:pt>
                <c:pt idx="86">
                  <c:v>3.6179947421682741E-2</c:v>
                </c:pt>
                <c:pt idx="87">
                  <c:v>3.65631557988862E-2</c:v>
                </c:pt>
                <c:pt idx="88">
                  <c:v>3.655771051382558E-2</c:v>
                </c:pt>
                <c:pt idx="89">
                  <c:v>3.654136070867816E-2</c:v>
                </c:pt>
                <c:pt idx="90">
                  <c:v>3.6514237525868534E-2</c:v>
                </c:pt>
                <c:pt idx="91">
                  <c:v>3.6845651814503291E-2</c:v>
                </c:pt>
                <c:pt idx="92">
                  <c:v>3.6795715312766243E-2</c:v>
                </c:pt>
                <c:pt idx="93">
                  <c:v>3.673540066510373E-2</c:v>
                </c:pt>
                <c:pt idx="94">
                  <c:v>3.7029083012109283E-2</c:v>
                </c:pt>
                <c:pt idx="95">
                  <c:v>3.6946762743020993E-2</c:v>
                </c:pt>
                <c:pt idx="96">
                  <c:v>3.6854445142610139E-2</c:v>
                </c:pt>
                <c:pt idx="97">
                  <c:v>3.711166424479314E-2</c:v>
                </c:pt>
                <c:pt idx="98">
                  <c:v>3.6998120067252983E-2</c:v>
                </c:pt>
                <c:pt idx="99">
                  <c:v>3.7231185714339594E-2</c:v>
                </c:pt>
                <c:pt idx="100">
                  <c:v>3.7096925830406843E-2</c:v>
                </c:pt>
                <c:pt idx="101">
                  <c:v>3.7306382967229372E-2</c:v>
                </c:pt>
                <c:pt idx="102">
                  <c:v>3.7503459687253153E-2</c:v>
                </c:pt>
                <c:pt idx="103">
                  <c:v>3.7338286454833634E-2</c:v>
                </c:pt>
                <c:pt idx="104">
                  <c:v>3.7512557814290443E-2</c:v>
                </c:pt>
                <c:pt idx="105">
                  <c:v>3.767485794817315E-2</c:v>
                </c:pt>
                <c:pt idx="106">
                  <c:v>3.7479883189436125E-2</c:v>
                </c:pt>
                <c:pt idx="107">
                  <c:v>3.7620153586633578E-2</c:v>
                </c:pt>
                <c:pt idx="108">
                  <c:v>3.7406408153050172E-2</c:v>
                </c:pt>
                <c:pt idx="109">
                  <c:v>3.7525145160477141E-2</c:v>
                </c:pt>
                <c:pt idx="110">
                  <c:v>3.7293083151611894E-2</c:v>
                </c:pt>
                <c:pt idx="111">
                  <c:v>3.7390772022367784E-2</c:v>
                </c:pt>
                <c:pt idx="112">
                  <c:v>3.74773856304026E-2</c:v>
                </c:pt>
                <c:pt idx="113">
                  <c:v>3.7217952583678375E-2</c:v>
                </c:pt>
                <c:pt idx="114">
                  <c:v>3.72842348386054E-2</c:v>
                </c:pt>
                <c:pt idx="115">
                  <c:v>3.7339807293485079E-2</c:v>
                </c:pt>
                <c:pt idx="116">
                  <c:v>3.6723196797648072E-2</c:v>
                </c:pt>
                <c:pt idx="117">
                  <c:v>3.6760547795353468E-2</c:v>
                </c:pt>
                <c:pt idx="118">
                  <c:v>3.6787534297656362E-2</c:v>
                </c:pt>
                <c:pt idx="119">
                  <c:v>3.6804274594689858E-2</c:v>
                </c:pt>
                <c:pt idx="120">
                  <c:v>3.6485703070171183E-2</c:v>
                </c:pt>
                <c:pt idx="121">
                  <c:v>3.6483683860216901E-2</c:v>
                </c:pt>
                <c:pt idx="122">
                  <c:v>3.647175726245331E-2</c:v>
                </c:pt>
                <c:pt idx="123">
                  <c:v>3.6450036559194043E-2</c:v>
                </c:pt>
                <c:pt idx="124">
                  <c:v>3.6418633882057419E-2</c:v>
                </c:pt>
                <c:pt idx="125">
                  <c:v>3.6059313979288715E-2</c:v>
                </c:pt>
                <c:pt idx="126">
                  <c:v>3.6010222270318026E-2</c:v>
                </c:pt>
                <c:pt idx="127">
                  <c:v>3.626743647885862E-2</c:v>
                </c:pt>
                <c:pt idx="128">
                  <c:v>3.6198402538845591E-2</c:v>
                </c:pt>
                <c:pt idx="129">
                  <c:v>3.6120229424552452E-2</c:v>
                </c:pt>
                <c:pt idx="130">
                  <c:v>3.6033021941522622E-2</c:v>
                </c:pt>
                <c:pt idx="131">
                  <c:v>3.5936884409352214E-2</c:v>
                </c:pt>
                <c:pt idx="132">
                  <c:v>3.5831919754065474E-2</c:v>
                </c:pt>
                <c:pt idx="133">
                  <c:v>3.5718229979889729E-2</c:v>
                </c:pt>
                <c:pt idx="134">
                  <c:v>3.5595915670835844E-2</c:v>
                </c:pt>
                <c:pt idx="135">
                  <c:v>3.5465076929065691E-2</c:v>
                </c:pt>
                <c:pt idx="136">
                  <c:v>3.5325812498785518E-2</c:v>
                </c:pt>
                <c:pt idx="137">
                  <c:v>3.5178220159386049E-2</c:v>
                </c:pt>
                <c:pt idx="138">
                  <c:v>3.5022396812016403E-2</c:v>
                </c:pt>
                <c:pt idx="139">
                  <c:v>3.4858438441048675E-2</c:v>
                </c:pt>
                <c:pt idx="140">
                  <c:v>3.4985413473292391E-2</c:v>
                </c:pt>
                <c:pt idx="141">
                  <c:v>3.4804234224648838E-2</c:v>
                </c:pt>
                <c:pt idx="142">
                  <c:v>3.4615208669355316E-2</c:v>
                </c:pt>
                <c:pt idx="143">
                  <c:v>3.4418428674159375E-2</c:v>
                </c:pt>
                <c:pt idx="144">
                  <c:v>3.4213985453755855E-2</c:v>
                </c:pt>
                <c:pt idx="145">
                  <c:v>3.4001969276591743E-2</c:v>
                </c:pt>
                <c:pt idx="146">
                  <c:v>3.4074137769842222E-2</c:v>
                </c:pt>
                <c:pt idx="147">
                  <c:v>3.3846048735956945E-2</c:v>
                </c:pt>
                <c:pt idx="148">
                  <c:v>3.3610658740645061E-2</c:v>
                </c:pt>
                <c:pt idx="149">
                  <c:v>3.3656158556574278E-2</c:v>
                </c:pt>
                <c:pt idx="150">
                  <c:v>3.3405251056748242E-2</c:v>
                </c:pt>
                <c:pt idx="151">
                  <c:v>3.3433066372062295E-2</c:v>
                </c:pt>
                <c:pt idx="152">
                  <c:v>3.3451603347224801E-2</c:v>
                </c:pt>
                <c:pt idx="153">
                  <c:v>3.3177524733807452E-2</c:v>
                </c:pt>
                <c:pt idx="154">
                  <c:v>3.2896671928206646E-2</c:v>
                </c:pt>
                <c:pt idx="155">
                  <c:v>3.2890272184951122E-2</c:v>
                </c:pt>
                <c:pt idx="156">
                  <c:v>3.2594977715441537E-2</c:v>
                </c:pt>
                <c:pt idx="157">
                  <c:v>3.2572032987727338E-2</c:v>
                </c:pt>
                <c:pt idx="158">
                  <c:v>3.2262641763517334E-2</c:v>
                </c:pt>
                <c:pt idx="159">
                  <c:v>3.222351777410936E-2</c:v>
                </c:pt>
                <c:pt idx="160">
                  <c:v>3.1900368252514966E-2</c:v>
                </c:pt>
                <c:pt idx="161">
                  <c:v>3.1845423875041037E-2</c:v>
                </c:pt>
                <c:pt idx="162">
                  <c:v>3.1508848057534379E-2</c:v>
                </c:pt>
                <c:pt idx="163">
                  <c:v>3.1438435532946757E-2</c:v>
                </c:pt>
                <c:pt idx="164">
                  <c:v>3.1088759584248601E-2</c:v>
                </c:pt>
                <c:pt idx="165">
                  <c:v>3.1003224652518972E-2</c:v>
                </c:pt>
                <c:pt idx="166">
                  <c:v>3.0909716039619409E-2</c:v>
                </c:pt>
                <c:pt idx="167">
                  <c:v>3.0540450518511838E-2</c:v>
                </c:pt>
                <c:pt idx="168">
                  <c:v>3.0432332024642027E-2</c:v>
                </c:pt>
                <c:pt idx="169">
                  <c:v>3.031650072149477E-2</c:v>
                </c:pt>
                <c:pt idx="170">
                  <c:v>2.9928362592971627E-2</c:v>
                </c:pt>
                <c:pt idx="171">
                  <c:v>2.9798419930277157E-2</c:v>
                </c:pt>
                <c:pt idx="172">
                  <c:v>2.9923599355501991E-2</c:v>
                </c:pt>
                <c:pt idx="173">
                  <c:v>2.9777781908434078E-2</c:v>
                </c:pt>
                <c:pt idx="174">
                  <c:v>2.9364179283139422E-2</c:v>
                </c:pt>
                <c:pt idx="175">
                  <c:v>2.9204908689926583E-2</c:v>
                </c:pt>
                <c:pt idx="176">
                  <c:v>2.9038514531571063E-2</c:v>
                </c:pt>
                <c:pt idx="177">
                  <c:v>2.8865078917351582E-2</c:v>
                </c:pt>
                <c:pt idx="178">
                  <c:v>2.8428278105178444E-2</c:v>
                </c:pt>
                <c:pt idx="179">
                  <c:v>2.8242013717747899E-2</c:v>
                </c:pt>
                <c:pt idx="180">
                  <c:v>2.8048944125684466E-2</c:v>
                </c:pt>
                <c:pt idx="181">
                  <c:v>2.7849148610157554E-2</c:v>
                </c:pt>
                <c:pt idx="182">
                  <c:v>2.7390315355481486E-2</c:v>
                </c:pt>
                <c:pt idx="183">
                  <c:v>2.7178293678272805E-2</c:v>
                </c:pt>
                <c:pt idx="184">
                  <c:v>2.6959774366591506E-2</c:v>
                </c:pt>
                <c:pt idx="185">
                  <c:v>2.6734833571952603E-2</c:v>
                </c:pt>
                <c:pt idx="186">
                  <c:v>2.6503547253737905E-2</c:v>
                </c:pt>
                <c:pt idx="187">
                  <c:v>2.6513471621255658E-2</c:v>
                </c:pt>
                <c:pt idx="188">
                  <c:v>2.6268751387598935E-2</c:v>
                </c:pt>
                <c:pt idx="189">
                  <c:v>2.6017913494441058E-2</c:v>
                </c:pt>
                <c:pt idx="190">
                  <c:v>2.5761031143104036E-2</c:v>
                </c:pt>
                <c:pt idx="191">
                  <c:v>2.5498176893217411E-2</c:v>
                </c:pt>
                <c:pt idx="192">
                  <c:v>2.5472113358912266E-2</c:v>
                </c:pt>
                <c:pt idx="193">
                  <c:v>2.519658618903646E-2</c:v>
                </c:pt>
                <c:pt idx="194">
                  <c:v>2.5156112088915786E-2</c:v>
                </c:pt>
                <c:pt idx="195">
                  <c:v>2.4868212811567664E-2</c:v>
                </c:pt>
                <c:pt idx="196">
                  <c:v>2.4574704096405928E-2</c:v>
                </c:pt>
                <c:pt idx="197">
                  <c:v>2.4275654541298798E-2</c:v>
                </c:pt>
                <c:pt idx="198">
                  <c:v>2.4208225268775953E-2</c:v>
                </c:pt>
                <c:pt idx="199">
                  <c:v>2.3897381345960686E-2</c:v>
                </c:pt>
                <c:pt idx="200">
                  <c:v>2.3581204001185085E-2</c:v>
                </c:pt>
                <c:pt idx="201">
                  <c:v>2.349411348177189E-2</c:v>
                </c:pt>
                <c:pt idx="202">
                  <c:v>2.3166564484753811E-2</c:v>
                </c:pt>
                <c:pt idx="203">
                  <c:v>2.283388440344044E-2</c:v>
                </c:pt>
                <c:pt idx="204">
                  <c:v>2.2727791262213644E-2</c:v>
                </c:pt>
                <c:pt idx="205">
                  <c:v>2.238415164365376E-2</c:v>
                </c:pt>
                <c:pt idx="206">
                  <c:v>2.2265451897122993E-2</c:v>
                </c:pt>
                <c:pt idx="207">
                  <c:v>2.1911124766837549E-2</c:v>
                </c:pt>
                <c:pt idx="208">
                  <c:v>2.1780104878245003E-2</c:v>
                </c:pt>
                <c:pt idx="209">
                  <c:v>2.1415357614230471E-2</c:v>
                </c:pt>
                <c:pt idx="210">
                  <c:v>2.127229934693986E-2</c:v>
                </c:pt>
                <c:pt idx="211">
                  <c:v>2.0897395018001679E-2</c:v>
                </c:pt>
                <c:pt idx="212">
                  <c:v>2.0967209514465603E-2</c:v>
                </c:pt>
                <c:pt idx="213">
                  <c:v>2.0805322880356778E-2</c:v>
                </c:pt>
                <c:pt idx="214">
                  <c:v>2.0414384679440109E-2</c:v>
                </c:pt>
                <c:pt idx="215">
                  <c:v>2.0241156028436319E-2</c:v>
                </c:pt>
                <c:pt idx="216">
                  <c:v>2.0061932619316238E-2</c:v>
                </c:pt>
                <c:pt idx="217">
                  <c:v>1.9656406877422913E-2</c:v>
                </c:pt>
                <c:pt idx="218">
                  <c:v>1.9466242672036341E-2</c:v>
                </c:pt>
                <c:pt idx="219">
                  <c:v>1.90515852717397E-2</c:v>
                </c:pt>
                <c:pt idx="220">
                  <c:v>1.8850739913932251E-2</c:v>
                </c:pt>
                <c:pt idx="221">
                  <c:v>1.8644235921244885E-2</c:v>
                </c:pt>
                <c:pt idx="222">
                  <c:v>1.8215922048623857E-2</c:v>
                </c:pt>
                <c:pt idx="223">
                  <c:v>1.7999122381868897E-2</c:v>
                </c:pt>
                <c:pt idx="224">
                  <c:v>1.7776860047707722E-2</c:v>
                </c:pt>
                <c:pt idx="225">
                  <c:v>1.7549200598456844E-2</c:v>
                </c:pt>
                <c:pt idx="226">
                  <c:v>1.7316209229086575E-2</c:v>
                </c:pt>
                <c:pt idx="227">
                  <c:v>1.7077950413457461E-2</c:v>
                </c:pt>
                <c:pt idx="228">
                  <c:v>1.6834488059579756E-2</c:v>
                </c:pt>
                <c:pt idx="229">
                  <c:v>1.6585885752239952E-2</c:v>
                </c:pt>
                <c:pt idx="230">
                  <c:v>1.6541961596530708E-2</c:v>
                </c:pt>
                <c:pt idx="231">
                  <c:v>1.6282476189209843E-2</c:v>
                </c:pt>
                <c:pt idx="232">
                  <c:v>1.601804179064702E-2</c:v>
                </c:pt>
                <c:pt idx="233">
                  <c:v>1.5748720045887572E-2</c:v>
                </c:pt>
                <c:pt idx="234">
                  <c:v>1.5474571806559336E-2</c:v>
                </c:pt>
                <c:pt idx="235">
                  <c:v>1.5195657705867031E-2</c:v>
                </c:pt>
                <c:pt idx="236">
                  <c:v>1.5117095218821661E-2</c:v>
                </c:pt>
                <c:pt idx="237">
                  <c:v>1.4828058383280164E-2</c:v>
                </c:pt>
                <c:pt idx="238">
                  <c:v>1.4534437896528404E-2</c:v>
                </c:pt>
                <c:pt idx="239">
                  <c:v>1.4236292398511879E-2</c:v>
                </c:pt>
                <c:pt idx="240">
                  <c:v>1.4135674375230294E-2</c:v>
                </c:pt>
                <c:pt idx="241">
                  <c:v>1.3827895752633958E-2</c:v>
                </c:pt>
                <c:pt idx="242">
                  <c:v>1.3515768759036872E-2</c:v>
                </c:pt>
                <c:pt idx="243">
                  <c:v>1.339908210573632E-2</c:v>
                </c:pt>
                <c:pt idx="244">
                  <c:v>1.3077680993393324E-2</c:v>
                </c:pt>
                <c:pt idx="245">
                  <c:v>1.2752103867342636E-2</c:v>
                </c:pt>
                <c:pt idx="246">
                  <c:v>1.2619905560188242E-2</c:v>
                </c:pt>
                <c:pt idx="247">
                  <c:v>1.2482166172800985E-2</c:v>
                </c:pt>
                <c:pt idx="248">
                  <c:v>1.2338949995407571E-2</c:v>
                </c:pt>
                <c:pt idx="249">
                  <c:v>1.1995026532774459E-2</c:v>
                </c:pt>
                <c:pt idx="250">
                  <c:v>1.1841776301527003E-2</c:v>
                </c:pt>
                <c:pt idx="251">
                  <c:v>1.1295553686774921E-2</c:v>
                </c:pt>
                <c:pt idx="252">
                  <c:v>1.1133230364207556E-2</c:v>
                </c:pt>
                <c:pt idx="253">
                  <c:v>1.0773334468112366E-2</c:v>
                </c:pt>
                <c:pt idx="254">
                  <c:v>1.0601444794989229E-2</c:v>
                </c:pt>
                <c:pt idx="255">
                  <c:v>1.0424502384708958E-2</c:v>
                </c:pt>
                <c:pt idx="256">
                  <c:v>1.0052305766074958E-2</c:v>
                </c:pt>
                <c:pt idx="257">
                  <c:v>9.866146133444692E-3</c:v>
                </c:pt>
                <c:pt idx="258">
                  <c:v>9.6751109950472276E-3</c:v>
                </c:pt>
                <c:pt idx="259">
                  <c:v>9.2911086506782623E-3</c:v>
                </c:pt>
                <c:pt idx="260">
                  <c:v>9.0911975774959769E-3</c:v>
                </c:pt>
                <c:pt idx="261">
                  <c:v>8.8865842531128166E-3</c:v>
                </c:pt>
                <c:pt idx="262">
                  <c:v>8.6773265664556211E-3</c:v>
                </c:pt>
                <c:pt idx="263">
                  <c:v>8.4634819478072668E-3</c:v>
                </c:pt>
                <c:pt idx="264">
                  <c:v>8.4297984733794334E-3</c:v>
                </c:pt>
                <c:pt idx="265">
                  <c:v>8.0222593607802099E-3</c:v>
                </c:pt>
                <c:pt idx="266">
                  <c:v>7.7949941275931829E-3</c:v>
                </c:pt>
                <c:pt idx="267">
                  <c:v>7.563367351542157E-3</c:v>
                </c:pt>
                <c:pt idx="268">
                  <c:v>7.3274343012518202E-3</c:v>
                </c:pt>
                <c:pt idx="269">
                  <c:v>7.0872498744746111E-3</c:v>
                </c:pt>
                <c:pt idx="270">
                  <c:v>6.8428685797506869E-3</c:v>
                </c:pt>
                <c:pt idx="271">
                  <c:v>6.5943444627111058E-3</c:v>
                </c:pt>
                <c:pt idx="272">
                  <c:v>6.3417311590485501E-3</c:v>
                </c:pt>
                <c:pt idx="273">
                  <c:v>6.2637270139997417E-3</c:v>
                </c:pt>
                <c:pt idx="274">
                  <c:v>6.0024369971392912E-3</c:v>
                </c:pt>
                <c:pt idx="275">
                  <c:v>5.73721911566676E-3</c:v>
                </c:pt>
                <c:pt idx="276">
                  <c:v>5.4681254015107204E-3</c:v>
                </c:pt>
                <c:pt idx="277">
                  <c:v>5.0191770936473578E-3</c:v>
                </c:pt>
                <c:pt idx="278">
                  <c:v>4.9185169553473572E-3</c:v>
                </c:pt>
                <c:pt idx="279">
                  <c:v>4.638104482366498E-3</c:v>
                </c:pt>
                <c:pt idx="280">
                  <c:v>4.3540205210731804E-3</c:v>
                </c:pt>
                <c:pt idx="281">
                  <c:v>4.2397738833371409E-3</c:v>
                </c:pt>
                <c:pt idx="282">
                  <c:v>4.120682929158505E-3</c:v>
                </c:pt>
                <c:pt idx="283">
                  <c:v>3.8246170404728935E-3</c:v>
                </c:pt>
                <c:pt idx="284">
                  <c:v>3.6966401975333991E-3</c:v>
                </c:pt>
                <c:pt idx="285">
                  <c:v>3.3930590332859412E-3</c:v>
                </c:pt>
                <c:pt idx="286">
                  <c:v>3.2564118479264112E-3</c:v>
                </c:pt>
                <c:pt idx="287">
                  <c:v>2.9455188869383373E-3</c:v>
                </c:pt>
                <c:pt idx="288">
                  <c:v>2.8004135719762258E-3</c:v>
                </c:pt>
                <c:pt idx="289">
                  <c:v>2.482409299754536E-3</c:v>
                </c:pt>
                <c:pt idx="290">
                  <c:v>2.3290551117987508E-3</c:v>
                </c:pt>
                <c:pt idx="291">
                  <c:v>2.0041370245345463E-3</c:v>
                </c:pt>
                <c:pt idx="292">
                  <c:v>1.8427400402553742E-3</c:v>
                </c:pt>
                <c:pt idx="293">
                  <c:v>1.6770937582825179E-3</c:v>
                </c:pt>
                <c:pt idx="294">
                  <c:v>1.3418661367705757E-3</c:v>
                </c:pt>
                <c:pt idx="295">
                  <c:v>1.1684831741646487E-3</c:v>
                </c:pt>
                <c:pt idx="296">
                  <c:v>9.9100595007148209E-4</c:v>
                </c:pt>
                <c:pt idx="297">
                  <c:v>9.7306784648281959E-4</c:v>
                </c:pt>
                <c:pt idx="298">
                  <c:v>6.2397556906875666E-4</c:v>
                </c:pt>
                <c:pt idx="299">
                  <c:v>2.7213279776869216E-4</c:v>
                </c:pt>
                <c:pt idx="300">
                  <c:v>7.9383920356406181E-5</c:v>
                </c:pt>
                <c:pt idx="301">
                  <c:v>1.172066141431126E-4</c:v>
                </c:pt>
                <c:pt idx="302">
                  <c:v>3.1758880840655762E-4</c:v>
                </c:pt>
                <c:pt idx="303">
                  <c:v>5.2171326400845955E-4</c:v>
                </c:pt>
                <c:pt idx="304">
                  <c:v>7.2953066628634645E-4</c:v>
                </c:pt>
                <c:pt idx="305">
                  <c:v>9.4099233318487594E-4</c:v>
                </c:pt>
                <c:pt idx="306">
                  <c:v>1.1560498018719331E-3</c:v>
                </c:pt>
                <c:pt idx="307">
                  <c:v>1.3746548128121779E-3</c:v>
                </c:pt>
                <c:pt idx="308">
                  <c:v>1.5967597476491137E-3</c:v>
                </c:pt>
                <c:pt idx="309">
                  <c:v>1.8223171804535221E-3</c:v>
                </c:pt>
                <c:pt idx="310">
                  <c:v>2.051280084645371E-3</c:v>
                </c:pt>
                <c:pt idx="311">
                  <c:v>2.2836016890253803E-3</c:v>
                </c:pt>
                <c:pt idx="312">
                  <c:v>2.3643494392515396E-3</c:v>
                </c:pt>
                <c:pt idx="313">
                  <c:v>2.4494865767089023E-3</c:v>
                </c:pt>
                <c:pt idx="314">
                  <c:v>2.6927255953562556E-3</c:v>
                </c:pt>
                <c:pt idx="315">
                  <c:v>2.7859273056148287E-3</c:v>
                </c:pt>
                <c:pt idx="316">
                  <c:v>3.036017584645384E-3</c:v>
                </c:pt>
                <c:pt idx="317">
                  <c:v>3.2891867049556489E-3</c:v>
                </c:pt>
                <c:pt idx="318">
                  <c:v>3.5453904359164612E-3</c:v>
                </c:pt>
                <c:pt idx="319">
                  <c:v>3.8045847364201256E-3</c:v>
                </c:pt>
                <c:pt idx="320">
                  <c:v>4.0667258235537783E-3</c:v>
                </c:pt>
                <c:pt idx="321">
                  <c:v>4.1818575017002124E-3</c:v>
                </c:pt>
                <c:pt idx="322">
                  <c:v>4.4503040952855021E-3</c:v>
                </c:pt>
                <c:pt idx="323">
                  <c:v>4.5727346642148396E-3</c:v>
                </c:pt>
                <c:pt idx="324">
                  <c:v>4.6990132241299352E-3</c:v>
                </c:pt>
                <c:pt idx="325">
                  <c:v>4.9768497047798137E-3</c:v>
                </c:pt>
                <c:pt idx="326">
                  <c:v>5.1101459446881974E-3</c:v>
                </c:pt>
                <c:pt idx="327">
                  <c:v>5.2471479363795171E-3</c:v>
                </c:pt>
                <c:pt idx="328">
                  <c:v>5.3878082091266908E-3</c:v>
                </c:pt>
                <c:pt idx="329">
                  <c:v>5.53207981945602E-3</c:v>
                </c:pt>
                <c:pt idx="330">
                  <c:v>5.6799158422033685E-3</c:v>
                </c:pt>
                <c:pt idx="331">
                  <c:v>5.831269916106557E-3</c:v>
                </c:pt>
                <c:pt idx="332">
                  <c:v>6.1301641137066643E-3</c:v>
                </c:pt>
                <c:pt idx="333">
                  <c:v>6.287897399594543E-3</c:v>
                </c:pt>
                <c:pt idx="334">
                  <c:v>6.449013424112332E-3</c:v>
                </c:pt>
                <c:pt idx="335">
                  <c:v>6.755984952202059E-3</c:v>
                </c:pt>
                <c:pt idx="336">
                  <c:v>6.9232186764156215E-3</c:v>
                </c:pt>
                <c:pt idx="337">
                  <c:v>7.0937028588015571E-3</c:v>
                </c:pt>
                <c:pt idx="338">
                  <c:v>7.2673932940379351E-3</c:v>
                </c:pt>
                <c:pt idx="339">
                  <c:v>7.4442462408948534E-3</c:v>
                </c:pt>
                <c:pt idx="340">
                  <c:v>7.6242180946387616E-3</c:v>
                </c:pt>
                <c:pt idx="341">
                  <c:v>7.8072657633335291E-3</c:v>
                </c:pt>
                <c:pt idx="342">
                  <c:v>7.9933462089315736E-3</c:v>
                </c:pt>
                <c:pt idx="343">
                  <c:v>7.9054772233236904E-3</c:v>
                </c:pt>
                <c:pt idx="344">
                  <c:v>8.0984902740118894E-3</c:v>
                </c:pt>
                <c:pt idx="345">
                  <c:v>8.2944055442019243E-3</c:v>
                </c:pt>
                <c:pt idx="346">
                  <c:v>8.4931813576970064E-3</c:v>
                </c:pt>
                <c:pt idx="347">
                  <c:v>8.5582842150025706E-3</c:v>
                </c:pt>
                <c:pt idx="348">
                  <c:v>8.7631469029715893E-3</c:v>
                </c:pt>
                <c:pt idx="349">
                  <c:v>8.970745184037841E-3</c:v>
                </c:pt>
                <c:pt idx="350">
                  <c:v>9.1810385971480852E-3</c:v>
                </c:pt>
                <c:pt idx="351">
                  <c:v>9.3939869749764641E-3</c:v>
                </c:pt>
                <c:pt idx="352">
                  <c:v>9.4754871771348774E-3</c:v>
                </c:pt>
                <c:pt idx="353">
                  <c:v>9.6941064075857595E-3</c:v>
                </c:pt>
                <c:pt idx="354">
                  <c:v>9.782155490196091E-3</c:v>
                </c:pt>
                <c:pt idx="355">
                  <c:v>1.000628108477594E-2</c:v>
                </c:pt>
                <c:pt idx="356">
                  <c:v>1.0100708426085053E-2</c:v>
                </c:pt>
                <c:pt idx="357">
                  <c:v>1.0330178319954839E-2</c:v>
                </c:pt>
                <c:pt idx="358">
                  <c:v>1.0299606795669547E-2</c:v>
                </c:pt>
                <c:pt idx="359">
                  <c:v>1.0403991123510715E-2</c:v>
                </c:pt>
                <c:pt idx="360">
                  <c:v>1.0511608059864588E-2</c:v>
                </c:pt>
                <c:pt idx="361">
                  <c:v>1.0752220719369654E-2</c:v>
                </c:pt>
                <c:pt idx="362">
                  <c:v>1.0865711294305778E-2</c:v>
                </c:pt>
                <c:pt idx="363">
                  <c:v>1.1111188899026963E-2</c:v>
                </c:pt>
                <c:pt idx="364">
                  <c:v>1.1230392087040433E-2</c:v>
                </c:pt>
                <c:pt idx="365">
                  <c:v>1.1352621229978752E-2</c:v>
                </c:pt>
                <c:pt idx="366">
                  <c:v>1.1477835375922528E-2</c:v>
                </c:pt>
                <c:pt idx="367">
                  <c:v>1.1605993523165638E-2</c:v>
                </c:pt>
                <c:pt idx="368">
                  <c:v>1.1737055124717267E-2</c:v>
                </c:pt>
                <c:pt idx="369">
                  <c:v>1.1870979998399684E-2</c:v>
                </c:pt>
                <c:pt idx="370">
                  <c:v>1.2007728095472521E-2</c:v>
                </c:pt>
                <c:pt idx="371">
                  <c:v>1.2147259792975972E-2</c:v>
                </c:pt>
                <c:pt idx="372">
                  <c:v>1.2289535664147642E-2</c:v>
                </c:pt>
                <c:pt idx="373">
                  <c:v>1.2310164334729267E-2</c:v>
                </c:pt>
                <c:pt idx="374">
                  <c:v>1.2458254782973898E-2</c:v>
                </c:pt>
                <c:pt idx="375">
                  <c:v>1.2485504239562998E-2</c:v>
                </c:pt>
                <c:pt idx="376">
                  <c:v>1.2762275500381757E-2</c:v>
                </c:pt>
                <c:pt idx="377">
                  <c:v>1.2918129441597728E-2</c:v>
                </c:pt>
                <c:pt idx="378">
                  <c:v>1.2954343213935817E-2</c:v>
                </c:pt>
                <c:pt idx="379">
                  <c:v>1.3115618799154268E-2</c:v>
                </c:pt>
                <c:pt idx="380">
                  <c:v>1.3279330244198181E-2</c:v>
                </c:pt>
                <c:pt idx="381">
                  <c:v>1.3324588547373327E-2</c:v>
                </c:pt>
                <c:pt idx="382">
                  <c:v>1.3493491283562711E-2</c:v>
                </c:pt>
                <c:pt idx="383">
                  <c:v>1.3544725015795737E-2</c:v>
                </c:pt>
                <c:pt idx="384">
                  <c:v>1.3599100900157299E-2</c:v>
                </c:pt>
                <c:pt idx="385">
                  <c:v>1.3775719017454441E-2</c:v>
                </c:pt>
                <c:pt idx="386">
                  <c:v>1.3835833647758221E-2</c:v>
                </c:pt>
                <c:pt idx="387">
                  <c:v>1.4135561119013955E-2</c:v>
                </c:pt>
                <c:pt idx="388">
                  <c:v>1.4082965365251795E-2</c:v>
                </c:pt>
                <c:pt idx="389">
                  <c:v>1.4151609853610577E-2</c:v>
                </c:pt>
                <c:pt idx="390">
                  <c:v>1.4223160029286879E-2</c:v>
                </c:pt>
                <c:pt idx="391">
                  <c:v>1.4414199003224333E-2</c:v>
                </c:pt>
                <c:pt idx="392">
                  <c:v>1.4491029714345717E-2</c:v>
                </c:pt>
                <c:pt idx="393">
                  <c:v>1.4570651673044594E-2</c:v>
                </c:pt>
                <c:pt idx="394">
                  <c:v>1.4653026796304177E-2</c:v>
                </c:pt>
                <c:pt idx="395">
                  <c:v>1.4738117258595017E-2</c:v>
                </c:pt>
                <c:pt idx="396">
                  <c:v>1.482588540477045E-2</c:v>
                </c:pt>
                <c:pt idx="397">
                  <c:v>1.4916294022054789E-2</c:v>
                </c:pt>
                <c:pt idx="398">
                  <c:v>1.5123060260013225E-2</c:v>
                </c:pt>
                <c:pt idx="399">
                  <c:v>1.5218235326007256E-2</c:v>
                </c:pt>
                <c:pt idx="400">
                  <c:v>1.5202993409577915E-2</c:v>
                </c:pt>
                <c:pt idx="401">
                  <c:v>1.5303596007545335E-2</c:v>
                </c:pt>
                <c:pt idx="402">
                  <c:v>1.5406656603236906E-2</c:v>
                </c:pt>
                <c:pt idx="403">
                  <c:v>1.5400388334048498E-2</c:v>
                </c:pt>
                <c:pt idx="404">
                  <c:v>1.5397299244007007E-2</c:v>
                </c:pt>
                <c:pt idx="405">
                  <c:v>1.5508309498842944E-2</c:v>
                </c:pt>
                <c:pt idx="406">
                  <c:v>1.5621633466235081E-2</c:v>
                </c:pt>
                <c:pt idx="407">
                  <c:v>1.5627061408018585E-2</c:v>
                </c:pt>
                <c:pt idx="408">
                  <c:v>1.5855084039494836E-2</c:v>
                </c:pt>
                <c:pt idx="409">
                  <c:v>1.5865745849740306E-2</c:v>
                </c:pt>
                <c:pt idx="410">
                  <c:v>1.5988367617887866E-2</c:v>
                </c:pt>
                <c:pt idx="411">
                  <c:v>1.6004508028168395E-2</c:v>
                </c:pt>
                <c:pt idx="412">
                  <c:v>1.6131763601833903E-2</c:v>
                </c:pt>
                <c:pt idx="413">
                  <c:v>1.6153237430862326E-2</c:v>
                </c:pt>
                <c:pt idx="414">
                  <c:v>1.6177515013783655E-2</c:v>
                </c:pt>
                <c:pt idx="415">
                  <c:v>1.6311652495799276E-2</c:v>
                </c:pt>
                <c:pt idx="416">
                  <c:v>1.6341048186468501E-2</c:v>
                </c:pt>
                <c:pt idx="417">
                  <c:v>1.6479475853539212E-2</c:v>
                </c:pt>
                <c:pt idx="418">
                  <c:v>1.6407888920494947E-2</c:v>
                </c:pt>
                <c:pt idx="419">
                  <c:v>1.6445261982739986E-2</c:v>
                </c:pt>
                <c:pt idx="420">
                  <c:v>1.6485222488374609E-2</c:v>
                </c:pt>
                <c:pt idx="421">
                  <c:v>1.663257568594851E-2</c:v>
                </c:pt>
                <c:pt idx="422">
                  <c:v>1.6677234751991277E-2</c:v>
                </c:pt>
                <c:pt idx="423">
                  <c:v>1.6620276465391846E-2</c:v>
                </c:pt>
                <c:pt idx="424">
                  <c:v>1.6670235657818382E-2</c:v>
                </c:pt>
                <c:pt idx="425">
                  <c:v>1.672260799713797E-2</c:v>
                </c:pt>
                <c:pt idx="426">
                  <c:v>1.6880360785610733E-2</c:v>
                </c:pt>
                <c:pt idx="427">
                  <c:v>1.6937093532425188E-2</c:v>
                </c:pt>
                <c:pt idx="428">
                  <c:v>1.6996139180891545E-2</c:v>
                </c:pt>
                <c:pt idx="429">
                  <c:v>1.6955549899814137E-2</c:v>
                </c:pt>
                <c:pt idx="430">
                  <c:v>1.7019481051336459E-2</c:v>
                </c:pt>
                <c:pt idx="431">
                  <c:v>1.7085624269444488E-2</c:v>
                </c:pt>
                <c:pt idx="432">
                  <c:v>1.6952269297786243E-2</c:v>
                </c:pt>
                <c:pt idx="433">
                  <c:v>1.7023450435328342E-2</c:v>
                </c:pt>
                <c:pt idx="434">
                  <c:v>1.7196872386933397E-2</c:v>
                </c:pt>
                <c:pt idx="435">
                  <c:v>1.7172117438059867E-2</c:v>
                </c:pt>
                <c:pt idx="436">
                  <c:v>1.7150116220874492E-2</c:v>
                </c:pt>
                <c:pt idx="437">
                  <c:v>1.7229906144233725E-2</c:v>
                </c:pt>
                <c:pt idx="438">
                  <c:v>1.7212957037049781E-2</c:v>
                </c:pt>
                <c:pt idx="439">
                  <c:v>1.7297033118045008E-2</c:v>
                </c:pt>
                <c:pt idx="440">
                  <c:v>1.7285001897029639E-2</c:v>
                </c:pt>
                <c:pt idx="441">
                  <c:v>1.7275552550194809E-2</c:v>
                </c:pt>
                <c:pt idx="442">
                  <c:v>1.7365990143440396E-2</c:v>
                </c:pt>
                <c:pt idx="443">
                  <c:v>1.7361259546658733E-2</c:v>
                </c:pt>
                <c:pt idx="444">
                  <c:v>1.7455665090186274E-2</c:v>
                </c:pt>
                <c:pt idx="445">
                  <c:v>1.7455523683046321E-2</c:v>
                </c:pt>
                <c:pt idx="446">
                  <c:v>1.7457798557586911E-2</c:v>
                </c:pt>
                <c:pt idx="447">
                  <c:v>1.7366819850462237E-2</c:v>
                </c:pt>
                <c:pt idx="448">
                  <c:v>1.7374165378120591E-2</c:v>
                </c:pt>
                <c:pt idx="449">
                  <c:v>1.7383827818336171E-2</c:v>
                </c:pt>
                <c:pt idx="450">
                  <c:v>1.7395775037756449E-2</c:v>
                </c:pt>
                <c:pt idx="451">
                  <c:v>1.7409974994539928E-2</c:v>
                </c:pt>
                <c:pt idx="452">
                  <c:v>1.742639592776507E-2</c:v>
                </c:pt>
                <c:pt idx="453">
                  <c:v>1.7445006394048407E-2</c:v>
                </c:pt>
                <c:pt idx="454">
                  <c:v>1.7372469582225224E-2</c:v>
                </c:pt>
                <c:pt idx="455">
                  <c:v>1.7395693563286643E-2</c:v>
                </c:pt>
                <c:pt idx="456">
                  <c:v>1.7421012637100917E-2</c:v>
                </c:pt>
                <c:pt idx="457">
                  <c:v>1.7448396373654928E-2</c:v>
                </c:pt>
                <c:pt idx="458">
                  <c:v>1.7477814244028608E-2</c:v>
                </c:pt>
                <c:pt idx="459">
                  <c:v>1.741755944077816E-2</c:v>
                </c:pt>
                <c:pt idx="460">
                  <c:v>1.7451277638830798E-2</c:v>
                </c:pt>
                <c:pt idx="461">
                  <c:v>1.7395905623787546E-2</c:v>
                </c:pt>
                <c:pt idx="462">
                  <c:v>1.7252374020018012E-2</c:v>
                </c:pt>
                <c:pt idx="463">
                  <c:v>1.7292789402551273E-2</c:v>
                </c:pt>
                <c:pt idx="464">
                  <c:v>1.7335056895834425E-2</c:v>
                </c:pt>
                <c:pt idx="465">
                  <c:v>1.7289386798274166E-2</c:v>
                </c:pt>
                <c:pt idx="466">
                  <c:v>1.7246141626840926E-2</c:v>
                </c:pt>
                <c:pt idx="467">
                  <c:v>1.7294420857672646E-2</c:v>
                </c:pt>
                <c:pt idx="468">
                  <c:v>1.7255617316241912E-2</c:v>
                </c:pt>
                <c:pt idx="469">
                  <c:v>1.7219145019984086E-2</c:v>
                </c:pt>
                <c:pt idx="470">
                  <c:v>1.7273168821074252E-2</c:v>
                </c:pt>
                <c:pt idx="471">
                  <c:v>1.7240956152718308E-2</c:v>
                </c:pt>
                <c:pt idx="472">
                  <c:v>1.7210983082204732E-2</c:v>
                </c:pt>
                <c:pt idx="473">
                  <c:v>1.7183219018861606E-2</c:v>
                </c:pt>
                <c:pt idx="474">
                  <c:v>1.7070669085777718E-2</c:v>
                </c:pt>
                <c:pt idx="475">
                  <c:v>1.7047537557602431E-2</c:v>
                </c:pt>
                <c:pt idx="476">
                  <c:v>1.702652376017209E-2</c:v>
                </c:pt>
                <c:pt idx="477">
                  <c:v>1.7093651153425801E-2</c:v>
                </c:pt>
                <c:pt idx="478">
                  <c:v>1.6904980289711938E-2</c:v>
                </c:pt>
                <c:pt idx="479">
                  <c:v>1.6890443597613984E-2</c:v>
                </c:pt>
                <c:pt idx="480">
                  <c:v>1.6792755691977343E-2</c:v>
                </c:pt>
                <c:pt idx="481">
                  <c:v>1.6782487643071671E-2</c:v>
                </c:pt>
                <c:pt idx="482">
                  <c:v>1.6689605874411172E-2</c:v>
                </c:pt>
                <c:pt idx="483">
                  <c:v>1.6767746721518102E-2</c:v>
                </c:pt>
                <c:pt idx="484">
                  <c:v>1.6679253727056417E-2</c:v>
                </c:pt>
                <c:pt idx="485">
                  <c:v>1.6676875280050348E-2</c:v>
                </c:pt>
                <c:pt idx="486">
                  <c:v>1.6592948379848003E-2</c:v>
                </c:pt>
                <c:pt idx="487">
                  <c:v>1.6511406011396723E-2</c:v>
                </c:pt>
                <c:pt idx="488">
                  <c:v>1.6432217725569791E-2</c:v>
                </c:pt>
                <c:pt idx="489">
                  <c:v>1.64378566299078E-2</c:v>
                </c:pt>
                <c:pt idx="490">
                  <c:v>1.6445211757740545E-2</c:v>
                </c:pt>
                <c:pt idx="491">
                  <c:v>1.6372329230039135E-2</c:v>
                </c:pt>
                <c:pt idx="492">
                  <c:v>1.6301683127164294E-2</c:v>
                </c:pt>
                <c:pt idx="493">
                  <c:v>1.6151889516785041E-2</c:v>
                </c:pt>
                <c:pt idx="494">
                  <c:v>1.6085912865391572E-2</c:v>
                </c:pt>
                <c:pt idx="495">
                  <c:v>1.6022084049096861E-2</c:v>
                </c:pt>
                <c:pt idx="496">
                  <c:v>1.5960374248623507E-2</c:v>
                </c:pt>
                <c:pt idx="497">
                  <c:v>1.5900754951603209E-2</c:v>
                </c:pt>
                <c:pt idx="498">
                  <c:v>1.5843197772169082E-2</c:v>
                </c:pt>
                <c:pt idx="499">
                  <c:v>1.5708012904803784E-2</c:v>
                </c:pt>
                <c:pt idx="500">
                  <c:v>1.5734157614098521E-2</c:v>
                </c:pt>
                <c:pt idx="501">
                  <c:v>1.5682618991520365E-2</c:v>
                </c:pt>
                <c:pt idx="502">
                  <c:v>1.5554201718002425E-2</c:v>
                </c:pt>
                <c:pt idx="503">
                  <c:v>1.5506812915745079E-2</c:v>
                </c:pt>
                <c:pt idx="504">
                  <c:v>1.5383040127547673E-2</c:v>
                </c:pt>
                <c:pt idx="505">
                  <c:v>1.5339688708079249E-2</c:v>
                </c:pt>
                <c:pt idx="506">
                  <c:v>1.5298178116774671E-2</c:v>
                </c:pt>
                <c:pt idx="507">
                  <c:v>1.5181019882012869E-2</c:v>
                </c:pt>
                <c:pt idx="508">
                  <c:v>1.4988999592016675E-2</c:v>
                </c:pt>
                <c:pt idx="509">
                  <c:v>1.4953661580711155E-2</c:v>
                </c:pt>
                <c:pt idx="510">
                  <c:v>1.4920056622337786E-2</c:v>
                </c:pt>
                <c:pt idx="511">
                  <c:v>1.4811773411369416E-2</c:v>
                </c:pt>
                <c:pt idx="512">
                  <c:v>1.4705705206609413E-2</c:v>
                </c:pt>
                <c:pt idx="513">
                  <c:v>1.4601823794682552E-2</c:v>
                </c:pt>
                <c:pt idx="514">
                  <c:v>1.4500101100096302E-2</c:v>
                </c:pt>
                <c:pt idx="515">
                  <c:v>1.4475834054741874E-2</c:v>
                </c:pt>
                <c:pt idx="516">
                  <c:v>1.4378082711080041E-2</c:v>
                </c:pt>
                <c:pt idx="517">
                  <c:v>1.4207608084241475E-2</c:v>
                </c:pt>
                <c:pt idx="518">
                  <c:v>1.4114243988424709E-2</c:v>
                </c:pt>
                <c:pt idx="519">
                  <c:v>1.4022901514112306E-2</c:v>
                </c:pt>
                <c:pt idx="520">
                  <c:v>1.4007574071699835E-2</c:v>
                </c:pt>
                <c:pt idx="521">
                  <c:v>1.3846174146590196E-2</c:v>
                </c:pt>
                <c:pt idx="522">
                  <c:v>1.3760736208032974E-2</c:v>
                </c:pt>
                <c:pt idx="523">
                  <c:v>1.3603964900907393E-2</c:v>
                </c:pt>
                <c:pt idx="524">
                  <c:v>1.3522587051557719E-2</c:v>
                </c:pt>
                <c:pt idx="525">
                  <c:v>1.3370332664260527E-2</c:v>
                </c:pt>
                <c:pt idx="526">
                  <c:v>1.329290774891659E-2</c:v>
                </c:pt>
                <c:pt idx="527">
                  <c:v>1.314506022373042E-2</c:v>
                </c:pt>
                <c:pt idx="528">
                  <c:v>1.2999501225526122E-2</c:v>
                </c:pt>
                <c:pt idx="529">
                  <c:v>1.2927933529286643E-2</c:v>
                </c:pt>
                <c:pt idx="530">
                  <c:v>1.2858099330451693E-2</c:v>
                </c:pt>
                <c:pt idx="531">
                  <c:v>1.2718741669928727E-2</c:v>
                </c:pt>
                <c:pt idx="532">
                  <c:v>1.2581564142952969E-2</c:v>
                </c:pt>
                <c:pt idx="533">
                  <c:v>1.2517276822220251E-2</c:v>
                </c:pt>
                <c:pt idx="534">
                  <c:v>1.2384132422551632E-2</c:v>
                </c:pt>
                <c:pt idx="535">
                  <c:v>1.2253088541496839E-2</c:v>
                </c:pt>
                <c:pt idx="536">
                  <c:v>1.2124118643128776E-2</c:v>
                </c:pt>
                <c:pt idx="537">
                  <c:v>1.1927438981351669E-2</c:v>
                </c:pt>
                <c:pt idx="538">
                  <c:v>1.1872296040804182E-2</c:v>
                </c:pt>
                <c:pt idx="539">
                  <c:v>1.1749391358553036E-2</c:v>
                </c:pt>
                <c:pt idx="540">
                  <c:v>1.1490392519779737E-2</c:v>
                </c:pt>
                <c:pt idx="541">
                  <c:v>1.1371882455656054E-2</c:v>
                </c:pt>
                <c:pt idx="542">
                  <c:v>1.1323842809190869E-2</c:v>
                </c:pt>
                <c:pt idx="543">
                  <c:v>1.1140589713088893E-2</c:v>
                </c:pt>
                <c:pt idx="544">
                  <c:v>1.1027756945719617E-2</c:v>
                </c:pt>
                <c:pt idx="545">
                  <c:v>1.0848926272034603E-2</c:v>
                </c:pt>
                <c:pt idx="546">
                  <c:v>1.0739989909698029E-2</c:v>
                </c:pt>
                <c:pt idx="547">
                  <c:v>1.0632846377917612E-2</c:v>
                </c:pt>
                <c:pt idx="548">
                  <c:v>1.0460335463424645E-2</c:v>
                </c:pt>
                <c:pt idx="549">
                  <c:v>1.0290035482615568E-2</c:v>
                </c:pt>
                <c:pt idx="550">
                  <c:v>1.018859038407129E-2</c:v>
                </c:pt>
                <c:pt idx="551">
                  <c:v>1.0022401714532034E-2</c:v>
                </c:pt>
                <c:pt idx="552">
                  <c:v>9.8583462104933593E-3</c:v>
                </c:pt>
                <c:pt idx="553">
                  <c:v>9.69639801863207E-3</c:v>
                </c:pt>
                <c:pt idx="554">
                  <c:v>9.6022808560013162E-3</c:v>
                </c:pt>
                <c:pt idx="555">
                  <c:v>9.4442423667593454E-3</c:v>
                </c:pt>
                <c:pt idx="556">
                  <c:v>9.2882356565542543E-3</c:v>
                </c:pt>
                <c:pt idx="557">
                  <c:v>9.0691683743410155E-3</c:v>
                </c:pt>
                <c:pt idx="558">
                  <c:v>8.9173758248560723E-3</c:v>
                </c:pt>
                <c:pt idx="559">
                  <c:v>8.7675394967372013E-3</c:v>
                </c:pt>
                <c:pt idx="560">
                  <c:v>8.5552424825410724E-3</c:v>
                </c:pt>
                <c:pt idx="561">
                  <c:v>8.473637554275203E-3</c:v>
                </c:pt>
                <c:pt idx="562">
                  <c:v>8.3295233788504962E-3</c:v>
                </c:pt>
                <c:pt idx="563">
                  <c:v>8.1235432233161837E-3</c:v>
                </c:pt>
                <c:pt idx="564">
                  <c:v>7.9198401973537037E-3</c:v>
                </c:pt>
                <c:pt idx="565">
                  <c:v>7.8449562882338779E-3</c:v>
                </c:pt>
                <c:pt idx="566">
                  <c:v>7.6452906861391289E-3</c:v>
                </c:pt>
                <c:pt idx="567">
                  <c:v>7.4478261600766675E-3</c:v>
                </c:pt>
                <c:pt idx="568">
                  <c:v>7.3151657874429921E-3</c:v>
                </c:pt>
                <c:pt idx="569">
                  <c:v>7.1218100494354125E-3</c:v>
                </c:pt>
                <c:pt idx="570">
                  <c:v>6.9305801920939809E-3</c:v>
                </c:pt>
                <c:pt idx="571">
                  <c:v>6.7414512202449645E-3</c:v>
                </c:pt>
                <c:pt idx="572">
                  <c:v>6.6161639544661949E-3</c:v>
                </c:pt>
                <c:pt idx="573">
                  <c:v>6.4309487528554582E-3</c:v>
                </c:pt>
                <c:pt idx="574">
                  <c:v>6.1864227100872516E-3</c:v>
                </c:pt>
                <c:pt idx="575">
                  <c:v>6.066577682130511E-3</c:v>
                </c:pt>
                <c:pt idx="576">
                  <c:v>5.8873734688895812E-3</c:v>
                </c:pt>
                <c:pt idx="577">
                  <c:v>5.6494206503208506E-3</c:v>
                </c:pt>
                <c:pt idx="578">
                  <c:v>5.4743139062171054E-3</c:v>
                </c:pt>
                <c:pt idx="579">
                  <c:v>5.3011147454870046E-3</c:v>
                </c:pt>
                <c:pt idx="580">
                  <c:v>5.1297997888987918E-3</c:v>
                </c:pt>
                <c:pt idx="581">
                  <c:v>4.9004769949577472E-3</c:v>
                </c:pt>
                <c:pt idx="582">
                  <c:v>4.7927298630257983E-3</c:v>
                </c:pt>
                <c:pt idx="583">
                  <c:v>4.5674731796212387E-3</c:v>
                </c:pt>
                <c:pt idx="584">
                  <c:v>4.3444198796317689E-3</c:v>
                </c:pt>
                <c:pt idx="585">
                  <c:v>4.1825906004892841E-3</c:v>
                </c:pt>
                <c:pt idx="586">
                  <c:v>4.0225073661125134E-3</c:v>
                </c:pt>
                <c:pt idx="587">
                  <c:v>3.805509580209877E-3</c:v>
                </c:pt>
                <c:pt idx="588">
                  <c:v>3.6490544420422072E-3</c:v>
                </c:pt>
                <c:pt idx="589">
                  <c:v>3.4360443932569158E-3</c:v>
                </c:pt>
                <c:pt idx="590">
                  <c:v>3.2250939145440851E-3</c:v>
                </c:pt>
                <c:pt idx="591">
                  <c:v>2.9583467944107569E-3</c:v>
                </c:pt>
                <c:pt idx="592">
                  <c:v>2.7516440994067009E-3</c:v>
                </c:pt>
                <c:pt idx="593">
                  <c:v>2.5469295758951348E-3</c:v>
                </c:pt>
                <c:pt idx="594">
                  <c:v>2.4014157959382034E-3</c:v>
                </c:pt>
                <c:pt idx="595">
                  <c:v>2.1433723640040436E-3</c:v>
                </c:pt>
                <c:pt idx="596">
                  <c:v>1.9444837585848149E-3</c:v>
                </c:pt>
                <c:pt idx="597">
                  <c:v>1.747491492636291E-3</c:v>
                </c:pt>
                <c:pt idx="598">
                  <c:v>1.552373014703433E-3</c:v>
                </c:pt>
                <c:pt idx="599">
                  <c:v>1.302850411561937E-3</c:v>
                </c:pt>
                <c:pt idx="600">
                  <c:v>1.6950000000001352E-3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E5-4B19-A772-417024269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612128"/>
        <c:axId val="284613088"/>
      </c:scatterChart>
      <c:valAx>
        <c:axId val="2846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13088"/>
        <c:crosses val="autoZero"/>
        <c:crossBetween val="midCat"/>
      </c:valAx>
      <c:valAx>
        <c:axId val="2846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1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Cal_Error!$I$1</c:f>
              <c:strCache>
                <c:ptCount val="1"/>
                <c:pt idx="0">
                  <c:v>Error_Voltage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Cal_Error!$C$2:$C$602</c:f>
              <c:numCache>
                <c:formatCode>0.000000000</c:formatCode>
                <c:ptCount val="601"/>
                <c:pt idx="0">
                  <c:v>0</c:v>
                </c:pt>
                <c:pt idx="1">
                  <c:v>8.3330000000000001E-3</c:v>
                </c:pt>
                <c:pt idx="2">
                  <c:v>1.6667000000000001E-2</c:v>
                </c:pt>
                <c:pt idx="3">
                  <c:v>2.5000000000000001E-2</c:v>
                </c:pt>
                <c:pt idx="4">
                  <c:v>3.3333000000000002E-2</c:v>
                </c:pt>
                <c:pt idx="5">
                  <c:v>4.1667000000000003E-2</c:v>
                </c:pt>
                <c:pt idx="6">
                  <c:v>0.05</c:v>
                </c:pt>
                <c:pt idx="7">
                  <c:v>5.8333000000000003E-2</c:v>
                </c:pt>
                <c:pt idx="8">
                  <c:v>6.6667000000000004E-2</c:v>
                </c:pt>
                <c:pt idx="9">
                  <c:v>7.4999999999999997E-2</c:v>
                </c:pt>
                <c:pt idx="10">
                  <c:v>8.3333000000000004E-2</c:v>
                </c:pt>
                <c:pt idx="11">
                  <c:v>9.1666999999999998E-2</c:v>
                </c:pt>
                <c:pt idx="12">
                  <c:v>0.1</c:v>
                </c:pt>
                <c:pt idx="13">
                  <c:v>0.108333</c:v>
                </c:pt>
                <c:pt idx="14">
                  <c:v>0.11666700000000001</c:v>
                </c:pt>
                <c:pt idx="15">
                  <c:v>0.125</c:v>
                </c:pt>
                <c:pt idx="16">
                  <c:v>0.13333300000000001</c:v>
                </c:pt>
                <c:pt idx="17">
                  <c:v>0.14166699999999999</c:v>
                </c:pt>
                <c:pt idx="18">
                  <c:v>0.15</c:v>
                </c:pt>
                <c:pt idx="19">
                  <c:v>0.158333</c:v>
                </c:pt>
                <c:pt idx="20">
                  <c:v>0.16666700000000001</c:v>
                </c:pt>
                <c:pt idx="21">
                  <c:v>0.17499999999999999</c:v>
                </c:pt>
                <c:pt idx="22">
                  <c:v>0.183333</c:v>
                </c:pt>
                <c:pt idx="23">
                  <c:v>0.191667</c:v>
                </c:pt>
                <c:pt idx="24">
                  <c:v>0.2</c:v>
                </c:pt>
                <c:pt idx="25">
                  <c:v>0.20833299999999999</c:v>
                </c:pt>
                <c:pt idx="26">
                  <c:v>0.216667</c:v>
                </c:pt>
                <c:pt idx="27">
                  <c:v>0.22500000000000001</c:v>
                </c:pt>
                <c:pt idx="28">
                  <c:v>0.23333300000000001</c:v>
                </c:pt>
                <c:pt idx="29">
                  <c:v>0.24166699999999999</c:v>
                </c:pt>
                <c:pt idx="30">
                  <c:v>0.25</c:v>
                </c:pt>
                <c:pt idx="31">
                  <c:v>0.25833299999999998</c:v>
                </c:pt>
                <c:pt idx="32">
                  <c:v>0.26666699999999999</c:v>
                </c:pt>
                <c:pt idx="33">
                  <c:v>0.27500000000000002</c:v>
                </c:pt>
                <c:pt idx="34">
                  <c:v>0.283333</c:v>
                </c:pt>
                <c:pt idx="35">
                  <c:v>0.29166700000000001</c:v>
                </c:pt>
                <c:pt idx="36">
                  <c:v>0.3</c:v>
                </c:pt>
                <c:pt idx="37">
                  <c:v>0.30833300000000002</c:v>
                </c:pt>
                <c:pt idx="38">
                  <c:v>0.31666699999999998</c:v>
                </c:pt>
                <c:pt idx="39">
                  <c:v>0.32500000000000001</c:v>
                </c:pt>
                <c:pt idx="40">
                  <c:v>0.33333299999999999</c:v>
                </c:pt>
                <c:pt idx="41">
                  <c:v>0.341667</c:v>
                </c:pt>
                <c:pt idx="42">
                  <c:v>0.35</c:v>
                </c:pt>
                <c:pt idx="43">
                  <c:v>0.35833300000000001</c:v>
                </c:pt>
                <c:pt idx="44">
                  <c:v>0.36666700000000002</c:v>
                </c:pt>
                <c:pt idx="45">
                  <c:v>0.375</c:v>
                </c:pt>
                <c:pt idx="46">
                  <c:v>0.38333299999999998</c:v>
                </c:pt>
                <c:pt idx="47">
                  <c:v>0.39166699999999999</c:v>
                </c:pt>
                <c:pt idx="48">
                  <c:v>0.4</c:v>
                </c:pt>
                <c:pt idx="49">
                  <c:v>0.408333</c:v>
                </c:pt>
                <c:pt idx="50">
                  <c:v>0.41666700000000001</c:v>
                </c:pt>
                <c:pt idx="51">
                  <c:v>0.42499999999999999</c:v>
                </c:pt>
                <c:pt idx="52">
                  <c:v>0.43333300000000002</c:v>
                </c:pt>
                <c:pt idx="53">
                  <c:v>0.44166699999999998</c:v>
                </c:pt>
                <c:pt idx="54">
                  <c:v>0.45</c:v>
                </c:pt>
                <c:pt idx="55">
                  <c:v>0.45833299999999999</c:v>
                </c:pt>
                <c:pt idx="56">
                  <c:v>0.466667</c:v>
                </c:pt>
                <c:pt idx="57">
                  <c:v>0.47499999999999998</c:v>
                </c:pt>
                <c:pt idx="58">
                  <c:v>0.48333300000000001</c:v>
                </c:pt>
                <c:pt idx="59">
                  <c:v>0.49166700000000002</c:v>
                </c:pt>
                <c:pt idx="60">
                  <c:v>0.5</c:v>
                </c:pt>
                <c:pt idx="61">
                  <c:v>0.50833300000000003</c:v>
                </c:pt>
                <c:pt idx="62">
                  <c:v>0.51666699999999999</c:v>
                </c:pt>
                <c:pt idx="63">
                  <c:v>0.52500000000000002</c:v>
                </c:pt>
                <c:pt idx="64">
                  <c:v>0.53333299999999995</c:v>
                </c:pt>
                <c:pt idx="65">
                  <c:v>0.54166700000000001</c:v>
                </c:pt>
                <c:pt idx="66">
                  <c:v>0.55000000000000004</c:v>
                </c:pt>
                <c:pt idx="67">
                  <c:v>0.55833299999999997</c:v>
                </c:pt>
                <c:pt idx="68">
                  <c:v>0.56666700000000003</c:v>
                </c:pt>
                <c:pt idx="69">
                  <c:v>0.57499999999999996</c:v>
                </c:pt>
                <c:pt idx="70">
                  <c:v>0.58333299999999999</c:v>
                </c:pt>
                <c:pt idx="71">
                  <c:v>0.59166700000000005</c:v>
                </c:pt>
                <c:pt idx="72">
                  <c:v>0.6</c:v>
                </c:pt>
                <c:pt idx="73">
                  <c:v>0.60833300000000001</c:v>
                </c:pt>
                <c:pt idx="74">
                  <c:v>0.61666699999999997</c:v>
                </c:pt>
                <c:pt idx="75">
                  <c:v>0.625</c:v>
                </c:pt>
                <c:pt idx="76">
                  <c:v>0.63333300000000003</c:v>
                </c:pt>
                <c:pt idx="77">
                  <c:v>0.64166699999999999</c:v>
                </c:pt>
                <c:pt idx="78">
                  <c:v>0.65</c:v>
                </c:pt>
                <c:pt idx="79">
                  <c:v>0.65833299999999995</c:v>
                </c:pt>
                <c:pt idx="80">
                  <c:v>0.66666700000000001</c:v>
                </c:pt>
                <c:pt idx="81">
                  <c:v>0.67500000000000004</c:v>
                </c:pt>
                <c:pt idx="82">
                  <c:v>0.68333299999999997</c:v>
                </c:pt>
                <c:pt idx="83">
                  <c:v>0.69166700000000003</c:v>
                </c:pt>
                <c:pt idx="84">
                  <c:v>0.7</c:v>
                </c:pt>
                <c:pt idx="85">
                  <c:v>0.70833299999999999</c:v>
                </c:pt>
                <c:pt idx="86">
                  <c:v>0.71666700000000005</c:v>
                </c:pt>
                <c:pt idx="87">
                  <c:v>0.72499999999999998</c:v>
                </c:pt>
                <c:pt idx="88">
                  <c:v>0.73333300000000001</c:v>
                </c:pt>
                <c:pt idx="89">
                  <c:v>0.74166699999999997</c:v>
                </c:pt>
                <c:pt idx="90">
                  <c:v>0.75</c:v>
                </c:pt>
                <c:pt idx="91">
                  <c:v>0.75833300000000003</c:v>
                </c:pt>
                <c:pt idx="92">
                  <c:v>0.76666699999999999</c:v>
                </c:pt>
                <c:pt idx="93">
                  <c:v>0.77500000000000002</c:v>
                </c:pt>
                <c:pt idx="94">
                  <c:v>0.78333299999999995</c:v>
                </c:pt>
                <c:pt idx="95">
                  <c:v>0.79166700000000001</c:v>
                </c:pt>
                <c:pt idx="96">
                  <c:v>0.8</c:v>
                </c:pt>
                <c:pt idx="97">
                  <c:v>0.80833299999999997</c:v>
                </c:pt>
                <c:pt idx="98">
                  <c:v>0.81666700000000003</c:v>
                </c:pt>
                <c:pt idx="99">
                  <c:v>0.82499999999999996</c:v>
                </c:pt>
                <c:pt idx="100">
                  <c:v>0.83333299999999999</c:v>
                </c:pt>
                <c:pt idx="101">
                  <c:v>0.84166700000000005</c:v>
                </c:pt>
                <c:pt idx="102">
                  <c:v>0.85</c:v>
                </c:pt>
                <c:pt idx="103">
                  <c:v>0.85833300000000001</c:v>
                </c:pt>
                <c:pt idx="104">
                  <c:v>0.86666699999999997</c:v>
                </c:pt>
                <c:pt idx="105">
                  <c:v>0.875</c:v>
                </c:pt>
                <c:pt idx="106">
                  <c:v>0.88333300000000003</c:v>
                </c:pt>
                <c:pt idx="107">
                  <c:v>0.89166699999999999</c:v>
                </c:pt>
                <c:pt idx="108">
                  <c:v>0.9</c:v>
                </c:pt>
                <c:pt idx="109">
                  <c:v>0.90833299999999995</c:v>
                </c:pt>
                <c:pt idx="110">
                  <c:v>0.91666700000000001</c:v>
                </c:pt>
                <c:pt idx="111">
                  <c:v>0.92500000000000004</c:v>
                </c:pt>
                <c:pt idx="112">
                  <c:v>0.93333299999999997</c:v>
                </c:pt>
                <c:pt idx="113">
                  <c:v>0.94166700000000003</c:v>
                </c:pt>
                <c:pt idx="114">
                  <c:v>0.95</c:v>
                </c:pt>
                <c:pt idx="115">
                  <c:v>0.95833299999999999</c:v>
                </c:pt>
                <c:pt idx="116">
                  <c:v>0.96666700000000005</c:v>
                </c:pt>
                <c:pt idx="117">
                  <c:v>0.97499999999999998</c:v>
                </c:pt>
                <c:pt idx="118">
                  <c:v>0.98333300000000001</c:v>
                </c:pt>
                <c:pt idx="119">
                  <c:v>0.99166699999999997</c:v>
                </c:pt>
                <c:pt idx="120">
                  <c:v>1</c:v>
                </c:pt>
                <c:pt idx="121">
                  <c:v>1.0083329999999999</c:v>
                </c:pt>
                <c:pt idx="122">
                  <c:v>1.016667</c:v>
                </c:pt>
                <c:pt idx="123">
                  <c:v>1.0249999999999999</c:v>
                </c:pt>
                <c:pt idx="124">
                  <c:v>1.0333330000000001</c:v>
                </c:pt>
                <c:pt idx="125">
                  <c:v>1.0416669999999999</c:v>
                </c:pt>
                <c:pt idx="126">
                  <c:v>1.05</c:v>
                </c:pt>
                <c:pt idx="127">
                  <c:v>1.058333</c:v>
                </c:pt>
                <c:pt idx="128">
                  <c:v>1.066667</c:v>
                </c:pt>
                <c:pt idx="129">
                  <c:v>1.075</c:v>
                </c:pt>
                <c:pt idx="130">
                  <c:v>1.0833330000000001</c:v>
                </c:pt>
                <c:pt idx="131">
                  <c:v>1.0916669999999999</c:v>
                </c:pt>
                <c:pt idx="132">
                  <c:v>1.1000000000000001</c:v>
                </c:pt>
                <c:pt idx="133">
                  <c:v>1.108333</c:v>
                </c:pt>
                <c:pt idx="134">
                  <c:v>1.1166670000000001</c:v>
                </c:pt>
                <c:pt idx="135">
                  <c:v>1.125</c:v>
                </c:pt>
                <c:pt idx="136">
                  <c:v>1.1333329999999999</c:v>
                </c:pt>
                <c:pt idx="137">
                  <c:v>1.141667</c:v>
                </c:pt>
                <c:pt idx="138">
                  <c:v>1.1499999999999999</c:v>
                </c:pt>
                <c:pt idx="139">
                  <c:v>1.1583330000000001</c:v>
                </c:pt>
                <c:pt idx="140">
                  <c:v>1.1666669999999999</c:v>
                </c:pt>
                <c:pt idx="141">
                  <c:v>1.175</c:v>
                </c:pt>
                <c:pt idx="142">
                  <c:v>1.183333</c:v>
                </c:pt>
                <c:pt idx="143">
                  <c:v>1.191667</c:v>
                </c:pt>
                <c:pt idx="144">
                  <c:v>1.2</c:v>
                </c:pt>
                <c:pt idx="145">
                  <c:v>1.2083330000000001</c:v>
                </c:pt>
                <c:pt idx="146">
                  <c:v>1.2166669999999999</c:v>
                </c:pt>
                <c:pt idx="147">
                  <c:v>1.2250000000000001</c:v>
                </c:pt>
                <c:pt idx="148">
                  <c:v>1.233333</c:v>
                </c:pt>
                <c:pt idx="149">
                  <c:v>1.2416670000000001</c:v>
                </c:pt>
                <c:pt idx="150">
                  <c:v>1.25</c:v>
                </c:pt>
                <c:pt idx="151">
                  <c:v>1.2583329999999999</c:v>
                </c:pt>
                <c:pt idx="152">
                  <c:v>1.266667</c:v>
                </c:pt>
                <c:pt idx="153">
                  <c:v>1.2749999999999999</c:v>
                </c:pt>
                <c:pt idx="154">
                  <c:v>1.2833330000000001</c:v>
                </c:pt>
                <c:pt idx="155">
                  <c:v>1.2916669999999999</c:v>
                </c:pt>
                <c:pt idx="156">
                  <c:v>1.3</c:v>
                </c:pt>
                <c:pt idx="157">
                  <c:v>1.308333</c:v>
                </c:pt>
                <c:pt idx="158">
                  <c:v>1.316667</c:v>
                </c:pt>
                <c:pt idx="159">
                  <c:v>1.325</c:v>
                </c:pt>
                <c:pt idx="160">
                  <c:v>1.3333330000000001</c:v>
                </c:pt>
                <c:pt idx="161">
                  <c:v>1.3416669999999999</c:v>
                </c:pt>
                <c:pt idx="162">
                  <c:v>1.35</c:v>
                </c:pt>
                <c:pt idx="163">
                  <c:v>1.358333</c:v>
                </c:pt>
                <c:pt idx="164">
                  <c:v>1.3666670000000001</c:v>
                </c:pt>
                <c:pt idx="165">
                  <c:v>1.375</c:v>
                </c:pt>
                <c:pt idx="166">
                  <c:v>1.3833329999999999</c:v>
                </c:pt>
                <c:pt idx="167">
                  <c:v>1.391667</c:v>
                </c:pt>
                <c:pt idx="168">
                  <c:v>1.4</c:v>
                </c:pt>
                <c:pt idx="169">
                  <c:v>1.4083330000000001</c:v>
                </c:pt>
                <c:pt idx="170">
                  <c:v>1.4166669999999999</c:v>
                </c:pt>
                <c:pt idx="171">
                  <c:v>1.425</c:v>
                </c:pt>
                <c:pt idx="172">
                  <c:v>1.433333</c:v>
                </c:pt>
                <c:pt idx="173">
                  <c:v>1.441667</c:v>
                </c:pt>
                <c:pt idx="174">
                  <c:v>1.45</c:v>
                </c:pt>
                <c:pt idx="175">
                  <c:v>1.4583330000000001</c:v>
                </c:pt>
                <c:pt idx="176">
                  <c:v>1.4666669999999999</c:v>
                </c:pt>
                <c:pt idx="177">
                  <c:v>1.4750000000000001</c:v>
                </c:pt>
                <c:pt idx="178">
                  <c:v>1.483333</c:v>
                </c:pt>
                <c:pt idx="179">
                  <c:v>1.4916670000000001</c:v>
                </c:pt>
                <c:pt idx="180">
                  <c:v>1.5</c:v>
                </c:pt>
                <c:pt idx="181">
                  <c:v>1.5083329999999999</c:v>
                </c:pt>
                <c:pt idx="182">
                  <c:v>1.516667</c:v>
                </c:pt>
                <c:pt idx="183">
                  <c:v>1.5249999999999999</c:v>
                </c:pt>
                <c:pt idx="184">
                  <c:v>1.5333330000000001</c:v>
                </c:pt>
                <c:pt idx="185">
                  <c:v>1.5416669999999999</c:v>
                </c:pt>
                <c:pt idx="186">
                  <c:v>1.55</c:v>
                </c:pt>
                <c:pt idx="187">
                  <c:v>1.558333</c:v>
                </c:pt>
                <c:pt idx="188">
                  <c:v>1.566667</c:v>
                </c:pt>
                <c:pt idx="189">
                  <c:v>1.575</c:v>
                </c:pt>
                <c:pt idx="190">
                  <c:v>1.5833330000000001</c:v>
                </c:pt>
                <c:pt idx="191">
                  <c:v>1.5916669999999999</c:v>
                </c:pt>
                <c:pt idx="192">
                  <c:v>1.6</c:v>
                </c:pt>
                <c:pt idx="193">
                  <c:v>1.608333</c:v>
                </c:pt>
                <c:pt idx="194">
                  <c:v>1.6166670000000001</c:v>
                </c:pt>
                <c:pt idx="195">
                  <c:v>1.625</c:v>
                </c:pt>
                <c:pt idx="196">
                  <c:v>1.6333329999999999</c:v>
                </c:pt>
                <c:pt idx="197">
                  <c:v>1.641667</c:v>
                </c:pt>
                <c:pt idx="198">
                  <c:v>1.65</c:v>
                </c:pt>
                <c:pt idx="199">
                  <c:v>1.6583330000000001</c:v>
                </c:pt>
                <c:pt idx="200">
                  <c:v>1.6666669999999999</c:v>
                </c:pt>
                <c:pt idx="201">
                  <c:v>1.675</c:v>
                </c:pt>
                <c:pt idx="202">
                  <c:v>1.683333</c:v>
                </c:pt>
                <c:pt idx="203">
                  <c:v>1.691667</c:v>
                </c:pt>
                <c:pt idx="204">
                  <c:v>1.7</c:v>
                </c:pt>
                <c:pt idx="205">
                  <c:v>1.7083330000000001</c:v>
                </c:pt>
                <c:pt idx="206">
                  <c:v>1.7166669999999999</c:v>
                </c:pt>
                <c:pt idx="207">
                  <c:v>1.7250000000000001</c:v>
                </c:pt>
                <c:pt idx="208">
                  <c:v>1.733333</c:v>
                </c:pt>
                <c:pt idx="209">
                  <c:v>1.7416670000000001</c:v>
                </c:pt>
                <c:pt idx="210">
                  <c:v>1.75</c:v>
                </c:pt>
                <c:pt idx="211">
                  <c:v>1.7583329999999999</c:v>
                </c:pt>
                <c:pt idx="212">
                  <c:v>1.766667</c:v>
                </c:pt>
                <c:pt idx="213">
                  <c:v>1.7749999999999999</c:v>
                </c:pt>
                <c:pt idx="214">
                  <c:v>1.7833330000000001</c:v>
                </c:pt>
                <c:pt idx="215">
                  <c:v>1.7916669999999999</c:v>
                </c:pt>
                <c:pt idx="216">
                  <c:v>1.8</c:v>
                </c:pt>
                <c:pt idx="217">
                  <c:v>1.808333</c:v>
                </c:pt>
                <c:pt idx="218">
                  <c:v>1.816667</c:v>
                </c:pt>
                <c:pt idx="219">
                  <c:v>1.825</c:v>
                </c:pt>
                <c:pt idx="220">
                  <c:v>1.8333330000000001</c:v>
                </c:pt>
                <c:pt idx="221">
                  <c:v>1.8416669999999999</c:v>
                </c:pt>
                <c:pt idx="222">
                  <c:v>1.85</c:v>
                </c:pt>
                <c:pt idx="223">
                  <c:v>1.858333</c:v>
                </c:pt>
                <c:pt idx="224">
                  <c:v>1.8666670000000001</c:v>
                </c:pt>
                <c:pt idx="225">
                  <c:v>1.875</c:v>
                </c:pt>
                <c:pt idx="226">
                  <c:v>1.8833329999999999</c:v>
                </c:pt>
                <c:pt idx="227">
                  <c:v>1.891667</c:v>
                </c:pt>
                <c:pt idx="228">
                  <c:v>1.9</c:v>
                </c:pt>
                <c:pt idx="229">
                  <c:v>1.9083330000000001</c:v>
                </c:pt>
                <c:pt idx="230">
                  <c:v>1.9166669999999999</c:v>
                </c:pt>
                <c:pt idx="231">
                  <c:v>1.925</c:v>
                </c:pt>
                <c:pt idx="232">
                  <c:v>1.933333</c:v>
                </c:pt>
                <c:pt idx="233">
                  <c:v>1.941667</c:v>
                </c:pt>
                <c:pt idx="234">
                  <c:v>1.95</c:v>
                </c:pt>
                <c:pt idx="235">
                  <c:v>1.9583330000000001</c:v>
                </c:pt>
                <c:pt idx="236">
                  <c:v>1.9666669999999999</c:v>
                </c:pt>
                <c:pt idx="237">
                  <c:v>1.9750000000000001</c:v>
                </c:pt>
                <c:pt idx="238">
                  <c:v>1.983333</c:v>
                </c:pt>
                <c:pt idx="239">
                  <c:v>1.9916670000000001</c:v>
                </c:pt>
                <c:pt idx="240">
                  <c:v>2</c:v>
                </c:pt>
                <c:pt idx="241">
                  <c:v>2.0083329999999999</c:v>
                </c:pt>
                <c:pt idx="242">
                  <c:v>2.016667</c:v>
                </c:pt>
                <c:pt idx="243">
                  <c:v>2.0249999999999999</c:v>
                </c:pt>
                <c:pt idx="244">
                  <c:v>2.0333329999999998</c:v>
                </c:pt>
                <c:pt idx="245">
                  <c:v>2.0416669999999999</c:v>
                </c:pt>
                <c:pt idx="246">
                  <c:v>2.0499999999999998</c:v>
                </c:pt>
                <c:pt idx="247">
                  <c:v>2.0583330000000002</c:v>
                </c:pt>
                <c:pt idx="248">
                  <c:v>2.0666669999999998</c:v>
                </c:pt>
                <c:pt idx="249">
                  <c:v>2.0750000000000002</c:v>
                </c:pt>
                <c:pt idx="250">
                  <c:v>2.0833330000000001</c:v>
                </c:pt>
                <c:pt idx="251">
                  <c:v>2.0916670000000002</c:v>
                </c:pt>
                <c:pt idx="252">
                  <c:v>2.1</c:v>
                </c:pt>
                <c:pt idx="253">
                  <c:v>2.108333</c:v>
                </c:pt>
                <c:pt idx="254">
                  <c:v>2.1166670000000001</c:v>
                </c:pt>
                <c:pt idx="255">
                  <c:v>2.125</c:v>
                </c:pt>
                <c:pt idx="256">
                  <c:v>2.1333329999999999</c:v>
                </c:pt>
                <c:pt idx="257">
                  <c:v>2.141667</c:v>
                </c:pt>
                <c:pt idx="258">
                  <c:v>2.15</c:v>
                </c:pt>
                <c:pt idx="259">
                  <c:v>2.1583329999999998</c:v>
                </c:pt>
                <c:pt idx="260">
                  <c:v>2.1666669999999999</c:v>
                </c:pt>
                <c:pt idx="261">
                  <c:v>2.1749999999999998</c:v>
                </c:pt>
                <c:pt idx="262">
                  <c:v>2.1833330000000002</c:v>
                </c:pt>
                <c:pt idx="263">
                  <c:v>2.1916669999999998</c:v>
                </c:pt>
                <c:pt idx="264">
                  <c:v>2.2000000000000002</c:v>
                </c:pt>
                <c:pt idx="265">
                  <c:v>2.2083330000000001</c:v>
                </c:pt>
                <c:pt idx="266">
                  <c:v>2.2166670000000002</c:v>
                </c:pt>
                <c:pt idx="267">
                  <c:v>2.2250000000000001</c:v>
                </c:pt>
                <c:pt idx="268">
                  <c:v>2.233333</c:v>
                </c:pt>
                <c:pt idx="269">
                  <c:v>2.2416670000000001</c:v>
                </c:pt>
                <c:pt idx="270">
                  <c:v>2.25</c:v>
                </c:pt>
                <c:pt idx="271">
                  <c:v>2.2583329999999999</c:v>
                </c:pt>
                <c:pt idx="272">
                  <c:v>2.266667</c:v>
                </c:pt>
                <c:pt idx="273">
                  <c:v>2.2749999999999999</c:v>
                </c:pt>
                <c:pt idx="274">
                  <c:v>2.2833329999999998</c:v>
                </c:pt>
                <c:pt idx="275">
                  <c:v>2.2916669999999999</c:v>
                </c:pt>
                <c:pt idx="276">
                  <c:v>2.2999999999999998</c:v>
                </c:pt>
                <c:pt idx="277">
                  <c:v>2.3083330000000002</c:v>
                </c:pt>
                <c:pt idx="278">
                  <c:v>2.3166669999999998</c:v>
                </c:pt>
                <c:pt idx="279">
                  <c:v>2.3250000000000002</c:v>
                </c:pt>
                <c:pt idx="280">
                  <c:v>2.3333330000000001</c:v>
                </c:pt>
                <c:pt idx="281">
                  <c:v>2.3416670000000002</c:v>
                </c:pt>
                <c:pt idx="282">
                  <c:v>2.35</c:v>
                </c:pt>
                <c:pt idx="283">
                  <c:v>2.358333</c:v>
                </c:pt>
                <c:pt idx="284">
                  <c:v>2.3666670000000001</c:v>
                </c:pt>
                <c:pt idx="285">
                  <c:v>2.375</c:v>
                </c:pt>
                <c:pt idx="286">
                  <c:v>2.3833329999999999</c:v>
                </c:pt>
                <c:pt idx="287">
                  <c:v>2.391667</c:v>
                </c:pt>
                <c:pt idx="288">
                  <c:v>2.4</c:v>
                </c:pt>
                <c:pt idx="289">
                  <c:v>2.4083329999999998</c:v>
                </c:pt>
                <c:pt idx="290">
                  <c:v>2.4166669999999999</c:v>
                </c:pt>
                <c:pt idx="291">
                  <c:v>2.4249999999999998</c:v>
                </c:pt>
                <c:pt idx="292">
                  <c:v>2.4333330000000002</c:v>
                </c:pt>
                <c:pt idx="293">
                  <c:v>2.4416669999999998</c:v>
                </c:pt>
                <c:pt idx="294">
                  <c:v>2.4500000000000002</c:v>
                </c:pt>
                <c:pt idx="295">
                  <c:v>2.4583330000000001</c:v>
                </c:pt>
                <c:pt idx="296">
                  <c:v>2.4666670000000002</c:v>
                </c:pt>
                <c:pt idx="297">
                  <c:v>2.4750000000000001</c:v>
                </c:pt>
                <c:pt idx="298">
                  <c:v>2.483333</c:v>
                </c:pt>
                <c:pt idx="299">
                  <c:v>2.4916670000000001</c:v>
                </c:pt>
                <c:pt idx="300">
                  <c:v>2.5</c:v>
                </c:pt>
                <c:pt idx="301">
                  <c:v>2.5083329999999999</c:v>
                </c:pt>
                <c:pt idx="302">
                  <c:v>2.516667</c:v>
                </c:pt>
                <c:pt idx="303">
                  <c:v>2.5249999999999999</c:v>
                </c:pt>
                <c:pt idx="304">
                  <c:v>2.5333329999999998</c:v>
                </c:pt>
                <c:pt idx="305">
                  <c:v>2.5416669999999999</c:v>
                </c:pt>
                <c:pt idx="306">
                  <c:v>2.5499999999999998</c:v>
                </c:pt>
                <c:pt idx="307">
                  <c:v>2.5583330000000002</c:v>
                </c:pt>
                <c:pt idx="308">
                  <c:v>2.5666669999999998</c:v>
                </c:pt>
                <c:pt idx="309">
                  <c:v>2.5750000000000002</c:v>
                </c:pt>
                <c:pt idx="310">
                  <c:v>2.5833330000000001</c:v>
                </c:pt>
                <c:pt idx="311">
                  <c:v>2.5916670000000002</c:v>
                </c:pt>
                <c:pt idx="312">
                  <c:v>2.6</c:v>
                </c:pt>
                <c:pt idx="313">
                  <c:v>2.608333</c:v>
                </c:pt>
                <c:pt idx="314">
                  <c:v>2.6166670000000001</c:v>
                </c:pt>
                <c:pt idx="315">
                  <c:v>2.625</c:v>
                </c:pt>
                <c:pt idx="316">
                  <c:v>2.6333329999999999</c:v>
                </c:pt>
                <c:pt idx="317">
                  <c:v>2.641667</c:v>
                </c:pt>
                <c:pt idx="318">
                  <c:v>2.65</c:v>
                </c:pt>
                <c:pt idx="319">
                  <c:v>2.6583329999999998</c:v>
                </c:pt>
                <c:pt idx="320">
                  <c:v>2.6666669999999999</c:v>
                </c:pt>
                <c:pt idx="321">
                  <c:v>2.6749999999999998</c:v>
                </c:pt>
                <c:pt idx="322">
                  <c:v>2.6833330000000002</c:v>
                </c:pt>
                <c:pt idx="323">
                  <c:v>2.6916669999999998</c:v>
                </c:pt>
                <c:pt idx="324">
                  <c:v>2.7</c:v>
                </c:pt>
                <c:pt idx="325">
                  <c:v>2.7083330000000001</c:v>
                </c:pt>
                <c:pt idx="326">
                  <c:v>2.7166670000000002</c:v>
                </c:pt>
                <c:pt idx="327">
                  <c:v>2.7250000000000001</c:v>
                </c:pt>
                <c:pt idx="328">
                  <c:v>2.733333</c:v>
                </c:pt>
                <c:pt idx="329">
                  <c:v>2.7416670000000001</c:v>
                </c:pt>
                <c:pt idx="330">
                  <c:v>2.75</c:v>
                </c:pt>
                <c:pt idx="331">
                  <c:v>2.7583329999999999</c:v>
                </c:pt>
                <c:pt idx="332">
                  <c:v>2.766667</c:v>
                </c:pt>
                <c:pt idx="333">
                  <c:v>2.7749999999999999</c:v>
                </c:pt>
                <c:pt idx="334">
                  <c:v>2.7833329999999998</c:v>
                </c:pt>
                <c:pt idx="335">
                  <c:v>2.7916669999999999</c:v>
                </c:pt>
                <c:pt idx="336">
                  <c:v>2.8</c:v>
                </c:pt>
                <c:pt idx="337">
                  <c:v>2.8083330000000002</c:v>
                </c:pt>
                <c:pt idx="338">
                  <c:v>2.8166669999999998</c:v>
                </c:pt>
                <c:pt idx="339">
                  <c:v>2.8250000000000002</c:v>
                </c:pt>
                <c:pt idx="340">
                  <c:v>2.8333330000000001</c:v>
                </c:pt>
                <c:pt idx="341">
                  <c:v>2.8416670000000002</c:v>
                </c:pt>
                <c:pt idx="342">
                  <c:v>2.85</c:v>
                </c:pt>
                <c:pt idx="343">
                  <c:v>2.858333</c:v>
                </c:pt>
                <c:pt idx="344">
                  <c:v>2.8666670000000001</c:v>
                </c:pt>
                <c:pt idx="345">
                  <c:v>2.875</c:v>
                </c:pt>
                <c:pt idx="346">
                  <c:v>2.8833329999999999</c:v>
                </c:pt>
                <c:pt idx="347">
                  <c:v>2.891667</c:v>
                </c:pt>
                <c:pt idx="348">
                  <c:v>2.9</c:v>
                </c:pt>
                <c:pt idx="349">
                  <c:v>2.9083329999999998</c:v>
                </c:pt>
                <c:pt idx="350">
                  <c:v>2.9166669999999999</c:v>
                </c:pt>
                <c:pt idx="351">
                  <c:v>2.9249999999999998</c:v>
                </c:pt>
                <c:pt idx="352">
                  <c:v>2.9333330000000002</c:v>
                </c:pt>
                <c:pt idx="353">
                  <c:v>2.9416669999999998</c:v>
                </c:pt>
                <c:pt idx="354">
                  <c:v>2.95</c:v>
                </c:pt>
                <c:pt idx="355">
                  <c:v>2.9583330000000001</c:v>
                </c:pt>
                <c:pt idx="356">
                  <c:v>2.9666670000000002</c:v>
                </c:pt>
                <c:pt idx="357">
                  <c:v>2.9750000000000001</c:v>
                </c:pt>
                <c:pt idx="358">
                  <c:v>2.983333</c:v>
                </c:pt>
                <c:pt idx="359">
                  <c:v>2.9916670000000001</c:v>
                </c:pt>
                <c:pt idx="360">
                  <c:v>3</c:v>
                </c:pt>
                <c:pt idx="361">
                  <c:v>3.0083329999999999</c:v>
                </c:pt>
                <c:pt idx="362">
                  <c:v>3.016667</c:v>
                </c:pt>
                <c:pt idx="363">
                  <c:v>3.0249999999999999</c:v>
                </c:pt>
                <c:pt idx="364">
                  <c:v>3.0333329999999998</c:v>
                </c:pt>
                <c:pt idx="365">
                  <c:v>3.0416669999999999</c:v>
                </c:pt>
                <c:pt idx="366">
                  <c:v>3.05</c:v>
                </c:pt>
                <c:pt idx="367">
                  <c:v>3.0583330000000002</c:v>
                </c:pt>
                <c:pt idx="368">
                  <c:v>3.0666669999999998</c:v>
                </c:pt>
                <c:pt idx="369">
                  <c:v>3.0750000000000002</c:v>
                </c:pt>
                <c:pt idx="370">
                  <c:v>3.0833330000000001</c:v>
                </c:pt>
                <c:pt idx="371">
                  <c:v>3.0916670000000002</c:v>
                </c:pt>
                <c:pt idx="372">
                  <c:v>3.1</c:v>
                </c:pt>
                <c:pt idx="373">
                  <c:v>3.108333</c:v>
                </c:pt>
                <c:pt idx="374">
                  <c:v>3.1166670000000001</c:v>
                </c:pt>
                <c:pt idx="375">
                  <c:v>3.125</c:v>
                </c:pt>
                <c:pt idx="376">
                  <c:v>3.1333329999999999</c:v>
                </c:pt>
                <c:pt idx="377">
                  <c:v>3.141667</c:v>
                </c:pt>
                <c:pt idx="378">
                  <c:v>3.15</c:v>
                </c:pt>
                <c:pt idx="379">
                  <c:v>3.1583329999999998</c:v>
                </c:pt>
                <c:pt idx="380">
                  <c:v>3.1666669999999999</c:v>
                </c:pt>
                <c:pt idx="381">
                  <c:v>3.1749999999999998</c:v>
                </c:pt>
                <c:pt idx="382">
                  <c:v>3.1833330000000002</c:v>
                </c:pt>
                <c:pt idx="383">
                  <c:v>3.1916669999999998</c:v>
                </c:pt>
                <c:pt idx="384">
                  <c:v>3.2</c:v>
                </c:pt>
                <c:pt idx="385">
                  <c:v>3.2083330000000001</c:v>
                </c:pt>
                <c:pt idx="386">
                  <c:v>3.2166670000000002</c:v>
                </c:pt>
                <c:pt idx="387">
                  <c:v>3.2250000000000001</c:v>
                </c:pt>
                <c:pt idx="388">
                  <c:v>3.233333</c:v>
                </c:pt>
                <c:pt idx="389">
                  <c:v>3.2416670000000001</c:v>
                </c:pt>
                <c:pt idx="390">
                  <c:v>3.25</c:v>
                </c:pt>
                <c:pt idx="391">
                  <c:v>3.2583329999999999</c:v>
                </c:pt>
                <c:pt idx="392">
                  <c:v>3.266667</c:v>
                </c:pt>
                <c:pt idx="393">
                  <c:v>3.2749999999999999</c:v>
                </c:pt>
                <c:pt idx="394">
                  <c:v>3.2833329999999998</c:v>
                </c:pt>
                <c:pt idx="395">
                  <c:v>3.2916669999999999</c:v>
                </c:pt>
                <c:pt idx="396">
                  <c:v>3.3</c:v>
                </c:pt>
                <c:pt idx="397">
                  <c:v>3.3083330000000002</c:v>
                </c:pt>
                <c:pt idx="398">
                  <c:v>3.3166669999999998</c:v>
                </c:pt>
                <c:pt idx="399">
                  <c:v>3.3250000000000002</c:v>
                </c:pt>
                <c:pt idx="400">
                  <c:v>3.3333330000000001</c:v>
                </c:pt>
                <c:pt idx="401">
                  <c:v>3.3416670000000002</c:v>
                </c:pt>
                <c:pt idx="402">
                  <c:v>3.35</c:v>
                </c:pt>
                <c:pt idx="403">
                  <c:v>3.358333</c:v>
                </c:pt>
                <c:pt idx="404">
                  <c:v>3.3666670000000001</c:v>
                </c:pt>
                <c:pt idx="405">
                  <c:v>3.375</c:v>
                </c:pt>
                <c:pt idx="406">
                  <c:v>3.3833329999999999</c:v>
                </c:pt>
                <c:pt idx="407">
                  <c:v>3.391667</c:v>
                </c:pt>
                <c:pt idx="408">
                  <c:v>3.4</c:v>
                </c:pt>
                <c:pt idx="409">
                  <c:v>3.4083329999999998</c:v>
                </c:pt>
                <c:pt idx="410">
                  <c:v>3.4166669999999999</c:v>
                </c:pt>
                <c:pt idx="411">
                  <c:v>3.4249999999999998</c:v>
                </c:pt>
                <c:pt idx="412">
                  <c:v>3.4333330000000002</c:v>
                </c:pt>
                <c:pt idx="413">
                  <c:v>3.4416669999999998</c:v>
                </c:pt>
                <c:pt idx="414">
                  <c:v>3.45</c:v>
                </c:pt>
                <c:pt idx="415">
                  <c:v>3.4583330000000001</c:v>
                </c:pt>
                <c:pt idx="416">
                  <c:v>3.4666670000000002</c:v>
                </c:pt>
                <c:pt idx="417">
                  <c:v>3.4750000000000001</c:v>
                </c:pt>
                <c:pt idx="418">
                  <c:v>3.483333</c:v>
                </c:pt>
                <c:pt idx="419">
                  <c:v>3.4916670000000001</c:v>
                </c:pt>
                <c:pt idx="420">
                  <c:v>3.5</c:v>
                </c:pt>
                <c:pt idx="421">
                  <c:v>3.5083329999999999</c:v>
                </c:pt>
                <c:pt idx="422">
                  <c:v>3.516667</c:v>
                </c:pt>
                <c:pt idx="423">
                  <c:v>3.5249999999999999</c:v>
                </c:pt>
                <c:pt idx="424">
                  <c:v>3.5333329999999998</c:v>
                </c:pt>
                <c:pt idx="425">
                  <c:v>3.5416669999999999</c:v>
                </c:pt>
                <c:pt idx="426">
                  <c:v>3.55</c:v>
                </c:pt>
                <c:pt idx="427">
                  <c:v>3.5583330000000002</c:v>
                </c:pt>
                <c:pt idx="428">
                  <c:v>3.5666669999999998</c:v>
                </c:pt>
                <c:pt idx="429">
                  <c:v>3.5750000000000002</c:v>
                </c:pt>
                <c:pt idx="430">
                  <c:v>3.5833330000000001</c:v>
                </c:pt>
                <c:pt idx="431">
                  <c:v>3.5916670000000002</c:v>
                </c:pt>
                <c:pt idx="432">
                  <c:v>3.6</c:v>
                </c:pt>
                <c:pt idx="433">
                  <c:v>3.608333</c:v>
                </c:pt>
                <c:pt idx="434">
                  <c:v>3.6166670000000001</c:v>
                </c:pt>
                <c:pt idx="435">
                  <c:v>3.625</c:v>
                </c:pt>
                <c:pt idx="436">
                  <c:v>3.6333329999999999</c:v>
                </c:pt>
                <c:pt idx="437">
                  <c:v>3.641667</c:v>
                </c:pt>
                <c:pt idx="438">
                  <c:v>3.65</c:v>
                </c:pt>
                <c:pt idx="439">
                  <c:v>3.6583329999999998</c:v>
                </c:pt>
                <c:pt idx="440">
                  <c:v>3.6666669999999999</c:v>
                </c:pt>
                <c:pt idx="441">
                  <c:v>3.6749999999999998</c:v>
                </c:pt>
                <c:pt idx="442">
                  <c:v>3.6833330000000002</c:v>
                </c:pt>
                <c:pt idx="443">
                  <c:v>3.6916669999999998</c:v>
                </c:pt>
                <c:pt idx="444">
                  <c:v>3.7</c:v>
                </c:pt>
                <c:pt idx="445">
                  <c:v>3.7083330000000001</c:v>
                </c:pt>
                <c:pt idx="446">
                  <c:v>3.7166670000000002</c:v>
                </c:pt>
                <c:pt idx="447">
                  <c:v>3.7250000000000001</c:v>
                </c:pt>
                <c:pt idx="448">
                  <c:v>3.733333</c:v>
                </c:pt>
                <c:pt idx="449">
                  <c:v>3.7416670000000001</c:v>
                </c:pt>
                <c:pt idx="450">
                  <c:v>3.75</c:v>
                </c:pt>
                <c:pt idx="451">
                  <c:v>3.7583329999999999</c:v>
                </c:pt>
                <c:pt idx="452">
                  <c:v>3.766667</c:v>
                </c:pt>
                <c:pt idx="453">
                  <c:v>3.7749999999999999</c:v>
                </c:pt>
                <c:pt idx="454">
                  <c:v>3.7833329999999998</c:v>
                </c:pt>
                <c:pt idx="455">
                  <c:v>3.7916669999999999</c:v>
                </c:pt>
                <c:pt idx="456">
                  <c:v>3.8</c:v>
                </c:pt>
                <c:pt idx="457">
                  <c:v>3.8083330000000002</c:v>
                </c:pt>
                <c:pt idx="458">
                  <c:v>3.8166669999999998</c:v>
                </c:pt>
                <c:pt idx="459">
                  <c:v>3.8250000000000002</c:v>
                </c:pt>
                <c:pt idx="460">
                  <c:v>3.8333330000000001</c:v>
                </c:pt>
                <c:pt idx="461">
                  <c:v>3.8416670000000002</c:v>
                </c:pt>
                <c:pt idx="462">
                  <c:v>3.85</c:v>
                </c:pt>
                <c:pt idx="463">
                  <c:v>3.858333</c:v>
                </c:pt>
                <c:pt idx="464">
                  <c:v>3.8666670000000001</c:v>
                </c:pt>
                <c:pt idx="465">
                  <c:v>3.875</c:v>
                </c:pt>
                <c:pt idx="466">
                  <c:v>3.8833329999999999</c:v>
                </c:pt>
                <c:pt idx="467">
                  <c:v>3.891667</c:v>
                </c:pt>
                <c:pt idx="468">
                  <c:v>3.9</c:v>
                </c:pt>
                <c:pt idx="469">
                  <c:v>3.9083329999999998</c:v>
                </c:pt>
                <c:pt idx="470">
                  <c:v>3.9166669999999999</c:v>
                </c:pt>
                <c:pt idx="471">
                  <c:v>3.9249999999999998</c:v>
                </c:pt>
                <c:pt idx="472">
                  <c:v>3.9333330000000002</c:v>
                </c:pt>
                <c:pt idx="473">
                  <c:v>3.9416669999999998</c:v>
                </c:pt>
                <c:pt idx="474">
                  <c:v>3.95</c:v>
                </c:pt>
                <c:pt idx="475">
                  <c:v>3.9583330000000001</c:v>
                </c:pt>
                <c:pt idx="476">
                  <c:v>3.9666670000000002</c:v>
                </c:pt>
                <c:pt idx="477">
                  <c:v>3.9750000000000001</c:v>
                </c:pt>
                <c:pt idx="478">
                  <c:v>3.983333</c:v>
                </c:pt>
                <c:pt idx="479">
                  <c:v>3.9916670000000001</c:v>
                </c:pt>
                <c:pt idx="480">
                  <c:v>4</c:v>
                </c:pt>
                <c:pt idx="481">
                  <c:v>4.0083330000000004</c:v>
                </c:pt>
                <c:pt idx="482">
                  <c:v>4.016667</c:v>
                </c:pt>
                <c:pt idx="483">
                  <c:v>4.0250000000000004</c:v>
                </c:pt>
                <c:pt idx="484">
                  <c:v>4.0333329999999998</c:v>
                </c:pt>
                <c:pt idx="485">
                  <c:v>4.0416670000000003</c:v>
                </c:pt>
                <c:pt idx="486">
                  <c:v>4.05</c:v>
                </c:pt>
                <c:pt idx="487">
                  <c:v>4.0583330000000002</c:v>
                </c:pt>
                <c:pt idx="488">
                  <c:v>4.0666669999999998</c:v>
                </c:pt>
                <c:pt idx="489">
                  <c:v>4.0750000000000002</c:v>
                </c:pt>
                <c:pt idx="490">
                  <c:v>4.0833329999999997</c:v>
                </c:pt>
                <c:pt idx="491">
                  <c:v>4.0916670000000002</c:v>
                </c:pt>
                <c:pt idx="492">
                  <c:v>4.0999999999999996</c:v>
                </c:pt>
                <c:pt idx="493">
                  <c:v>4.108333</c:v>
                </c:pt>
                <c:pt idx="494">
                  <c:v>4.1166669999999996</c:v>
                </c:pt>
                <c:pt idx="495">
                  <c:v>4.125</c:v>
                </c:pt>
                <c:pt idx="496">
                  <c:v>4.1333330000000004</c:v>
                </c:pt>
                <c:pt idx="497">
                  <c:v>4.141667</c:v>
                </c:pt>
                <c:pt idx="498">
                  <c:v>4.1500000000000004</c:v>
                </c:pt>
                <c:pt idx="499">
                  <c:v>4.1583329999999998</c:v>
                </c:pt>
                <c:pt idx="500">
                  <c:v>4.1666670000000003</c:v>
                </c:pt>
                <c:pt idx="501">
                  <c:v>4.1749999999999998</c:v>
                </c:pt>
                <c:pt idx="502">
                  <c:v>4.1833330000000002</c:v>
                </c:pt>
                <c:pt idx="503">
                  <c:v>4.1916669999999998</c:v>
                </c:pt>
                <c:pt idx="504">
                  <c:v>4.2</c:v>
                </c:pt>
                <c:pt idx="505">
                  <c:v>4.2083329999999997</c:v>
                </c:pt>
                <c:pt idx="506">
                  <c:v>4.2166670000000002</c:v>
                </c:pt>
                <c:pt idx="507">
                  <c:v>4.2249999999999996</c:v>
                </c:pt>
                <c:pt idx="508">
                  <c:v>4.233333</c:v>
                </c:pt>
                <c:pt idx="509">
                  <c:v>4.2416669999999996</c:v>
                </c:pt>
                <c:pt idx="510">
                  <c:v>4.25</c:v>
                </c:pt>
                <c:pt idx="511">
                  <c:v>4.2583330000000004</c:v>
                </c:pt>
                <c:pt idx="512">
                  <c:v>4.266667</c:v>
                </c:pt>
                <c:pt idx="513">
                  <c:v>4.2750000000000004</c:v>
                </c:pt>
                <c:pt idx="514">
                  <c:v>4.2833329999999998</c:v>
                </c:pt>
                <c:pt idx="515">
                  <c:v>4.2916670000000003</c:v>
                </c:pt>
                <c:pt idx="516">
                  <c:v>4.3</c:v>
                </c:pt>
                <c:pt idx="517">
                  <c:v>4.3083330000000002</c:v>
                </c:pt>
                <c:pt idx="518">
                  <c:v>4.3166669999999998</c:v>
                </c:pt>
                <c:pt idx="519">
                  <c:v>4.3250000000000002</c:v>
                </c:pt>
                <c:pt idx="520">
                  <c:v>4.3333329999999997</c:v>
                </c:pt>
                <c:pt idx="521">
                  <c:v>4.3416670000000002</c:v>
                </c:pt>
                <c:pt idx="522">
                  <c:v>4.3499999999999996</c:v>
                </c:pt>
                <c:pt idx="523">
                  <c:v>4.358333</c:v>
                </c:pt>
                <c:pt idx="524">
                  <c:v>4.3666669999999996</c:v>
                </c:pt>
                <c:pt idx="525">
                  <c:v>4.375</c:v>
                </c:pt>
                <c:pt idx="526">
                  <c:v>4.3833330000000004</c:v>
                </c:pt>
                <c:pt idx="527">
                  <c:v>4.391667</c:v>
                </c:pt>
                <c:pt idx="528">
                  <c:v>4.4000000000000004</c:v>
                </c:pt>
                <c:pt idx="529">
                  <c:v>4.4083329999999998</c:v>
                </c:pt>
                <c:pt idx="530">
                  <c:v>4.4166670000000003</c:v>
                </c:pt>
                <c:pt idx="531">
                  <c:v>4.4249999999999998</c:v>
                </c:pt>
                <c:pt idx="532">
                  <c:v>4.4333330000000002</c:v>
                </c:pt>
                <c:pt idx="533">
                  <c:v>4.4416669999999998</c:v>
                </c:pt>
                <c:pt idx="534">
                  <c:v>4.45</c:v>
                </c:pt>
                <c:pt idx="535">
                  <c:v>4.4583329999999997</c:v>
                </c:pt>
                <c:pt idx="536">
                  <c:v>4.4666670000000002</c:v>
                </c:pt>
                <c:pt idx="537">
                  <c:v>4.4749999999999996</c:v>
                </c:pt>
                <c:pt idx="538">
                  <c:v>4.483333</c:v>
                </c:pt>
                <c:pt idx="539">
                  <c:v>4.4916669999999996</c:v>
                </c:pt>
                <c:pt idx="540">
                  <c:v>4.5</c:v>
                </c:pt>
                <c:pt idx="541">
                  <c:v>4.5083330000000004</c:v>
                </c:pt>
                <c:pt idx="542">
                  <c:v>4.516667</c:v>
                </c:pt>
                <c:pt idx="543">
                  <c:v>4.5250000000000004</c:v>
                </c:pt>
                <c:pt idx="544">
                  <c:v>4.5333329999999998</c:v>
                </c:pt>
                <c:pt idx="545">
                  <c:v>4.5416670000000003</c:v>
                </c:pt>
                <c:pt idx="546">
                  <c:v>4.55</c:v>
                </c:pt>
                <c:pt idx="547">
                  <c:v>4.5583330000000002</c:v>
                </c:pt>
                <c:pt idx="548">
                  <c:v>4.5666669999999998</c:v>
                </c:pt>
                <c:pt idx="549">
                  <c:v>4.5750000000000002</c:v>
                </c:pt>
                <c:pt idx="550">
                  <c:v>4.5833329999999997</c:v>
                </c:pt>
                <c:pt idx="551">
                  <c:v>4.5916670000000002</c:v>
                </c:pt>
                <c:pt idx="552">
                  <c:v>4.5999999999999996</c:v>
                </c:pt>
                <c:pt idx="553">
                  <c:v>4.608333</c:v>
                </c:pt>
                <c:pt idx="554">
                  <c:v>4.6166669999999996</c:v>
                </c:pt>
                <c:pt idx="555">
                  <c:v>4.625</c:v>
                </c:pt>
                <c:pt idx="556">
                  <c:v>4.6333330000000004</c:v>
                </c:pt>
                <c:pt idx="557">
                  <c:v>4.641667</c:v>
                </c:pt>
                <c:pt idx="558">
                  <c:v>4.6500000000000004</c:v>
                </c:pt>
                <c:pt idx="559">
                  <c:v>4.6583329999999998</c:v>
                </c:pt>
                <c:pt idx="560">
                  <c:v>4.6666670000000003</c:v>
                </c:pt>
                <c:pt idx="561">
                  <c:v>4.6749999999999998</c:v>
                </c:pt>
                <c:pt idx="562">
                  <c:v>4.6833330000000002</c:v>
                </c:pt>
                <c:pt idx="563">
                  <c:v>4.6916669999999998</c:v>
                </c:pt>
                <c:pt idx="564">
                  <c:v>4.7</c:v>
                </c:pt>
                <c:pt idx="565">
                  <c:v>4.7083329999999997</c:v>
                </c:pt>
                <c:pt idx="566">
                  <c:v>4.7166670000000002</c:v>
                </c:pt>
                <c:pt idx="567">
                  <c:v>4.7249999999999996</c:v>
                </c:pt>
                <c:pt idx="568">
                  <c:v>4.733333</c:v>
                </c:pt>
                <c:pt idx="569">
                  <c:v>4.7416669999999996</c:v>
                </c:pt>
                <c:pt idx="570">
                  <c:v>4.75</c:v>
                </c:pt>
                <c:pt idx="571">
                  <c:v>4.7583330000000004</c:v>
                </c:pt>
                <c:pt idx="572">
                  <c:v>4.766667</c:v>
                </c:pt>
                <c:pt idx="573">
                  <c:v>4.7750000000000004</c:v>
                </c:pt>
                <c:pt idx="574">
                  <c:v>4.7833329999999998</c:v>
                </c:pt>
                <c:pt idx="575">
                  <c:v>4.7916670000000003</c:v>
                </c:pt>
                <c:pt idx="576">
                  <c:v>4.8</c:v>
                </c:pt>
                <c:pt idx="577">
                  <c:v>4.8083330000000002</c:v>
                </c:pt>
                <c:pt idx="578">
                  <c:v>4.8166669999999998</c:v>
                </c:pt>
                <c:pt idx="579">
                  <c:v>4.8250000000000002</c:v>
                </c:pt>
                <c:pt idx="580">
                  <c:v>4.8333329999999997</c:v>
                </c:pt>
                <c:pt idx="581">
                  <c:v>4.8416670000000002</c:v>
                </c:pt>
                <c:pt idx="582">
                  <c:v>4.8499999999999996</c:v>
                </c:pt>
                <c:pt idx="583">
                  <c:v>4.858333</c:v>
                </c:pt>
                <c:pt idx="584">
                  <c:v>4.8666669999999996</c:v>
                </c:pt>
                <c:pt idx="585">
                  <c:v>4.875</c:v>
                </c:pt>
                <c:pt idx="586">
                  <c:v>4.8833330000000004</c:v>
                </c:pt>
                <c:pt idx="587">
                  <c:v>4.891667</c:v>
                </c:pt>
                <c:pt idx="588">
                  <c:v>4.9000000000000004</c:v>
                </c:pt>
                <c:pt idx="589">
                  <c:v>4.9083329999999998</c:v>
                </c:pt>
                <c:pt idx="590">
                  <c:v>4.9166670000000003</c:v>
                </c:pt>
                <c:pt idx="591">
                  <c:v>4.9249999999999998</c:v>
                </c:pt>
                <c:pt idx="592">
                  <c:v>4.9333330000000002</c:v>
                </c:pt>
                <c:pt idx="593">
                  <c:v>4.9416669999999998</c:v>
                </c:pt>
                <c:pt idx="594">
                  <c:v>4.95</c:v>
                </c:pt>
                <c:pt idx="595">
                  <c:v>4.9583329999999997</c:v>
                </c:pt>
                <c:pt idx="596">
                  <c:v>4.9666670000000002</c:v>
                </c:pt>
                <c:pt idx="597">
                  <c:v>4.9749999999999996</c:v>
                </c:pt>
                <c:pt idx="598">
                  <c:v>4.983333</c:v>
                </c:pt>
                <c:pt idx="599">
                  <c:v>4.9916669999999996</c:v>
                </c:pt>
                <c:pt idx="600">
                  <c:v>5</c:v>
                </c:pt>
              </c:numCache>
            </c:numRef>
          </c:xVal>
          <c:yVal>
            <c:numRef>
              <c:f>Cal_Error!$I$2:$I$602</c:f>
              <c:numCache>
                <c:formatCode>General</c:formatCode>
                <c:ptCount val="601"/>
                <c:pt idx="0">
                  <c:v>6.3753000000000004E-3</c:v>
                </c:pt>
                <c:pt idx="1">
                  <c:v>1.162168196548553E-2</c:v>
                </c:pt>
                <c:pt idx="2">
                  <c:v>8.9754015311565745E-3</c:v>
                </c:pt>
                <c:pt idx="3">
                  <c:v>7.3307424399679383E-3</c:v>
                </c:pt>
                <c:pt idx="4">
                  <c:v>4.7413278328223424E-3</c:v>
                </c:pt>
                <c:pt idx="5">
                  <c:v>3.1499287130634934E-3</c:v>
                </c:pt>
                <c:pt idx="6">
                  <c:v>1.5862499097782506E-3</c:v>
                </c:pt>
                <c:pt idx="7">
                  <c:v>4.9283304936184602E-5</c:v>
                </c:pt>
                <c:pt idx="8">
                  <c:v>1.4619798305237353E-3</c:v>
                </c:pt>
                <c:pt idx="9">
                  <c:v>2.9455482547488393E-3</c:v>
                </c:pt>
                <c:pt idx="10">
                  <c:v>4.4024318606803725E-3</c:v>
                </c:pt>
                <c:pt idx="11">
                  <c:v>6.7994876732319909E-3</c:v>
                </c:pt>
                <c:pt idx="12">
                  <c:v>8.2022191988789239E-3</c:v>
                </c:pt>
                <c:pt idx="13">
                  <c:v>9.5782954686431665E-3</c:v>
                </c:pt>
                <c:pt idx="14">
                  <c:v>1.0928728150350175E-2</c:v>
                </c:pt>
                <c:pt idx="15">
                  <c:v>1.2251529028259669E-2</c:v>
                </c:pt>
                <c:pt idx="16">
                  <c:v>1.4509472866788761E-2</c:v>
                </c:pt>
                <c:pt idx="17">
                  <c:v>1.5779226238523236E-2</c:v>
                </c:pt>
                <c:pt idx="18">
                  <c:v>1.70213849049414E-2</c:v>
                </c:pt>
                <c:pt idx="19">
                  <c:v>1.8236962483365232E-2</c:v>
                </c:pt>
                <c:pt idx="20">
                  <c:v>2.0385434968961835E-2</c:v>
                </c:pt>
                <c:pt idx="21">
                  <c:v>2.154706527991071E-2</c:v>
                </c:pt>
                <c:pt idx="22">
                  <c:v>2.2682157071578279E-2</c:v>
                </c:pt>
                <c:pt idx="23">
                  <c:v>2.4747693931128772E-2</c:v>
                </c:pt>
                <c:pt idx="24">
                  <c:v>2.5828922719824982E-2</c:v>
                </c:pt>
                <c:pt idx="25">
                  <c:v>2.6883660795388037E-2</c:v>
                </c:pt>
                <c:pt idx="26">
                  <c:v>2.886638132601646E-2</c:v>
                </c:pt>
                <c:pt idx="27">
                  <c:v>2.9867349392179776E-2</c:v>
                </c:pt>
                <c:pt idx="28">
                  <c:v>3.0841878013861124E-2</c:v>
                </c:pt>
                <c:pt idx="29">
                  <c:v>3.2741915886555784E-2</c:v>
                </c:pt>
                <c:pt idx="30">
                  <c:v>3.36627766870225E-2</c:v>
                </c:pt>
                <c:pt idx="31">
                  <c:v>3.5506490545165387E-2</c:v>
                </c:pt>
                <c:pt idx="32">
                  <c:v>3.6374755568224421E-2</c:v>
                </c:pt>
                <c:pt idx="33">
                  <c:v>3.8163212160032434E-2</c:v>
                </c:pt>
                <c:pt idx="34">
                  <c:v>3.8976956912054217E-2</c:v>
                </c:pt>
                <c:pt idx="35">
                  <c:v>3.9765398305623534E-2</c:v>
                </c:pt>
                <c:pt idx="36">
                  <c:v>4.1471531411142737E-2</c:v>
                </c:pt>
                <c:pt idx="37">
                  <c:v>4.2205575438806486E-2</c:v>
                </c:pt>
                <c:pt idx="38">
                  <c:v>4.3857637701561925E-2</c:v>
                </c:pt>
                <c:pt idx="39">
                  <c:v>4.45383700244803E-2</c:v>
                </c:pt>
                <c:pt idx="40">
                  <c:v>4.6134442013694599E-2</c:v>
                </c:pt>
                <c:pt idx="41">
                  <c:v>4.7703617009393073E-2</c:v>
                </c:pt>
                <c:pt idx="42">
                  <c:v>4.9243915524863457E-2</c:v>
                </c:pt>
                <c:pt idx="43">
                  <c:v>5.0756357636928817E-2</c:v>
                </c:pt>
                <c:pt idx="44">
                  <c:v>5.1303908826232536E-2</c:v>
                </c:pt>
                <c:pt idx="45">
                  <c:v>5.2761575166811292E-2</c:v>
                </c:pt>
                <c:pt idx="46">
                  <c:v>5.4191451706710525E-2</c:v>
                </c:pt>
                <c:pt idx="47">
                  <c:v>5.4659126921258294E-2</c:v>
                </c:pt>
                <c:pt idx="48">
                  <c:v>5.603436965325348E-2</c:v>
                </c:pt>
                <c:pt idx="49">
                  <c:v>5.7381893639095349E-2</c:v>
                </c:pt>
                <c:pt idx="50">
                  <c:v>5.7769925100940089E-2</c:v>
                </c:pt>
                <c:pt idx="51">
                  <c:v>5.906296672804312E-2</c:v>
                </c:pt>
                <c:pt idx="52">
                  <c:v>6.032836450431156E-2</c:v>
                </c:pt>
                <c:pt idx="53">
                  <c:v>6.0636999333097019E-2</c:v>
                </c:pt>
                <c:pt idx="54">
                  <c:v>6.1848075859929241E-2</c:v>
                </c:pt>
                <c:pt idx="55">
                  <c:v>6.3031588348634204E-2</c:v>
                </c:pt>
                <c:pt idx="56">
                  <c:v>6.4188564615795751E-2</c:v>
                </c:pt>
                <c:pt idx="57">
                  <c:v>6.4390447136900286E-2</c:v>
                </c:pt>
                <c:pt idx="58">
                  <c:v>6.5492328906464503E-2</c:v>
                </c:pt>
                <c:pt idx="59">
                  <c:v>6.6567760493914996E-2</c:v>
                </c:pt>
                <c:pt idx="60">
                  <c:v>6.7614770937906354E-2</c:v>
                </c:pt>
                <c:pt idx="61">
                  <c:v>6.8634390120908217E-2</c:v>
                </c:pt>
                <c:pt idx="62">
                  <c:v>6.8705551036941148E-2</c:v>
                </c:pt>
                <c:pt idx="63">
                  <c:v>6.9671382141392457E-2</c:v>
                </c:pt>
                <c:pt idx="64">
                  <c:v>7.0609915734960893E-2</c:v>
                </c:pt>
                <c:pt idx="65">
                  <c:v>7.1522183765979852E-2</c:v>
                </c:pt>
                <c:pt idx="66">
                  <c:v>7.2406218502868047E-2</c:v>
                </c:pt>
                <c:pt idx="67">
                  <c:v>7.326305270870781E-2</c:v>
                </c:pt>
                <c:pt idx="68">
                  <c:v>7.4093720019458853E-2</c:v>
                </c:pt>
                <c:pt idx="69">
                  <c:v>7.4896253809223823E-2</c:v>
                </c:pt>
                <c:pt idx="70">
                  <c:v>7.5671688906933876E-2</c:v>
                </c:pt>
                <c:pt idx="71">
                  <c:v>7.64210596178162E-2</c:v>
                </c:pt>
                <c:pt idx="72">
                  <c:v>7.7142401934648053E-2</c:v>
                </c:pt>
                <c:pt idx="73">
                  <c:v>7.783675150110958E-2</c:v>
                </c:pt>
                <c:pt idx="74">
                  <c:v>7.941630133167954E-2</c:v>
                </c:pt>
                <c:pt idx="75">
                  <c:v>8.0055853071231531E-2</c:v>
                </c:pt>
                <c:pt idx="76">
                  <c:v>8.0668521319124276E-2</c:v>
                </c:pt>
                <c:pt idx="77">
                  <c:v>8.1255344017654552E-2</c:v>
                </c:pt>
                <c:pt idx="78">
                  <c:v>8.1814359836562156E-2</c:v>
                </c:pt>
                <c:pt idx="79">
                  <c:v>8.2346607649249948E-2</c:v>
                </c:pt>
                <c:pt idx="80">
                  <c:v>8.2853126969238966E-2</c:v>
                </c:pt>
                <c:pt idx="81">
                  <c:v>8.3331957571951776E-2</c:v>
                </c:pt>
                <c:pt idx="82">
                  <c:v>8.468787445999626E-2</c:v>
                </c:pt>
                <c:pt idx="83">
                  <c:v>8.5113516058510696E-2</c:v>
                </c:pt>
                <c:pt idx="84">
                  <c:v>8.5511590593730369E-2</c:v>
                </c:pt>
                <c:pt idx="85">
                  <c:v>8.5883140547061032E-2</c:v>
                </c:pt>
                <c:pt idx="86">
                  <c:v>8.6229208021677106E-2</c:v>
                </c:pt>
                <c:pt idx="87">
                  <c:v>8.744688095233577E-2</c:v>
                </c:pt>
                <c:pt idx="88">
                  <c:v>8.7738171899848338E-2</c:v>
                </c:pt>
                <c:pt idx="89">
                  <c:v>8.8004110373400279E-2</c:v>
                </c:pt>
                <c:pt idx="90">
                  <c:v>8.8242740687515586E-2</c:v>
                </c:pt>
                <c:pt idx="91">
                  <c:v>8.9350372316837179E-2</c:v>
                </c:pt>
                <c:pt idx="92">
                  <c:v>8.9536573927731289E-2</c:v>
                </c:pt>
                <c:pt idx="93">
                  <c:v>8.969560329062809E-2</c:v>
                </c:pt>
                <c:pt idx="94">
                  <c:v>9.0720920046334586E-2</c:v>
                </c:pt>
                <c:pt idx="95">
                  <c:v>9.0827791743260278E-2</c:v>
                </c:pt>
                <c:pt idx="96">
                  <c:v>9.0907631351771712E-2</c:v>
                </c:pt>
                <c:pt idx="97">
                  <c:v>9.1851035672529502E-2</c:v>
                </c:pt>
                <c:pt idx="98">
                  <c:v>9.1878998167011838E-2</c:v>
                </c:pt>
                <c:pt idx="99">
                  <c:v>9.2767704404896345E-2</c:v>
                </c:pt>
                <c:pt idx="100">
                  <c:v>9.2741981242683735E-2</c:v>
                </c:pt>
                <c:pt idx="101">
                  <c:v>9.3577177276133683E-2</c:v>
                </c:pt>
                <c:pt idx="102">
                  <c:v>9.438370687958697E-2</c:v>
                </c:pt>
                <c:pt idx="103">
                  <c:v>9.4278839965121652E-2</c:v>
                </c:pt>
                <c:pt idx="104">
                  <c:v>9.5032146462869505E-2</c:v>
                </c:pt>
                <c:pt idx="105">
                  <c:v>9.5756930618273395E-2</c:v>
                </c:pt>
                <c:pt idx="106">
                  <c:v>9.5573368799728664E-2</c:v>
                </c:pt>
                <c:pt idx="107">
                  <c:v>9.6245226259137673E-2</c:v>
                </c:pt>
                <c:pt idx="108">
                  <c:v>9.6009780926162192E-2</c:v>
                </c:pt>
                <c:pt idx="109">
                  <c:v>9.6626915454895657E-2</c:v>
                </c:pt>
                <c:pt idx="110">
                  <c:v>9.6340798141664186E-2</c:v>
                </c:pt>
                <c:pt idx="111">
                  <c:v>9.6904417491303407E-2</c:v>
                </c:pt>
                <c:pt idx="112">
                  <c:v>9.7440869305713496E-2</c:v>
                </c:pt>
                <c:pt idx="113">
                  <c:v>9.7077159655761358E-2</c:v>
                </c:pt>
                <c:pt idx="114">
                  <c:v>9.7560414494351155E-2</c:v>
                </c:pt>
                <c:pt idx="115">
                  <c:v>9.8016660812064949E-2</c:v>
                </c:pt>
                <c:pt idx="116">
                  <c:v>9.670475156714009E-2</c:v>
                </c:pt>
                <c:pt idx="117">
                  <c:v>9.7109113759391907E-2</c:v>
                </c:pt>
                <c:pt idx="118">
                  <c:v>9.7486632555456088E-2</c:v>
                </c:pt>
                <c:pt idx="119">
                  <c:v>9.7838363297550468E-2</c:v>
                </c:pt>
                <c:pt idx="120">
                  <c:v>9.729520818712345E-2</c:v>
                </c:pt>
                <c:pt idx="121">
                  <c:v>9.7593520992746985E-2</c:v>
                </c:pt>
                <c:pt idx="122">
                  <c:v>9.7866215320916439E-2</c:v>
                </c:pt>
                <c:pt idx="123">
                  <c:v>9.8111348405164445E-2</c:v>
                </c:pt>
                <c:pt idx="124">
                  <c:v>9.8329978148222197E-2</c:v>
                </c:pt>
                <c:pt idx="125">
                  <c:v>9.7660975360573832E-2</c:v>
                </c:pt>
                <c:pt idx="126">
                  <c:v>9.7827770501030864E-2</c:v>
                </c:pt>
                <c:pt idx="127">
                  <c:v>9.8828431071556255E-2</c:v>
                </c:pt>
                <c:pt idx="128">
                  <c:v>9.8942633606178165E-2</c:v>
                </c:pt>
                <c:pt idx="129">
                  <c:v>9.9029629005648379E-2</c:v>
                </c:pt>
                <c:pt idx="130">
                  <c:v>9.9090477005854161E-2</c:v>
                </c:pt>
                <c:pt idx="131">
                  <c:v>9.9126239495796464E-2</c:v>
                </c:pt>
                <c:pt idx="132">
                  <c:v>9.9134977986247819E-2</c:v>
                </c:pt>
                <c:pt idx="133">
                  <c:v>9.9117754860861274E-2</c:v>
                </c:pt>
                <c:pt idx="134">
                  <c:v>9.9075631950493515E-2</c:v>
                </c:pt>
                <c:pt idx="135">
                  <c:v>9.9006673093642084E-2</c:v>
                </c:pt>
                <c:pt idx="136">
                  <c:v>9.8911941663266223E-2</c:v>
                </c:pt>
                <c:pt idx="137">
                  <c:v>9.8792501614275663E-2</c:v>
                </c:pt>
                <c:pt idx="138">
                  <c:v>9.8646417687179966E-2</c:v>
                </c:pt>
                <c:pt idx="139">
                  <c:v>9.8474755262629943E-2</c:v>
                </c:pt>
                <c:pt idx="140">
                  <c:v>9.9125671507661828E-2</c:v>
                </c:pt>
                <c:pt idx="141">
                  <c:v>9.8902032255044237E-2</c:v>
                </c:pt>
                <c:pt idx="142">
                  <c:v>9.8653011374328914E-2</c:v>
                </c:pt>
                <c:pt idx="143">
                  <c:v>9.8379675293639224E-2</c:v>
                </c:pt>
                <c:pt idx="144">
                  <c:v>9.8080091634100031E-2</c:v>
                </c:pt>
                <c:pt idx="145">
                  <c:v>9.7755328336868175E-2</c:v>
                </c:pt>
                <c:pt idx="146">
                  <c:v>9.8247430569711414E-2</c:v>
                </c:pt>
                <c:pt idx="147">
                  <c:v>9.7871490928142624E-2</c:v>
                </c:pt>
                <c:pt idx="148">
                  <c:v>9.7470577014537652E-2</c:v>
                </c:pt>
                <c:pt idx="149">
                  <c:v>9.7883661135370614E-2</c:v>
                </c:pt>
                <c:pt idx="150">
                  <c:v>9.7431982248849192E-2</c:v>
                </c:pt>
                <c:pt idx="151">
                  <c:v>9.7791385804948838E-2</c:v>
                </c:pt>
                <c:pt idx="152">
                  <c:v>9.8125036485192663E-2</c:v>
                </c:pt>
                <c:pt idx="153">
                  <c:v>9.7597218591950252E-2</c:v>
                </c:pt>
                <c:pt idx="154">
                  <c:v>9.704484885487652E-2</c:v>
                </c:pt>
                <c:pt idx="155">
                  <c:v>9.7300721880480889E-2</c:v>
                </c:pt>
                <c:pt idx="156">
                  <c:v>9.6698433889143454E-2</c:v>
                </c:pt>
                <c:pt idx="157">
                  <c:v>9.6901464805155602E-2</c:v>
                </c:pt>
                <c:pt idx="158">
                  <c:v>9.6250547927827501E-2</c:v>
                </c:pt>
                <c:pt idx="159">
                  <c:v>9.6402024007544052E-2</c:v>
                </c:pt>
                <c:pt idx="160">
                  <c:v>9.5700771424211517E-2</c:v>
                </c:pt>
                <c:pt idx="161">
                  <c:v>9.5801983490748865E-2</c:v>
                </c:pt>
                <c:pt idx="162">
                  <c:v>9.5051691640229086E-2</c:v>
                </c:pt>
                <c:pt idx="163">
                  <c:v>9.510093415383114E-2</c:v>
                </c:pt>
                <c:pt idx="164">
                  <c:v>9.4302904072220972E-2</c:v>
                </c:pt>
                <c:pt idx="165">
                  <c:v>9.4301474984745726E-2</c:v>
                </c:pt>
                <c:pt idx="166">
                  <c:v>9.4274300587505744E-2</c:v>
                </c:pt>
                <c:pt idx="167">
                  <c:v>9.3403211169115652E-2</c:v>
                </c:pt>
                <c:pt idx="168">
                  <c:v>9.3325818208902955E-2</c:v>
                </c:pt>
                <c:pt idx="169">
                  <c:v>9.3222906385263204E-2</c:v>
                </c:pt>
                <c:pt idx="170">
                  <c:v>9.2279451328329598E-2</c:v>
                </c:pt>
                <c:pt idx="171">
                  <c:v>9.2126781617773768E-2</c:v>
                </c:pt>
                <c:pt idx="172">
                  <c:v>9.2762824668722876E-2</c:v>
                </c:pt>
                <c:pt idx="173">
                  <c:v>9.2559605432050107E-2</c:v>
                </c:pt>
                <c:pt idx="174">
                  <c:v>9.1518358765784402E-2</c:v>
                </c:pt>
                <c:pt idx="175">
                  <c:v>9.1265006322687858E-2</c:v>
                </c:pt>
                <c:pt idx="176">
                  <c:v>9.0987678865589006E-2</c:v>
                </c:pt>
                <c:pt idx="177">
                  <c:v>9.0684456265345936E-2</c:v>
                </c:pt>
                <c:pt idx="178">
                  <c:v>8.95487426979793E-2</c:v>
                </c:pt>
                <c:pt idx="179">
                  <c:v>8.9198026658553697E-2</c:v>
                </c:pt>
                <c:pt idx="180">
                  <c:v>8.8821656398001103E-2</c:v>
                </c:pt>
                <c:pt idx="181">
                  <c:v>8.8420713503916559E-2</c:v>
                </c:pt>
                <c:pt idx="182">
                  <c:v>8.7192837214949748E-2</c:v>
                </c:pt>
                <c:pt idx="183">
                  <c:v>8.6744053989821435E-2</c:v>
                </c:pt>
                <c:pt idx="184">
                  <c:v>8.6270944639758929E-2</c:v>
                </c:pt>
                <c:pt idx="185">
                  <c:v>8.5774591043348059E-2</c:v>
                </c:pt>
                <c:pt idx="186">
                  <c:v>8.5253076999523891E-2</c:v>
                </c:pt>
                <c:pt idx="187">
                  <c:v>8.5505612645216056E-2</c:v>
                </c:pt>
                <c:pt idx="188">
                  <c:v>8.4935962819903787E-2</c:v>
                </c:pt>
                <c:pt idx="189">
                  <c:v>8.434140291114578E-2</c:v>
                </c:pt>
                <c:pt idx="190">
                  <c:v>8.3723017881755402E-2</c:v>
                </c:pt>
                <c:pt idx="191">
                  <c:v>8.308189304373359E-2</c:v>
                </c:pt>
                <c:pt idx="192">
                  <c:v>8.3208903639113485E-2</c:v>
                </c:pt>
                <c:pt idx="193">
                  <c:v>8.251848643576154E-2</c:v>
                </c:pt>
                <c:pt idx="194">
                  <c:v>8.2596234691939996E-2</c:v>
                </c:pt>
                <c:pt idx="195">
                  <c:v>8.1857867171410525E-2</c:v>
                </c:pt>
                <c:pt idx="196">
                  <c:v>8.1096190184806405E-2</c:v>
                </c:pt>
                <c:pt idx="197">
                  <c:v>8.0312290440797129E-2</c:v>
                </c:pt>
                <c:pt idx="198">
                  <c:v>8.0290613808107203E-2</c:v>
                </c:pt>
                <c:pt idx="199">
                  <c:v>7.9458459641985391E-2</c:v>
                </c:pt>
                <c:pt idx="200">
                  <c:v>7.8604346670616998E-2</c:v>
                </c:pt>
                <c:pt idx="201">
                  <c:v>7.8509495884921066E-2</c:v>
                </c:pt>
                <c:pt idx="202">
                  <c:v>7.7607657690592191E-2</c:v>
                </c:pt>
                <c:pt idx="203">
                  <c:v>7.6684128454888034E-2</c:v>
                </c:pt>
                <c:pt idx="204">
                  <c:v>7.651689724945232E-2</c:v>
                </c:pt>
                <c:pt idx="205">
                  <c:v>7.5546178463998359E-2</c:v>
                </c:pt>
                <c:pt idx="206">
                  <c:v>7.5331778918599879E-2</c:v>
                </c:pt>
                <c:pt idx="207">
                  <c:v>7.431523150085706E-2</c:v>
                </c:pt>
                <c:pt idx="208">
                  <c:v>7.4052023252699772E-2</c:v>
                </c:pt>
                <c:pt idx="209">
                  <c:v>7.2991010535168765E-2</c:v>
                </c:pt>
                <c:pt idx="210">
                  <c:v>7.2680356102044374E-2</c:v>
                </c:pt>
                <c:pt idx="211">
                  <c:v>7.1573244603322372E-2</c:v>
                </c:pt>
                <c:pt idx="212">
                  <c:v>7.1987752666331728E-2</c:v>
                </c:pt>
                <c:pt idx="213">
                  <c:v>7.1604986246561753E-2</c:v>
                </c:pt>
                <c:pt idx="214">
                  <c:v>7.0429293810734928E-2</c:v>
                </c:pt>
                <c:pt idx="215">
                  <c:v>7.0000997931675579E-2</c:v>
                </c:pt>
                <c:pt idx="216">
                  <c:v>6.9548033080296445E-2</c:v>
                </c:pt>
                <c:pt idx="217">
                  <c:v>6.8305680565711624E-2</c:v>
                </c:pt>
                <c:pt idx="218">
                  <c:v>6.7807745307593592E-2</c:v>
                </c:pt>
                <c:pt idx="219">
                  <c:v>6.6521785240490461E-2</c:v>
                </c:pt>
                <c:pt idx="220">
                  <c:v>6.597725636543017E-2</c:v>
                </c:pt>
                <c:pt idx="221">
                  <c:v>6.5410527690367593E-2</c:v>
                </c:pt>
                <c:pt idx="222">
                  <c:v>6.4059325870994055E-2</c:v>
                </c:pt>
                <c:pt idx="223">
                  <c:v>6.3446573062754918E-2</c:v>
                </c:pt>
                <c:pt idx="224">
                  <c:v>6.28119055019003E-2</c:v>
                </c:pt>
                <c:pt idx="225">
                  <c:v>6.215341878620162E-2</c:v>
                </c:pt>
                <c:pt idx="226">
                  <c:v>6.1472209429924041E-2</c:v>
                </c:pt>
                <c:pt idx="227">
                  <c:v>6.0769373554553141E-2</c:v>
                </c:pt>
                <c:pt idx="228">
                  <c:v>6.0043007412501792E-2</c:v>
                </c:pt>
                <c:pt idx="229">
                  <c:v>5.9294208230924239E-2</c:v>
                </c:pt>
                <c:pt idx="230">
                  <c:v>5.9275695720902188E-2</c:v>
                </c:pt>
                <c:pt idx="231">
                  <c:v>5.8481226979579137E-2</c:v>
                </c:pt>
                <c:pt idx="232">
                  <c:v>5.7664617112995753E-2</c:v>
                </c:pt>
                <c:pt idx="233">
                  <c:v>5.6826964832244808E-2</c:v>
                </c:pt>
                <c:pt idx="234">
                  <c:v>5.5966368033722569E-2</c:v>
                </c:pt>
                <c:pt idx="235">
                  <c:v>5.5083925850434978E-2</c:v>
                </c:pt>
                <c:pt idx="236">
                  <c:v>5.4925779295051935E-2</c:v>
                </c:pt>
                <c:pt idx="237">
                  <c:v>5.3998845945778973E-2</c:v>
                </c:pt>
                <c:pt idx="238">
                  <c:v>5.3050364988996179E-2</c:v>
                </c:pt>
                <c:pt idx="239">
                  <c:v>5.2081436357888755E-2</c:v>
                </c:pt>
                <c:pt idx="240">
                  <c:v>5.1830806042511668E-2</c:v>
                </c:pt>
                <c:pt idx="241">
                  <c:v>5.0817183557596124E-2</c:v>
                </c:pt>
                <c:pt idx="242">
                  <c:v>4.9783414929119196E-2</c:v>
                </c:pt>
                <c:pt idx="243">
                  <c:v>4.9464944773677244E-2</c:v>
                </c:pt>
                <c:pt idx="244">
                  <c:v>4.8387086342221552E-2</c:v>
                </c:pt>
                <c:pt idx="245">
                  <c:v>4.7289385174729137E-2</c:v>
                </c:pt>
                <c:pt idx="246">
                  <c:v>4.6903982332032523E-2</c:v>
                </c:pt>
                <c:pt idx="247">
                  <c:v>4.6495735660350146E-2</c:v>
                </c:pt>
                <c:pt idx="248">
                  <c:v>4.6065746649522232E-2</c:v>
                </c:pt>
                <c:pt idx="249">
                  <c:v>4.4881390943464439E-2</c:v>
                </c:pt>
                <c:pt idx="250">
                  <c:v>4.4406327797393175E-2</c:v>
                </c:pt>
                <c:pt idx="251">
                  <c:v>4.2452789272796387E-2</c:v>
                </c:pt>
                <c:pt idx="252">
                  <c:v>4.1935167705182241E-2</c:v>
                </c:pt>
                <c:pt idx="253">
                  <c:v>4.0669004283790944E-2</c:v>
                </c:pt>
                <c:pt idx="254">
                  <c:v>4.0109132807709447E-2</c:v>
                </c:pt>
                <c:pt idx="255">
                  <c:v>3.9526238208688724E-2</c:v>
                </c:pt>
                <c:pt idx="256">
                  <c:v>3.8198428577751908E-2</c:v>
                </c:pt>
                <c:pt idx="257">
                  <c:v>3.7573906524868139E-2</c:v>
                </c:pt>
                <c:pt idx="258">
                  <c:v>3.6926673631097362E-2</c:v>
                </c:pt>
                <c:pt idx="259">
                  <c:v>3.5538157255510239E-2</c:v>
                </c:pt>
                <c:pt idx="260">
                  <c:v>3.484992404706766E-2</c:v>
                </c:pt>
                <c:pt idx="261">
                  <c:v>3.4139294505707962E-2</c:v>
                </c:pt>
                <c:pt idx="262">
                  <c:v>3.3407373947521357E-2</c:v>
                </c:pt>
                <c:pt idx="263">
                  <c:v>3.2655267848623382E-2</c:v>
                </c:pt>
                <c:pt idx="264">
                  <c:v>3.2595220763733668E-2</c:v>
                </c:pt>
                <c:pt idx="265">
                  <c:v>3.1085921689690377E-2</c:v>
                </c:pt>
                <c:pt idx="266">
                  <c:v>3.0270893862153425E-2</c:v>
                </c:pt>
                <c:pt idx="267">
                  <c:v>2.943410460975171E-2</c:v>
                </c:pt>
                <c:pt idx="268">
                  <c:v>2.8576660441549606E-2</c:v>
                </c:pt>
                <c:pt idx="269">
                  <c:v>2.7699668259404397E-2</c:v>
                </c:pt>
                <c:pt idx="270">
                  <c:v>2.6801235270690338E-2</c:v>
                </c:pt>
                <c:pt idx="271">
                  <c:v>2.5882468682807858E-2</c:v>
                </c:pt>
                <c:pt idx="272">
                  <c:v>2.4944475892257234E-2</c:v>
                </c:pt>
                <c:pt idx="273">
                  <c:v>2.4689523980182315E-2</c:v>
                </c:pt>
                <c:pt idx="274">
                  <c:v>2.3709292805366822E-2</c:v>
                </c:pt>
                <c:pt idx="275">
                  <c:v>2.2710158999514451E-2</c:v>
                </c:pt>
                <c:pt idx="276">
                  <c:v>2.1690230759325857E-2</c:v>
                </c:pt>
                <c:pt idx="277">
                  <c:v>1.9950895613914721E-2</c:v>
                </c:pt>
                <c:pt idx="278">
                  <c:v>1.9592425872133834E-2</c:v>
                </c:pt>
                <c:pt idx="279">
                  <c:v>1.8513767058779163E-2</c:v>
                </c:pt>
                <c:pt idx="280">
                  <c:v>1.7415748750960081E-2</c:v>
                </c:pt>
                <c:pt idx="281">
                  <c:v>1.69947603157099E-2</c:v>
                </c:pt>
                <c:pt idx="282">
                  <c:v>1.6551409765453329E-2</c:v>
                </c:pt>
                <c:pt idx="283">
                  <c:v>1.539375025457046E-2</c:v>
                </c:pt>
                <c:pt idx="284">
                  <c:v>1.491011546338461E-2</c:v>
                </c:pt>
                <c:pt idx="285">
                  <c:v>1.371361359286416E-2</c:v>
                </c:pt>
                <c:pt idx="286">
                  <c:v>1.3188134650768735E-2</c:v>
                </c:pt>
                <c:pt idx="287">
                  <c:v>1.1954230816157985E-2</c:v>
                </c:pt>
                <c:pt idx="288">
                  <c:v>1.1388348526037095E-2</c:v>
                </c:pt>
                <c:pt idx="289">
                  <c:v>1.0115484563166355E-2</c:v>
                </c:pt>
                <c:pt idx="290">
                  <c:v>9.5106417065116133E-3</c:v>
                </c:pt>
                <c:pt idx="291">
                  <c:v>8.2002606587203708E-3</c:v>
                </c:pt>
                <c:pt idx="292">
                  <c:v>7.554900831713951E-3</c:v>
                </c:pt>
                <c:pt idx="293">
                  <c:v>6.8903935236113156E-3</c:v>
                </c:pt>
                <c:pt idx="294">
                  <c:v>5.5240155963720561E-3</c:v>
                </c:pt>
                <c:pt idx="295">
                  <c:v>4.8196597600957958E-3</c:v>
                </c:pt>
                <c:pt idx="296">
                  <c:v>4.0964912602956538E-3</c:v>
                </c:pt>
                <c:pt idx="297">
                  <c:v>4.0301226641834553E-3</c:v>
                </c:pt>
                <c:pt idx="298">
                  <c:v>2.589165278302108E-3</c:v>
                </c:pt>
                <c:pt idx="299">
                  <c:v>1.1319522173875995E-3</c:v>
                </c:pt>
                <c:pt idx="300">
                  <c:v>3.3076633481865514E-4</c:v>
                </c:pt>
                <c:pt idx="301">
                  <c:v>4.8967094738072703E-4</c:v>
                </c:pt>
                <c:pt idx="302">
                  <c:v>1.3282465151673861E-3</c:v>
                </c:pt>
                <c:pt idx="303">
                  <c:v>2.1868480983018301E-3</c:v>
                </c:pt>
                <c:pt idx="304">
                  <c:v>3.0643621317367753E-3</c:v>
                </c:pt>
                <c:pt idx="305">
                  <c:v>3.9596760688196397E-3</c:v>
                </c:pt>
                <c:pt idx="306">
                  <c:v>4.8746766645604289E-3</c:v>
                </c:pt>
                <c:pt idx="307">
                  <c:v>5.8082499174649804E-3</c:v>
                </c:pt>
                <c:pt idx="308">
                  <c:v>6.7592829317142389E-3</c:v>
                </c:pt>
                <c:pt idx="309">
                  <c:v>7.7296620404241345E-3</c:v>
                </c:pt>
                <c:pt idx="310">
                  <c:v>8.7182736930762061E-3</c:v>
                </c:pt>
                <c:pt idx="311">
                  <c:v>9.7240038590991063E-3</c:v>
                </c:pt>
                <c:pt idx="312">
                  <c:v>1.0087890940806421E-2</c:v>
                </c:pt>
                <c:pt idx="313">
                  <c:v>1.0471888448763789E-2</c:v>
                </c:pt>
                <c:pt idx="314">
                  <c:v>1.1533507966775769E-2</c:v>
                </c:pt>
                <c:pt idx="315">
                  <c:v>1.1956271353263048E-2</c:v>
                </c:pt>
                <c:pt idx="316">
                  <c:v>1.3055208947308383E-2</c:v>
                </c:pt>
                <c:pt idx="317">
                  <c:v>1.4170579387184024E-2</c:v>
                </c:pt>
                <c:pt idx="318">
                  <c:v>1.5304268715038649E-2</c:v>
                </c:pt>
                <c:pt idx="319">
                  <c:v>1.6455162318350425E-2</c:v>
                </c:pt>
                <c:pt idx="320">
                  <c:v>1.7622145235399511E-2</c:v>
                </c:pt>
                <c:pt idx="321">
                  <c:v>1.8156231319881755E-2</c:v>
                </c:pt>
                <c:pt idx="322">
                  <c:v>1.9359156147825018E-2</c:v>
                </c:pt>
                <c:pt idx="323">
                  <c:v>1.9929168578203704E-2</c:v>
                </c:pt>
                <c:pt idx="324">
                  <c:v>2.0519024412033904E-2</c:v>
                </c:pt>
                <c:pt idx="325">
                  <c:v>2.1774050791744326E-2</c:v>
                </c:pt>
                <c:pt idx="326">
                  <c:v>2.2399139724216255E-2</c:v>
                </c:pt>
                <c:pt idx="327">
                  <c:v>2.3043724687267009E-2</c:v>
                </c:pt>
                <c:pt idx="328">
                  <c:v>2.370668945349097E-2</c:v>
                </c:pt>
                <c:pt idx="329">
                  <c:v>2.4386918537434799E-2</c:v>
                </c:pt>
                <c:pt idx="330">
                  <c:v>2.5086294969731693E-2</c:v>
                </c:pt>
                <c:pt idx="331">
                  <c:v>2.5803702712105192E-2</c:v>
                </c:pt>
                <c:pt idx="332">
                  <c:v>2.7176727570766168E-2</c:v>
                </c:pt>
                <c:pt idx="333">
                  <c:v>2.7928744283199247E-2</c:v>
                </c:pt>
                <c:pt idx="334">
                  <c:v>2.8698443070632962E-2</c:v>
                </c:pt>
                <c:pt idx="335">
                  <c:v>3.0120099578567761E-2</c:v>
                </c:pt>
                <c:pt idx="336">
                  <c:v>3.0923710087990219E-2</c:v>
                </c:pt>
                <c:pt idx="337">
                  <c:v>3.1744653626470054E-2</c:v>
                </c:pt>
                <c:pt idx="338">
                  <c:v>3.2581813268270032E-2</c:v>
                </c:pt>
                <c:pt idx="339">
                  <c:v>3.3437072698685455E-2</c:v>
                </c:pt>
                <c:pt idx="340">
                  <c:v>3.4309314759207066E-2</c:v>
                </c:pt>
                <c:pt idx="341">
                  <c:v>3.5197423149694984E-2</c:v>
                </c:pt>
                <c:pt idx="342">
                  <c:v>3.6103280377007607E-2</c:v>
                </c:pt>
                <c:pt idx="343">
                  <c:v>3.5772617768873083E-2</c:v>
                </c:pt>
                <c:pt idx="344">
                  <c:v>3.6712822575519777E-2</c:v>
                </c:pt>
                <c:pt idx="345">
                  <c:v>3.7670425179916922E-2</c:v>
                </c:pt>
                <c:pt idx="346">
                  <c:v>3.8644308510854763E-2</c:v>
                </c:pt>
                <c:pt idx="347">
                  <c:v>3.9011178880053787E-2</c:v>
                </c:pt>
                <c:pt idx="348">
                  <c:v>4.0018370856904184E-2</c:v>
                </c:pt>
                <c:pt idx="349">
                  <c:v>4.1041492550306202E-2</c:v>
                </c:pt>
                <c:pt idx="350">
                  <c:v>4.2079426903594896E-2</c:v>
                </c:pt>
                <c:pt idx="351">
                  <c:v>4.3134056860099967E-2</c:v>
                </c:pt>
                <c:pt idx="352">
                  <c:v>4.3587574348153524E-2</c:v>
                </c:pt>
                <c:pt idx="353">
                  <c:v>4.4673340361625069E-2</c:v>
                </c:pt>
                <c:pt idx="354">
                  <c:v>4.5160951179737729E-2</c:v>
                </c:pt>
                <c:pt idx="355">
                  <c:v>4.627938335042181E-2</c:v>
                </c:pt>
                <c:pt idx="356">
                  <c:v>4.679961570752722E-2</c:v>
                </c:pt>
                <c:pt idx="357">
                  <c:v>4.7949244368457045E-2</c:v>
                </c:pt>
                <c:pt idx="358">
                  <c:v>4.7893504933197217E-2</c:v>
                </c:pt>
                <c:pt idx="359">
                  <c:v>4.8464925317020402E-2</c:v>
                </c:pt>
                <c:pt idx="360">
                  <c:v>4.9054170946034148E-2</c:v>
                </c:pt>
                <c:pt idx="361">
                  <c:v>5.0266965196386515E-2</c:v>
                </c:pt>
                <c:pt idx="362">
                  <c:v>5.0887414561665345E-2</c:v>
                </c:pt>
                <c:pt idx="363">
                  <c:v>5.2129994584601658E-2</c:v>
                </c:pt>
                <c:pt idx="364">
                  <c:v>5.2783176142423116E-2</c:v>
                </c:pt>
                <c:pt idx="365">
                  <c:v>5.3451591624483097E-2</c:v>
                </c:pt>
                <c:pt idx="366">
                  <c:v>5.4137123523100961E-2</c:v>
                </c:pt>
                <c:pt idx="367">
                  <c:v>5.4838652730290871E-2</c:v>
                </c:pt>
                <c:pt idx="368">
                  <c:v>5.5555060923661692E-2</c:v>
                </c:pt>
                <c:pt idx="369">
                  <c:v>5.6288230159078356E-2</c:v>
                </c:pt>
                <c:pt idx="370">
                  <c:v>5.7037041786827114E-2</c:v>
                </c:pt>
                <c:pt idx="371">
                  <c:v>5.7800377848243656E-2</c:v>
                </c:pt>
                <c:pt idx="372">
                  <c:v>5.8580119999104063E-2</c:v>
                </c:pt>
                <c:pt idx="373">
                  <c:v>5.8781368031665338E-2</c:v>
                </c:pt>
                <c:pt idx="374">
                  <c:v>5.9591652045224652E-2</c:v>
                </c:pt>
                <c:pt idx="375">
                  <c:v>5.9826374481239508E-2</c:v>
                </c:pt>
                <c:pt idx="376">
                  <c:v>6.1259255735165663E-2</c:v>
                </c:pt>
                <c:pt idx="377">
                  <c:v>6.2114339065015844E-2</c:v>
                </c:pt>
                <c:pt idx="378">
                  <c:v>6.239675314712434E-2</c:v>
                </c:pt>
                <c:pt idx="379">
                  <c:v>6.3283194039252422E-2</c:v>
                </c:pt>
                <c:pt idx="380">
                  <c:v>6.4183096180290722E-2</c:v>
                </c:pt>
                <c:pt idx="381">
                  <c:v>6.4513216216866009E-2</c:v>
                </c:pt>
                <c:pt idx="382">
                  <c:v>6.5443766058612685E-2</c:v>
                </c:pt>
                <c:pt idx="383">
                  <c:v>6.5804455701741205E-2</c:v>
                </c:pt>
                <c:pt idx="384">
                  <c:v>6.6182291047431896E-2</c:v>
                </c:pt>
                <c:pt idx="385">
                  <c:v>6.7156963543423487E-2</c:v>
                </c:pt>
                <c:pt idx="386">
                  <c:v>6.7564654313219119E-2</c:v>
                </c:pt>
                <c:pt idx="387">
                  <c:v>6.9146453140509934E-2</c:v>
                </c:pt>
                <c:pt idx="388">
                  <c:v>6.9006863623067627E-2</c:v>
                </c:pt>
                <c:pt idx="389">
                  <c:v>6.946048503147173E-2</c:v>
                </c:pt>
                <c:pt idx="390">
                  <c:v>6.9930536810660193E-2</c:v>
                </c:pt>
                <c:pt idx="391">
                  <c:v>7.0990263424212774E-2</c:v>
                </c:pt>
                <c:pt idx="392">
                  <c:v>7.1488746590771868E-2</c:v>
                </c:pt>
                <c:pt idx="393">
                  <c:v>7.2003303684295528E-2</c:v>
                </c:pt>
                <c:pt idx="394">
                  <c:v>7.2532815975039799E-2</c:v>
                </c:pt>
                <c:pt idx="395">
                  <c:v>7.3076164740533578E-2</c:v>
                </c:pt>
                <c:pt idx="396">
                  <c:v>7.3635230843693389E-2</c:v>
                </c:pt>
                <c:pt idx="397">
                  <c:v>7.4208896093055365E-2</c:v>
                </c:pt>
                <c:pt idx="398">
                  <c:v>7.536291696239994E-2</c:v>
                </c:pt>
                <c:pt idx="399">
                  <c:v>7.5964358002319265E-2</c:v>
                </c:pt>
                <c:pt idx="400">
                  <c:v>7.6015300381222506E-2</c:v>
                </c:pt>
                <c:pt idx="401">
                  <c:v>7.664517667112225E-2</c:v>
                </c:pt>
                <c:pt idx="402">
                  <c:v>7.7290060626238333E-2</c:v>
                </c:pt>
                <c:pt idx="403">
                  <c:v>7.7387284711926796E-2</c:v>
                </c:pt>
                <c:pt idx="404">
                  <c:v>7.749940619483553E-2</c:v>
                </c:pt>
                <c:pt idx="405">
                  <c:v>7.8187727056666656E-2</c:v>
                </c:pt>
                <c:pt idx="406">
                  <c:v>7.8889582337820396E-2</c:v>
                </c:pt>
                <c:pt idx="407">
                  <c:v>7.9046552288894123E-2</c:v>
                </c:pt>
                <c:pt idx="408">
                  <c:v>8.0332425800107021E-2</c:v>
                </c:pt>
                <c:pt idx="409">
                  <c:v>8.0518993520766191E-2</c:v>
                </c:pt>
                <c:pt idx="410">
                  <c:v>8.1273868724263565E-2</c:v>
                </c:pt>
                <c:pt idx="411">
                  <c:v>8.1489620043424082E-2</c:v>
                </c:pt>
                <c:pt idx="412">
                  <c:v>8.2272327702685999E-2</c:v>
                </c:pt>
                <c:pt idx="413">
                  <c:v>8.2515787875988789E-2</c:v>
                </c:pt>
                <c:pt idx="414">
                  <c:v>8.2774951820526521E-2</c:v>
                </c:pt>
                <c:pt idx="415">
                  <c:v>8.3597552374304662E-2</c:v>
                </c:pt>
                <c:pt idx="416">
                  <c:v>8.3883714023871292E-2</c:v>
                </c:pt>
                <c:pt idx="417">
                  <c:v>8.4731971680280349E-2</c:v>
                </c:pt>
                <c:pt idx="418">
                  <c:v>8.4500961273882069E-2</c:v>
                </c:pt>
                <c:pt idx="419">
                  <c:v>8.4829809727633876E-2</c:v>
                </c:pt>
                <c:pt idx="420">
                  <c:v>8.5173649523268669E-2</c:v>
                </c:pt>
                <c:pt idx="421">
                  <c:v>8.6073912508116912E-2</c:v>
                </c:pt>
                <c:pt idx="422">
                  <c:v>8.644333346448807E-2</c:v>
                </c:pt>
                <c:pt idx="423">
                  <c:v>8.6286935316159497E-2</c:v>
                </c:pt>
                <c:pt idx="424">
                  <c:v>8.6685558753988978E-2</c:v>
                </c:pt>
                <c:pt idx="425">
                  <c:v>8.7096583318426735E-2</c:v>
                </c:pt>
                <c:pt idx="426">
                  <c:v>8.8059215431603111E-2</c:v>
                </c:pt>
                <c:pt idx="427">
                  <c:v>8.8496647040254839E-2</c:v>
                </c:pt>
                <c:pt idx="428">
                  <c:v>8.8946128379999045E-2</c:v>
                </c:pt>
                <c:pt idx="429">
                  <c:v>8.8875340724859253E-2</c:v>
                </c:pt>
                <c:pt idx="430">
                  <c:v>8.9352608852849791E-2</c:v>
                </c:pt>
                <c:pt idx="431">
                  <c:v>8.9841574283495262E-2</c:v>
                </c:pt>
                <c:pt idx="432">
                  <c:v>8.928195163500785E-2</c:v>
                </c:pt>
                <c:pt idx="433">
                  <c:v>8.979903437969039E-2</c:v>
                </c:pt>
                <c:pt idx="434">
                  <c:v>9.0856475777630674E-2</c:v>
                </c:pt>
                <c:pt idx="435">
                  <c:v>9.0869121443066359E-2</c:v>
                </c:pt>
                <c:pt idx="436">
                  <c:v>9.0895949303968493E-2</c:v>
                </c:pt>
                <c:pt idx="437">
                  <c:v>9.1461751782307754E-2</c:v>
                </c:pt>
                <c:pt idx="438">
                  <c:v>9.1515554913648156E-2</c:v>
                </c:pt>
                <c:pt idx="439">
                  <c:v>9.2107034686923495E-2</c:v>
                </c:pt>
                <c:pt idx="440">
                  <c:v>9.2186343450824548E-2</c:v>
                </c:pt>
                <c:pt idx="441">
                  <c:v>9.2280243205622892E-2</c:v>
                </c:pt>
                <c:pt idx="442">
                  <c:v>9.290838060073936E-2</c:v>
                </c:pt>
                <c:pt idx="443">
                  <c:v>9.3027082404181005E-2</c:v>
                </c:pt>
                <c:pt idx="444">
                  <c:v>9.3678735983998784E-2</c:v>
                </c:pt>
                <c:pt idx="445">
                  <c:v>9.3823773129706911E-2</c:v>
                </c:pt>
                <c:pt idx="446">
                  <c:v>9.398081556834148E-2</c:v>
                </c:pt>
                <c:pt idx="447">
                  <c:v>9.3636103693741202E-2</c:v>
                </c:pt>
                <c:pt idx="448">
                  <c:v>9.3820826375184296E-2</c:v>
                </c:pt>
                <c:pt idx="449">
                  <c:v>9.4017202117501419E-2</c:v>
                </c:pt>
                <c:pt idx="450">
                  <c:v>9.4227114787846844E-2</c:v>
                </c:pt>
                <c:pt idx="451">
                  <c:v>9.444944767871144E-2</c:v>
                </c:pt>
                <c:pt idx="452">
                  <c:v>9.4683084540856832E-2</c:v>
                </c:pt>
                <c:pt idx="453">
                  <c:v>9.4929909794280398E-2</c:v>
                </c:pt>
                <c:pt idx="454">
                  <c:v>9.4680292556460266E-2</c:v>
                </c:pt>
                <c:pt idx="455">
                  <c:v>9.4951160699605186E-2</c:v>
                </c:pt>
                <c:pt idx="456">
                  <c:v>9.5234869082817308E-2</c:v>
                </c:pt>
                <c:pt idx="457">
                  <c:v>9.5530303479093526E-2</c:v>
                </c:pt>
                <c:pt idx="458">
                  <c:v>9.5836348104758162E-2</c:v>
                </c:pt>
                <c:pt idx="459">
                  <c:v>9.5651430595606879E-2</c:v>
                </c:pt>
                <c:pt idx="460">
                  <c:v>9.5982360346902329E-2</c:v>
                </c:pt>
                <c:pt idx="461">
                  <c:v>9.5822113477695314E-2</c:v>
                </c:pt>
                <c:pt idx="462">
                  <c:v>9.5175596677098628E-2</c:v>
                </c:pt>
                <c:pt idx="463">
                  <c:v>9.5542994782428892E-2</c:v>
                </c:pt>
                <c:pt idx="464">
                  <c:v>9.5920314823616959E-2</c:v>
                </c:pt>
                <c:pt idx="465">
                  <c:v>9.5812018507102525E-2</c:v>
                </c:pt>
                <c:pt idx="466">
                  <c:v>9.5716419362299465E-2</c:v>
                </c:pt>
                <c:pt idx="467">
                  <c:v>9.6127822600563739E-2</c:v>
                </c:pt>
                <c:pt idx="468">
                  <c:v>9.605626972708059E-2</c:v>
                </c:pt>
                <c:pt idx="469">
                  <c:v>9.5997066819744958E-2</c:v>
                </c:pt>
                <c:pt idx="470">
                  <c:v>9.6441525917664084E-2</c:v>
                </c:pt>
                <c:pt idx="471">
                  <c:v>9.6405679820615653E-2</c:v>
                </c:pt>
                <c:pt idx="472">
                  <c:v>9.6381838593678992E-2</c:v>
                </c:pt>
                <c:pt idx="473">
                  <c:v>9.636888666411636E-2</c:v>
                </c:pt>
                <c:pt idx="474">
                  <c:v>9.5880258031784571E-2</c:v>
                </c:pt>
                <c:pt idx="475">
                  <c:v>9.5892732094845723E-2</c:v>
                </c:pt>
                <c:pt idx="476">
                  <c:v>9.5915750515635168E-2</c:v>
                </c:pt>
                <c:pt idx="477">
                  <c:v>9.6436681923909529E-2</c:v>
                </c:pt>
                <c:pt idx="478">
                  <c:v>9.5513471970206432E-2</c:v>
                </c:pt>
                <c:pt idx="479">
                  <c:v>9.5571426689831984E-2</c:v>
                </c:pt>
                <c:pt idx="480">
                  <c:v>9.5158948921204356E-2</c:v>
                </c:pt>
                <c:pt idx="481">
                  <c:v>9.5240950707763616E-2</c:v>
                </c:pt>
                <c:pt idx="482">
                  <c:v>9.4852260052903148E-2</c:v>
                </c:pt>
                <c:pt idx="483">
                  <c:v>9.5436425089973298E-2</c:v>
                </c:pt>
                <c:pt idx="484">
                  <c:v>9.5072079577555257E-2</c:v>
                </c:pt>
                <c:pt idx="485">
                  <c:v>9.5196829723620091E-2</c:v>
                </c:pt>
                <c:pt idx="486">
                  <c:v>9.485635490479627E-2</c:v>
                </c:pt>
                <c:pt idx="487">
                  <c:v>9.4528132748578741E-2</c:v>
                </c:pt>
                <c:pt idx="488">
                  <c:v>9.4211048293266764E-2</c:v>
                </c:pt>
                <c:pt idx="489">
                  <c:v>9.4380693483386402E-2</c:v>
                </c:pt>
                <c:pt idx="490">
                  <c:v>9.4560300940341513E-2</c:v>
                </c:pt>
                <c:pt idx="491">
                  <c:v>9.4276995816307441E-2</c:v>
                </c:pt>
                <c:pt idx="492">
                  <c:v>9.4006372699980467E-2</c:v>
                </c:pt>
                <c:pt idx="493">
                  <c:v>9.3277495292767298E-2</c:v>
                </c:pt>
                <c:pt idx="494">
                  <c:v>9.3029862738181812E-2</c:v>
                </c:pt>
                <c:pt idx="495">
                  <c:v>9.2794570117685105E-2</c:v>
                </c:pt>
                <c:pt idx="496">
                  <c:v>9.257050397534794E-2</c:v>
                </c:pt>
                <c:pt idx="497">
                  <c:v>9.2356551677228005E-2</c:v>
                </c:pt>
                <c:pt idx="498">
                  <c:v>9.2154600374783513E-2</c:v>
                </c:pt>
                <c:pt idx="499">
                  <c:v>9.149950850381483E-2</c:v>
                </c:pt>
                <c:pt idx="500">
                  <c:v>9.1782252748907389E-2</c:v>
                </c:pt>
                <c:pt idx="501">
                  <c:v>9.1612632608796929E-2</c:v>
                </c:pt>
                <c:pt idx="502">
                  <c:v>9.0992413383647275E-2</c:v>
                </c:pt>
                <c:pt idx="503">
                  <c:v>9.0843745664740183E-2</c:v>
                </c:pt>
                <c:pt idx="504">
                  <c:v>9.0247168748279094E-2</c:v>
                </c:pt>
                <c:pt idx="505">
                  <c:v>9.0121004493298074E-2</c:v>
                </c:pt>
                <c:pt idx="506">
                  <c:v>9.0003947920356708E-2</c:v>
                </c:pt>
                <c:pt idx="507">
                  <c:v>8.9441508804858572E-2</c:v>
                </c:pt>
                <c:pt idx="508">
                  <c:v>8.8435430926232073E-2</c:v>
                </c:pt>
                <c:pt idx="509">
                  <c:v>8.8350883839368066E-2</c:v>
                </c:pt>
                <c:pt idx="510">
                  <c:v>8.8277001682164347E-2</c:v>
                </c:pt>
                <c:pt idx="511">
                  <c:v>8.7760090795695689E-2</c:v>
                </c:pt>
                <c:pt idx="512">
                  <c:v>8.725351755921551E-2</c:v>
                </c:pt>
                <c:pt idx="513">
                  <c:v>8.6759169713404916E-2</c:v>
                </c:pt>
                <c:pt idx="514">
                  <c:v>8.6275934878906391E-2</c:v>
                </c:pt>
                <c:pt idx="515">
                  <c:v>8.6251511242835477E-2</c:v>
                </c:pt>
                <c:pt idx="516">
                  <c:v>8.5789226842776678E-2</c:v>
                </c:pt>
                <c:pt idx="517">
                  <c:v>8.4890791636675011E-2</c:v>
                </c:pt>
                <c:pt idx="518">
                  <c:v>8.4449893197408699E-2</c:v>
                </c:pt>
                <c:pt idx="519">
                  <c:v>8.4020551572055346E-2</c:v>
                </c:pt>
                <c:pt idx="520">
                  <c:v>8.4045777763532392E-2</c:v>
                </c:pt>
                <c:pt idx="521">
                  <c:v>8.3192096330761522E-2</c:v>
                </c:pt>
                <c:pt idx="522">
                  <c:v>8.2793762851665065E-2</c:v>
                </c:pt>
                <c:pt idx="523">
                  <c:v>8.1964221861300146E-2</c:v>
                </c:pt>
                <c:pt idx="524">
                  <c:v>8.1585941877731827E-2</c:v>
                </c:pt>
                <c:pt idx="525">
                  <c:v>8.077909317990617E-2</c:v>
                </c:pt>
                <c:pt idx="526">
                  <c:v>8.042242521427756E-2</c:v>
                </c:pt>
                <c:pt idx="527">
                  <c:v>7.9636823188766748E-2</c:v>
                </c:pt>
                <c:pt idx="528">
                  <c:v>7.8863640768191523E-2</c:v>
                </c:pt>
                <c:pt idx="529">
                  <c:v>7.8537529523750038E-2</c:v>
                </c:pt>
                <c:pt idx="530">
                  <c:v>7.8219770926913235E-2</c:v>
                </c:pt>
                <c:pt idx="531">
                  <c:v>7.7478334672647975E-2</c:v>
                </c:pt>
                <c:pt idx="532">
                  <c:v>7.6747874605345601E-2</c:v>
                </c:pt>
                <c:pt idx="533">
                  <c:v>7.6459365922396216E-2</c:v>
                </c:pt>
                <c:pt idx="534">
                  <c:v>7.5749609984606892E-2</c:v>
                </c:pt>
                <c:pt idx="535">
                  <c:v>7.5050500650000629E-2</c:v>
                </c:pt>
                <c:pt idx="536">
                  <c:v>7.436092767785496E-2</c:v>
                </c:pt>
                <c:pt idx="537">
                  <c:v>7.3254354410468459E-2</c:v>
                </c:pt>
                <c:pt idx="538">
                  <c:v>7.3014953984279707E-2</c:v>
                </c:pt>
                <c:pt idx="539">
                  <c:v>7.2356335116422699E-2</c:v>
                </c:pt>
                <c:pt idx="540">
                  <c:v>7.0857420538640525E-2</c:v>
                </c:pt>
                <c:pt idx="541">
                  <c:v>7.0221707497007735E-2</c:v>
                </c:pt>
                <c:pt idx="542">
                  <c:v>7.0018761370162608E-2</c:v>
                </c:pt>
                <c:pt idx="543">
                  <c:v>6.8978817973541773E-2</c:v>
                </c:pt>
                <c:pt idx="544">
                  <c:v>6.8372426396794417E-2</c:v>
                </c:pt>
                <c:pt idx="545">
                  <c:v>6.7353417272213889E-2</c:v>
                </c:pt>
                <c:pt idx="546">
                  <c:v>6.6766937271954596E-2</c:v>
                </c:pt>
                <c:pt idx="547">
                  <c:v>6.6189802035869327E-2</c:v>
                </c:pt>
                <c:pt idx="548">
                  <c:v>6.5202424388680846E-2</c:v>
                </c:pt>
                <c:pt idx="549">
                  <c:v>6.4226971470658256E-2</c:v>
                </c:pt>
                <c:pt idx="550">
                  <c:v>6.3679023233778942E-2</c:v>
                </c:pt>
                <c:pt idx="551">
                  <c:v>6.2723197396778119E-2</c:v>
                </c:pt>
                <c:pt idx="552">
                  <c:v>6.1778969585758681E-2</c:v>
                </c:pt>
                <c:pt idx="553">
                  <c:v>6.0845230900249625E-2</c:v>
                </c:pt>
                <c:pt idx="554">
                  <c:v>6.0333998045208226E-2</c:v>
                </c:pt>
                <c:pt idx="555">
                  <c:v>5.942002489086029E-2</c:v>
                </c:pt>
                <c:pt idx="556">
                  <c:v>5.8516217969623696E-2</c:v>
                </c:pt>
                <c:pt idx="557">
                  <c:v>5.7211003828133933E-2</c:v>
                </c:pt>
                <c:pt idx="558">
                  <c:v>5.6328090627007832E-2</c:v>
                </c:pt>
                <c:pt idx="559">
                  <c:v>5.5455020650196474E-2</c:v>
                </c:pt>
                <c:pt idx="560">
                  <c:v>5.4182869056092819E-2</c:v>
                </c:pt>
                <c:pt idx="561">
                  <c:v>5.3736984823360423E-2</c:v>
                </c:pt>
                <c:pt idx="562">
                  <c:v>5.2892806789033742E-2</c:v>
                </c:pt>
                <c:pt idx="563">
                  <c:v>5.1651862328252918E-2</c:v>
                </c:pt>
                <c:pt idx="564">
                  <c:v>5.0422982589818588E-2</c:v>
                </c:pt>
                <c:pt idx="565">
                  <c:v>5.0011929670824351E-2</c:v>
                </c:pt>
                <c:pt idx="566">
                  <c:v>4.8802105546520202E-2</c:v>
                </c:pt>
                <c:pt idx="567">
                  <c:v>4.7604022206489738E-2</c:v>
                </c:pt>
                <c:pt idx="568">
                  <c:v>4.6817394372968835E-2</c:v>
                </c:pt>
                <c:pt idx="569">
                  <c:v>4.5638599400132485E-2</c:v>
                </c:pt>
                <c:pt idx="570">
                  <c:v>4.4471222899269414E-2</c:v>
                </c:pt>
                <c:pt idx="571">
                  <c:v>4.3314157423405497E-2</c:v>
                </c:pt>
                <c:pt idx="572">
                  <c:v>4.2563654773731585E-2</c:v>
                </c:pt>
                <c:pt idx="573">
                  <c:v>4.1426028216310584E-2</c:v>
                </c:pt>
                <c:pt idx="574">
                  <c:v>3.9902759813395861E-2</c:v>
                </c:pt>
                <c:pt idx="575">
                  <c:v>3.9179647530424688E-2</c:v>
                </c:pt>
                <c:pt idx="576">
                  <c:v>3.8071681765484477E-2</c:v>
                </c:pt>
                <c:pt idx="577">
                  <c:v>3.6580332044160002E-2</c:v>
                </c:pt>
                <c:pt idx="578">
                  <c:v>3.5491468491974487E-2</c:v>
                </c:pt>
                <c:pt idx="579">
                  <c:v>3.4413069889452252E-2</c:v>
                </c:pt>
                <c:pt idx="580">
                  <c:v>3.3344031961175524E-2</c:v>
                </c:pt>
                <c:pt idx="581">
                  <c:v>3.1893604442181811E-2</c:v>
                </c:pt>
                <c:pt idx="582">
                  <c:v>3.1232622940717825E-2</c:v>
                </c:pt>
                <c:pt idx="583">
                  <c:v>2.9803095830362558E-2</c:v>
                </c:pt>
                <c:pt idx="584">
                  <c:v>2.838320988026144E-2</c:v>
                </c:pt>
                <c:pt idx="585">
                  <c:v>2.7361113511533475E-2</c:v>
                </c:pt>
                <c:pt idx="586">
                  <c:v>2.6347756581368564E-2</c:v>
                </c:pt>
                <c:pt idx="587">
                  <c:v>2.495746699687551E-2</c:v>
                </c:pt>
                <c:pt idx="588">
                  <c:v>2.3962124169409904E-2</c:v>
                </c:pt>
                <c:pt idx="589">
                  <c:v>2.2592325218997011E-2</c:v>
                </c:pt>
                <c:pt idx="590">
                  <c:v>2.1231534937413699E-2</c:v>
                </c:pt>
                <c:pt idx="591">
                  <c:v>1.950043595315698E-2</c:v>
                </c:pt>
                <c:pt idx="592">
                  <c:v>1.8161184389416718E-2</c:v>
                </c:pt>
                <c:pt idx="593">
                  <c:v>1.6830626280707861E-2</c:v>
                </c:pt>
                <c:pt idx="594">
                  <c:v>1.5889367849791114E-2</c:v>
                </c:pt>
                <c:pt idx="595">
                  <c:v>1.4200175244859281E-2</c:v>
                </c:pt>
                <c:pt idx="596">
                  <c:v>1.2898075598610781E-2</c:v>
                </c:pt>
                <c:pt idx="597">
                  <c:v>1.1606255996925441E-2</c:v>
                </c:pt>
                <c:pt idx="598">
                  <c:v>1.0323613881110916E-2</c:v>
                </c:pt>
                <c:pt idx="599">
                  <c:v>8.674478990316814E-3</c:v>
                </c:pt>
                <c:pt idx="600">
                  <c:v>1.130000000000031E-2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4-4BD7-A0B3-B59481AB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06112"/>
        <c:axId val="2063805632"/>
      </c:scatterChart>
      <c:valAx>
        <c:axId val="206380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5632"/>
        <c:crosses val="autoZero"/>
        <c:crossBetween val="midCat"/>
      </c:valAx>
      <c:valAx>
        <c:axId val="20638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Cal_Error!#REF!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Cal_Error!#REF!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667-4728-AFF2-45B39A3C8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808032"/>
        <c:axId val="2063807552"/>
      </c:lineChart>
      <c:catAx>
        <c:axId val="206380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7552"/>
        <c:crosses val="autoZero"/>
        <c:auto val="1"/>
        <c:lblAlgn val="ctr"/>
        <c:lblOffset val="100"/>
        <c:noMultiLvlLbl val="0"/>
      </c:catAx>
      <c:valAx>
        <c:axId val="20638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</xdr:colOff>
      <xdr:row>1</xdr:row>
      <xdr:rowOff>14287</xdr:rowOff>
    </xdr:from>
    <xdr:to>
      <xdr:col>19</xdr:col>
      <xdr:colOff>328612</xdr:colOff>
      <xdr:row>14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7B5BF-FF63-F3AC-BFFB-6E7BC4D0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14</xdr:row>
      <xdr:rowOff>61912</xdr:rowOff>
    </xdr:from>
    <xdr:to>
      <xdr:col>19</xdr:col>
      <xdr:colOff>333375</xdr:colOff>
      <xdr:row>27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B6A5D-B0CF-8194-2515-6ADB0F532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28</xdr:row>
      <xdr:rowOff>23812</xdr:rowOff>
    </xdr:from>
    <xdr:to>
      <xdr:col>19</xdr:col>
      <xdr:colOff>342900</xdr:colOff>
      <xdr:row>41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FA0159-7B79-4646-F474-F06CC91B6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A209-6DDA-49B8-A91D-5A3A97DFF25C}">
  <dimension ref="A1:AF602"/>
  <sheetViews>
    <sheetView tabSelected="1" zoomScale="130" zoomScaleNormal="130" workbookViewId="0">
      <pane ySplit="1" topLeftCell="A13" activePane="bottomLeft" state="frozen"/>
      <selection pane="bottomLeft" activeCell="B5" sqref="B5"/>
    </sheetView>
  </sheetViews>
  <sheetFormatPr defaultRowHeight="15" x14ac:dyDescent="0.25"/>
  <cols>
    <col min="1" max="1" width="36.28515625" customWidth="1"/>
    <col min="2" max="2" width="15.28515625" customWidth="1"/>
    <col min="3" max="4" width="16.5703125" customWidth="1"/>
    <col min="5" max="5" width="12" style="4" customWidth="1"/>
    <col min="7" max="7" width="19.85546875" customWidth="1"/>
    <col min="8" max="8" width="14.7109375" customWidth="1"/>
    <col min="9" max="9" width="17.140625" customWidth="1"/>
    <col min="10" max="10" width="17" customWidth="1"/>
    <col min="11" max="11" width="29.140625" customWidth="1"/>
    <col min="12" max="12" width="14.42578125" customWidth="1"/>
    <col min="13" max="13" width="17.85546875" customWidth="1"/>
    <col min="14" max="14" width="26.140625" customWidth="1"/>
    <col min="15" max="15" width="20.7109375" customWidth="1"/>
    <col min="16" max="17" width="29.85546875" customWidth="1"/>
    <col min="18" max="21" width="21.7109375" customWidth="1"/>
    <col min="22" max="23" width="16.85546875" customWidth="1"/>
    <col min="24" max="24" width="21.140625" customWidth="1"/>
    <col min="25" max="25" width="20.28515625" customWidth="1"/>
    <col min="26" max="26" width="21" customWidth="1"/>
    <col min="27" max="27" width="17.5703125" customWidth="1"/>
    <col min="28" max="28" width="20.85546875" customWidth="1"/>
    <col min="29" max="29" width="28.5703125" customWidth="1"/>
    <col min="30" max="30" width="27.5703125" customWidth="1"/>
    <col min="31" max="31" width="26.7109375" customWidth="1"/>
    <col min="32" max="32" width="27.5703125" customWidth="1"/>
  </cols>
  <sheetData>
    <row r="1" spans="1:32" ht="16.5" thickTop="1" thickBot="1" x14ac:dyDescent="0.3">
      <c r="A1" s="24" t="s">
        <v>88</v>
      </c>
      <c r="B1" s="24"/>
      <c r="C1" s="24"/>
      <c r="F1" s="33" t="s">
        <v>0</v>
      </c>
      <c r="G1" s="33" t="s">
        <v>89</v>
      </c>
      <c r="H1" s="33" t="s">
        <v>87</v>
      </c>
      <c r="I1" s="33" t="s">
        <v>111</v>
      </c>
      <c r="J1" s="33" t="s">
        <v>112</v>
      </c>
      <c r="K1" s="33" t="s">
        <v>113</v>
      </c>
      <c r="L1" s="33" t="s">
        <v>114</v>
      </c>
      <c r="M1" s="33" t="s">
        <v>154</v>
      </c>
      <c r="N1" s="33" t="s">
        <v>115</v>
      </c>
      <c r="O1" s="33" t="s">
        <v>116</v>
      </c>
      <c r="P1" s="33" t="s">
        <v>139</v>
      </c>
      <c r="Q1" s="33" t="s">
        <v>142</v>
      </c>
      <c r="R1" s="33" t="s">
        <v>117</v>
      </c>
      <c r="S1" s="33" t="s">
        <v>118</v>
      </c>
      <c r="T1" s="33" t="s">
        <v>119</v>
      </c>
      <c r="U1" s="33" t="s">
        <v>120</v>
      </c>
      <c r="V1" s="33" t="s">
        <v>131</v>
      </c>
      <c r="W1" s="33" t="s">
        <v>134</v>
      </c>
      <c r="X1" s="33" t="s">
        <v>135</v>
      </c>
      <c r="Y1" s="33" t="s">
        <v>136</v>
      </c>
      <c r="Z1" s="33" t="s">
        <v>73</v>
      </c>
      <c r="AA1" s="33" t="s">
        <v>145</v>
      </c>
      <c r="AB1" s="6" t="s">
        <v>149</v>
      </c>
      <c r="AC1" s="6" t="s">
        <v>148</v>
      </c>
      <c r="AD1" s="6" t="s">
        <v>150</v>
      </c>
      <c r="AE1" s="6" t="s">
        <v>151</v>
      </c>
      <c r="AF1" s="6" t="s">
        <v>152</v>
      </c>
    </row>
    <row r="2" spans="1:32" ht="15.75" thickTop="1" x14ac:dyDescent="0.25">
      <c r="A2" s="14" t="s">
        <v>101</v>
      </c>
      <c r="B2" s="14" t="s">
        <v>100</v>
      </c>
      <c r="C2" s="14" t="s">
        <v>35</v>
      </c>
      <c r="F2" s="14" cm="1">
        <f t="array" ref="F2:F602">_xlfn.SEQUENCE(601,1,0,1)</f>
        <v>0</v>
      </c>
      <c r="G2" s="14">
        <f>F2*0.1+20</f>
        <v>20</v>
      </c>
      <c r="H2" s="14">
        <f>G2+273.15</f>
        <v>293.14999999999998</v>
      </c>
      <c r="I2" s="15">
        <f>ROUND(1/12*G2-5/3,6)</f>
        <v>0</v>
      </c>
      <c r="J2" s="15">
        <f>ROUND(10000*EXP(($B$3)+($B$4/H2)+($B$5/(H2^2))+($B$6/(H2^3))),6)</f>
        <v>12487.988665000001</v>
      </c>
      <c r="K2" s="15">
        <f>$B$9*(2*$B$8+J2)-$B$9*$B$10</f>
        <v>11.507988665000001</v>
      </c>
      <c r="L2" s="15">
        <f>ROUND(1/(1/(J2+2*$B$8)+1/($B$7)),6)</f>
        <v>2220.646671</v>
      </c>
      <c r="M2" s="15">
        <v>2218.6499999999996</v>
      </c>
      <c r="N2" s="14">
        <f>$B$9*(L2+$B$10)*(L2/(L2+$B$10))</f>
        <v>2.2206466709999999</v>
      </c>
      <c r="O2" s="14">
        <f>$B$11*G2+$B$12</f>
        <v>2.2319999999999998</v>
      </c>
      <c r="P2" s="14">
        <f>ABS(N2-O2)</f>
        <v>1.1353328999999857E-2</v>
      </c>
      <c r="Q2" s="18">
        <f>ABS(O2-N2)/O2</f>
        <v>5.0866169354838071E-3</v>
      </c>
      <c r="R2" s="15">
        <f ca="1">ROUND(N2*$B$29,6)+RANDBETWEEN(-1,1)*$B$24+RANDBETWEEN(-1,1)*$B$25</f>
        <v>8.1003393644314876</v>
      </c>
      <c r="S2" s="15">
        <f>O2*$B$23</f>
        <v>8.2319999999999993</v>
      </c>
      <c r="T2" s="15">
        <f ca="1">ABS(R2-S2)</f>
        <v>0.13166063556851171</v>
      </c>
      <c r="U2" s="18">
        <f ca="1">ABS(S2-R2)/S2</f>
        <v>1.5993760394619985E-2</v>
      </c>
      <c r="V2" s="15">
        <f>$B$44*S2+$B$45</f>
        <v>0</v>
      </c>
      <c r="W2" s="15">
        <f ca="1">$B$46*R2+$B$47</f>
        <v>-0.10033936443148761</v>
      </c>
      <c r="X2" s="15">
        <f ca="1">ABS(V2-W2)</f>
        <v>0.10033936443148761</v>
      </c>
      <c r="Y2" s="35">
        <f ca="1">IF(V2 = 0, ABS(V2-W2)/(V2+0.0001), ABS(V2-W2)/V2)</f>
        <v>1003.393644314876</v>
      </c>
      <c r="Z2" s="36">
        <f ca="1">ROUND((W2+5/3)/(1/12),6)</f>
        <v>18.795928</v>
      </c>
      <c r="AA2" s="18">
        <f ca="1">ABS(G2-Z2)/G2</f>
        <v>6.0203600000000003E-2</v>
      </c>
      <c r="AB2" s="2"/>
    </row>
    <row r="3" spans="1:32" x14ac:dyDescent="0.25">
      <c r="A3" s="14" t="s">
        <v>83</v>
      </c>
      <c r="B3" s="14">
        <v>-14.633699999999999</v>
      </c>
      <c r="C3" s="14">
        <f>SLOPE(N:N,G:G)</f>
        <v>-2.3478388228943454E-2</v>
      </c>
      <c r="F3" s="14">
        <v>1</v>
      </c>
      <c r="G3" s="14">
        <f t="shared" ref="G3:G66" si="0">F3*0.1+20</f>
        <v>20.100000000000001</v>
      </c>
      <c r="H3" s="14">
        <f t="shared" ref="H3:H66" si="1">G3+273.15</f>
        <v>293.25</v>
      </c>
      <c r="I3" s="15">
        <f t="shared" ref="I3:I66" si="2">ROUND(1/12*G3-5/3,6)</f>
        <v>8.3330000000000001E-3</v>
      </c>
      <c r="J3" s="15">
        <f t="shared" ref="J3:J66" si="3">ROUND(10000*EXP(($B$3)+($B$4/H3)+($B$5/(H3^2))+($B$6/(H3^3))),6)</f>
        <v>12431.825699999999</v>
      </c>
      <c r="K3" s="15">
        <f t="shared" ref="K3:K66" si="4">$B$9*(2*$B$8+J3)-$B$9*$B$10</f>
        <v>11.451825700000001</v>
      </c>
      <c r="L3" s="15">
        <f t="shared" ref="L3:L66" si="5">ROUND(1/(1/(J3+2*$B$8)+1/($B$7)),6)</f>
        <v>2218.8698610000001</v>
      </c>
      <c r="M3" s="15">
        <v>2217.1099999999997</v>
      </c>
      <c r="N3" s="14">
        <f t="shared" ref="N3:N66" si="6">$B$9*(L3+$B$10)*(L3/(L3+$B$10))</f>
        <v>2.2188698610000004</v>
      </c>
      <c r="O3" s="14">
        <f t="shared" ref="O3:O66" si="7">$B$11*G3+$B$12</f>
        <v>2.2297099999999999</v>
      </c>
      <c r="P3" s="14">
        <f t="shared" ref="P3:P66" si="8">ABS(N3-O3)</f>
        <v>1.0840138999999471E-2</v>
      </c>
      <c r="Q3" s="18">
        <f t="shared" ref="Q3:Q66" si="9">ABS(O3-N3)/O3</f>
        <v>4.8616811154811486E-3</v>
      </c>
      <c r="R3" s="15">
        <f t="shared" ref="R3:R66" ca="1" si="10">ROUND(N3*$B$29,6)+RANDBETWEEN(-1,1)*$B$24+RANDBETWEEN(-1,1)*$B$25</f>
        <v>8.0942545014577263</v>
      </c>
      <c r="S3" s="15">
        <f t="shared" ref="S3:S66" si="11">O3*$B$23</f>
        <v>8.2235540860215046</v>
      </c>
      <c r="T3" s="15">
        <f t="shared" ref="T3:T66" ca="1" si="12">ABS(R3-S3)</f>
        <v>0.12929958456377832</v>
      </c>
      <c r="U3" s="18">
        <f t="shared" ref="U3:U66" ca="1" si="13">ABS(S3-R3)/S3</f>
        <v>1.5723078271420783E-2</v>
      </c>
      <c r="V3" s="15">
        <f t="shared" ref="V3:V66" si="14">$B$44*S3+$B$45</f>
        <v>8.333333333334636E-3</v>
      </c>
      <c r="W3" s="15">
        <f t="shared" ref="W3:W66" ca="1" si="15">$B$46*R3+$B$47</f>
        <v>-9.4254501457726292E-2</v>
      </c>
      <c r="X3" s="15">
        <f t="shared" ref="X3:X66" ca="1" si="16">ABS(V3-W3)</f>
        <v>0.10258783479106093</v>
      </c>
      <c r="Y3" s="35">
        <f t="shared" ref="Y3:Y66" ca="1" si="17">IF(V3 = 0, ABS(V3-W3)/(V3+0.0001), ABS(V3-W3)/V3)</f>
        <v>12.310540174925388</v>
      </c>
      <c r="Z3" s="36">
        <f t="shared" ref="Z3:Z66" ca="1" si="18">ROUND((W3+5/3)/(1/12),6)</f>
        <v>18.868946000000001</v>
      </c>
      <c r="AA3" s="18">
        <f t="shared" ref="AA3:AA66" ca="1" si="19">ABS(G3-Z3)/G3</f>
        <v>6.1246467661691555E-2</v>
      </c>
      <c r="AB3" s="2"/>
    </row>
    <row r="4" spans="1:32" x14ac:dyDescent="0.25">
      <c r="A4" s="14" t="s">
        <v>84</v>
      </c>
      <c r="B4" s="14">
        <v>4791.8419999999996</v>
      </c>
      <c r="C4" s="14">
        <f>INTERCEPT(N:N,G:G)</f>
        <v>2.7207744948964239</v>
      </c>
      <c r="F4" s="14">
        <v>2</v>
      </c>
      <c r="G4" s="14">
        <f t="shared" si="0"/>
        <v>20.2</v>
      </c>
      <c r="H4" s="14">
        <f t="shared" si="1"/>
        <v>293.34999999999997</v>
      </c>
      <c r="I4" s="15">
        <f t="shared" si="2"/>
        <v>1.6667000000000001E-2</v>
      </c>
      <c r="J4" s="15">
        <f t="shared" si="3"/>
        <v>12375.948216999999</v>
      </c>
      <c r="K4" s="15">
        <f t="shared" si="4"/>
        <v>11.395948216999999</v>
      </c>
      <c r="L4" s="15">
        <f t="shared" si="5"/>
        <v>2217.088964</v>
      </c>
      <c r="M4" s="15">
        <v>2215.56</v>
      </c>
      <c r="N4" s="14">
        <f t="shared" si="6"/>
        <v>2.2170889640000002</v>
      </c>
      <c r="O4" s="14">
        <f t="shared" si="7"/>
        <v>2.22742</v>
      </c>
      <c r="P4" s="14">
        <f t="shared" si="8"/>
        <v>1.0331035999999738E-2</v>
      </c>
      <c r="Q4" s="18">
        <f t="shared" si="9"/>
        <v>4.638117642833295E-3</v>
      </c>
      <c r="R4" s="15">
        <f t="shared" ca="1" si="10"/>
        <v>8.0873623644314865</v>
      </c>
      <c r="S4" s="15">
        <f t="shared" si="11"/>
        <v>8.2151081720430099</v>
      </c>
      <c r="T4" s="15">
        <f t="shared" ca="1" si="12"/>
        <v>0.12774580761152343</v>
      </c>
      <c r="U4" s="18">
        <f t="shared" ca="1" si="13"/>
        <v>1.5550106576351315E-2</v>
      </c>
      <c r="V4" s="15">
        <f t="shared" si="14"/>
        <v>1.6666666666667496E-2</v>
      </c>
      <c r="W4" s="15">
        <f t="shared" ca="1" si="15"/>
        <v>-8.7362364431486483E-2</v>
      </c>
      <c r="X4" s="15">
        <f t="shared" ca="1" si="16"/>
        <v>0.10402903109815398</v>
      </c>
      <c r="Y4" s="35">
        <f t="shared" ca="1" si="17"/>
        <v>6.2417418658889279</v>
      </c>
      <c r="Z4" s="36">
        <f t="shared" ca="1" si="18"/>
        <v>18.951651999999999</v>
      </c>
      <c r="AA4" s="18">
        <f t="shared" ca="1" si="19"/>
        <v>6.1799405940594063E-2</v>
      </c>
      <c r="AB4" s="2"/>
    </row>
    <row r="5" spans="1:32" x14ac:dyDescent="0.25">
      <c r="A5" s="14" t="s">
        <v>85</v>
      </c>
      <c r="B5" s="14">
        <v>-115334</v>
      </c>
      <c r="C5" s="14"/>
      <c r="F5" s="14">
        <v>3</v>
      </c>
      <c r="G5" s="14">
        <f t="shared" si="0"/>
        <v>20.3</v>
      </c>
      <c r="H5" s="14">
        <f t="shared" si="1"/>
        <v>293.45</v>
      </c>
      <c r="I5" s="15">
        <f t="shared" si="2"/>
        <v>2.5000000000000001E-2</v>
      </c>
      <c r="J5" s="15">
        <f t="shared" si="3"/>
        <v>12320.354608</v>
      </c>
      <c r="K5" s="15">
        <f t="shared" si="4"/>
        <v>11.340354608</v>
      </c>
      <c r="L5" s="15">
        <f t="shared" si="5"/>
        <v>2215.303981</v>
      </c>
      <c r="M5" s="15">
        <v>2214</v>
      </c>
      <c r="N5" s="14">
        <f t="shared" si="6"/>
        <v>2.2153039809999999</v>
      </c>
      <c r="O5" s="14">
        <f t="shared" si="7"/>
        <v>2.2251300000000001</v>
      </c>
      <c r="P5" s="14">
        <f t="shared" si="8"/>
        <v>9.8260190000001302E-3</v>
      </c>
      <c r="Q5" s="18">
        <f t="shared" si="9"/>
        <v>4.4159303051957101E-3</v>
      </c>
      <c r="R5" s="15">
        <f t="shared" ca="1" si="10"/>
        <v>8.08006986297376</v>
      </c>
      <c r="S5" s="15">
        <f t="shared" si="11"/>
        <v>8.2066622580645152</v>
      </c>
      <c r="T5" s="15">
        <f t="shared" ca="1" si="12"/>
        <v>0.12659239509075526</v>
      </c>
      <c r="U5" s="18">
        <f t="shared" ca="1" si="13"/>
        <v>1.542556414653906E-2</v>
      </c>
      <c r="V5" s="15">
        <f t="shared" si="14"/>
        <v>2.5000000000000355E-2</v>
      </c>
      <c r="W5" s="15">
        <f t="shared" ca="1" si="15"/>
        <v>-8.0069862973759953E-2</v>
      </c>
      <c r="X5" s="15">
        <f t="shared" ca="1" si="16"/>
        <v>0.10506986297376031</v>
      </c>
      <c r="Y5" s="35">
        <f t="shared" ca="1" si="17"/>
        <v>4.2027945189503528</v>
      </c>
      <c r="Z5" s="36">
        <f t="shared" ca="1" si="18"/>
        <v>19.039162000000001</v>
      </c>
      <c r="AA5" s="18">
        <f t="shared" ca="1" si="19"/>
        <v>6.2110246305418698E-2</v>
      </c>
      <c r="AB5" s="2"/>
    </row>
    <row r="6" spans="1:32" x14ac:dyDescent="0.25">
      <c r="A6" s="14" t="s">
        <v>86</v>
      </c>
      <c r="B6" s="14">
        <v>-3730535</v>
      </c>
      <c r="C6" s="14"/>
      <c r="F6" s="14">
        <v>4</v>
      </c>
      <c r="G6" s="14">
        <f t="shared" si="0"/>
        <v>20.399999999999999</v>
      </c>
      <c r="H6" s="14">
        <f t="shared" si="1"/>
        <v>293.54999999999995</v>
      </c>
      <c r="I6" s="15">
        <f t="shared" si="2"/>
        <v>3.3333000000000002E-2</v>
      </c>
      <c r="J6" s="15">
        <f t="shared" si="3"/>
        <v>12265.043276</v>
      </c>
      <c r="K6" s="15">
        <f t="shared" si="4"/>
        <v>11.285043276000001</v>
      </c>
      <c r="L6" s="15">
        <f t="shared" si="5"/>
        <v>2213.5149179999999</v>
      </c>
      <c r="M6" s="15">
        <v>2211.91</v>
      </c>
      <c r="N6" s="14">
        <f t="shared" si="6"/>
        <v>2.213514918</v>
      </c>
      <c r="O6" s="14">
        <f t="shared" si="7"/>
        <v>2.2228400000000001</v>
      </c>
      <c r="P6" s="14">
        <f t="shared" si="8"/>
        <v>9.3250820000001511E-3</v>
      </c>
      <c r="Q6" s="18">
        <f t="shared" si="9"/>
        <v>4.1951206564575724E-3</v>
      </c>
      <c r="R6" s="15">
        <f t="shared" ca="1" si="10"/>
        <v>8.0743361370262399</v>
      </c>
      <c r="S6" s="15">
        <f t="shared" si="11"/>
        <v>8.1982163440860223</v>
      </c>
      <c r="T6" s="15">
        <f t="shared" ca="1" si="12"/>
        <v>0.12388020705978242</v>
      </c>
      <c r="U6" s="18">
        <f t="shared" ca="1" si="13"/>
        <v>1.5110629173520939E-2</v>
      </c>
      <c r="V6" s="15">
        <f t="shared" si="14"/>
        <v>3.3333333333331439E-2</v>
      </c>
      <c r="W6" s="15">
        <f t="shared" ca="1" si="15"/>
        <v>-7.4336137026239868E-2</v>
      </c>
      <c r="X6" s="15">
        <f t="shared" ca="1" si="16"/>
        <v>0.10766947035957131</v>
      </c>
      <c r="Y6" s="35">
        <f t="shared" ca="1" si="17"/>
        <v>3.2300841107873226</v>
      </c>
      <c r="Z6" s="36">
        <f t="shared" ca="1" si="18"/>
        <v>19.107966000000001</v>
      </c>
      <c r="AA6" s="18">
        <f t="shared" ca="1" si="19"/>
        <v>6.3334999999999878E-2</v>
      </c>
      <c r="AB6" s="2"/>
    </row>
    <row r="7" spans="1:32" x14ac:dyDescent="0.25">
      <c r="A7" s="14" t="s">
        <v>90</v>
      </c>
      <c r="B7" s="14">
        <f>2700</f>
        <v>2700</v>
      </c>
      <c r="C7" s="14" t="s">
        <v>37</v>
      </c>
      <c r="F7" s="14">
        <v>5</v>
      </c>
      <c r="G7" s="14">
        <f t="shared" si="0"/>
        <v>20.5</v>
      </c>
      <c r="H7" s="14">
        <f t="shared" si="1"/>
        <v>293.64999999999998</v>
      </c>
      <c r="I7" s="15">
        <f t="shared" si="2"/>
        <v>4.1667000000000003E-2</v>
      </c>
      <c r="J7" s="15">
        <f t="shared" si="3"/>
        <v>12210.012634000001</v>
      </c>
      <c r="K7" s="15">
        <f t="shared" si="4"/>
        <v>11.230012634000001</v>
      </c>
      <c r="L7" s="15">
        <f t="shared" si="5"/>
        <v>2211.7217799999999</v>
      </c>
      <c r="M7" s="15">
        <v>2210.34</v>
      </c>
      <c r="N7" s="14">
        <f t="shared" si="6"/>
        <v>2.21172178</v>
      </c>
      <c r="O7" s="14">
        <f t="shared" si="7"/>
        <v>2.2205499999999998</v>
      </c>
      <c r="P7" s="14">
        <f t="shared" si="8"/>
        <v>8.8282199999998312E-3</v>
      </c>
      <c r="Q7" s="18">
        <f t="shared" si="9"/>
        <v>3.9756907072571353E-3</v>
      </c>
      <c r="R7" s="15">
        <f t="shared" ca="1" si="10"/>
        <v>8.0666184985422724</v>
      </c>
      <c r="S7" s="15">
        <f t="shared" si="11"/>
        <v>8.1897704301075258</v>
      </c>
      <c r="T7" s="15">
        <f t="shared" ca="1" si="12"/>
        <v>0.12315193156525339</v>
      </c>
      <c r="U7" s="18">
        <f t="shared" ca="1" si="13"/>
        <v>1.5037287383846302E-2</v>
      </c>
      <c r="V7" s="15">
        <f t="shared" si="14"/>
        <v>4.1666666666667851E-2</v>
      </c>
      <c r="W7" s="15">
        <f t="shared" ca="1" si="15"/>
        <v>-6.661849854227242E-2</v>
      </c>
      <c r="X7" s="15">
        <f t="shared" ca="1" si="16"/>
        <v>0.10828516520894027</v>
      </c>
      <c r="Y7" s="35">
        <f t="shared" ca="1" si="17"/>
        <v>2.5988439650144928</v>
      </c>
      <c r="Z7" s="36">
        <f t="shared" ca="1" si="18"/>
        <v>19.200578</v>
      </c>
      <c r="AA7" s="18">
        <f t="shared" ca="1" si="19"/>
        <v>6.3386439024390243E-2</v>
      </c>
      <c r="AB7" s="2"/>
    </row>
    <row r="8" spans="1:32" x14ac:dyDescent="0.25">
      <c r="A8" s="14" t="s">
        <v>91</v>
      </c>
      <c r="B8" s="14">
        <v>10</v>
      </c>
      <c r="C8" s="14" t="s">
        <v>37</v>
      </c>
      <c r="F8" s="14">
        <v>6</v>
      </c>
      <c r="G8" s="14">
        <f t="shared" si="0"/>
        <v>20.6</v>
      </c>
      <c r="H8" s="14">
        <f t="shared" si="1"/>
        <v>293.75</v>
      </c>
      <c r="I8" s="15">
        <f t="shared" si="2"/>
        <v>0.05</v>
      </c>
      <c r="J8" s="15">
        <f t="shared" si="3"/>
        <v>12155.261103000001</v>
      </c>
      <c r="K8" s="15">
        <f t="shared" si="4"/>
        <v>11.175261103</v>
      </c>
      <c r="L8" s="15">
        <f t="shared" si="5"/>
        <v>2209.9245689999998</v>
      </c>
      <c r="M8" s="15">
        <v>2208.5</v>
      </c>
      <c r="N8" s="14">
        <f t="shared" si="6"/>
        <v>2.209924569</v>
      </c>
      <c r="O8" s="14">
        <f t="shared" si="7"/>
        <v>2.2182599999999999</v>
      </c>
      <c r="P8" s="14">
        <f t="shared" si="8"/>
        <v>8.3354309999998932E-3</v>
      </c>
      <c r="Q8" s="18">
        <f t="shared" si="9"/>
        <v>3.7576438289469646E-3</v>
      </c>
      <c r="R8" s="15">
        <f t="shared" ca="1" si="10"/>
        <v>8.0608547725947517</v>
      </c>
      <c r="S8" s="15">
        <f t="shared" si="11"/>
        <v>8.1813245161290311</v>
      </c>
      <c r="T8" s="15">
        <f t="shared" ca="1" si="12"/>
        <v>0.12046974353427942</v>
      </c>
      <c r="U8" s="18">
        <f t="shared" ca="1" si="13"/>
        <v>1.4724968224494695E-2</v>
      </c>
      <c r="V8" s="15">
        <f t="shared" si="14"/>
        <v>5.0000000000000711E-2</v>
      </c>
      <c r="W8" s="15">
        <f t="shared" ca="1" si="15"/>
        <v>-6.0854772594751694E-2</v>
      </c>
      <c r="X8" s="15">
        <f t="shared" ca="1" si="16"/>
        <v>0.1108547725947524</v>
      </c>
      <c r="Y8" s="35">
        <f t="shared" ca="1" si="17"/>
        <v>2.2170954518950166</v>
      </c>
      <c r="Z8" s="36">
        <f t="shared" ca="1" si="18"/>
        <v>19.269742999999998</v>
      </c>
      <c r="AA8" s="18">
        <f t="shared" ca="1" si="19"/>
        <v>6.4575582524271993E-2</v>
      </c>
      <c r="AB8" s="2"/>
    </row>
    <row r="9" spans="1:32" x14ac:dyDescent="0.25">
      <c r="A9" s="14" t="s">
        <v>92</v>
      </c>
      <c r="B9" s="14">
        <f>0.001</f>
        <v>1E-3</v>
      </c>
      <c r="C9" s="14" t="s">
        <v>83</v>
      </c>
      <c r="F9" s="14">
        <v>7</v>
      </c>
      <c r="G9" s="14">
        <f t="shared" si="0"/>
        <v>20.7</v>
      </c>
      <c r="H9" s="14">
        <f t="shared" si="1"/>
        <v>293.84999999999997</v>
      </c>
      <c r="I9" s="15">
        <f t="shared" si="2"/>
        <v>5.8333000000000003E-2</v>
      </c>
      <c r="J9" s="15">
        <f t="shared" si="3"/>
        <v>12100.787114999999</v>
      </c>
      <c r="K9" s="15">
        <f t="shared" si="4"/>
        <v>11.120787114999999</v>
      </c>
      <c r="L9" s="15">
        <f t="shared" si="5"/>
        <v>2208.12329</v>
      </c>
      <c r="M9" s="15">
        <v>2206.65</v>
      </c>
      <c r="N9" s="14">
        <f t="shared" si="6"/>
        <v>2.2081232900000001</v>
      </c>
      <c r="O9" s="14">
        <f t="shared" si="7"/>
        <v>2.21597</v>
      </c>
      <c r="P9" s="14">
        <f t="shared" si="8"/>
        <v>7.8467099999999235E-3</v>
      </c>
      <c r="Q9" s="18">
        <f t="shared" si="9"/>
        <v>3.540982053006098E-3</v>
      </c>
      <c r="R9" s="15">
        <f t="shared" ca="1" si="10"/>
        <v>8.0542739999999995</v>
      </c>
      <c r="S9" s="15">
        <f t="shared" si="11"/>
        <v>8.1728786021505364</v>
      </c>
      <c r="T9" s="15">
        <f t="shared" ca="1" si="12"/>
        <v>0.11860460215053692</v>
      </c>
      <c r="U9" s="18">
        <f t="shared" ca="1" si="13"/>
        <v>1.4511974045390615E-2</v>
      </c>
      <c r="V9" s="15">
        <f t="shared" si="14"/>
        <v>5.833333333333357E-2</v>
      </c>
      <c r="W9" s="15">
        <f t="shared" ca="1" si="15"/>
        <v>-5.4273999999999489E-2</v>
      </c>
      <c r="X9" s="15">
        <f t="shared" ca="1" si="16"/>
        <v>0.11260733333333306</v>
      </c>
      <c r="Y9" s="35">
        <f t="shared" ca="1" si="17"/>
        <v>1.930411428571416</v>
      </c>
      <c r="Z9" s="36">
        <f t="shared" ca="1" si="18"/>
        <v>19.348711999999999</v>
      </c>
      <c r="AA9" s="18">
        <f t="shared" ca="1" si="19"/>
        <v>6.5279613526570066E-2</v>
      </c>
      <c r="AB9" s="2"/>
    </row>
    <row r="10" spans="1:32" x14ac:dyDescent="0.25">
      <c r="A10" s="14" t="s">
        <v>153</v>
      </c>
      <c r="B10" s="14">
        <v>1000</v>
      </c>
      <c r="C10" s="14" t="s">
        <v>37</v>
      </c>
      <c r="F10" s="14">
        <v>8</v>
      </c>
      <c r="G10" s="14">
        <f t="shared" si="0"/>
        <v>20.8</v>
      </c>
      <c r="H10" s="14">
        <f t="shared" si="1"/>
        <v>293.95</v>
      </c>
      <c r="I10" s="15">
        <f t="shared" si="2"/>
        <v>6.6667000000000004E-2</v>
      </c>
      <c r="J10" s="15">
        <f t="shared" si="3"/>
        <v>12046.589112</v>
      </c>
      <c r="K10" s="15">
        <f t="shared" si="4"/>
        <v>11.066589111999999</v>
      </c>
      <c r="L10" s="15">
        <f t="shared" si="5"/>
        <v>2206.3179490000002</v>
      </c>
      <c r="M10" s="15">
        <v>2204.5300000000002</v>
      </c>
      <c r="N10" s="14">
        <f t="shared" si="6"/>
        <v>2.2063179490000002</v>
      </c>
      <c r="O10" s="14">
        <f t="shared" si="7"/>
        <v>2.2136800000000001</v>
      </c>
      <c r="P10" s="14">
        <f t="shared" si="8"/>
        <v>7.3620509999998696E-3</v>
      </c>
      <c r="Q10" s="18">
        <f t="shared" si="9"/>
        <v>3.3257069675833315E-3</v>
      </c>
      <c r="R10" s="15">
        <f t="shared" ca="1" si="10"/>
        <v>8.0476997725947523</v>
      </c>
      <c r="S10" s="15">
        <f t="shared" si="11"/>
        <v>8.1644326881720435</v>
      </c>
      <c r="T10" s="15">
        <f t="shared" ca="1" si="12"/>
        <v>0.11673291557729115</v>
      </c>
      <c r="U10" s="18">
        <f t="shared" ca="1" si="13"/>
        <v>1.4297737520257123E-2</v>
      </c>
      <c r="V10" s="15">
        <f t="shared" si="14"/>
        <v>6.666666666666643E-2</v>
      </c>
      <c r="W10" s="15">
        <f t="shared" ca="1" si="15"/>
        <v>-4.7699772594752332E-2</v>
      </c>
      <c r="X10" s="15">
        <f t="shared" ca="1" si="16"/>
        <v>0.11436643926141876</v>
      </c>
      <c r="Y10" s="35">
        <f t="shared" ca="1" si="17"/>
        <v>1.7154965889212874</v>
      </c>
      <c r="Z10" s="36">
        <f t="shared" ca="1" si="18"/>
        <v>19.427603000000001</v>
      </c>
      <c r="AA10" s="18">
        <f t="shared" ca="1" si="19"/>
        <v>6.5980624999999973E-2</v>
      </c>
      <c r="AB10" s="2"/>
    </row>
    <row r="11" spans="1:32" x14ac:dyDescent="0.25">
      <c r="A11" s="14" t="s">
        <v>97</v>
      </c>
      <c r="B11" s="14">
        <v>-2.29E-2</v>
      </c>
      <c r="C11" s="14" t="s">
        <v>99</v>
      </c>
      <c r="F11" s="14">
        <v>9</v>
      </c>
      <c r="G11" s="14">
        <f t="shared" si="0"/>
        <v>20.9</v>
      </c>
      <c r="H11" s="14">
        <f t="shared" si="1"/>
        <v>294.04999999999995</v>
      </c>
      <c r="I11" s="15">
        <f t="shared" si="2"/>
        <v>7.4999999999999997E-2</v>
      </c>
      <c r="J11" s="15">
        <f t="shared" si="3"/>
        <v>11992.665545</v>
      </c>
      <c r="K11" s="15">
        <f t="shared" si="4"/>
        <v>11.012665545000001</v>
      </c>
      <c r="L11" s="15">
        <f t="shared" si="5"/>
        <v>2204.5085490000001</v>
      </c>
      <c r="M11" s="15">
        <v>2202.9299999999998</v>
      </c>
      <c r="N11" s="14">
        <f t="shared" si="6"/>
        <v>2.2045085490000003</v>
      </c>
      <c r="O11" s="14">
        <f t="shared" si="7"/>
        <v>2.2113899999999997</v>
      </c>
      <c r="P11" s="14">
        <f t="shared" si="8"/>
        <v>6.8814509999994833E-3</v>
      </c>
      <c r="Q11" s="18">
        <f t="shared" si="9"/>
        <v>3.1118215240185966E-3</v>
      </c>
      <c r="R11" s="15">
        <f t="shared" ca="1" si="10"/>
        <v>8.0403074985422727</v>
      </c>
      <c r="S11" s="15">
        <f t="shared" si="11"/>
        <v>8.155986774193547</v>
      </c>
      <c r="T11" s="15">
        <f t="shared" ca="1" si="12"/>
        <v>0.11567927565127434</v>
      </c>
      <c r="U11" s="18">
        <f t="shared" ca="1" si="13"/>
        <v>1.4183357434724696E-2</v>
      </c>
      <c r="V11" s="15">
        <f t="shared" si="14"/>
        <v>7.5000000000001066E-2</v>
      </c>
      <c r="W11" s="15">
        <f t="shared" ca="1" si="15"/>
        <v>-4.0307498542272668E-2</v>
      </c>
      <c r="X11" s="15">
        <f t="shared" ca="1" si="16"/>
        <v>0.11530749854227373</v>
      </c>
      <c r="Y11" s="35">
        <f t="shared" ca="1" si="17"/>
        <v>1.5374333138969614</v>
      </c>
      <c r="Z11" s="36">
        <f t="shared" ca="1" si="18"/>
        <v>19.516310000000001</v>
      </c>
      <c r="AA11" s="18">
        <f t="shared" ca="1" si="19"/>
        <v>6.6205263157894642E-2</v>
      </c>
      <c r="AB11" s="2"/>
    </row>
    <row r="12" spans="1:32" x14ac:dyDescent="0.25">
      <c r="A12" s="14" t="s">
        <v>98</v>
      </c>
      <c r="B12" s="14">
        <v>2.69</v>
      </c>
      <c r="C12" s="14" t="s">
        <v>99</v>
      </c>
      <c r="F12" s="14">
        <v>10</v>
      </c>
      <c r="G12" s="14">
        <f t="shared" si="0"/>
        <v>21</v>
      </c>
      <c r="H12" s="14">
        <f t="shared" si="1"/>
        <v>294.14999999999998</v>
      </c>
      <c r="I12" s="15">
        <f t="shared" si="2"/>
        <v>8.3333000000000004E-2</v>
      </c>
      <c r="J12" s="15">
        <f t="shared" si="3"/>
        <v>11939.014874</v>
      </c>
      <c r="K12" s="15">
        <f t="shared" si="4"/>
        <v>10.959014874000001</v>
      </c>
      <c r="L12" s="15">
        <f t="shared" si="5"/>
        <v>2202.695095</v>
      </c>
      <c r="M12" s="15">
        <v>2201.06</v>
      </c>
      <c r="N12" s="14">
        <f t="shared" si="6"/>
        <v>2.2026950950000002</v>
      </c>
      <c r="O12" s="14">
        <f t="shared" si="7"/>
        <v>2.2090999999999998</v>
      </c>
      <c r="P12" s="14">
        <f t="shared" si="8"/>
        <v>6.4049049999996832E-3</v>
      </c>
      <c r="Q12" s="18">
        <f t="shared" si="9"/>
        <v>2.8993277805439699E-3</v>
      </c>
      <c r="R12" s="15">
        <f t="shared" ca="1" si="10"/>
        <v>8.0336924985422726</v>
      </c>
      <c r="S12" s="15">
        <f t="shared" si="11"/>
        <v>8.1475408602150523</v>
      </c>
      <c r="T12" s="15">
        <f t="shared" ca="1" si="12"/>
        <v>0.11384836167277967</v>
      </c>
      <c r="U12" s="18">
        <f t="shared" ca="1" si="13"/>
        <v>1.3973340376690627E-2</v>
      </c>
      <c r="V12" s="15">
        <f t="shared" si="14"/>
        <v>8.3333333333333925E-2</v>
      </c>
      <c r="W12" s="15">
        <f t="shared" ca="1" si="15"/>
        <v>-3.3692498542272631E-2</v>
      </c>
      <c r="X12" s="15">
        <f t="shared" ca="1" si="16"/>
        <v>0.11702583187560656</v>
      </c>
      <c r="Y12" s="35">
        <f t="shared" ca="1" si="17"/>
        <v>1.4043099825072687</v>
      </c>
      <c r="Z12" s="36">
        <f t="shared" ca="1" si="18"/>
        <v>19.595690000000001</v>
      </c>
      <c r="AA12" s="18">
        <f t="shared" ca="1" si="19"/>
        <v>6.6871904761904702E-2</v>
      </c>
      <c r="AB12" s="2"/>
    </row>
    <row r="13" spans="1:32" x14ac:dyDescent="0.25">
      <c r="A13" s="14" t="s">
        <v>109</v>
      </c>
      <c r="B13" s="14">
        <f>MAX(O:O)</f>
        <v>2.2319999999999998</v>
      </c>
      <c r="C13" s="14" t="s">
        <v>22</v>
      </c>
      <c r="F13" s="14">
        <v>11</v>
      </c>
      <c r="G13" s="14">
        <f t="shared" si="0"/>
        <v>21.1</v>
      </c>
      <c r="H13" s="14">
        <f t="shared" si="1"/>
        <v>294.25</v>
      </c>
      <c r="I13" s="15">
        <f t="shared" si="2"/>
        <v>9.1666999999999998E-2</v>
      </c>
      <c r="J13" s="15">
        <f t="shared" si="3"/>
        <v>11885.635569</v>
      </c>
      <c r="K13" s="15">
        <f t="shared" si="4"/>
        <v>10.905635569000001</v>
      </c>
      <c r="L13" s="15">
        <f t="shared" si="5"/>
        <v>2200.8775919999998</v>
      </c>
      <c r="M13" s="15">
        <v>2199.44</v>
      </c>
      <c r="N13" s="14">
        <f t="shared" si="6"/>
        <v>2.2008775919999999</v>
      </c>
      <c r="O13" s="14">
        <f t="shared" si="7"/>
        <v>2.2068099999999999</v>
      </c>
      <c r="P13" s="14">
        <f t="shared" si="8"/>
        <v>5.9324080000000556E-3</v>
      </c>
      <c r="Q13" s="18">
        <f t="shared" si="9"/>
        <v>2.6882278039342109E-3</v>
      </c>
      <c r="R13" s="15">
        <f t="shared" ca="1" si="10"/>
        <v>8.0270634985422724</v>
      </c>
      <c r="S13" s="15">
        <f t="shared" si="11"/>
        <v>8.1390949462365594</v>
      </c>
      <c r="T13" s="15">
        <f t="shared" ca="1" si="12"/>
        <v>0.11203144769428697</v>
      </c>
      <c r="U13" s="18">
        <f t="shared" ca="1" si="13"/>
        <v>1.3764607543506941E-2</v>
      </c>
      <c r="V13" s="15">
        <f t="shared" si="14"/>
        <v>9.1666666666666785E-2</v>
      </c>
      <c r="W13" s="15">
        <f t="shared" ca="1" si="15"/>
        <v>-2.7063498542272413E-2</v>
      </c>
      <c r="X13" s="15">
        <f t="shared" ca="1" si="16"/>
        <v>0.1187301652089392</v>
      </c>
      <c r="Y13" s="35">
        <f t="shared" ca="1" si="17"/>
        <v>1.2952381659156986</v>
      </c>
      <c r="Z13" s="36">
        <f t="shared" ca="1" si="18"/>
        <v>19.675238</v>
      </c>
      <c r="AA13" s="18">
        <f t="shared" ca="1" si="19"/>
        <v>6.7524265402843647E-2</v>
      </c>
      <c r="AB13" s="2"/>
    </row>
    <row r="14" spans="1:32" x14ac:dyDescent="0.25">
      <c r="A14" s="14" t="s">
        <v>110</v>
      </c>
      <c r="B14" s="14">
        <f>MIN(O:O)</f>
        <v>0.85799999999999987</v>
      </c>
      <c r="C14" s="14" t="s">
        <v>22</v>
      </c>
      <c r="F14" s="14">
        <v>12</v>
      </c>
      <c r="G14" s="14">
        <f t="shared" si="0"/>
        <v>21.2</v>
      </c>
      <c r="H14" s="14">
        <f t="shared" si="1"/>
        <v>294.34999999999997</v>
      </c>
      <c r="I14" s="15">
        <f t="shared" si="2"/>
        <v>0.1</v>
      </c>
      <c r="J14" s="15">
        <f t="shared" si="3"/>
        <v>11832.526109</v>
      </c>
      <c r="K14" s="15">
        <f t="shared" si="4"/>
        <v>10.852526109000001</v>
      </c>
      <c r="L14" s="15">
        <f t="shared" si="5"/>
        <v>2199.0560439999999</v>
      </c>
      <c r="M14" s="15">
        <v>2197.56</v>
      </c>
      <c r="N14" s="14">
        <f t="shared" si="6"/>
        <v>2.1990560440000002</v>
      </c>
      <c r="O14" s="14">
        <f t="shared" si="7"/>
        <v>2.20452</v>
      </c>
      <c r="P14" s="14">
        <f t="shared" si="8"/>
        <v>5.4639559999998255E-3</v>
      </c>
      <c r="Q14" s="18">
        <f t="shared" si="9"/>
        <v>2.4785241231650543E-3</v>
      </c>
      <c r="R14" s="15">
        <f t="shared" ca="1" si="10"/>
        <v>8.0208038629737608</v>
      </c>
      <c r="S14" s="15">
        <f t="shared" si="11"/>
        <v>8.1306490322580647</v>
      </c>
      <c r="T14" s="15">
        <f t="shared" ca="1" si="12"/>
        <v>0.10984516928430388</v>
      </c>
      <c r="U14" s="18">
        <f t="shared" ca="1" si="13"/>
        <v>1.3510012404728948E-2</v>
      </c>
      <c r="V14" s="15">
        <f t="shared" si="14"/>
        <v>9.9999999999999645E-2</v>
      </c>
      <c r="W14" s="15">
        <f t="shared" ca="1" si="15"/>
        <v>-2.0803862973760801E-2</v>
      </c>
      <c r="X14" s="15">
        <f t="shared" ca="1" si="16"/>
        <v>0.12080386297376045</v>
      </c>
      <c r="Y14" s="35">
        <f t="shared" ca="1" si="17"/>
        <v>1.2080386297376087</v>
      </c>
      <c r="Z14" s="36">
        <f t="shared" ca="1" si="18"/>
        <v>19.750354000000002</v>
      </c>
      <c r="AA14" s="18">
        <f t="shared" ca="1" si="19"/>
        <v>6.8379528301886691E-2</v>
      </c>
      <c r="AB14" s="2"/>
    </row>
    <row r="15" spans="1:32" x14ac:dyDescent="0.25">
      <c r="A15" s="14" t="s">
        <v>140</v>
      </c>
      <c r="B15" s="15">
        <f>MAX(P:P)</f>
        <v>2.3820459000000183E-2</v>
      </c>
      <c r="C15" s="14" t="s">
        <v>22</v>
      </c>
      <c r="F15" s="14">
        <v>13</v>
      </c>
      <c r="G15" s="14">
        <f t="shared" si="0"/>
        <v>21.3</v>
      </c>
      <c r="H15" s="14">
        <f t="shared" si="1"/>
        <v>294.45</v>
      </c>
      <c r="I15" s="15">
        <f t="shared" si="2"/>
        <v>0.108333</v>
      </c>
      <c r="J15" s="15">
        <f t="shared" si="3"/>
        <v>11779.684982000001</v>
      </c>
      <c r="K15" s="15">
        <f t="shared" si="4"/>
        <v>10.799684982</v>
      </c>
      <c r="L15" s="15">
        <f t="shared" si="5"/>
        <v>2197.2304559999998</v>
      </c>
      <c r="M15" s="15">
        <v>2195.9299999999998</v>
      </c>
      <c r="N15" s="14">
        <f t="shared" si="6"/>
        <v>2.1972304559999998</v>
      </c>
      <c r="O15" s="14">
        <f t="shared" si="7"/>
        <v>2.2022300000000001</v>
      </c>
      <c r="P15" s="14">
        <f t="shared" si="8"/>
        <v>4.9995440000003555E-3</v>
      </c>
      <c r="Q15" s="18">
        <f t="shared" si="9"/>
        <v>2.2702188236471011E-3</v>
      </c>
      <c r="R15" s="15">
        <f t="shared" ca="1" si="10"/>
        <v>8.0145409999999995</v>
      </c>
      <c r="S15" s="15">
        <f t="shared" si="11"/>
        <v>8.12220311827957</v>
      </c>
      <c r="T15" s="15">
        <f t="shared" ca="1" si="12"/>
        <v>0.10766211827957051</v>
      </c>
      <c r="U15" s="18">
        <f t="shared" ca="1" si="13"/>
        <v>1.3255285137756478E-2</v>
      </c>
      <c r="V15" s="15">
        <f t="shared" si="14"/>
        <v>0.1083333333333325</v>
      </c>
      <c r="W15" s="15">
        <f t="shared" ca="1" si="15"/>
        <v>-1.4540999999999471E-2</v>
      </c>
      <c r="X15" s="15">
        <f t="shared" ca="1" si="16"/>
        <v>0.12287433333333198</v>
      </c>
      <c r="Y15" s="35">
        <f t="shared" ca="1" si="17"/>
        <v>1.1342246153846116</v>
      </c>
      <c r="Z15" s="36">
        <f t="shared" ca="1" si="18"/>
        <v>19.825507999999999</v>
      </c>
      <c r="AA15" s="18">
        <f t="shared" ca="1" si="19"/>
        <v>6.9224976525821658E-2</v>
      </c>
      <c r="AB15" s="2"/>
    </row>
    <row r="16" spans="1:32" x14ac:dyDescent="0.25">
      <c r="A16" s="14" t="s">
        <v>141</v>
      </c>
      <c r="B16" s="15">
        <f>MIN(P:P)</f>
        <v>4.8100000000772525E-6</v>
      </c>
      <c r="C16" s="14" t="s">
        <v>22</v>
      </c>
      <c r="F16" s="14">
        <v>14</v>
      </c>
      <c r="G16" s="14">
        <f t="shared" si="0"/>
        <v>21.4</v>
      </c>
      <c r="H16" s="14">
        <f t="shared" si="1"/>
        <v>294.54999999999995</v>
      </c>
      <c r="I16" s="15">
        <f t="shared" si="2"/>
        <v>0.11666700000000001</v>
      </c>
      <c r="J16" s="15">
        <f t="shared" si="3"/>
        <v>11727.110688000001</v>
      </c>
      <c r="K16" s="15">
        <f t="shared" si="4"/>
        <v>10.747110688000001</v>
      </c>
      <c r="L16" s="15">
        <f t="shared" si="5"/>
        <v>2195.400834</v>
      </c>
      <c r="M16" s="15">
        <v>2193.7600000000002</v>
      </c>
      <c r="N16" s="14">
        <f t="shared" si="6"/>
        <v>2.195400834</v>
      </c>
      <c r="O16" s="14">
        <f t="shared" si="7"/>
        <v>2.1999399999999998</v>
      </c>
      <c r="P16" s="14">
        <f t="shared" si="8"/>
        <v>4.5391659999998168E-3</v>
      </c>
      <c r="Q16" s="18">
        <f t="shared" si="9"/>
        <v>2.0633135449147784E-3</v>
      </c>
      <c r="R16" s="15">
        <f t="shared" ca="1" si="10"/>
        <v>8.0082533644314875</v>
      </c>
      <c r="S16" s="15">
        <f t="shared" si="11"/>
        <v>8.1137572043010735</v>
      </c>
      <c r="T16" s="15">
        <f t="shared" ca="1" si="12"/>
        <v>0.105503839869586</v>
      </c>
      <c r="U16" s="18">
        <f t="shared" ca="1" si="13"/>
        <v>1.3003080719947942E-2</v>
      </c>
      <c r="V16" s="15">
        <f t="shared" si="14"/>
        <v>0.11666666666666892</v>
      </c>
      <c r="W16" s="15">
        <f t="shared" ca="1" si="15"/>
        <v>-8.2533644314874977E-3</v>
      </c>
      <c r="X16" s="15">
        <f t="shared" ca="1" si="16"/>
        <v>0.12492003109815641</v>
      </c>
      <c r="Y16" s="35">
        <f t="shared" ca="1" si="17"/>
        <v>1.0707431236984628</v>
      </c>
      <c r="Z16" s="36">
        <f t="shared" ca="1" si="18"/>
        <v>19.900960000000001</v>
      </c>
      <c r="AA16" s="18">
        <f t="shared" ca="1" si="19"/>
        <v>7.0048598130840994E-2</v>
      </c>
      <c r="AB16" s="2"/>
    </row>
    <row r="17" spans="1:28" x14ac:dyDescent="0.25">
      <c r="A17" s="17" t="s">
        <v>143</v>
      </c>
      <c r="B17" s="18">
        <f>MAX(Q:Q)</f>
        <v>1.6244587192771144E-2</v>
      </c>
      <c r="C17" s="17" t="s">
        <v>23</v>
      </c>
      <c r="F17" s="14">
        <v>15</v>
      </c>
      <c r="G17" s="14">
        <f t="shared" si="0"/>
        <v>21.5</v>
      </c>
      <c r="H17" s="14">
        <f t="shared" si="1"/>
        <v>294.64999999999998</v>
      </c>
      <c r="I17" s="15">
        <f t="shared" si="2"/>
        <v>0.125</v>
      </c>
      <c r="J17" s="15">
        <f t="shared" si="3"/>
        <v>11674.801732</v>
      </c>
      <c r="K17" s="15">
        <f t="shared" si="4"/>
        <v>10.694801732</v>
      </c>
      <c r="L17" s="15">
        <f t="shared" si="5"/>
        <v>2193.5671819999998</v>
      </c>
      <c r="M17" s="15">
        <v>2191.86</v>
      </c>
      <c r="N17" s="14">
        <f t="shared" si="6"/>
        <v>2.1935671819999998</v>
      </c>
      <c r="O17" s="14">
        <f t="shared" si="7"/>
        <v>2.1976499999999999</v>
      </c>
      <c r="P17" s="14">
        <f t="shared" si="8"/>
        <v>4.0828180000000991E-3</v>
      </c>
      <c r="Q17" s="18">
        <f t="shared" si="9"/>
        <v>1.8578108434009507E-3</v>
      </c>
      <c r="R17" s="15">
        <f t="shared" ca="1" si="10"/>
        <v>8.0015643644314878</v>
      </c>
      <c r="S17" s="15">
        <f t="shared" si="11"/>
        <v>8.1053112903225806</v>
      </c>
      <c r="T17" s="15">
        <f t="shared" ca="1" si="12"/>
        <v>0.1037469258910928</v>
      </c>
      <c r="U17" s="18">
        <f t="shared" ca="1" si="13"/>
        <v>1.2799869391193217E-2</v>
      </c>
      <c r="V17" s="15">
        <f t="shared" si="14"/>
        <v>0.125</v>
      </c>
      <c r="W17" s="15">
        <f t="shared" ca="1" si="15"/>
        <v>-1.5643644314877747E-3</v>
      </c>
      <c r="X17" s="15">
        <f t="shared" ca="1" si="16"/>
        <v>0.12656436443148777</v>
      </c>
      <c r="Y17" s="35">
        <f t="shared" ca="1" si="17"/>
        <v>1.0125149154519022</v>
      </c>
      <c r="Z17" s="36">
        <f t="shared" ca="1" si="18"/>
        <v>19.981228000000002</v>
      </c>
      <c r="AA17" s="18">
        <f t="shared" ca="1" si="19"/>
        <v>7.0640558139534806E-2</v>
      </c>
      <c r="AB17" s="2"/>
    </row>
    <row r="18" spans="1:28" x14ac:dyDescent="0.25">
      <c r="A18" s="17" t="s">
        <v>144</v>
      </c>
      <c r="B18" s="18">
        <f>MIN(Q:Q)</f>
        <v>3.1696452106576868E-6</v>
      </c>
      <c r="C18" s="17" t="s">
        <v>23</v>
      </c>
      <c r="F18" s="14">
        <v>16</v>
      </c>
      <c r="G18" s="14">
        <f t="shared" si="0"/>
        <v>21.6</v>
      </c>
      <c r="H18" s="14">
        <f t="shared" si="1"/>
        <v>294.75</v>
      </c>
      <c r="I18" s="15">
        <f t="shared" si="2"/>
        <v>0.13333300000000001</v>
      </c>
      <c r="J18" s="15">
        <f t="shared" si="3"/>
        <v>11622.756631</v>
      </c>
      <c r="K18" s="15">
        <f t="shared" si="4"/>
        <v>10.642756631000001</v>
      </c>
      <c r="L18" s="15">
        <f t="shared" si="5"/>
        <v>2191.7295060000001</v>
      </c>
      <c r="M18" s="15">
        <v>2189.94</v>
      </c>
      <c r="N18" s="14">
        <f t="shared" si="6"/>
        <v>2.1917295060000002</v>
      </c>
      <c r="O18" s="14">
        <f t="shared" si="7"/>
        <v>2.19536</v>
      </c>
      <c r="P18" s="14">
        <f t="shared" si="8"/>
        <v>3.6304939999998176E-3</v>
      </c>
      <c r="Q18" s="18">
        <f t="shared" si="9"/>
        <v>1.6537123751912295E-3</v>
      </c>
      <c r="R18" s="15">
        <f t="shared" ca="1" si="10"/>
        <v>7.9936944985422738</v>
      </c>
      <c r="S18" s="15">
        <f t="shared" si="11"/>
        <v>8.0968653763440859</v>
      </c>
      <c r="T18" s="15">
        <f t="shared" ca="1" si="12"/>
        <v>0.10317087780181211</v>
      </c>
      <c r="U18" s="18">
        <f t="shared" ca="1" si="13"/>
        <v>1.2742076471128886E-2</v>
      </c>
      <c r="V18" s="15">
        <f t="shared" si="14"/>
        <v>0.13333333333333286</v>
      </c>
      <c r="W18" s="15">
        <f t="shared" ca="1" si="15"/>
        <v>6.3055014577262369E-3</v>
      </c>
      <c r="X18" s="15">
        <f t="shared" ca="1" si="16"/>
        <v>0.12702783187560662</v>
      </c>
      <c r="Y18" s="35">
        <f t="shared" ca="1" si="17"/>
        <v>0.952708739067053</v>
      </c>
      <c r="Z18" s="36">
        <f t="shared" ca="1" si="18"/>
        <v>20.075665999999998</v>
      </c>
      <c r="AA18" s="18">
        <f t="shared" ca="1" si="19"/>
        <v>7.0571018518518658E-2</v>
      </c>
      <c r="AB18" s="2"/>
    </row>
    <row r="19" spans="1:28" x14ac:dyDescent="0.25">
      <c r="F19" s="14">
        <v>17</v>
      </c>
      <c r="G19" s="14">
        <f t="shared" si="0"/>
        <v>21.7</v>
      </c>
      <c r="H19" s="14">
        <f t="shared" si="1"/>
        <v>294.84999999999997</v>
      </c>
      <c r="I19" s="15">
        <f t="shared" si="2"/>
        <v>0.14166699999999999</v>
      </c>
      <c r="J19" s="15">
        <f t="shared" si="3"/>
        <v>11570.973910000001</v>
      </c>
      <c r="K19" s="15">
        <f t="shared" si="4"/>
        <v>10.590973910000001</v>
      </c>
      <c r="L19" s="15">
        <f t="shared" si="5"/>
        <v>2189.8878100000002</v>
      </c>
      <c r="M19" s="15">
        <v>2188.2800000000002</v>
      </c>
      <c r="N19" s="14">
        <f t="shared" si="6"/>
        <v>2.1898878100000001</v>
      </c>
      <c r="O19" s="14">
        <f t="shared" si="7"/>
        <v>2.1930700000000001</v>
      </c>
      <c r="P19" s="14">
        <f t="shared" si="8"/>
        <v>3.1821899999999737E-3</v>
      </c>
      <c r="Q19" s="18">
        <f t="shared" si="9"/>
        <v>1.4510207152530351E-3</v>
      </c>
      <c r="R19" s="15">
        <f t="shared" ca="1" si="10"/>
        <v>7.9869774985422737</v>
      </c>
      <c r="S19" s="15">
        <f t="shared" si="11"/>
        <v>8.0884194623655912</v>
      </c>
      <c r="T19" s="15">
        <f t="shared" ca="1" si="12"/>
        <v>0.10144196382331749</v>
      </c>
      <c r="U19" s="18">
        <f t="shared" ca="1" si="13"/>
        <v>1.2541629955680998E-2</v>
      </c>
      <c r="V19" s="15">
        <f t="shared" si="14"/>
        <v>0.14166666666666661</v>
      </c>
      <c r="W19" s="15">
        <f t="shared" ca="1" si="15"/>
        <v>1.3022501457726321E-2</v>
      </c>
      <c r="X19" s="15">
        <f t="shared" ca="1" si="16"/>
        <v>0.12864416520894029</v>
      </c>
      <c r="Y19" s="35">
        <f t="shared" ca="1" si="17"/>
        <v>0.90807646029840239</v>
      </c>
      <c r="Z19" s="36">
        <f t="shared" ca="1" si="18"/>
        <v>20.156269999999999</v>
      </c>
      <c r="AA19" s="18">
        <f t="shared" ca="1" si="19"/>
        <v>7.1139631336405537E-2</v>
      </c>
      <c r="AB19" s="2"/>
    </row>
    <row r="20" spans="1:28" x14ac:dyDescent="0.25">
      <c r="A20" s="24" t="s">
        <v>128</v>
      </c>
      <c r="B20" s="24"/>
      <c r="C20" s="24"/>
      <c r="F20" s="14">
        <v>18</v>
      </c>
      <c r="G20" s="14">
        <f t="shared" si="0"/>
        <v>21.8</v>
      </c>
      <c r="H20" s="14">
        <f t="shared" si="1"/>
        <v>294.95</v>
      </c>
      <c r="I20" s="15">
        <f t="shared" si="2"/>
        <v>0.15</v>
      </c>
      <c r="J20" s="15">
        <f t="shared" si="3"/>
        <v>11519.452103</v>
      </c>
      <c r="K20" s="15">
        <f t="shared" si="4"/>
        <v>10.539452103</v>
      </c>
      <c r="L20" s="15">
        <f t="shared" si="5"/>
        <v>2188.0421000000001</v>
      </c>
      <c r="M20" s="15">
        <v>2186.35</v>
      </c>
      <c r="N20" s="14">
        <f t="shared" si="6"/>
        <v>2.1880421000000001</v>
      </c>
      <c r="O20" s="14">
        <f t="shared" si="7"/>
        <v>2.1907800000000002</v>
      </c>
      <c r="P20" s="14">
        <f t="shared" si="8"/>
        <v>2.7379000000000708E-3</v>
      </c>
      <c r="Q20" s="18">
        <f t="shared" si="9"/>
        <v>1.2497375364025919E-3</v>
      </c>
      <c r="R20" s="15">
        <f t="shared" ca="1" si="10"/>
        <v>7.9814221370262386</v>
      </c>
      <c r="S20" s="15">
        <f t="shared" si="11"/>
        <v>8.0799735483870965</v>
      </c>
      <c r="T20" s="15">
        <f t="shared" ca="1" si="12"/>
        <v>9.8551411360857877E-2</v>
      </c>
      <c r="U20" s="18">
        <f t="shared" ca="1" si="13"/>
        <v>1.2196996781076153E-2</v>
      </c>
      <c r="V20" s="15">
        <f t="shared" si="14"/>
        <v>0.15000000000000036</v>
      </c>
      <c r="W20" s="15">
        <f t="shared" ca="1" si="15"/>
        <v>1.8577862973761405E-2</v>
      </c>
      <c r="X20" s="15">
        <f t="shared" ca="1" si="16"/>
        <v>0.13142213702623895</v>
      </c>
      <c r="Y20" s="35">
        <f t="shared" ca="1" si="17"/>
        <v>0.87614758017492422</v>
      </c>
      <c r="Z20" s="36">
        <f t="shared" ca="1" si="18"/>
        <v>20.222933999999999</v>
      </c>
      <c r="AA20" s="18">
        <f t="shared" ca="1" si="19"/>
        <v>7.234247706422027E-2</v>
      </c>
      <c r="AB20" s="2"/>
    </row>
    <row r="21" spans="1:28" x14ac:dyDescent="0.25">
      <c r="A21" s="14" t="s">
        <v>101</v>
      </c>
      <c r="B21" s="14" t="s">
        <v>100</v>
      </c>
      <c r="C21" s="14" t="s">
        <v>35</v>
      </c>
      <c r="F21" s="14">
        <v>19</v>
      </c>
      <c r="G21" s="14">
        <f t="shared" si="0"/>
        <v>21.9</v>
      </c>
      <c r="H21" s="14">
        <f t="shared" si="1"/>
        <v>295.04999999999995</v>
      </c>
      <c r="I21" s="15">
        <f t="shared" si="2"/>
        <v>0.158333</v>
      </c>
      <c r="J21" s="15">
        <f t="shared" si="3"/>
        <v>11468.189754000001</v>
      </c>
      <c r="K21" s="15">
        <f t="shared" si="4"/>
        <v>10.488189754</v>
      </c>
      <c r="L21" s="15">
        <f t="shared" si="5"/>
        <v>2186.1923809999998</v>
      </c>
      <c r="M21" s="15">
        <v>2184.67</v>
      </c>
      <c r="N21" s="14">
        <f t="shared" si="6"/>
        <v>2.1861923810000001</v>
      </c>
      <c r="O21" s="14">
        <f t="shared" si="7"/>
        <v>2.1884899999999998</v>
      </c>
      <c r="P21" s="14">
        <f t="shared" si="8"/>
        <v>2.2976189999996954E-3</v>
      </c>
      <c r="Q21" s="18">
        <f t="shared" si="9"/>
        <v>1.049864975393854E-3</v>
      </c>
      <c r="R21" s="15">
        <f t="shared" ca="1" si="10"/>
        <v>7.9746751370262388</v>
      </c>
      <c r="S21" s="15">
        <f t="shared" si="11"/>
        <v>8.0715276344086018</v>
      </c>
      <c r="T21" s="15">
        <f t="shared" ca="1" si="12"/>
        <v>9.6852497382363012E-2</v>
      </c>
      <c r="U21" s="18">
        <f t="shared" ca="1" si="13"/>
        <v>1.1999277183848651E-2</v>
      </c>
      <c r="V21" s="15">
        <f t="shared" si="14"/>
        <v>0.15833333333333321</v>
      </c>
      <c r="W21" s="15">
        <f t="shared" ca="1" si="15"/>
        <v>2.5324862973761242E-2</v>
      </c>
      <c r="X21" s="15">
        <f t="shared" ca="1" si="16"/>
        <v>0.13300847035957197</v>
      </c>
      <c r="Y21" s="35">
        <f t="shared" ca="1" si="17"/>
        <v>0.84005349700782361</v>
      </c>
      <c r="Z21" s="36">
        <f t="shared" ca="1" si="18"/>
        <v>20.303898</v>
      </c>
      <c r="AA21" s="18">
        <f t="shared" ca="1" si="19"/>
        <v>7.2881369863013634E-2</v>
      </c>
      <c r="AB21" s="2"/>
    </row>
    <row r="22" spans="1:28" x14ac:dyDescent="0.25">
      <c r="A22" s="14" t="s">
        <v>103</v>
      </c>
      <c r="B22" s="14">
        <f>18600</f>
        <v>18600</v>
      </c>
      <c r="C22" s="14" t="s">
        <v>37</v>
      </c>
      <c r="F22" s="14">
        <v>20</v>
      </c>
      <c r="G22" s="14">
        <f t="shared" si="0"/>
        <v>22</v>
      </c>
      <c r="H22" s="14">
        <f t="shared" si="1"/>
        <v>295.14999999999998</v>
      </c>
      <c r="I22" s="15">
        <f t="shared" si="2"/>
        <v>0.16666700000000001</v>
      </c>
      <c r="J22" s="15">
        <f t="shared" si="3"/>
        <v>11417.185414</v>
      </c>
      <c r="K22" s="15">
        <f t="shared" si="4"/>
        <v>10.437185414</v>
      </c>
      <c r="L22" s="15">
        <f t="shared" si="5"/>
        <v>2184.3386580000001</v>
      </c>
      <c r="M22" s="15">
        <v>2182.73</v>
      </c>
      <c r="N22" s="14">
        <f t="shared" si="6"/>
        <v>2.1843386580000002</v>
      </c>
      <c r="O22" s="14">
        <f t="shared" si="7"/>
        <v>2.1861999999999999</v>
      </c>
      <c r="P22" s="14">
        <f t="shared" si="8"/>
        <v>1.861341999999766E-3</v>
      </c>
      <c r="Q22" s="18">
        <f t="shared" si="9"/>
        <v>8.5140517793420823E-4</v>
      </c>
      <c r="R22" s="15">
        <f t="shared" ca="1" si="10"/>
        <v>7.9675072274052487</v>
      </c>
      <c r="S22" s="15">
        <f t="shared" si="11"/>
        <v>8.0630817204301071</v>
      </c>
      <c r="T22" s="15">
        <f t="shared" ca="1" si="12"/>
        <v>9.557449302485832E-2</v>
      </c>
      <c r="U22" s="18">
        <f t="shared" ca="1" si="13"/>
        <v>1.1853345450126495E-2</v>
      </c>
      <c r="V22" s="15">
        <f t="shared" si="14"/>
        <v>0.16666666666666696</v>
      </c>
      <c r="W22" s="15">
        <f t="shared" ca="1" si="15"/>
        <v>3.2492772594751251E-2</v>
      </c>
      <c r="X22" s="15">
        <f t="shared" ca="1" si="16"/>
        <v>0.13417389407191571</v>
      </c>
      <c r="Y22" s="35">
        <f t="shared" ca="1" si="17"/>
        <v>0.80504336443149282</v>
      </c>
      <c r="Z22" s="36">
        <f t="shared" ca="1" si="18"/>
        <v>20.389913</v>
      </c>
      <c r="AA22" s="18">
        <f t="shared" ca="1" si="19"/>
        <v>7.3185772727272724E-2</v>
      </c>
      <c r="AB22" s="2"/>
    </row>
    <row r="23" spans="1:28" x14ac:dyDescent="0.25">
      <c r="A23" s="14" t="s">
        <v>102</v>
      </c>
      <c r="B23" s="14">
        <f>1+(50000/$B$22)</f>
        <v>3.6881720430107525</v>
      </c>
      <c r="C23" s="14" t="s">
        <v>104</v>
      </c>
      <c r="F23" s="14">
        <v>21</v>
      </c>
      <c r="G23" s="14">
        <f t="shared" si="0"/>
        <v>22.1</v>
      </c>
      <c r="H23" s="14">
        <f t="shared" si="1"/>
        <v>295.25</v>
      </c>
      <c r="I23" s="15">
        <f t="shared" si="2"/>
        <v>0.17499999999999999</v>
      </c>
      <c r="J23" s="15">
        <f t="shared" si="3"/>
        <v>11366.437644</v>
      </c>
      <c r="K23" s="15">
        <f t="shared" si="4"/>
        <v>10.386437643999999</v>
      </c>
      <c r="L23" s="15">
        <f t="shared" si="5"/>
        <v>2182.4809380000002</v>
      </c>
      <c r="M23" s="15">
        <v>2181.04</v>
      </c>
      <c r="N23" s="14">
        <f t="shared" si="6"/>
        <v>2.1824809380000003</v>
      </c>
      <c r="O23" s="14">
        <f t="shared" si="7"/>
        <v>2.18391</v>
      </c>
      <c r="P23" s="14">
        <f t="shared" si="8"/>
        <v>1.4290619999997034E-3</v>
      </c>
      <c r="Q23" s="18">
        <f t="shared" si="9"/>
        <v>6.5435938294146887E-4</v>
      </c>
      <c r="R23" s="15">
        <f t="shared" ca="1" si="10"/>
        <v>7.9607527725947511</v>
      </c>
      <c r="S23" s="15">
        <f t="shared" si="11"/>
        <v>8.0546358064516124</v>
      </c>
      <c r="T23" s="15">
        <f t="shared" ca="1" si="12"/>
        <v>9.3883033856861253E-2</v>
      </c>
      <c r="U23" s="18">
        <f t="shared" ca="1" si="13"/>
        <v>1.1655776389251853E-2</v>
      </c>
      <c r="V23" s="15">
        <f t="shared" si="14"/>
        <v>0.17499999999999982</v>
      </c>
      <c r="W23" s="15">
        <f t="shared" ca="1" si="15"/>
        <v>3.9247227405248886E-2</v>
      </c>
      <c r="X23" s="15">
        <f t="shared" ca="1" si="16"/>
        <v>0.13575277259475094</v>
      </c>
      <c r="Y23" s="35">
        <f t="shared" ca="1" si="17"/>
        <v>0.77573012911286332</v>
      </c>
      <c r="Z23" s="36">
        <f t="shared" ca="1" si="18"/>
        <v>20.470967000000002</v>
      </c>
      <c r="AA23" s="18">
        <f t="shared" ca="1" si="19"/>
        <v>7.3711900452488668E-2</v>
      </c>
      <c r="AB23" s="2"/>
    </row>
    <row r="24" spans="1:28" x14ac:dyDescent="0.25">
      <c r="A24" s="14" t="s">
        <v>51</v>
      </c>
      <c r="B24" s="14">
        <f>(125+1000/$B$23)*10^-6</f>
        <v>3.9613702623906704E-4</v>
      </c>
      <c r="C24" s="14" t="s">
        <v>22</v>
      </c>
      <c r="F24" s="14">
        <v>22</v>
      </c>
      <c r="G24" s="14">
        <f t="shared" si="0"/>
        <v>22.2</v>
      </c>
      <c r="H24" s="14">
        <f t="shared" si="1"/>
        <v>295.34999999999997</v>
      </c>
      <c r="I24" s="15">
        <f t="shared" si="2"/>
        <v>0.183333</v>
      </c>
      <c r="J24" s="15">
        <f t="shared" si="3"/>
        <v>11315.945014999999</v>
      </c>
      <c r="K24" s="15">
        <f t="shared" si="4"/>
        <v>10.335945015</v>
      </c>
      <c r="L24" s="15">
        <f t="shared" si="5"/>
        <v>2180.6192249999999</v>
      </c>
      <c r="M24" s="15">
        <v>2178.56</v>
      </c>
      <c r="N24" s="14">
        <f t="shared" si="6"/>
        <v>2.180619225</v>
      </c>
      <c r="O24" s="14">
        <f t="shared" si="7"/>
        <v>2.1816200000000001</v>
      </c>
      <c r="P24" s="14">
        <f t="shared" si="8"/>
        <v>1.0007750000000648E-3</v>
      </c>
      <c r="Q24" s="18">
        <f t="shared" si="9"/>
        <v>4.587302096607405E-4</v>
      </c>
      <c r="R24" s="15">
        <f t="shared" ca="1" si="10"/>
        <v>7.9539617725947513</v>
      </c>
      <c r="S24" s="15">
        <f t="shared" si="11"/>
        <v>8.0461898924731177</v>
      </c>
      <c r="T24" s="15">
        <f t="shared" ca="1" si="12"/>
        <v>9.2228119878366321E-2</v>
      </c>
      <c r="U24" s="18">
        <f t="shared" ca="1" si="13"/>
        <v>1.146233448512593E-2</v>
      </c>
      <c r="V24" s="15">
        <f t="shared" si="14"/>
        <v>0.18333333333333357</v>
      </c>
      <c r="W24" s="15">
        <f t="shared" ca="1" si="15"/>
        <v>4.6038227405248655E-2</v>
      </c>
      <c r="X24" s="15">
        <f t="shared" ca="1" si="16"/>
        <v>0.13729510592808492</v>
      </c>
      <c r="Y24" s="35">
        <f t="shared" ca="1" si="17"/>
        <v>0.7488823959713713</v>
      </c>
      <c r="Z24" s="36">
        <f t="shared" ca="1" si="18"/>
        <v>20.552458999999999</v>
      </c>
      <c r="AA24" s="18">
        <f t="shared" ca="1" si="19"/>
        <v>7.4213558558558573E-2</v>
      </c>
      <c r="AB24" s="2"/>
    </row>
    <row r="25" spans="1:28" x14ac:dyDescent="0.25">
      <c r="A25" s="14" t="s">
        <v>106</v>
      </c>
      <c r="B25" s="14">
        <f>(1+20/$B$23)*10^-6 * (MAX(G:G)-MIN(G:G))</f>
        <v>3.8536443148688042E-4</v>
      </c>
      <c r="C25" s="14" t="s">
        <v>22</v>
      </c>
      <c r="F25" s="14">
        <v>23</v>
      </c>
      <c r="G25" s="14">
        <f t="shared" si="0"/>
        <v>22.3</v>
      </c>
      <c r="H25" s="14">
        <f t="shared" si="1"/>
        <v>295.45</v>
      </c>
      <c r="I25" s="15">
        <f t="shared" si="2"/>
        <v>0.191667</v>
      </c>
      <c r="J25" s="15">
        <f t="shared" si="3"/>
        <v>11265.706103</v>
      </c>
      <c r="K25" s="15">
        <f t="shared" si="4"/>
        <v>10.285706103000001</v>
      </c>
      <c r="L25" s="15">
        <f t="shared" si="5"/>
        <v>2178.7535250000001</v>
      </c>
      <c r="M25" s="15">
        <v>2177.37</v>
      </c>
      <c r="N25" s="14">
        <f t="shared" si="6"/>
        <v>2.1787535249999999</v>
      </c>
      <c r="O25" s="14">
        <f t="shared" si="7"/>
        <v>2.1793299999999998</v>
      </c>
      <c r="P25" s="14">
        <f t="shared" si="8"/>
        <v>5.764749999999097E-4</v>
      </c>
      <c r="Q25" s="18">
        <f t="shared" si="9"/>
        <v>2.6451937063221714E-4</v>
      </c>
      <c r="R25" s="15">
        <f t="shared" ca="1" si="10"/>
        <v>7.947927501457726</v>
      </c>
      <c r="S25" s="15">
        <f t="shared" si="11"/>
        <v>8.037743978494623</v>
      </c>
      <c r="T25" s="15">
        <f t="shared" ca="1" si="12"/>
        <v>8.9816477036896991E-2</v>
      </c>
      <c r="U25" s="18">
        <f t="shared" ca="1" si="13"/>
        <v>1.1174339127646435E-2</v>
      </c>
      <c r="V25" s="15">
        <f t="shared" si="14"/>
        <v>0.19166666666666732</v>
      </c>
      <c r="W25" s="15">
        <f t="shared" ca="1" si="15"/>
        <v>5.2072498542274026E-2</v>
      </c>
      <c r="X25" s="15">
        <f t="shared" ca="1" si="16"/>
        <v>0.13959416812439329</v>
      </c>
      <c r="Y25" s="35">
        <f t="shared" ca="1" si="17"/>
        <v>0.72831739890987557</v>
      </c>
      <c r="Z25" s="36">
        <f t="shared" ca="1" si="18"/>
        <v>20.624870000000001</v>
      </c>
      <c r="AA25" s="18">
        <f t="shared" ca="1" si="19"/>
        <v>7.511793721973091E-2</v>
      </c>
      <c r="AB25" s="2"/>
    </row>
    <row r="26" spans="1:28" x14ac:dyDescent="0.25">
      <c r="A26" s="14" t="s">
        <v>52</v>
      </c>
      <c r="B26" s="14">
        <f>0.5%</f>
        <v>5.0000000000000001E-3</v>
      </c>
      <c r="C26" s="21">
        <f>SUM(B26:B28)</f>
        <v>1.1009999999999999E-2</v>
      </c>
      <c r="F26" s="14">
        <v>24</v>
      </c>
      <c r="G26" s="14">
        <f t="shared" si="0"/>
        <v>22.4</v>
      </c>
      <c r="H26" s="14">
        <f t="shared" si="1"/>
        <v>295.54999999999995</v>
      </c>
      <c r="I26" s="15">
        <f t="shared" si="2"/>
        <v>0.2</v>
      </c>
      <c r="J26" s="15">
        <f t="shared" si="3"/>
        <v>11215.719497</v>
      </c>
      <c r="K26" s="15">
        <f t="shared" si="4"/>
        <v>10.235719497</v>
      </c>
      <c r="L26" s="15">
        <f t="shared" si="5"/>
        <v>2176.8838449999998</v>
      </c>
      <c r="M26" s="15">
        <v>2174.88</v>
      </c>
      <c r="N26" s="14">
        <f t="shared" si="6"/>
        <v>2.1768838449999999</v>
      </c>
      <c r="O26" s="14">
        <f t="shared" si="7"/>
        <v>2.1770399999999999</v>
      </c>
      <c r="P26" s="14">
        <f t="shared" si="8"/>
        <v>1.5615499999999116E-4</v>
      </c>
      <c r="Q26" s="18">
        <f t="shared" si="9"/>
        <v>7.1728126263178978E-5</v>
      </c>
      <c r="R26" s="15">
        <f t="shared" ca="1" si="10"/>
        <v>7.9395444985422738</v>
      </c>
      <c r="S26" s="15">
        <f t="shared" si="11"/>
        <v>8.0292980645161283</v>
      </c>
      <c r="T26" s="15">
        <f t="shared" ca="1" si="12"/>
        <v>8.9753565973854421E-2</v>
      </c>
      <c r="U26" s="18">
        <f t="shared" ca="1" si="13"/>
        <v>1.1178258080927683E-2</v>
      </c>
      <c r="V26" s="15">
        <f t="shared" si="14"/>
        <v>0.20000000000000018</v>
      </c>
      <c r="W26" s="15">
        <f t="shared" ca="1" si="15"/>
        <v>6.0455501457726157E-2</v>
      </c>
      <c r="X26" s="15">
        <f t="shared" ca="1" si="16"/>
        <v>0.13954449854227402</v>
      </c>
      <c r="Y26" s="35">
        <f t="shared" ca="1" si="17"/>
        <v>0.69772249271136944</v>
      </c>
      <c r="Z26" s="36">
        <f t="shared" ca="1" si="18"/>
        <v>20.725466000000001</v>
      </c>
      <c r="AA26" s="18">
        <f t="shared" ca="1" si="19"/>
        <v>7.4755982142857044E-2</v>
      </c>
      <c r="AB26" s="2"/>
    </row>
    <row r="27" spans="1:28" x14ac:dyDescent="0.25">
      <c r="A27" s="14" t="s">
        <v>107</v>
      </c>
      <c r="B27" s="14">
        <f>(100/10000)% * (MAX(G:G)-MIN(G:G))</f>
        <v>6.0000000000000001E-3</v>
      </c>
      <c r="C27" s="22"/>
      <c r="F27" s="14">
        <v>25</v>
      </c>
      <c r="G27" s="14">
        <f t="shared" si="0"/>
        <v>22.5</v>
      </c>
      <c r="H27" s="14">
        <f t="shared" si="1"/>
        <v>295.64999999999998</v>
      </c>
      <c r="I27" s="15">
        <f t="shared" si="2"/>
        <v>0.20833299999999999</v>
      </c>
      <c r="J27" s="15">
        <f t="shared" si="3"/>
        <v>11165.983792000001</v>
      </c>
      <c r="K27" s="15">
        <f t="shared" si="4"/>
        <v>10.185983792000002</v>
      </c>
      <c r="L27" s="15">
        <f t="shared" si="5"/>
        <v>2175.0101890000001</v>
      </c>
      <c r="M27" s="15">
        <v>2173.16</v>
      </c>
      <c r="N27" s="14">
        <f t="shared" si="6"/>
        <v>2.175010189</v>
      </c>
      <c r="O27" s="14">
        <f t="shared" si="7"/>
        <v>2.17475</v>
      </c>
      <c r="P27" s="14">
        <f t="shared" si="8"/>
        <v>2.6018900000002176E-4</v>
      </c>
      <c r="Q27" s="18">
        <f t="shared" si="9"/>
        <v>1.1964087826187918E-4</v>
      </c>
      <c r="R27" s="15">
        <f t="shared" ca="1" si="10"/>
        <v>7.9330958629737616</v>
      </c>
      <c r="S27" s="15">
        <f t="shared" si="11"/>
        <v>8.0208521505376336</v>
      </c>
      <c r="T27" s="15">
        <f t="shared" ca="1" si="12"/>
        <v>8.7756287563871993E-2</v>
      </c>
      <c r="U27" s="18">
        <f t="shared" ca="1" si="13"/>
        <v>1.0941017976249535E-2</v>
      </c>
      <c r="V27" s="15">
        <f t="shared" si="14"/>
        <v>0.20833333333333393</v>
      </c>
      <c r="W27" s="15">
        <f t="shared" ca="1" si="15"/>
        <v>6.6904137026238431E-2</v>
      </c>
      <c r="X27" s="15">
        <f t="shared" ca="1" si="16"/>
        <v>0.14142919630709549</v>
      </c>
      <c r="Y27" s="35">
        <f t="shared" ca="1" si="17"/>
        <v>0.67886014227405644</v>
      </c>
      <c r="Z27" s="36">
        <f t="shared" ca="1" si="18"/>
        <v>20.802849999999999</v>
      </c>
      <c r="AA27" s="18">
        <f t="shared" ca="1" si="19"/>
        <v>7.542888888888892E-2</v>
      </c>
      <c r="AB27" s="2"/>
    </row>
    <row r="28" spans="1:28" x14ac:dyDescent="0.25">
      <c r="A28" s="14" t="s">
        <v>108</v>
      </c>
      <c r="B28" s="14">
        <v>1.0000000000000001E-5</v>
      </c>
      <c r="C28" s="23"/>
      <c r="F28" s="14">
        <v>26</v>
      </c>
      <c r="G28" s="14">
        <f t="shared" si="0"/>
        <v>22.6</v>
      </c>
      <c r="H28" s="14">
        <f t="shared" si="1"/>
        <v>295.75</v>
      </c>
      <c r="I28" s="15">
        <f t="shared" si="2"/>
        <v>0.216667</v>
      </c>
      <c r="J28" s="15">
        <f t="shared" si="3"/>
        <v>11116.497593</v>
      </c>
      <c r="K28" s="15">
        <f t="shared" si="4"/>
        <v>10.136497593</v>
      </c>
      <c r="L28" s="15">
        <f t="shared" si="5"/>
        <v>2173.1325649999999</v>
      </c>
      <c r="M28" s="15">
        <v>2171.17</v>
      </c>
      <c r="N28" s="14">
        <f t="shared" si="6"/>
        <v>2.173132565</v>
      </c>
      <c r="O28" s="14">
        <f t="shared" si="7"/>
        <v>2.1724600000000001</v>
      </c>
      <c r="P28" s="14">
        <f t="shared" si="8"/>
        <v>6.7256499999990282E-4</v>
      </c>
      <c r="Q28" s="18">
        <f t="shared" si="9"/>
        <v>3.0958682783568063E-4</v>
      </c>
      <c r="R28" s="15">
        <f t="shared" ca="1" si="10"/>
        <v>7.9266537725947517</v>
      </c>
      <c r="S28" s="15">
        <f t="shared" si="11"/>
        <v>8.0124062365591389</v>
      </c>
      <c r="T28" s="15">
        <f t="shared" ca="1" si="12"/>
        <v>8.5752463964387182E-2</v>
      </c>
      <c r="U28" s="18">
        <f t="shared" ca="1" si="13"/>
        <v>1.0702460837933357E-2</v>
      </c>
      <c r="V28" s="15">
        <f t="shared" si="14"/>
        <v>0.21666666666666767</v>
      </c>
      <c r="W28" s="15">
        <f t="shared" ca="1" si="15"/>
        <v>7.3346227405248321E-2</v>
      </c>
      <c r="X28" s="15">
        <f t="shared" ca="1" si="16"/>
        <v>0.14332043926141935</v>
      </c>
      <c r="Y28" s="35">
        <f t="shared" ca="1" si="17"/>
        <v>0.66147895043731697</v>
      </c>
      <c r="Z28" s="36">
        <f t="shared" ca="1" si="18"/>
        <v>20.880154999999998</v>
      </c>
      <c r="AA28" s="18">
        <f t="shared" ca="1" si="19"/>
        <v>7.6099336283185964E-2</v>
      </c>
      <c r="AB28" s="2"/>
    </row>
    <row r="29" spans="1:28" x14ac:dyDescent="0.25">
      <c r="A29" s="14" t="s">
        <v>105</v>
      </c>
      <c r="B29" s="14">
        <f>$B$23-$B$23*$C$26</f>
        <v>3.6475652688172042</v>
      </c>
      <c r="C29" s="14"/>
      <c r="F29" s="14">
        <v>27</v>
      </c>
      <c r="G29" s="14">
        <f t="shared" si="0"/>
        <v>22.7</v>
      </c>
      <c r="H29" s="14">
        <f t="shared" si="1"/>
        <v>295.84999999999997</v>
      </c>
      <c r="I29" s="15">
        <f t="shared" si="2"/>
        <v>0.22500000000000001</v>
      </c>
      <c r="J29" s="15">
        <f t="shared" si="3"/>
        <v>11067.259511</v>
      </c>
      <c r="K29" s="15">
        <f t="shared" si="4"/>
        <v>10.087259511000001</v>
      </c>
      <c r="L29" s="15">
        <f t="shared" si="5"/>
        <v>2171.2509770000001</v>
      </c>
      <c r="M29" s="15">
        <v>2169.4299999999998</v>
      </c>
      <c r="N29" s="14">
        <f t="shared" si="6"/>
        <v>2.1712509770000001</v>
      </c>
      <c r="O29" s="14">
        <f t="shared" si="7"/>
        <v>2.1701699999999997</v>
      </c>
      <c r="P29" s="14">
        <f t="shared" si="8"/>
        <v>1.0809770000004271E-3</v>
      </c>
      <c r="Q29" s="18">
        <f t="shared" si="9"/>
        <v>4.9810706073737413E-4</v>
      </c>
      <c r="R29" s="15">
        <f t="shared" ca="1" si="10"/>
        <v>7.9189984985422743</v>
      </c>
      <c r="S29" s="15">
        <f t="shared" si="11"/>
        <v>8.0039603225806442</v>
      </c>
      <c r="T29" s="15">
        <f t="shared" ca="1" si="12"/>
        <v>8.4961824038369826E-2</v>
      </c>
      <c r="U29" s="18">
        <f t="shared" ca="1" si="13"/>
        <v>1.0614973165056414E-2</v>
      </c>
      <c r="V29" s="15">
        <f t="shared" si="14"/>
        <v>0.22500000000000053</v>
      </c>
      <c r="W29" s="15">
        <f t="shared" ca="1" si="15"/>
        <v>8.1001501457725666E-2</v>
      </c>
      <c r="X29" s="15">
        <f t="shared" ca="1" si="16"/>
        <v>0.14399849854227487</v>
      </c>
      <c r="Y29" s="35">
        <f t="shared" ca="1" si="17"/>
        <v>0.63999332685455346</v>
      </c>
      <c r="Z29" s="36">
        <f t="shared" ca="1" si="18"/>
        <v>20.972017999999998</v>
      </c>
      <c r="AA29" s="18">
        <f t="shared" ca="1" si="19"/>
        <v>7.6122555066079331E-2</v>
      </c>
      <c r="AB29" s="2"/>
    </row>
    <row r="30" spans="1:28" x14ac:dyDescent="0.25">
      <c r="A30" s="14"/>
      <c r="B30" s="14"/>
      <c r="C30" s="14"/>
      <c r="F30" s="14">
        <v>28</v>
      </c>
      <c r="G30" s="14">
        <f t="shared" si="0"/>
        <v>22.8</v>
      </c>
      <c r="H30" s="14">
        <f t="shared" si="1"/>
        <v>295.95</v>
      </c>
      <c r="I30" s="15">
        <f t="shared" si="2"/>
        <v>0.23333300000000001</v>
      </c>
      <c r="J30" s="15">
        <f t="shared" si="3"/>
        <v>11018.268167</v>
      </c>
      <c r="K30" s="15">
        <f t="shared" si="4"/>
        <v>10.038268167</v>
      </c>
      <c r="L30" s="15">
        <f t="shared" si="5"/>
        <v>2169.3654320000001</v>
      </c>
      <c r="M30" s="15">
        <v>2167.4299999999998</v>
      </c>
      <c r="N30" s="14">
        <f t="shared" si="6"/>
        <v>2.1693654320000002</v>
      </c>
      <c r="O30" s="14">
        <f t="shared" si="7"/>
        <v>2.1678799999999998</v>
      </c>
      <c r="P30" s="14">
        <f t="shared" si="8"/>
        <v>1.4854320000003973E-3</v>
      </c>
      <c r="Q30" s="18">
        <f t="shared" si="9"/>
        <v>6.8520028783899359E-4</v>
      </c>
      <c r="R30" s="15">
        <f t="shared" ca="1" si="10"/>
        <v>7.9136835014577258</v>
      </c>
      <c r="S30" s="15">
        <f t="shared" si="11"/>
        <v>7.9955144086021495</v>
      </c>
      <c r="T30" s="15">
        <f t="shared" ca="1" si="12"/>
        <v>8.1830907144423648E-2</v>
      </c>
      <c r="U30" s="18">
        <f t="shared" ca="1" si="13"/>
        <v>1.023460192334643E-2</v>
      </c>
      <c r="V30" s="15">
        <f t="shared" si="14"/>
        <v>0.23333333333333428</v>
      </c>
      <c r="W30" s="15">
        <f t="shared" ca="1" si="15"/>
        <v>8.6316498542274189E-2</v>
      </c>
      <c r="X30" s="15">
        <f t="shared" ca="1" si="16"/>
        <v>0.14701683479106009</v>
      </c>
      <c r="Y30" s="35">
        <f t="shared" ca="1" si="17"/>
        <v>0.63007214910454068</v>
      </c>
      <c r="Z30" s="36">
        <f t="shared" ca="1" si="18"/>
        <v>21.035798</v>
      </c>
      <c r="AA30" s="18">
        <f t="shared" ca="1" si="19"/>
        <v>7.7377280701754425E-2</v>
      </c>
      <c r="AB30" s="2"/>
    </row>
    <row r="31" spans="1:28" x14ac:dyDescent="0.25">
      <c r="A31" s="14" t="s">
        <v>121</v>
      </c>
      <c r="B31" s="14">
        <f ca="1">MAX(R:R)</f>
        <v>8.1003393644314876</v>
      </c>
      <c r="C31" s="14" t="s">
        <v>22</v>
      </c>
      <c r="F31" s="14">
        <v>29</v>
      </c>
      <c r="G31" s="14">
        <f t="shared" si="0"/>
        <v>22.9</v>
      </c>
      <c r="H31" s="14">
        <f t="shared" si="1"/>
        <v>296.04999999999995</v>
      </c>
      <c r="I31" s="15">
        <f t="shared" si="2"/>
        <v>0.24166699999999999</v>
      </c>
      <c r="J31" s="15">
        <f t="shared" si="3"/>
        <v>10969.522193000001</v>
      </c>
      <c r="K31" s="15">
        <f t="shared" si="4"/>
        <v>9.9895221930000009</v>
      </c>
      <c r="L31" s="15">
        <f t="shared" si="5"/>
        <v>2167.4759349999999</v>
      </c>
      <c r="M31" s="15">
        <v>2165.6799999999998</v>
      </c>
      <c r="N31" s="14">
        <f t="shared" si="6"/>
        <v>2.1674759350000001</v>
      </c>
      <c r="O31" s="14">
        <f t="shared" si="7"/>
        <v>2.1655899999999999</v>
      </c>
      <c r="P31" s="14">
        <f t="shared" si="8"/>
        <v>1.8859350000002273E-3</v>
      </c>
      <c r="Q31" s="18">
        <f t="shared" si="9"/>
        <v>8.7086429102472185E-4</v>
      </c>
      <c r="R31" s="15">
        <f t="shared" ca="1" si="10"/>
        <v>7.9059992274052489</v>
      </c>
      <c r="S31" s="15">
        <f t="shared" si="11"/>
        <v>7.9870684946236548</v>
      </c>
      <c r="T31" s="15">
        <f t="shared" ca="1" si="12"/>
        <v>8.1069267218405905E-2</v>
      </c>
      <c r="U31" s="18">
        <f t="shared" ca="1" si="13"/>
        <v>1.0150065355389924E-2</v>
      </c>
      <c r="V31" s="15">
        <f t="shared" si="14"/>
        <v>0.24166666666666714</v>
      </c>
      <c r="W31" s="15">
        <f t="shared" ca="1" si="15"/>
        <v>9.4000772594751147E-2</v>
      </c>
      <c r="X31" s="15">
        <f t="shared" ca="1" si="16"/>
        <v>0.14766589407191599</v>
      </c>
      <c r="Y31" s="35">
        <f t="shared" ca="1" si="17"/>
        <v>0.61103128581482358</v>
      </c>
      <c r="Z31" s="36">
        <f t="shared" ca="1" si="18"/>
        <v>21.128008999999999</v>
      </c>
      <c r="AA31" s="18">
        <f t="shared" ca="1" si="19"/>
        <v>7.7379519650655024E-2</v>
      </c>
      <c r="AB31" s="2"/>
    </row>
    <row r="32" spans="1:28" x14ac:dyDescent="0.25">
      <c r="A32" s="14" t="s">
        <v>122</v>
      </c>
      <c r="B32" s="14">
        <f ca="1">MIN(R:R)</f>
        <v>3.161292227405248</v>
      </c>
      <c r="C32" s="14" t="s">
        <v>22</v>
      </c>
      <c r="F32" s="14">
        <v>30</v>
      </c>
      <c r="G32" s="14">
        <f t="shared" si="0"/>
        <v>23</v>
      </c>
      <c r="H32" s="14">
        <f t="shared" si="1"/>
        <v>296.14999999999998</v>
      </c>
      <c r="I32" s="15">
        <f t="shared" si="2"/>
        <v>0.25</v>
      </c>
      <c r="J32" s="15">
        <f t="shared" si="3"/>
        <v>10921.020224</v>
      </c>
      <c r="K32" s="15">
        <f t="shared" si="4"/>
        <v>9.9410202240000007</v>
      </c>
      <c r="L32" s="15">
        <f t="shared" si="5"/>
        <v>2165.5824950000001</v>
      </c>
      <c r="M32" s="15">
        <v>2163.66</v>
      </c>
      <c r="N32" s="14">
        <f t="shared" si="6"/>
        <v>2.1655824950000002</v>
      </c>
      <c r="O32" s="14">
        <f t="shared" si="7"/>
        <v>2.1633</v>
      </c>
      <c r="P32" s="14">
        <f t="shared" si="8"/>
        <v>2.2824950000002175E-3</v>
      </c>
      <c r="Q32" s="18">
        <f t="shared" si="9"/>
        <v>1.0550986918135337E-3</v>
      </c>
      <c r="R32" s="15">
        <f t="shared" ca="1" si="10"/>
        <v>7.8991030000000002</v>
      </c>
      <c r="S32" s="15">
        <f t="shared" si="11"/>
        <v>7.9786225806451609</v>
      </c>
      <c r="T32" s="15">
        <f t="shared" ca="1" si="12"/>
        <v>7.9519580645160737E-2</v>
      </c>
      <c r="U32" s="18">
        <f t="shared" ca="1" si="13"/>
        <v>9.9665800508050469E-3</v>
      </c>
      <c r="V32" s="15">
        <f t="shared" si="14"/>
        <v>0.25</v>
      </c>
      <c r="W32" s="15">
        <f t="shared" ca="1" si="15"/>
        <v>0.10089699999999979</v>
      </c>
      <c r="X32" s="15">
        <f t="shared" ca="1" si="16"/>
        <v>0.14910300000000021</v>
      </c>
      <c r="Y32" s="35">
        <f t="shared" ca="1" si="17"/>
        <v>0.59641200000000083</v>
      </c>
      <c r="Z32" s="36">
        <f t="shared" ca="1" si="18"/>
        <v>21.210764000000001</v>
      </c>
      <c r="AA32" s="18">
        <f t="shared" ca="1" si="19"/>
        <v>7.7792869565217346E-2</v>
      </c>
      <c r="AB32" s="2"/>
    </row>
    <row r="33" spans="1:28" x14ac:dyDescent="0.25">
      <c r="A33" s="14" t="s">
        <v>129</v>
      </c>
      <c r="B33" s="14">
        <f>MAX(S:S)</f>
        <v>8.2319999999999993</v>
      </c>
      <c r="C33" s="14" t="s">
        <v>22</v>
      </c>
      <c r="F33" s="14">
        <v>31</v>
      </c>
      <c r="G33" s="14">
        <f t="shared" si="0"/>
        <v>23.1</v>
      </c>
      <c r="H33" s="14">
        <f t="shared" si="1"/>
        <v>296.25</v>
      </c>
      <c r="I33" s="15">
        <f t="shared" si="2"/>
        <v>0.25833299999999998</v>
      </c>
      <c r="J33" s="15">
        <f t="shared" si="3"/>
        <v>10872.760908</v>
      </c>
      <c r="K33" s="15">
        <f t="shared" si="4"/>
        <v>9.8927609079999996</v>
      </c>
      <c r="L33" s="15">
        <f t="shared" si="5"/>
        <v>2163.6851150000002</v>
      </c>
      <c r="M33" s="15">
        <v>2161.89</v>
      </c>
      <c r="N33" s="14">
        <f t="shared" si="6"/>
        <v>2.1636851150000003</v>
      </c>
      <c r="O33" s="14">
        <f t="shared" si="7"/>
        <v>2.1610100000000001</v>
      </c>
      <c r="P33" s="14">
        <f t="shared" si="8"/>
        <v>2.6751150000001722E-3</v>
      </c>
      <c r="Q33" s="18">
        <f t="shared" si="9"/>
        <v>1.2379003336403683E-3</v>
      </c>
      <c r="R33" s="15">
        <f t="shared" ca="1" si="10"/>
        <v>7.8917868629737615</v>
      </c>
      <c r="S33" s="15">
        <f t="shared" si="11"/>
        <v>7.9701766666666662</v>
      </c>
      <c r="T33" s="15">
        <f t="shared" ca="1" si="12"/>
        <v>7.8389803692904714E-2</v>
      </c>
      <c r="U33" s="18">
        <f t="shared" ca="1" si="13"/>
        <v>9.8353909795690087E-3</v>
      </c>
      <c r="V33" s="15">
        <f t="shared" si="14"/>
        <v>0.25833333333333375</v>
      </c>
      <c r="W33" s="15">
        <f t="shared" ca="1" si="15"/>
        <v>0.10821313702623847</v>
      </c>
      <c r="X33" s="15">
        <f t="shared" ca="1" si="16"/>
        <v>0.15012019630709528</v>
      </c>
      <c r="Y33" s="35">
        <f t="shared" ca="1" si="17"/>
        <v>0.58111043731778722</v>
      </c>
      <c r="Z33" s="36">
        <f t="shared" ca="1" si="18"/>
        <v>21.298558</v>
      </c>
      <c r="AA33" s="18">
        <f t="shared" ca="1" si="19"/>
        <v>7.7984502164502228E-2</v>
      </c>
      <c r="AB33" s="2"/>
    </row>
    <row r="34" spans="1:28" x14ac:dyDescent="0.25">
      <c r="A34" s="14" t="s">
        <v>130</v>
      </c>
      <c r="B34" s="14">
        <f>MIN(S:S)</f>
        <v>3.1644516129032252</v>
      </c>
      <c r="C34" s="14" t="s">
        <v>22</v>
      </c>
      <c r="F34" s="14">
        <v>32</v>
      </c>
      <c r="G34" s="14">
        <f t="shared" si="0"/>
        <v>23.2</v>
      </c>
      <c r="H34" s="14">
        <f t="shared" si="1"/>
        <v>296.34999999999997</v>
      </c>
      <c r="I34" s="15">
        <f t="shared" si="2"/>
        <v>0.26666699999999999</v>
      </c>
      <c r="J34" s="15">
        <f t="shared" si="3"/>
        <v>10824.742897</v>
      </c>
      <c r="K34" s="15">
        <f t="shared" si="4"/>
        <v>9.8447428969999997</v>
      </c>
      <c r="L34" s="15">
        <f t="shared" si="5"/>
        <v>2161.7838040000001</v>
      </c>
      <c r="M34" s="15">
        <v>2159.86</v>
      </c>
      <c r="N34" s="14">
        <f t="shared" si="6"/>
        <v>2.1617838040000001</v>
      </c>
      <c r="O34" s="14">
        <f t="shared" si="7"/>
        <v>2.1587199999999998</v>
      </c>
      <c r="P34" s="14">
        <f t="shared" si="8"/>
        <v>3.0638040000003919E-3</v>
      </c>
      <c r="Q34" s="18">
        <f t="shared" si="9"/>
        <v>1.4192688259711274E-3</v>
      </c>
      <c r="R34" s="15">
        <f t="shared" ca="1" si="10"/>
        <v>7.8860295014577257</v>
      </c>
      <c r="S34" s="15">
        <f t="shared" si="11"/>
        <v>7.9617307526881707</v>
      </c>
      <c r="T34" s="15">
        <f t="shared" ca="1" si="12"/>
        <v>7.570125123044491E-2</v>
      </c>
      <c r="U34" s="18">
        <f t="shared" ca="1" si="13"/>
        <v>9.5081400743029908E-3</v>
      </c>
      <c r="V34" s="15">
        <f t="shared" si="14"/>
        <v>0.2666666666666675</v>
      </c>
      <c r="W34" s="15">
        <f t="shared" ca="1" si="15"/>
        <v>0.11397049854227426</v>
      </c>
      <c r="X34" s="15">
        <f t="shared" ca="1" si="16"/>
        <v>0.15269616812439324</v>
      </c>
      <c r="Y34" s="35">
        <f t="shared" ca="1" si="17"/>
        <v>0.57261063046647287</v>
      </c>
      <c r="Z34" s="36">
        <f t="shared" ca="1" si="18"/>
        <v>21.367646000000001</v>
      </c>
      <c r="AA34" s="18">
        <f t="shared" ca="1" si="19"/>
        <v>7.8980775862068905E-2</v>
      </c>
      <c r="AB34" s="2"/>
    </row>
    <row r="35" spans="1:28" x14ac:dyDescent="0.25">
      <c r="A35" s="14" t="s">
        <v>123</v>
      </c>
      <c r="B35" s="14">
        <f ca="1">MAX(T:T)</f>
        <v>0.13166063556851171</v>
      </c>
      <c r="C35" s="14" t="s">
        <v>22</v>
      </c>
      <c r="F35" s="14">
        <v>33</v>
      </c>
      <c r="G35" s="14">
        <f t="shared" si="0"/>
        <v>23.3</v>
      </c>
      <c r="H35" s="14">
        <f t="shared" si="1"/>
        <v>296.45</v>
      </c>
      <c r="I35" s="15">
        <f t="shared" si="2"/>
        <v>0.27500000000000002</v>
      </c>
      <c r="J35" s="15">
        <f t="shared" si="3"/>
        <v>10776.964856000001</v>
      </c>
      <c r="K35" s="15">
        <f t="shared" si="4"/>
        <v>9.7969648560000007</v>
      </c>
      <c r="L35" s="15">
        <f t="shared" si="5"/>
        <v>2159.8785670000002</v>
      </c>
      <c r="M35" s="15">
        <v>2157.8200000000002</v>
      </c>
      <c r="N35" s="14">
        <f t="shared" si="6"/>
        <v>2.1598785670000002</v>
      </c>
      <c r="O35" s="14">
        <f t="shared" si="7"/>
        <v>2.1564299999999998</v>
      </c>
      <c r="P35" s="14">
        <f t="shared" si="8"/>
        <v>3.4485670000004021E-3</v>
      </c>
      <c r="Q35" s="18">
        <f t="shared" si="9"/>
        <v>1.5992019216948393E-3</v>
      </c>
      <c r="R35" s="15">
        <f t="shared" ca="1" si="10"/>
        <v>7.8782872274052487</v>
      </c>
      <c r="S35" s="15">
        <f t="shared" si="11"/>
        <v>7.9532848387096768</v>
      </c>
      <c r="T35" s="15">
        <f t="shared" ca="1" si="12"/>
        <v>7.4997611304428169E-2</v>
      </c>
      <c r="U35" s="18">
        <f t="shared" ca="1" si="13"/>
        <v>9.4297655403217783E-3</v>
      </c>
      <c r="V35" s="15">
        <f t="shared" si="14"/>
        <v>0.27500000000000036</v>
      </c>
      <c r="W35" s="15">
        <f t="shared" ca="1" si="15"/>
        <v>0.12171277259475133</v>
      </c>
      <c r="X35" s="15">
        <f t="shared" ca="1" si="16"/>
        <v>0.15328722740524903</v>
      </c>
      <c r="Y35" s="35">
        <f t="shared" ca="1" si="17"/>
        <v>0.55740809965545024</v>
      </c>
      <c r="Z35" s="36">
        <f t="shared" ca="1" si="18"/>
        <v>21.460553000000001</v>
      </c>
      <c r="AA35" s="18">
        <f t="shared" ca="1" si="19"/>
        <v>7.8946223175965655E-2</v>
      </c>
      <c r="AB35" s="2"/>
    </row>
    <row r="36" spans="1:28" x14ac:dyDescent="0.25">
      <c r="A36" s="14" t="s">
        <v>124</v>
      </c>
      <c r="B36" s="14">
        <f ca="1">MIN(T:T)</f>
        <v>2.4325339352593289E-5</v>
      </c>
      <c r="C36" s="14" t="s">
        <v>22</v>
      </c>
      <c r="F36" s="14">
        <v>34</v>
      </c>
      <c r="G36" s="14">
        <f t="shared" si="0"/>
        <v>23.4</v>
      </c>
      <c r="H36" s="14">
        <f t="shared" si="1"/>
        <v>296.54999999999995</v>
      </c>
      <c r="I36" s="15">
        <f t="shared" si="2"/>
        <v>0.283333</v>
      </c>
      <c r="J36" s="15">
        <f t="shared" si="3"/>
        <v>10729.425454</v>
      </c>
      <c r="K36" s="15">
        <f t="shared" si="4"/>
        <v>9.7494254540000007</v>
      </c>
      <c r="L36" s="15">
        <f t="shared" si="5"/>
        <v>2157.969411</v>
      </c>
      <c r="M36" s="15">
        <v>2156.0300000000002</v>
      </c>
      <c r="N36" s="14">
        <f t="shared" si="6"/>
        <v>2.1579694110000003</v>
      </c>
      <c r="O36" s="14">
        <f t="shared" si="7"/>
        <v>2.1541399999999999</v>
      </c>
      <c r="P36" s="14">
        <f t="shared" si="8"/>
        <v>3.8294110000003379E-3</v>
      </c>
      <c r="Q36" s="18">
        <f t="shared" si="9"/>
        <v>1.7776982925902392E-3</v>
      </c>
      <c r="R36" s="15">
        <f t="shared" ca="1" si="10"/>
        <v>7.8713340000000001</v>
      </c>
      <c r="S36" s="15">
        <f t="shared" si="11"/>
        <v>7.9448389247311821</v>
      </c>
      <c r="T36" s="15">
        <f t="shared" ca="1" si="12"/>
        <v>7.3504924731182086E-2</v>
      </c>
      <c r="U36" s="18">
        <f t="shared" ca="1" si="13"/>
        <v>9.2519087457357315E-3</v>
      </c>
      <c r="V36" s="15">
        <f t="shared" si="14"/>
        <v>0.2833333333333341</v>
      </c>
      <c r="W36" s="15">
        <f t="shared" ca="1" si="15"/>
        <v>0.12866599999999995</v>
      </c>
      <c r="X36" s="15">
        <f t="shared" ca="1" si="16"/>
        <v>0.15466733333333416</v>
      </c>
      <c r="Y36" s="35">
        <f t="shared" ca="1" si="17"/>
        <v>0.54588470588235438</v>
      </c>
      <c r="Z36" s="36">
        <f t="shared" ca="1" si="18"/>
        <v>21.543991999999999</v>
      </c>
      <c r="AA36" s="18">
        <f t="shared" ca="1" si="19"/>
        <v>7.9316581196581165E-2</v>
      </c>
      <c r="AB36" s="2"/>
    </row>
    <row r="37" spans="1:28" x14ac:dyDescent="0.25">
      <c r="A37" s="14" t="s">
        <v>125</v>
      </c>
      <c r="B37" s="18">
        <f ca="1">MAX(U:U)</f>
        <v>2.724919945899246E-2</v>
      </c>
      <c r="C37" s="14" t="s">
        <v>23</v>
      </c>
      <c r="F37" s="14">
        <v>35</v>
      </c>
      <c r="G37" s="14">
        <f t="shared" si="0"/>
        <v>23.5</v>
      </c>
      <c r="H37" s="14">
        <f t="shared" si="1"/>
        <v>296.64999999999998</v>
      </c>
      <c r="I37" s="15">
        <f t="shared" si="2"/>
        <v>0.29166700000000001</v>
      </c>
      <c r="J37" s="15">
        <f t="shared" si="3"/>
        <v>10682.123369999999</v>
      </c>
      <c r="K37" s="15">
        <f t="shared" si="4"/>
        <v>9.7021233699999989</v>
      </c>
      <c r="L37" s="15">
        <f t="shared" si="5"/>
        <v>2156.0563430000002</v>
      </c>
      <c r="M37" s="15">
        <v>2154.2399999999998</v>
      </c>
      <c r="N37" s="14">
        <f t="shared" si="6"/>
        <v>2.1560563430000004</v>
      </c>
      <c r="O37" s="14">
        <f t="shared" si="7"/>
        <v>2.15185</v>
      </c>
      <c r="P37" s="14">
        <f t="shared" si="8"/>
        <v>4.2063430000003343E-3</v>
      </c>
      <c r="Q37" s="18">
        <f t="shared" si="9"/>
        <v>1.954756604782087E-3</v>
      </c>
      <c r="R37" s="15">
        <f t="shared" ca="1" si="10"/>
        <v>7.8639598629737613</v>
      </c>
      <c r="S37" s="15">
        <f t="shared" si="11"/>
        <v>7.9363930107526883</v>
      </c>
      <c r="T37" s="15">
        <f t="shared" ca="1" si="12"/>
        <v>7.2433147778927065E-2</v>
      </c>
      <c r="U37" s="18">
        <f t="shared" ca="1" si="13"/>
        <v>9.1267087807761545E-3</v>
      </c>
      <c r="V37" s="15">
        <f t="shared" si="14"/>
        <v>0.29166666666666607</v>
      </c>
      <c r="W37" s="15">
        <f t="shared" ca="1" si="15"/>
        <v>0.13604013702623874</v>
      </c>
      <c r="X37" s="15">
        <f t="shared" ca="1" si="16"/>
        <v>0.15562652964042734</v>
      </c>
      <c r="Y37" s="35">
        <f t="shared" ca="1" si="17"/>
        <v>0.5335766730528948</v>
      </c>
      <c r="Z37" s="36">
        <f t="shared" ca="1" si="18"/>
        <v>21.632482</v>
      </c>
      <c r="AA37" s="18">
        <f t="shared" ca="1" si="19"/>
        <v>7.946885106382981E-2</v>
      </c>
      <c r="AB37" s="2"/>
    </row>
    <row r="38" spans="1:28" x14ac:dyDescent="0.25">
      <c r="A38" s="14" t="s">
        <v>126</v>
      </c>
      <c r="B38" s="18">
        <f ca="1">MIN(U:U)</f>
        <v>3.330892467207867E-6</v>
      </c>
      <c r="C38" s="14" t="s">
        <v>23</v>
      </c>
      <c r="F38" s="14">
        <v>36</v>
      </c>
      <c r="G38" s="14">
        <f t="shared" si="0"/>
        <v>23.6</v>
      </c>
      <c r="H38" s="14">
        <f t="shared" si="1"/>
        <v>296.75</v>
      </c>
      <c r="I38" s="15">
        <f t="shared" si="2"/>
        <v>0.3</v>
      </c>
      <c r="J38" s="15">
        <f t="shared" si="3"/>
        <v>10635.057290999999</v>
      </c>
      <c r="K38" s="15">
        <f t="shared" si="4"/>
        <v>9.6550572909999985</v>
      </c>
      <c r="L38" s="15">
        <f t="shared" si="5"/>
        <v>2154.139369</v>
      </c>
      <c r="M38" s="15">
        <v>2152.17</v>
      </c>
      <c r="N38" s="14">
        <f t="shared" si="6"/>
        <v>2.1541393690000001</v>
      </c>
      <c r="O38" s="14">
        <f t="shared" si="7"/>
        <v>2.1495600000000001</v>
      </c>
      <c r="P38" s="14">
        <f t="shared" si="8"/>
        <v>4.5793689999999998E-3</v>
      </c>
      <c r="Q38" s="18">
        <f t="shared" si="9"/>
        <v>2.1303750534993207E-3</v>
      </c>
      <c r="R38" s="15">
        <f t="shared" ca="1" si="10"/>
        <v>7.8569786355685123</v>
      </c>
      <c r="S38" s="15">
        <f t="shared" si="11"/>
        <v>7.9279470967741936</v>
      </c>
      <c r="T38" s="15">
        <f t="shared" ca="1" si="12"/>
        <v>7.0968461205681344E-2</v>
      </c>
      <c r="U38" s="18">
        <f t="shared" ca="1" si="13"/>
        <v>8.9516819851834951E-3</v>
      </c>
      <c r="V38" s="15">
        <f t="shared" si="14"/>
        <v>0.29999999999999982</v>
      </c>
      <c r="W38" s="15">
        <f t="shared" ca="1" si="15"/>
        <v>0.14302136443148772</v>
      </c>
      <c r="X38" s="15">
        <f t="shared" ca="1" si="16"/>
        <v>0.1569786355685121</v>
      </c>
      <c r="Y38" s="35">
        <f t="shared" ca="1" si="17"/>
        <v>0.52326211856170735</v>
      </c>
      <c r="Z38" s="36">
        <f t="shared" ca="1" si="18"/>
        <v>21.716256000000001</v>
      </c>
      <c r="AA38" s="18">
        <f t="shared" ca="1" si="19"/>
        <v>7.9819661016949151E-2</v>
      </c>
      <c r="AB38" s="2"/>
    </row>
    <row r="39" spans="1:28" x14ac:dyDescent="0.25">
      <c r="F39" s="14">
        <v>37</v>
      </c>
      <c r="G39" s="14">
        <f t="shared" si="0"/>
        <v>23.7</v>
      </c>
      <c r="H39" s="14">
        <f t="shared" si="1"/>
        <v>296.84999999999997</v>
      </c>
      <c r="I39" s="15">
        <f t="shared" si="2"/>
        <v>0.30833300000000002</v>
      </c>
      <c r="J39" s="15">
        <f t="shared" si="3"/>
        <v>10588.225909999999</v>
      </c>
      <c r="K39" s="15">
        <f t="shared" si="4"/>
        <v>9.6082259099999998</v>
      </c>
      <c r="L39" s="15">
        <f t="shared" si="5"/>
        <v>2152.218496</v>
      </c>
      <c r="M39" s="15">
        <v>2150.11</v>
      </c>
      <c r="N39" s="14">
        <f t="shared" si="6"/>
        <v>2.1522184960000001</v>
      </c>
      <c r="O39" s="14">
        <f t="shared" si="7"/>
        <v>2.1472699999999998</v>
      </c>
      <c r="P39" s="14">
        <f t="shared" si="8"/>
        <v>4.9484960000003575E-3</v>
      </c>
      <c r="Q39" s="18">
        <f t="shared" si="9"/>
        <v>2.3045522919802157E-3</v>
      </c>
      <c r="R39" s="15">
        <f t="shared" ca="1" si="10"/>
        <v>7.8499608629737612</v>
      </c>
      <c r="S39" s="15">
        <f t="shared" si="11"/>
        <v>7.919501182795698</v>
      </c>
      <c r="T39" s="15">
        <f t="shared" ca="1" si="12"/>
        <v>6.9540319821936869E-2</v>
      </c>
      <c r="U39" s="18">
        <f t="shared" ca="1" si="13"/>
        <v>8.7808964500196134E-3</v>
      </c>
      <c r="V39" s="15">
        <f t="shared" si="14"/>
        <v>0.30833333333333357</v>
      </c>
      <c r="W39" s="15">
        <f t="shared" ca="1" si="15"/>
        <v>0.15003913702623883</v>
      </c>
      <c r="X39" s="15">
        <f t="shared" ca="1" si="16"/>
        <v>0.15829419630709474</v>
      </c>
      <c r="Y39" s="35">
        <f t="shared" ca="1" si="17"/>
        <v>0.51338658261760417</v>
      </c>
      <c r="Z39" s="36">
        <f t="shared" ca="1" si="18"/>
        <v>21.800470000000001</v>
      </c>
      <c r="AA39" s="18">
        <f t="shared" ca="1" si="19"/>
        <v>8.0148945147679271E-2</v>
      </c>
      <c r="AB39" s="2"/>
    </row>
    <row r="40" spans="1:28" x14ac:dyDescent="0.25">
      <c r="A40" s="24" t="s">
        <v>127</v>
      </c>
      <c r="B40" s="24"/>
      <c r="C40" s="24"/>
      <c r="F40" s="14">
        <v>38</v>
      </c>
      <c r="G40" s="14">
        <f t="shared" si="0"/>
        <v>23.8</v>
      </c>
      <c r="H40" s="14">
        <f t="shared" si="1"/>
        <v>296.95</v>
      </c>
      <c r="I40" s="15">
        <f t="shared" si="2"/>
        <v>0.31666699999999998</v>
      </c>
      <c r="J40" s="15">
        <f t="shared" si="3"/>
        <v>10541.627931000001</v>
      </c>
      <c r="K40" s="15">
        <f t="shared" si="4"/>
        <v>9.5616279310000003</v>
      </c>
      <c r="L40" s="15">
        <f t="shared" si="5"/>
        <v>2150.2937320000001</v>
      </c>
      <c r="M40" s="15">
        <v>2148.29</v>
      </c>
      <c r="N40" s="14">
        <f t="shared" si="6"/>
        <v>2.1502937320000002</v>
      </c>
      <c r="O40" s="14">
        <f t="shared" si="7"/>
        <v>2.1449799999999999</v>
      </c>
      <c r="P40" s="14">
        <f t="shared" si="8"/>
        <v>5.313732000000293E-3</v>
      </c>
      <c r="Q40" s="18">
        <f t="shared" si="9"/>
        <v>2.4772874339156043E-3</v>
      </c>
      <c r="R40" s="15">
        <f t="shared" ca="1" si="10"/>
        <v>7.8429516355685127</v>
      </c>
      <c r="S40" s="15">
        <f t="shared" si="11"/>
        <v>7.9110552688172033</v>
      </c>
      <c r="T40" s="15">
        <f t="shared" ca="1" si="12"/>
        <v>6.810363324869062E-2</v>
      </c>
      <c r="U40" s="18">
        <f t="shared" ca="1" si="13"/>
        <v>8.6086660925164954E-3</v>
      </c>
      <c r="V40" s="15">
        <f t="shared" si="14"/>
        <v>0.31666666666666732</v>
      </c>
      <c r="W40" s="15">
        <f t="shared" ca="1" si="15"/>
        <v>0.15704836443148729</v>
      </c>
      <c r="X40" s="15">
        <f t="shared" ca="1" si="16"/>
        <v>0.15961830223518003</v>
      </c>
      <c r="Y40" s="35">
        <f t="shared" ca="1" si="17"/>
        <v>0.50405779653214644</v>
      </c>
      <c r="Z40" s="36">
        <f t="shared" ca="1" si="18"/>
        <v>21.88458</v>
      </c>
      <c r="AA40" s="18">
        <f t="shared" ca="1" si="19"/>
        <v>8.0479831932773152E-2</v>
      </c>
      <c r="AB40" s="2"/>
    </row>
    <row r="41" spans="1:28" x14ac:dyDescent="0.25">
      <c r="A41" s="14" t="s">
        <v>101</v>
      </c>
      <c r="B41" s="14" t="s">
        <v>100</v>
      </c>
      <c r="C41" s="14" t="s">
        <v>35</v>
      </c>
      <c r="F41" s="14">
        <v>39</v>
      </c>
      <c r="G41" s="14">
        <f t="shared" si="0"/>
        <v>23.9</v>
      </c>
      <c r="H41" s="14">
        <f t="shared" si="1"/>
        <v>297.04999999999995</v>
      </c>
      <c r="I41" s="15">
        <f t="shared" si="2"/>
        <v>0.32500000000000001</v>
      </c>
      <c r="J41" s="15">
        <f t="shared" si="3"/>
        <v>10495.262063</v>
      </c>
      <c r="K41" s="15">
        <f t="shared" si="4"/>
        <v>9.5152620629999998</v>
      </c>
      <c r="L41" s="15">
        <f t="shared" si="5"/>
        <v>2148.3650819999998</v>
      </c>
      <c r="M41" s="15">
        <v>2146.46</v>
      </c>
      <c r="N41" s="14">
        <f t="shared" si="6"/>
        <v>2.1483650819999998</v>
      </c>
      <c r="O41" s="14">
        <f t="shared" si="7"/>
        <v>2.14269</v>
      </c>
      <c r="P41" s="14">
        <f t="shared" si="8"/>
        <v>5.6750819999997759E-3</v>
      </c>
      <c r="Q41" s="18">
        <f t="shared" si="9"/>
        <v>2.6485781890986451E-3</v>
      </c>
      <c r="R41" s="15">
        <f t="shared" ca="1" si="10"/>
        <v>7.8366981370262385</v>
      </c>
      <c r="S41" s="15">
        <f t="shared" si="11"/>
        <v>7.9026093548387095</v>
      </c>
      <c r="T41" s="15">
        <f t="shared" ca="1" si="12"/>
        <v>6.5911217812471001E-2</v>
      </c>
      <c r="U41" s="18">
        <f t="shared" ca="1" si="13"/>
        <v>8.3404372977280029E-3</v>
      </c>
      <c r="V41" s="15">
        <f t="shared" si="14"/>
        <v>0.32500000000000018</v>
      </c>
      <c r="W41" s="15">
        <f t="shared" ca="1" si="15"/>
        <v>0.16330186297376148</v>
      </c>
      <c r="X41" s="15">
        <f t="shared" ca="1" si="16"/>
        <v>0.1616981370262387</v>
      </c>
      <c r="Y41" s="35">
        <f t="shared" ca="1" si="17"/>
        <v>0.49753272931150339</v>
      </c>
      <c r="Z41" s="36">
        <f t="shared" ca="1" si="18"/>
        <v>21.959622</v>
      </c>
      <c r="AA41" s="18">
        <f t="shared" ca="1" si="19"/>
        <v>8.118736401673636E-2</v>
      </c>
      <c r="AB41" s="2"/>
    </row>
    <row r="42" spans="1:28" x14ac:dyDescent="0.25">
      <c r="A42" s="14" t="s">
        <v>93</v>
      </c>
      <c r="B42" s="14">
        <v>0</v>
      </c>
      <c r="C42" s="14" t="s">
        <v>22</v>
      </c>
      <c r="F42" s="14">
        <v>40</v>
      </c>
      <c r="G42" s="14">
        <f t="shared" si="0"/>
        <v>24</v>
      </c>
      <c r="H42" s="14">
        <f t="shared" si="1"/>
        <v>297.14999999999998</v>
      </c>
      <c r="I42" s="15">
        <f t="shared" si="2"/>
        <v>0.33333299999999999</v>
      </c>
      <c r="J42" s="15">
        <f t="shared" si="3"/>
        <v>10449.127026</v>
      </c>
      <c r="K42" s="15">
        <f t="shared" si="4"/>
        <v>9.4691270260000007</v>
      </c>
      <c r="L42" s="15">
        <f t="shared" si="5"/>
        <v>2146.4325549999999</v>
      </c>
      <c r="M42" s="15">
        <v>2144.37</v>
      </c>
      <c r="N42" s="14">
        <f t="shared" si="6"/>
        <v>2.1464325550000001</v>
      </c>
      <c r="O42" s="14">
        <f t="shared" si="7"/>
        <v>2.1404000000000001</v>
      </c>
      <c r="P42" s="14">
        <f t="shared" si="8"/>
        <v>6.032554999999995E-3</v>
      </c>
      <c r="Q42" s="18">
        <f t="shared" si="9"/>
        <v>2.8184241263315242E-3</v>
      </c>
      <c r="R42" s="15">
        <f t="shared" ca="1" si="10"/>
        <v>7.8296383644314869</v>
      </c>
      <c r="S42" s="15">
        <f t="shared" si="11"/>
        <v>7.8941634408602148</v>
      </c>
      <c r="T42" s="15">
        <f t="shared" ca="1" si="12"/>
        <v>6.4525076428727957E-2</v>
      </c>
      <c r="U42" s="18">
        <f t="shared" ca="1" si="13"/>
        <v>8.173770015293319E-3</v>
      </c>
      <c r="V42" s="15">
        <f t="shared" si="14"/>
        <v>0.33333333333333304</v>
      </c>
      <c r="W42" s="15">
        <f t="shared" ca="1" si="15"/>
        <v>0.17036163556851314</v>
      </c>
      <c r="X42" s="15">
        <f t="shared" ca="1" si="16"/>
        <v>0.1629716977648199</v>
      </c>
      <c r="Y42" s="35">
        <f t="shared" ca="1" si="17"/>
        <v>0.48891509329446015</v>
      </c>
      <c r="Z42" s="36">
        <f t="shared" ca="1" si="18"/>
        <v>22.044339999999998</v>
      </c>
      <c r="AA42" s="18">
        <f t="shared" ca="1" si="19"/>
        <v>8.148583333333341E-2</v>
      </c>
      <c r="AB42" s="2"/>
    </row>
    <row r="43" spans="1:28" x14ac:dyDescent="0.25">
      <c r="A43" s="14" t="s">
        <v>94</v>
      </c>
      <c r="B43" s="14">
        <v>5</v>
      </c>
      <c r="C43" s="14" t="s">
        <v>22</v>
      </c>
      <c r="F43" s="14">
        <v>41</v>
      </c>
      <c r="G43" s="14">
        <f t="shared" si="0"/>
        <v>24.1</v>
      </c>
      <c r="H43" s="14">
        <f t="shared" si="1"/>
        <v>297.25</v>
      </c>
      <c r="I43" s="15">
        <f t="shared" si="2"/>
        <v>0.341667</v>
      </c>
      <c r="J43" s="15">
        <f t="shared" si="3"/>
        <v>10403.221543</v>
      </c>
      <c r="K43" s="15">
        <f t="shared" si="4"/>
        <v>9.4232215430000004</v>
      </c>
      <c r="L43" s="15">
        <f t="shared" si="5"/>
        <v>2144.496157</v>
      </c>
      <c r="M43" s="15">
        <v>2142.7800000000002</v>
      </c>
      <c r="N43" s="14">
        <f t="shared" si="6"/>
        <v>2.1444961570000003</v>
      </c>
      <c r="O43" s="14">
        <f t="shared" si="7"/>
        <v>2.1381100000000002</v>
      </c>
      <c r="P43" s="14">
        <f t="shared" si="8"/>
        <v>6.3861570000001144E-3</v>
      </c>
      <c r="Q43" s="18">
        <f t="shared" si="9"/>
        <v>2.9868234094598098E-3</v>
      </c>
      <c r="R43" s="15">
        <f t="shared" ca="1" si="10"/>
        <v>7.8218046355685127</v>
      </c>
      <c r="S43" s="15">
        <f t="shared" si="11"/>
        <v>7.885717526881721</v>
      </c>
      <c r="T43" s="15">
        <f t="shared" ca="1" si="12"/>
        <v>6.391289131320832E-2</v>
      </c>
      <c r="U43" s="18">
        <f t="shared" ca="1" si="13"/>
        <v>8.1048923062910713E-3</v>
      </c>
      <c r="V43" s="15">
        <f t="shared" si="14"/>
        <v>0.3416666666666659</v>
      </c>
      <c r="W43" s="15">
        <f t="shared" ca="1" si="15"/>
        <v>0.17819536443148731</v>
      </c>
      <c r="X43" s="15">
        <f t="shared" ca="1" si="16"/>
        <v>0.16347130223517858</v>
      </c>
      <c r="Y43" s="35">
        <f t="shared" ca="1" si="17"/>
        <v>0.47845259190784084</v>
      </c>
      <c r="Z43" s="36">
        <f t="shared" ca="1" si="18"/>
        <v>22.138344</v>
      </c>
      <c r="AA43" s="18">
        <f t="shared" ca="1" si="19"/>
        <v>8.1396514522821636E-2</v>
      </c>
      <c r="AB43" s="2"/>
    </row>
    <row r="44" spans="1:28" x14ac:dyDescent="0.25">
      <c r="A44" s="14" t="s">
        <v>95</v>
      </c>
      <c r="B44" s="14">
        <f>($B$43-B42)/($B$34-$B$33)</f>
        <v>-0.98667040116108817</v>
      </c>
      <c r="C44" s="14" t="s">
        <v>99</v>
      </c>
      <c r="F44" s="14">
        <v>42</v>
      </c>
      <c r="G44" s="14">
        <f t="shared" si="0"/>
        <v>24.2</v>
      </c>
      <c r="H44" s="14">
        <f t="shared" si="1"/>
        <v>297.34999999999997</v>
      </c>
      <c r="I44" s="15">
        <f t="shared" si="2"/>
        <v>0.35</v>
      </c>
      <c r="J44" s="15">
        <f t="shared" si="3"/>
        <v>10357.544349</v>
      </c>
      <c r="K44" s="15">
        <f t="shared" si="4"/>
        <v>9.3775443490000008</v>
      </c>
      <c r="L44" s="15">
        <f t="shared" si="5"/>
        <v>2142.555895</v>
      </c>
      <c r="M44" s="15">
        <v>2140.9299999999998</v>
      </c>
      <c r="N44" s="14">
        <f t="shared" si="6"/>
        <v>2.1425558950000001</v>
      </c>
      <c r="O44" s="14">
        <f t="shared" si="7"/>
        <v>2.1358199999999998</v>
      </c>
      <c r="P44" s="14">
        <f t="shared" si="8"/>
        <v>6.7358950000002693E-3</v>
      </c>
      <c r="Q44" s="18">
        <f t="shared" si="9"/>
        <v>3.1537746626589648E-3</v>
      </c>
      <c r="R44" s="15">
        <f t="shared" ca="1" si="10"/>
        <v>7.8147266355685128</v>
      </c>
      <c r="S44" s="15">
        <f t="shared" si="11"/>
        <v>7.8772716129032245</v>
      </c>
      <c r="T44" s="15">
        <f t="shared" ca="1" si="12"/>
        <v>6.254497733471176E-2</v>
      </c>
      <c r="U44" s="18">
        <f t="shared" ca="1" si="13"/>
        <v>7.9399290018464103E-3</v>
      </c>
      <c r="V44" s="15">
        <f t="shared" si="14"/>
        <v>0.35000000000000053</v>
      </c>
      <c r="W44" s="15">
        <f t="shared" ca="1" si="15"/>
        <v>0.18527336443148723</v>
      </c>
      <c r="X44" s="15">
        <f t="shared" ca="1" si="16"/>
        <v>0.1647266355685133</v>
      </c>
      <c r="Y44" s="35">
        <f t="shared" ca="1" si="17"/>
        <v>0.47064753019575156</v>
      </c>
      <c r="Z44" s="36">
        <f t="shared" ca="1" si="18"/>
        <v>22.223279999999999</v>
      </c>
      <c r="AA44" s="18">
        <f t="shared" ca="1" si="19"/>
        <v>8.1682644628099182E-2</v>
      </c>
      <c r="AB44" s="2"/>
    </row>
    <row r="45" spans="1:28" x14ac:dyDescent="0.25">
      <c r="A45" s="14" t="s">
        <v>96</v>
      </c>
      <c r="B45" s="14">
        <f>$B$42-$B$33*$B$44</f>
        <v>8.1222707423580776</v>
      </c>
      <c r="C45" s="14" t="s">
        <v>99</v>
      </c>
      <c r="D45" s="13"/>
      <c r="F45" s="14">
        <v>43</v>
      </c>
      <c r="G45" s="14">
        <f t="shared" si="0"/>
        <v>24.3</v>
      </c>
      <c r="H45" s="14">
        <f t="shared" si="1"/>
        <v>297.45</v>
      </c>
      <c r="I45" s="15">
        <f t="shared" si="2"/>
        <v>0.35833300000000001</v>
      </c>
      <c r="J45" s="15">
        <f t="shared" si="3"/>
        <v>10312.094186</v>
      </c>
      <c r="K45" s="15">
        <f t="shared" si="4"/>
        <v>9.3320941860000008</v>
      </c>
      <c r="L45" s="15">
        <f t="shared" si="5"/>
        <v>2140.611778</v>
      </c>
      <c r="M45" s="15">
        <v>2138.8200000000002</v>
      </c>
      <c r="N45" s="14">
        <f t="shared" si="6"/>
        <v>2.1406117780000002</v>
      </c>
      <c r="O45" s="14">
        <f t="shared" si="7"/>
        <v>2.1335299999999999</v>
      </c>
      <c r="P45" s="14">
        <f t="shared" si="8"/>
        <v>7.0817780000003161E-3</v>
      </c>
      <c r="Q45" s="18">
        <f t="shared" si="9"/>
        <v>3.3192774416109998E-3</v>
      </c>
      <c r="R45" s="15">
        <f t="shared" ca="1" si="10"/>
        <v>7.8076356355685128</v>
      </c>
      <c r="S45" s="15">
        <f t="shared" si="11"/>
        <v>7.8688256989247307</v>
      </c>
      <c r="T45" s="15">
        <f t="shared" ca="1" si="12"/>
        <v>6.1190063356217905E-2</v>
      </c>
      <c r="U45" s="18">
        <f t="shared" ca="1" si="13"/>
        <v>7.7762636634052633E-3</v>
      </c>
      <c r="V45" s="15">
        <f t="shared" si="14"/>
        <v>0.35833333333333339</v>
      </c>
      <c r="W45" s="15">
        <f t="shared" ca="1" si="15"/>
        <v>0.19236436443148719</v>
      </c>
      <c r="X45" s="15">
        <f t="shared" ca="1" si="16"/>
        <v>0.1659689689018462</v>
      </c>
      <c r="Y45" s="35">
        <f t="shared" ca="1" si="17"/>
        <v>0.46316921554003582</v>
      </c>
      <c r="Z45" s="36">
        <f t="shared" ca="1" si="18"/>
        <v>22.308371999999999</v>
      </c>
      <c r="AA45" s="18">
        <f t="shared" ca="1" si="19"/>
        <v>8.1960000000000088E-2</v>
      </c>
      <c r="AB45" s="2"/>
    </row>
    <row r="46" spans="1:28" x14ac:dyDescent="0.25">
      <c r="A46" s="17" t="s">
        <v>132</v>
      </c>
      <c r="B46" s="14">
        <v>-1</v>
      </c>
      <c r="C46" s="14" t="s">
        <v>99</v>
      </c>
      <c r="D46" s="13"/>
      <c r="F46" s="14">
        <v>44</v>
      </c>
      <c r="G46" s="14">
        <f t="shared" si="0"/>
        <v>24.4</v>
      </c>
      <c r="H46" s="14">
        <f t="shared" si="1"/>
        <v>297.54999999999995</v>
      </c>
      <c r="I46" s="15">
        <f t="shared" si="2"/>
        <v>0.36666700000000002</v>
      </c>
      <c r="J46" s="15">
        <f t="shared" si="3"/>
        <v>10266.869801000001</v>
      </c>
      <c r="K46" s="15">
        <f t="shared" si="4"/>
        <v>9.2868698010000017</v>
      </c>
      <c r="L46" s="15">
        <f t="shared" si="5"/>
        <v>2138.6638109999999</v>
      </c>
      <c r="M46" s="15">
        <v>2136.6999999999998</v>
      </c>
      <c r="N46" s="14">
        <f t="shared" si="6"/>
        <v>2.1386638109999998</v>
      </c>
      <c r="O46" s="14">
        <f t="shared" si="7"/>
        <v>2.13124</v>
      </c>
      <c r="P46" s="14">
        <f t="shared" si="8"/>
        <v>7.4238109999997803E-3</v>
      </c>
      <c r="Q46" s="18">
        <f t="shared" si="9"/>
        <v>3.4833294232464577E-3</v>
      </c>
      <c r="R46" s="15">
        <f t="shared" ca="1" si="10"/>
        <v>7.800134498542274</v>
      </c>
      <c r="S46" s="15">
        <f t="shared" si="11"/>
        <v>7.860379784946236</v>
      </c>
      <c r="T46" s="15">
        <f t="shared" ca="1" si="12"/>
        <v>6.0245286403961984E-2</v>
      </c>
      <c r="U46" s="18">
        <f t="shared" ca="1" si="13"/>
        <v>7.6644243728961319E-3</v>
      </c>
      <c r="V46" s="15">
        <f t="shared" si="14"/>
        <v>0.36666666666666714</v>
      </c>
      <c r="W46" s="15">
        <f t="shared" ca="1" si="15"/>
        <v>0.19986550145772597</v>
      </c>
      <c r="X46" s="15">
        <f t="shared" ca="1" si="16"/>
        <v>0.16680116520894117</v>
      </c>
      <c r="Y46" s="35">
        <f t="shared" ca="1" si="17"/>
        <v>0.45491226875165713</v>
      </c>
      <c r="Z46" s="36">
        <f t="shared" ca="1" si="18"/>
        <v>22.398385999999999</v>
      </c>
      <c r="AA46" s="18">
        <f t="shared" ca="1" si="19"/>
        <v>8.2033360655737714E-2</v>
      </c>
      <c r="AB46" s="2"/>
    </row>
    <row r="47" spans="1:28" x14ac:dyDescent="0.25">
      <c r="A47" s="17" t="s">
        <v>133</v>
      </c>
      <c r="B47" s="14">
        <v>8</v>
      </c>
      <c r="C47" s="14" t="s">
        <v>99</v>
      </c>
      <c r="D47" s="13"/>
      <c r="F47" s="14">
        <v>45</v>
      </c>
      <c r="G47" s="14">
        <f t="shared" si="0"/>
        <v>24.5</v>
      </c>
      <c r="H47" s="14">
        <f t="shared" si="1"/>
        <v>297.64999999999998</v>
      </c>
      <c r="I47" s="15">
        <f t="shared" si="2"/>
        <v>0.375</v>
      </c>
      <c r="J47" s="15">
        <f t="shared" si="3"/>
        <v>10221.869951000001</v>
      </c>
      <c r="K47" s="15">
        <f t="shared" si="4"/>
        <v>9.241869951</v>
      </c>
      <c r="L47" s="15">
        <f t="shared" si="5"/>
        <v>2136.7120030000001</v>
      </c>
      <c r="M47" s="15">
        <v>2134.83</v>
      </c>
      <c r="N47" s="14">
        <f t="shared" si="6"/>
        <v>2.136712003</v>
      </c>
      <c r="O47" s="14">
        <f t="shared" si="7"/>
        <v>2.1289499999999997</v>
      </c>
      <c r="P47" s="14">
        <f t="shared" si="8"/>
        <v>7.7620030000002949E-3</v>
      </c>
      <c r="Q47" s="18">
        <f t="shared" si="9"/>
        <v>3.645930153362125E-3</v>
      </c>
      <c r="R47" s="15">
        <f t="shared" ca="1" si="10"/>
        <v>7.7933998629737617</v>
      </c>
      <c r="S47" s="15">
        <f t="shared" si="11"/>
        <v>7.8519338709677404</v>
      </c>
      <c r="T47" s="15">
        <f t="shared" ca="1" si="12"/>
        <v>5.8534007993978676E-2</v>
      </c>
      <c r="U47" s="18">
        <f t="shared" ca="1" si="13"/>
        <v>7.4547250340971649E-3</v>
      </c>
      <c r="V47" s="15">
        <f t="shared" si="14"/>
        <v>0.37500000000000089</v>
      </c>
      <c r="W47" s="15">
        <f t="shared" ca="1" si="15"/>
        <v>0.20660013702623825</v>
      </c>
      <c r="X47" s="15">
        <f t="shared" ca="1" si="16"/>
        <v>0.16839986297376264</v>
      </c>
      <c r="Y47" s="35">
        <f t="shared" ca="1" si="17"/>
        <v>0.449066301263366</v>
      </c>
      <c r="Z47" s="36">
        <f t="shared" ca="1" si="18"/>
        <v>22.479202000000001</v>
      </c>
      <c r="AA47" s="18">
        <f t="shared" ca="1" si="19"/>
        <v>8.2481551020408134E-2</v>
      </c>
      <c r="AB47" s="2"/>
    </row>
    <row r="48" spans="1:28" x14ac:dyDescent="0.25">
      <c r="A48" s="17" t="s">
        <v>137</v>
      </c>
      <c r="B48" s="18">
        <f ca="1">MAX(Y:Y)</f>
        <v>1003.393644314876</v>
      </c>
      <c r="C48" s="17" t="s">
        <v>23</v>
      </c>
      <c r="D48" s="37"/>
      <c r="F48" s="14">
        <v>46</v>
      </c>
      <c r="G48" s="14">
        <f t="shared" si="0"/>
        <v>24.6</v>
      </c>
      <c r="H48" s="14">
        <f t="shared" si="1"/>
        <v>297.75</v>
      </c>
      <c r="I48" s="15">
        <f t="shared" si="2"/>
        <v>0.38333299999999998</v>
      </c>
      <c r="J48" s="15">
        <f t="shared" si="3"/>
        <v>10177.0934</v>
      </c>
      <c r="K48" s="15">
        <f t="shared" si="4"/>
        <v>9.1970934</v>
      </c>
      <c r="L48" s="15">
        <f t="shared" si="5"/>
        <v>2134.7563610000002</v>
      </c>
      <c r="M48" s="15">
        <v>2132.9499999999998</v>
      </c>
      <c r="N48" s="14">
        <f t="shared" si="6"/>
        <v>2.1347563610000004</v>
      </c>
      <c r="O48" s="14">
        <f t="shared" si="7"/>
        <v>2.1266599999999998</v>
      </c>
      <c r="P48" s="14">
        <f t="shared" si="8"/>
        <v>8.0963610000006625E-3</v>
      </c>
      <c r="Q48" s="18">
        <f t="shared" si="9"/>
        <v>3.8070782353552819E-3</v>
      </c>
      <c r="R48" s="15">
        <f t="shared" ca="1" si="10"/>
        <v>7.7866737725947512</v>
      </c>
      <c r="S48" s="15">
        <f t="shared" si="11"/>
        <v>7.8434879569892457</v>
      </c>
      <c r="T48" s="15">
        <f t="shared" ca="1" si="12"/>
        <v>5.6814184394494482E-2</v>
      </c>
      <c r="U48" s="18">
        <f t="shared" ca="1" si="13"/>
        <v>7.2434846213881143E-3</v>
      </c>
      <c r="V48" s="15">
        <f t="shared" si="14"/>
        <v>0.38333333333333464</v>
      </c>
      <c r="W48" s="15">
        <f t="shared" ca="1" si="15"/>
        <v>0.21332622740524876</v>
      </c>
      <c r="X48" s="15">
        <f t="shared" ca="1" si="16"/>
        <v>0.17000710592808588</v>
      </c>
      <c r="Y48" s="35">
        <f t="shared" ca="1" si="17"/>
        <v>0.44349679807326597</v>
      </c>
      <c r="Z48" s="36">
        <f t="shared" ca="1" si="18"/>
        <v>22.559915</v>
      </c>
      <c r="AA48" s="18">
        <f t="shared" ca="1" si="19"/>
        <v>8.2930284552845582E-2</v>
      </c>
      <c r="AB48" s="2"/>
    </row>
    <row r="49" spans="1:28" x14ac:dyDescent="0.25">
      <c r="A49" s="17" t="s">
        <v>138</v>
      </c>
      <c r="B49" s="18">
        <f ca="1">MIN(Y:Y)</f>
        <v>1.604088013642108E-2</v>
      </c>
      <c r="C49" s="17" t="s">
        <v>23</v>
      </c>
      <c r="D49" s="37"/>
      <c r="F49" s="14">
        <v>47</v>
      </c>
      <c r="G49" s="14">
        <f t="shared" si="0"/>
        <v>24.7</v>
      </c>
      <c r="H49" s="14">
        <f t="shared" si="1"/>
        <v>297.84999999999997</v>
      </c>
      <c r="I49" s="15">
        <f t="shared" si="2"/>
        <v>0.39166699999999999</v>
      </c>
      <c r="J49" s="15">
        <f t="shared" si="3"/>
        <v>10132.538918</v>
      </c>
      <c r="K49" s="15">
        <f t="shared" si="4"/>
        <v>9.1525389180000012</v>
      </c>
      <c r="L49" s="15">
        <f t="shared" si="5"/>
        <v>2132.7968940000001</v>
      </c>
      <c r="M49" s="15">
        <v>2130.5500000000002</v>
      </c>
      <c r="N49" s="14">
        <f t="shared" si="6"/>
        <v>2.1327968940000002</v>
      </c>
      <c r="O49" s="14">
        <f t="shared" si="7"/>
        <v>2.1243699999999999</v>
      </c>
      <c r="P49" s="14">
        <f t="shared" si="8"/>
        <v>8.4268940000002956E-3</v>
      </c>
      <c r="Q49" s="18">
        <f t="shared" si="9"/>
        <v>3.9667732080571165E-3</v>
      </c>
      <c r="R49" s="15">
        <f t="shared" ca="1" si="10"/>
        <v>7.780297501457726</v>
      </c>
      <c r="S49" s="15">
        <f t="shared" si="11"/>
        <v>7.8350420430107519</v>
      </c>
      <c r="T49" s="15">
        <f t="shared" ca="1" si="12"/>
        <v>5.4744541553025883E-2</v>
      </c>
      <c r="U49" s="18">
        <f t="shared" ca="1" si="13"/>
        <v>6.9871407520857836E-3</v>
      </c>
      <c r="V49" s="15">
        <f t="shared" si="14"/>
        <v>0.3916666666666675</v>
      </c>
      <c r="W49" s="15">
        <f t="shared" ca="1" si="15"/>
        <v>0.21970249854227397</v>
      </c>
      <c r="X49" s="15">
        <f t="shared" ca="1" si="16"/>
        <v>0.17196416812439352</v>
      </c>
      <c r="Y49" s="35">
        <f t="shared" ca="1" si="17"/>
        <v>0.43905745053036549</v>
      </c>
      <c r="Z49" s="36">
        <f t="shared" ca="1" si="18"/>
        <v>22.636430000000001</v>
      </c>
      <c r="AA49" s="18">
        <f t="shared" ca="1" si="19"/>
        <v>8.3545344129554597E-2</v>
      </c>
      <c r="AB49" s="2"/>
    </row>
    <row r="50" spans="1:28" x14ac:dyDescent="0.25">
      <c r="A50" s="17" t="s">
        <v>146</v>
      </c>
      <c r="B50" s="18">
        <f ca="1">MAX(AA:AA)</f>
        <v>8.7204768683274037E-2</v>
      </c>
      <c r="C50" s="17" t="s">
        <v>23</v>
      </c>
      <c r="D50" s="37"/>
      <c r="F50" s="14">
        <v>48</v>
      </c>
      <c r="G50" s="14">
        <f t="shared" si="0"/>
        <v>24.8</v>
      </c>
      <c r="H50" s="14">
        <f t="shared" si="1"/>
        <v>297.95</v>
      </c>
      <c r="I50" s="15">
        <f t="shared" si="2"/>
        <v>0.4</v>
      </c>
      <c r="J50" s="15">
        <f t="shared" si="3"/>
        <v>10088.205285</v>
      </c>
      <c r="K50" s="15">
        <f t="shared" si="4"/>
        <v>9.1082052850000004</v>
      </c>
      <c r="L50" s="15">
        <f t="shared" si="5"/>
        <v>2130.833607</v>
      </c>
      <c r="M50" s="15">
        <v>2128.66</v>
      </c>
      <c r="N50" s="14">
        <f t="shared" si="6"/>
        <v>2.130833607</v>
      </c>
      <c r="O50" s="14">
        <f t="shared" si="7"/>
        <v>2.12208</v>
      </c>
      <c r="P50" s="14">
        <f t="shared" si="8"/>
        <v>8.7536070000000521E-3</v>
      </c>
      <c r="Q50" s="18">
        <f t="shared" si="9"/>
        <v>4.1250127233657787E-3</v>
      </c>
      <c r="R50" s="15">
        <f t="shared" ca="1" si="10"/>
        <v>7.7727403644314874</v>
      </c>
      <c r="S50" s="15">
        <f t="shared" si="11"/>
        <v>7.8265961290322572</v>
      </c>
      <c r="T50" s="15">
        <f t="shared" ca="1" si="12"/>
        <v>5.3855764600769795E-2</v>
      </c>
      <c r="U50" s="18">
        <f t="shared" ca="1" si="13"/>
        <v>6.8811222289847417E-3</v>
      </c>
      <c r="V50" s="15">
        <f t="shared" si="14"/>
        <v>0.40000000000000036</v>
      </c>
      <c r="W50" s="15">
        <f t="shared" ca="1" si="15"/>
        <v>0.22725963556851259</v>
      </c>
      <c r="X50" s="15">
        <f t="shared" ca="1" si="16"/>
        <v>0.17274036443148777</v>
      </c>
      <c r="Y50" s="35">
        <f t="shared" ca="1" si="17"/>
        <v>0.43185091107871904</v>
      </c>
      <c r="Z50" s="36">
        <f t="shared" ca="1" si="18"/>
        <v>22.727115999999999</v>
      </c>
      <c r="AA50" s="18">
        <f t="shared" ca="1" si="19"/>
        <v>8.3584032258064586E-2</v>
      </c>
      <c r="AB50" s="2"/>
    </row>
    <row r="51" spans="1:28" x14ac:dyDescent="0.25">
      <c r="A51" s="17" t="s">
        <v>147</v>
      </c>
      <c r="B51" s="18">
        <f ca="1">MIN(AA:AA)</f>
        <v>1.1302067946824305E-2</v>
      </c>
      <c r="C51" s="17" t="s">
        <v>23</v>
      </c>
      <c r="D51" s="37"/>
      <c r="F51" s="14">
        <v>49</v>
      </c>
      <c r="G51" s="14">
        <f t="shared" si="0"/>
        <v>24.9</v>
      </c>
      <c r="H51" s="14">
        <f t="shared" si="1"/>
        <v>298.04999999999995</v>
      </c>
      <c r="I51" s="15">
        <f t="shared" si="2"/>
        <v>0.408333</v>
      </c>
      <c r="J51" s="15">
        <f t="shared" si="3"/>
        <v>10044.091286000001</v>
      </c>
      <c r="K51" s="15">
        <f t="shared" si="4"/>
        <v>9.0640912860000018</v>
      </c>
      <c r="L51" s="15">
        <f t="shared" si="5"/>
        <v>2128.8665099999998</v>
      </c>
      <c r="M51" s="15">
        <v>2127.2600000000002</v>
      </c>
      <c r="N51" s="14">
        <f t="shared" si="6"/>
        <v>2.1288665099999999</v>
      </c>
      <c r="O51" s="14">
        <f t="shared" si="7"/>
        <v>2.1197900000000001</v>
      </c>
      <c r="P51" s="14">
        <f t="shared" si="8"/>
        <v>9.0765099999998711E-3</v>
      </c>
      <c r="Q51" s="18">
        <f t="shared" si="9"/>
        <v>4.2817967817566222E-3</v>
      </c>
      <c r="R51" s="15">
        <f t="shared" ca="1" si="10"/>
        <v>7.7655761370262386</v>
      </c>
      <c r="S51" s="15">
        <f t="shared" si="11"/>
        <v>7.8181502150537634</v>
      </c>
      <c r="T51" s="15">
        <f t="shared" ca="1" si="12"/>
        <v>5.2574078027524784E-2</v>
      </c>
      <c r="U51" s="18">
        <f t="shared" ca="1" si="13"/>
        <v>6.7246185582740493E-3</v>
      </c>
      <c r="V51" s="15">
        <f t="shared" si="14"/>
        <v>0.40833333333333321</v>
      </c>
      <c r="W51" s="15">
        <f t="shared" ca="1" si="15"/>
        <v>0.23442386297376139</v>
      </c>
      <c r="X51" s="15">
        <f t="shared" ca="1" si="16"/>
        <v>0.17390947035957183</v>
      </c>
      <c r="Y51" s="35">
        <f t="shared" ca="1" si="17"/>
        <v>0.42590074373772707</v>
      </c>
      <c r="Z51" s="36">
        <f t="shared" ca="1" si="18"/>
        <v>22.813085999999998</v>
      </c>
      <c r="AA51" s="18">
        <f t="shared" ca="1" si="19"/>
        <v>8.381180722891568E-2</v>
      </c>
      <c r="AB51" s="2"/>
    </row>
    <row r="52" spans="1:28" x14ac:dyDescent="0.25">
      <c r="F52" s="14">
        <v>50</v>
      </c>
      <c r="G52" s="14">
        <f t="shared" si="0"/>
        <v>25</v>
      </c>
      <c r="H52" s="14">
        <f t="shared" si="1"/>
        <v>298.14999999999998</v>
      </c>
      <c r="I52" s="15">
        <f t="shared" si="2"/>
        <v>0.41666700000000001</v>
      </c>
      <c r="J52" s="15">
        <f t="shared" si="3"/>
        <v>10000.195715</v>
      </c>
      <c r="K52" s="15">
        <f t="shared" si="4"/>
        <v>9.0201957149999998</v>
      </c>
      <c r="L52" s="15">
        <f t="shared" si="5"/>
        <v>2126.89561</v>
      </c>
      <c r="M52" s="15">
        <v>2124.85</v>
      </c>
      <c r="N52" s="14">
        <f t="shared" si="6"/>
        <v>2.12689561</v>
      </c>
      <c r="O52" s="14">
        <f t="shared" si="7"/>
        <v>2.1174999999999997</v>
      </c>
      <c r="P52" s="14">
        <f t="shared" si="8"/>
        <v>9.3956100000003318E-3</v>
      </c>
      <c r="Q52" s="18">
        <f t="shared" si="9"/>
        <v>4.437123966942306E-3</v>
      </c>
      <c r="R52" s="15">
        <f t="shared" ca="1" si="10"/>
        <v>7.758001772594751</v>
      </c>
      <c r="S52" s="15">
        <f t="shared" si="11"/>
        <v>7.8097043010752678</v>
      </c>
      <c r="T52" s="15">
        <f t="shared" ca="1" si="12"/>
        <v>5.1702528480516818E-2</v>
      </c>
      <c r="U52" s="18">
        <f t="shared" ca="1" si="13"/>
        <v>6.6202927136944523E-3</v>
      </c>
      <c r="V52" s="15">
        <f t="shared" si="14"/>
        <v>0.41666666666666696</v>
      </c>
      <c r="W52" s="15">
        <f t="shared" ca="1" si="15"/>
        <v>0.24199822740524901</v>
      </c>
      <c r="X52" s="15">
        <f t="shared" ca="1" si="16"/>
        <v>0.17466843926141795</v>
      </c>
      <c r="Y52" s="35">
        <f t="shared" ca="1" si="17"/>
        <v>0.41920425422740276</v>
      </c>
      <c r="Z52" s="36">
        <f t="shared" ca="1" si="18"/>
        <v>22.903979</v>
      </c>
      <c r="AA52" s="18">
        <f t="shared" ca="1" si="19"/>
        <v>8.3840840000000014E-2</v>
      </c>
      <c r="AB52" s="2"/>
    </row>
    <row r="53" spans="1:28" x14ac:dyDescent="0.25">
      <c r="F53" s="14">
        <v>51</v>
      </c>
      <c r="G53" s="14">
        <f t="shared" si="0"/>
        <v>25.1</v>
      </c>
      <c r="H53" s="14">
        <f t="shared" si="1"/>
        <v>298.25</v>
      </c>
      <c r="I53" s="15">
        <f t="shared" si="2"/>
        <v>0.42499999999999999</v>
      </c>
      <c r="J53" s="15">
        <f t="shared" si="3"/>
        <v>9956.5173720000003</v>
      </c>
      <c r="K53" s="15">
        <f t="shared" si="4"/>
        <v>8.976517372</v>
      </c>
      <c r="L53" s="15">
        <f t="shared" si="5"/>
        <v>2124.920916</v>
      </c>
      <c r="M53" s="15">
        <v>2122.9299999999998</v>
      </c>
      <c r="N53" s="14">
        <f t="shared" si="6"/>
        <v>2.1249209160000002</v>
      </c>
      <c r="O53" s="14">
        <f t="shared" si="7"/>
        <v>2.1152099999999998</v>
      </c>
      <c r="P53" s="14">
        <f t="shared" si="8"/>
        <v>9.7109160000004024E-3</v>
      </c>
      <c r="Q53" s="18">
        <f t="shared" si="9"/>
        <v>4.590993802034031E-3</v>
      </c>
      <c r="R53" s="15">
        <f t="shared" ca="1" si="10"/>
        <v>7.7507987725947514</v>
      </c>
      <c r="S53" s="15">
        <f t="shared" si="11"/>
        <v>7.8012583870967731</v>
      </c>
      <c r="T53" s="15">
        <f t="shared" ca="1" si="12"/>
        <v>5.0459614502021743E-2</v>
      </c>
      <c r="U53" s="18">
        <f t="shared" ca="1" si="13"/>
        <v>6.4681378308763101E-3</v>
      </c>
      <c r="V53" s="15">
        <f t="shared" si="14"/>
        <v>0.42500000000000071</v>
      </c>
      <c r="W53" s="15">
        <f t="shared" ca="1" si="15"/>
        <v>0.24920122740524864</v>
      </c>
      <c r="X53" s="15">
        <f t="shared" ca="1" si="16"/>
        <v>0.17579877259475207</v>
      </c>
      <c r="Y53" s="35">
        <f t="shared" ca="1" si="17"/>
        <v>0.41364417081118066</v>
      </c>
      <c r="Z53" s="36">
        <f t="shared" ca="1" si="18"/>
        <v>22.990414999999999</v>
      </c>
      <c r="AA53" s="18">
        <f t="shared" ca="1" si="19"/>
        <v>8.4047211155378596E-2</v>
      </c>
      <c r="AB53" s="2"/>
    </row>
    <row r="54" spans="1:28" x14ac:dyDescent="0.25">
      <c r="F54" s="14">
        <v>52</v>
      </c>
      <c r="G54" s="14">
        <f t="shared" si="0"/>
        <v>25.2</v>
      </c>
      <c r="H54" s="14">
        <f t="shared" si="1"/>
        <v>298.34999999999997</v>
      </c>
      <c r="I54" s="15">
        <f t="shared" si="2"/>
        <v>0.43333300000000002</v>
      </c>
      <c r="J54" s="15">
        <f t="shared" si="3"/>
        <v>9913.0550640000001</v>
      </c>
      <c r="K54" s="15">
        <f t="shared" si="4"/>
        <v>8.9330550639999995</v>
      </c>
      <c r="L54" s="15">
        <f t="shared" si="5"/>
        <v>2122.9424349999999</v>
      </c>
      <c r="M54" s="15">
        <v>2121</v>
      </c>
      <c r="N54" s="14">
        <f t="shared" si="6"/>
        <v>2.1229424350000001</v>
      </c>
      <c r="O54" s="14">
        <f t="shared" si="7"/>
        <v>2.1129199999999999</v>
      </c>
      <c r="P54" s="14">
        <f t="shared" si="8"/>
        <v>1.0022435000000218E-2</v>
      </c>
      <c r="Q54" s="18">
        <f t="shared" si="9"/>
        <v>4.7434048615187605E-3</v>
      </c>
      <c r="R54" s="15">
        <f t="shared" ca="1" si="10"/>
        <v>7.7431856355685129</v>
      </c>
      <c r="S54" s="15">
        <f t="shared" si="11"/>
        <v>7.7928124731182793</v>
      </c>
      <c r="T54" s="15">
        <f t="shared" ca="1" si="12"/>
        <v>4.9626837549766378E-2</v>
      </c>
      <c r="U54" s="18">
        <f t="shared" ca="1" si="13"/>
        <v>6.3682833022040237E-3</v>
      </c>
      <c r="V54" s="15">
        <f t="shared" si="14"/>
        <v>0.43333333333333357</v>
      </c>
      <c r="W54" s="15">
        <f t="shared" ca="1" si="15"/>
        <v>0.25681436443148709</v>
      </c>
      <c r="X54" s="15">
        <f t="shared" ca="1" si="16"/>
        <v>0.17651896890184648</v>
      </c>
      <c r="Y54" s="35">
        <f t="shared" ca="1" si="17"/>
        <v>0.40735146669656858</v>
      </c>
      <c r="Z54" s="36">
        <f t="shared" ca="1" si="18"/>
        <v>23.081772000000001</v>
      </c>
      <c r="AA54" s="18">
        <f t="shared" ca="1" si="19"/>
        <v>8.4056666666666613E-2</v>
      </c>
      <c r="AB54" s="2"/>
    </row>
    <row r="55" spans="1:28" x14ac:dyDescent="0.25">
      <c r="F55" s="14">
        <v>53</v>
      </c>
      <c r="G55" s="14">
        <f t="shared" si="0"/>
        <v>25.3</v>
      </c>
      <c r="H55" s="14">
        <f t="shared" si="1"/>
        <v>298.45</v>
      </c>
      <c r="I55" s="15">
        <f t="shared" si="2"/>
        <v>0.44166699999999998</v>
      </c>
      <c r="J55" s="15">
        <f t="shared" si="3"/>
        <v>9869.8076070000006</v>
      </c>
      <c r="K55" s="15">
        <f t="shared" si="4"/>
        <v>8.8898076070000016</v>
      </c>
      <c r="L55" s="15">
        <f t="shared" si="5"/>
        <v>2120.9601739999998</v>
      </c>
      <c r="M55" s="15">
        <v>2119.0700000000002</v>
      </c>
      <c r="N55" s="14">
        <f t="shared" si="6"/>
        <v>2.1209601739999999</v>
      </c>
      <c r="O55" s="14">
        <f t="shared" si="7"/>
        <v>2.11063</v>
      </c>
      <c r="P55" s="14">
        <f t="shared" si="8"/>
        <v>1.0330173999999914E-2</v>
      </c>
      <c r="Q55" s="18">
        <f t="shared" si="9"/>
        <v>4.8943557136968173E-3</v>
      </c>
      <c r="R55" s="15">
        <f t="shared" ca="1" si="10"/>
        <v>7.7363517725947517</v>
      </c>
      <c r="S55" s="15">
        <f t="shared" si="11"/>
        <v>7.7843665591397846</v>
      </c>
      <c r="T55" s="15">
        <f t="shared" ca="1" si="12"/>
        <v>4.8014786545032884E-2</v>
      </c>
      <c r="U55" s="18">
        <f t="shared" ca="1" si="13"/>
        <v>6.1681045182356859E-3</v>
      </c>
      <c r="V55" s="15">
        <f t="shared" si="14"/>
        <v>0.44166666666666643</v>
      </c>
      <c r="W55" s="15">
        <f t="shared" ca="1" si="15"/>
        <v>0.26364822740524829</v>
      </c>
      <c r="X55" s="15">
        <f t="shared" ca="1" si="16"/>
        <v>0.17801843926141814</v>
      </c>
      <c r="Y55" s="35">
        <f t="shared" ca="1" si="17"/>
        <v>0.40306061719566394</v>
      </c>
      <c r="Z55" s="36">
        <f t="shared" ca="1" si="18"/>
        <v>23.163779000000002</v>
      </c>
      <c r="AA55" s="18">
        <f t="shared" ca="1" si="19"/>
        <v>8.4435612648221303E-2</v>
      </c>
      <c r="AB55" s="2"/>
    </row>
    <row r="56" spans="1:28" x14ac:dyDescent="0.25">
      <c r="F56" s="14">
        <v>54</v>
      </c>
      <c r="G56" s="14">
        <f t="shared" si="0"/>
        <v>25.4</v>
      </c>
      <c r="H56" s="14">
        <f t="shared" si="1"/>
        <v>298.54999999999995</v>
      </c>
      <c r="I56" s="15">
        <f t="shared" si="2"/>
        <v>0.45</v>
      </c>
      <c r="J56" s="15">
        <f t="shared" si="3"/>
        <v>9826.7738219999992</v>
      </c>
      <c r="K56" s="15">
        <f t="shared" si="4"/>
        <v>8.8467738219999994</v>
      </c>
      <c r="L56" s="15">
        <f t="shared" si="5"/>
        <v>2118.9741439999998</v>
      </c>
      <c r="M56" s="15">
        <v>2116.88</v>
      </c>
      <c r="N56" s="14">
        <f t="shared" si="6"/>
        <v>2.1189741440000001</v>
      </c>
      <c r="O56" s="14">
        <f t="shared" si="7"/>
        <v>2.1083400000000001</v>
      </c>
      <c r="P56" s="14">
        <f t="shared" si="8"/>
        <v>1.0634143999999957E-2</v>
      </c>
      <c r="Q56" s="18">
        <f t="shared" si="9"/>
        <v>5.0438468178756538E-3</v>
      </c>
      <c r="R56" s="15">
        <f t="shared" ca="1" si="10"/>
        <v>7.7294813644314875</v>
      </c>
      <c r="S56" s="15">
        <f t="shared" si="11"/>
        <v>7.7759206451612908</v>
      </c>
      <c r="T56" s="15">
        <f t="shared" ca="1" si="12"/>
        <v>4.6439280729803301E-2</v>
      </c>
      <c r="U56" s="18">
        <f t="shared" ca="1" si="13"/>
        <v>5.9721906702714352E-3</v>
      </c>
      <c r="V56" s="15">
        <f t="shared" si="14"/>
        <v>0.44999999999999929</v>
      </c>
      <c r="W56" s="15">
        <f t="shared" ca="1" si="15"/>
        <v>0.27051863556851252</v>
      </c>
      <c r="X56" s="15">
        <f t="shared" ca="1" si="16"/>
        <v>0.17948136443148677</v>
      </c>
      <c r="Y56" s="35">
        <f t="shared" ca="1" si="17"/>
        <v>0.39884747651441566</v>
      </c>
      <c r="Z56" s="36">
        <f t="shared" ca="1" si="18"/>
        <v>23.246224000000002</v>
      </c>
      <c r="AA56" s="18">
        <f t="shared" ca="1" si="19"/>
        <v>8.4794330708661311E-2</v>
      </c>
      <c r="AB56" s="2"/>
    </row>
    <row r="57" spans="1:28" x14ac:dyDescent="0.25">
      <c r="F57" s="14">
        <v>55</v>
      </c>
      <c r="G57" s="14">
        <f t="shared" si="0"/>
        <v>25.5</v>
      </c>
      <c r="H57" s="14">
        <f t="shared" si="1"/>
        <v>298.64999999999998</v>
      </c>
      <c r="I57" s="15">
        <f t="shared" si="2"/>
        <v>0.45833299999999999</v>
      </c>
      <c r="J57" s="15">
        <f t="shared" si="3"/>
        <v>9783.9525379999995</v>
      </c>
      <c r="K57" s="15">
        <f t="shared" si="4"/>
        <v>8.803952537999999</v>
      </c>
      <c r="L57" s="15">
        <f t="shared" si="5"/>
        <v>2116.9843510000001</v>
      </c>
      <c r="M57" s="15">
        <v>2114.6799999999998</v>
      </c>
      <c r="N57" s="14">
        <f t="shared" si="6"/>
        <v>2.1169843510000002</v>
      </c>
      <c r="O57" s="14">
        <f t="shared" si="7"/>
        <v>2.1060499999999998</v>
      </c>
      <c r="P57" s="14">
        <f t="shared" si="8"/>
        <v>1.0934351000000397E-2</v>
      </c>
      <c r="Q57" s="18">
        <f t="shared" si="9"/>
        <v>5.1918762612475477E-3</v>
      </c>
      <c r="R57" s="15">
        <f t="shared" ca="1" si="10"/>
        <v>7.722620501457726</v>
      </c>
      <c r="S57" s="15">
        <f t="shared" si="11"/>
        <v>7.7674747311827943</v>
      </c>
      <c r="T57" s="15">
        <f t="shared" ca="1" si="12"/>
        <v>4.4854229725068251E-2</v>
      </c>
      <c r="U57" s="18">
        <f t="shared" ca="1" si="13"/>
        <v>5.7746219044652186E-3</v>
      </c>
      <c r="V57" s="15">
        <f t="shared" si="14"/>
        <v>0.45833333333333481</v>
      </c>
      <c r="W57" s="15">
        <f t="shared" ca="1" si="15"/>
        <v>0.27737949854227395</v>
      </c>
      <c r="X57" s="15">
        <f t="shared" ca="1" si="16"/>
        <v>0.18095383479106086</v>
      </c>
      <c r="Y57" s="35">
        <f t="shared" ca="1" si="17"/>
        <v>0.39480836681685877</v>
      </c>
      <c r="Z57" s="36">
        <f t="shared" ca="1" si="18"/>
        <v>23.328554</v>
      </c>
      <c r="AA57" s="18">
        <f t="shared" ca="1" si="19"/>
        <v>8.5154745098039192E-2</v>
      </c>
      <c r="AB57" s="2"/>
    </row>
    <row r="58" spans="1:28" x14ac:dyDescent="0.25">
      <c r="F58" s="14">
        <v>56</v>
      </c>
      <c r="G58" s="14">
        <f t="shared" si="0"/>
        <v>25.6</v>
      </c>
      <c r="H58" s="14">
        <f t="shared" si="1"/>
        <v>298.75</v>
      </c>
      <c r="I58" s="15">
        <f t="shared" si="2"/>
        <v>0.466667</v>
      </c>
      <c r="J58" s="15">
        <f t="shared" si="3"/>
        <v>9741.3425920000009</v>
      </c>
      <c r="K58" s="15">
        <f t="shared" si="4"/>
        <v>8.7613425920000019</v>
      </c>
      <c r="L58" s="15">
        <f t="shared" si="5"/>
        <v>2114.9908049999999</v>
      </c>
      <c r="M58" s="15">
        <v>2113.23</v>
      </c>
      <c r="N58" s="14">
        <f t="shared" si="6"/>
        <v>2.1149908050000001</v>
      </c>
      <c r="O58" s="14">
        <f t="shared" si="7"/>
        <v>2.1037599999999999</v>
      </c>
      <c r="P58" s="14">
        <f t="shared" si="8"/>
        <v>1.1230805000000288E-2</v>
      </c>
      <c r="Q58" s="18">
        <f t="shared" si="9"/>
        <v>5.3384440240332965E-3</v>
      </c>
      <c r="R58" s="15">
        <f t="shared" ca="1" si="10"/>
        <v>7.7145562274052484</v>
      </c>
      <c r="S58" s="15">
        <f t="shared" si="11"/>
        <v>7.7590288172043005</v>
      </c>
      <c r="T58" s="15">
        <f t="shared" ca="1" si="12"/>
        <v>4.4472589799052109E-2</v>
      </c>
      <c r="U58" s="18">
        <f t="shared" ca="1" si="13"/>
        <v>5.7317211788725231E-3</v>
      </c>
      <c r="V58" s="15">
        <f t="shared" si="14"/>
        <v>0.46666666666666679</v>
      </c>
      <c r="W58" s="15">
        <f t="shared" ca="1" si="15"/>
        <v>0.28544377259475162</v>
      </c>
      <c r="X58" s="15">
        <f t="shared" ca="1" si="16"/>
        <v>0.18122289407191516</v>
      </c>
      <c r="Y58" s="35">
        <f t="shared" ca="1" si="17"/>
        <v>0.38833477301124669</v>
      </c>
      <c r="Z58" s="36">
        <f t="shared" ca="1" si="18"/>
        <v>23.425325000000001</v>
      </c>
      <c r="AA58" s="18">
        <f t="shared" ca="1" si="19"/>
        <v>8.4948242187500023E-2</v>
      </c>
      <c r="AB58" s="2"/>
    </row>
    <row r="59" spans="1:28" x14ac:dyDescent="0.25">
      <c r="F59" s="14">
        <v>57</v>
      </c>
      <c r="G59" s="14">
        <f t="shared" si="0"/>
        <v>25.7</v>
      </c>
      <c r="H59" s="14">
        <f t="shared" si="1"/>
        <v>298.84999999999997</v>
      </c>
      <c r="I59" s="15">
        <f t="shared" si="2"/>
        <v>0.47499999999999998</v>
      </c>
      <c r="J59" s="15">
        <f t="shared" si="3"/>
        <v>9698.9428250000001</v>
      </c>
      <c r="K59" s="15">
        <f t="shared" si="4"/>
        <v>8.718942825000001</v>
      </c>
      <c r="L59" s="15">
        <f t="shared" si="5"/>
        <v>2112.9935129999999</v>
      </c>
      <c r="M59" s="15">
        <v>2110.7600000000002</v>
      </c>
      <c r="N59" s="14">
        <f t="shared" si="6"/>
        <v>2.1129935130000002</v>
      </c>
      <c r="O59" s="14">
        <f t="shared" si="7"/>
        <v>2.1014699999999999</v>
      </c>
      <c r="P59" s="14">
        <f t="shared" si="8"/>
        <v>1.1523513000000207E-2</v>
      </c>
      <c r="Q59" s="18">
        <f t="shared" si="9"/>
        <v>5.4835486587960841E-3</v>
      </c>
      <c r="R59" s="15">
        <f t="shared" ca="1" si="10"/>
        <v>7.7068858629737615</v>
      </c>
      <c r="S59" s="15">
        <f t="shared" si="11"/>
        <v>7.7505829032258058</v>
      </c>
      <c r="T59" s="15">
        <f t="shared" ca="1" si="12"/>
        <v>4.3697040252044239E-2</v>
      </c>
      <c r="U59" s="18">
        <f t="shared" ca="1" si="13"/>
        <v>5.6379037290030737E-3</v>
      </c>
      <c r="V59" s="15">
        <f t="shared" si="14"/>
        <v>0.47500000000000053</v>
      </c>
      <c r="W59" s="15">
        <f t="shared" ca="1" si="15"/>
        <v>0.29311413702623845</v>
      </c>
      <c r="X59" s="15">
        <f t="shared" ca="1" si="16"/>
        <v>0.18188586297376208</v>
      </c>
      <c r="Y59" s="35">
        <f t="shared" ca="1" si="17"/>
        <v>0.38291760626055132</v>
      </c>
      <c r="Z59" s="36">
        <f t="shared" ca="1" si="18"/>
        <v>23.51737</v>
      </c>
      <c r="AA59" s="18">
        <f t="shared" ca="1" si="19"/>
        <v>8.4927237354085597E-2</v>
      </c>
      <c r="AB59" s="2"/>
    </row>
    <row r="60" spans="1:28" x14ac:dyDescent="0.25">
      <c r="F60" s="14">
        <v>58</v>
      </c>
      <c r="G60" s="14">
        <f t="shared" si="0"/>
        <v>25.8</v>
      </c>
      <c r="H60" s="14">
        <f t="shared" si="1"/>
        <v>298.95</v>
      </c>
      <c r="I60" s="15">
        <f t="shared" si="2"/>
        <v>0.48333300000000001</v>
      </c>
      <c r="J60" s="15">
        <f t="shared" si="3"/>
        <v>9656.75209</v>
      </c>
      <c r="K60" s="15">
        <f t="shared" si="4"/>
        <v>8.6767520900000008</v>
      </c>
      <c r="L60" s="15">
        <f t="shared" si="5"/>
        <v>2110.9924839999999</v>
      </c>
      <c r="M60" s="15">
        <v>2108.8000000000002</v>
      </c>
      <c r="N60" s="14">
        <f t="shared" si="6"/>
        <v>2.1109924840000001</v>
      </c>
      <c r="O60" s="14">
        <f t="shared" si="7"/>
        <v>2.09918</v>
      </c>
      <c r="P60" s="14">
        <f t="shared" si="8"/>
        <v>1.1812484000000012E-2</v>
      </c>
      <c r="Q60" s="18">
        <f t="shared" si="9"/>
        <v>5.6271896645356811E-3</v>
      </c>
      <c r="R60" s="15">
        <f t="shared" ca="1" si="10"/>
        <v>7.7003791370262382</v>
      </c>
      <c r="S60" s="15">
        <f t="shared" si="11"/>
        <v>7.742136989247312</v>
      </c>
      <c r="T60" s="15">
        <f t="shared" ca="1" si="12"/>
        <v>4.1757852221073755E-2</v>
      </c>
      <c r="U60" s="18">
        <f t="shared" ca="1" si="13"/>
        <v>5.3935821955965468E-3</v>
      </c>
      <c r="V60" s="15">
        <f t="shared" si="14"/>
        <v>0.4833333333333325</v>
      </c>
      <c r="W60" s="15">
        <f t="shared" ca="1" si="15"/>
        <v>0.29962086297376178</v>
      </c>
      <c r="X60" s="15">
        <f t="shared" ca="1" si="16"/>
        <v>0.18371247035957072</v>
      </c>
      <c r="Y60" s="35">
        <f t="shared" ca="1" si="17"/>
        <v>0.38009476626118144</v>
      </c>
      <c r="Z60" s="36">
        <f t="shared" ca="1" si="18"/>
        <v>23.59545</v>
      </c>
      <c r="AA60" s="18">
        <f t="shared" ca="1" si="19"/>
        <v>8.5447674418604694E-2</v>
      </c>
      <c r="AB60" s="2"/>
    </row>
    <row r="61" spans="1:28" x14ac:dyDescent="0.25">
      <c r="F61" s="14">
        <v>59</v>
      </c>
      <c r="G61" s="14">
        <f t="shared" si="0"/>
        <v>25.9</v>
      </c>
      <c r="H61" s="14">
        <f t="shared" si="1"/>
        <v>299.04999999999995</v>
      </c>
      <c r="I61" s="15">
        <f t="shared" si="2"/>
        <v>0.49166700000000002</v>
      </c>
      <c r="J61" s="15">
        <f t="shared" si="3"/>
        <v>9614.769241</v>
      </c>
      <c r="K61" s="15">
        <f t="shared" si="4"/>
        <v>8.6347692410000008</v>
      </c>
      <c r="L61" s="15">
        <f t="shared" si="5"/>
        <v>2108.9877270000002</v>
      </c>
      <c r="M61" s="15">
        <v>2106.8200000000002</v>
      </c>
      <c r="N61" s="14">
        <f t="shared" si="6"/>
        <v>2.1089877270000001</v>
      </c>
      <c r="O61" s="14">
        <f t="shared" si="7"/>
        <v>2.0968900000000001</v>
      </c>
      <c r="P61" s="14">
        <f t="shared" si="8"/>
        <v>1.2097727000000003E-2</v>
      </c>
      <c r="Q61" s="18">
        <f t="shared" si="9"/>
        <v>5.7693665380635136E-3</v>
      </c>
      <c r="R61" s="15">
        <f t="shared" ca="1" si="10"/>
        <v>7.6934515014577256</v>
      </c>
      <c r="S61" s="15">
        <f t="shared" si="11"/>
        <v>7.7336910752688173</v>
      </c>
      <c r="T61" s="15">
        <f t="shared" ca="1" si="12"/>
        <v>4.0239573811091667E-2</v>
      </c>
      <c r="U61" s="18">
        <f t="shared" ca="1" si="13"/>
        <v>5.2031524687832153E-3</v>
      </c>
      <c r="V61" s="15">
        <f t="shared" si="14"/>
        <v>0.49166666666666625</v>
      </c>
      <c r="W61" s="15">
        <f t="shared" ca="1" si="15"/>
        <v>0.30654849854227439</v>
      </c>
      <c r="X61" s="15">
        <f t="shared" ca="1" si="16"/>
        <v>0.18511816812439186</v>
      </c>
      <c r="Y61" s="35">
        <f t="shared" ca="1" si="17"/>
        <v>0.37651152838859392</v>
      </c>
      <c r="Z61" s="36">
        <f t="shared" ca="1" si="18"/>
        <v>23.678581999999999</v>
      </c>
      <c r="AA61" s="18">
        <f t="shared" ca="1" si="19"/>
        <v>8.5769034749034745E-2</v>
      </c>
      <c r="AB61" s="2"/>
    </row>
    <row r="62" spans="1:28" x14ac:dyDescent="0.25">
      <c r="F62" s="14">
        <v>60</v>
      </c>
      <c r="G62" s="14">
        <f t="shared" si="0"/>
        <v>26</v>
      </c>
      <c r="H62" s="14">
        <f t="shared" si="1"/>
        <v>299.14999999999998</v>
      </c>
      <c r="I62" s="15">
        <f t="shared" si="2"/>
        <v>0.5</v>
      </c>
      <c r="J62" s="15">
        <f t="shared" si="3"/>
        <v>9572.9931419999994</v>
      </c>
      <c r="K62" s="15">
        <f t="shared" si="4"/>
        <v>8.5929931419999992</v>
      </c>
      <c r="L62" s="15">
        <f t="shared" si="5"/>
        <v>2106.9792510000002</v>
      </c>
      <c r="M62" s="15">
        <v>2104.83</v>
      </c>
      <c r="N62" s="14">
        <f t="shared" si="6"/>
        <v>2.1069792510000003</v>
      </c>
      <c r="O62" s="14">
        <f t="shared" si="7"/>
        <v>2.0945999999999998</v>
      </c>
      <c r="P62" s="14">
        <f t="shared" si="8"/>
        <v>1.237925100000048E-2</v>
      </c>
      <c r="Q62" s="18">
        <f t="shared" si="9"/>
        <v>5.9100787739904907E-3</v>
      </c>
      <c r="R62" s="15">
        <f t="shared" ca="1" si="10"/>
        <v>7.6853547725947511</v>
      </c>
      <c r="S62" s="15">
        <f t="shared" si="11"/>
        <v>7.7252451612903217</v>
      </c>
      <c r="T62" s="15">
        <f t="shared" ca="1" si="12"/>
        <v>3.98903886955706E-2</v>
      </c>
      <c r="U62" s="18">
        <f t="shared" ca="1" si="13"/>
        <v>5.1636404881301974E-3</v>
      </c>
      <c r="V62" s="15">
        <f t="shared" si="14"/>
        <v>0.50000000000000089</v>
      </c>
      <c r="W62" s="15">
        <f t="shared" ca="1" si="15"/>
        <v>0.31464522740524892</v>
      </c>
      <c r="X62" s="15">
        <f t="shared" ca="1" si="16"/>
        <v>0.18535477259475197</v>
      </c>
      <c r="Y62" s="35">
        <f t="shared" ca="1" si="17"/>
        <v>0.37070954518950328</v>
      </c>
      <c r="Z62" s="36">
        <f t="shared" ca="1" si="18"/>
        <v>23.775742999999999</v>
      </c>
      <c r="AA62" s="18">
        <f t="shared" ca="1" si="19"/>
        <v>8.5548346153846211E-2</v>
      </c>
      <c r="AB62" s="2"/>
    </row>
    <row r="63" spans="1:28" x14ac:dyDescent="0.25">
      <c r="F63" s="14">
        <v>61</v>
      </c>
      <c r="G63" s="14">
        <f t="shared" si="0"/>
        <v>26.1</v>
      </c>
      <c r="H63" s="14">
        <f t="shared" si="1"/>
        <v>299.25</v>
      </c>
      <c r="I63" s="15">
        <f t="shared" si="2"/>
        <v>0.50833300000000003</v>
      </c>
      <c r="J63" s="15">
        <f t="shared" si="3"/>
        <v>9531.4226650000001</v>
      </c>
      <c r="K63" s="15">
        <f t="shared" si="4"/>
        <v>8.5514226650000005</v>
      </c>
      <c r="L63" s="15">
        <f t="shared" si="5"/>
        <v>2104.9670639999999</v>
      </c>
      <c r="M63" s="15">
        <v>2102.84</v>
      </c>
      <c r="N63" s="14">
        <f t="shared" si="6"/>
        <v>2.1049670640000002</v>
      </c>
      <c r="O63" s="14">
        <f t="shared" si="7"/>
        <v>2.0923099999999999</v>
      </c>
      <c r="P63" s="14">
        <f t="shared" si="8"/>
        <v>1.2657064000000329E-2</v>
      </c>
      <c r="Q63" s="18">
        <f t="shared" si="9"/>
        <v>6.0493253867736282E-3</v>
      </c>
      <c r="R63" s="15">
        <f t="shared" ca="1" si="10"/>
        <v>7.6772234985422738</v>
      </c>
      <c r="S63" s="15">
        <f t="shared" si="11"/>
        <v>7.716799247311827</v>
      </c>
      <c r="T63" s="15">
        <f t="shared" ca="1" si="12"/>
        <v>3.9575748769553165E-2</v>
      </c>
      <c r="U63" s="18">
        <f t="shared" ca="1" si="13"/>
        <v>5.1285186385196567E-3</v>
      </c>
      <c r="V63" s="15">
        <f t="shared" si="14"/>
        <v>0.50833333333333375</v>
      </c>
      <c r="W63" s="15">
        <f t="shared" ca="1" si="15"/>
        <v>0.32277650145772618</v>
      </c>
      <c r="X63" s="15">
        <f t="shared" ca="1" si="16"/>
        <v>0.18555683187560756</v>
      </c>
      <c r="Y63" s="35">
        <f t="shared" ca="1" si="17"/>
        <v>0.36502983319791621</v>
      </c>
      <c r="Z63" s="36">
        <f t="shared" ca="1" si="18"/>
        <v>23.873318000000001</v>
      </c>
      <c r="AA63" s="18">
        <f t="shared" ca="1" si="19"/>
        <v>8.5313486590038318E-2</v>
      </c>
      <c r="AB63" s="2"/>
    </row>
    <row r="64" spans="1:28" x14ac:dyDescent="0.25">
      <c r="F64" s="14">
        <v>62</v>
      </c>
      <c r="G64" s="14">
        <f t="shared" si="0"/>
        <v>26.2</v>
      </c>
      <c r="H64" s="14">
        <f t="shared" si="1"/>
        <v>299.34999999999997</v>
      </c>
      <c r="I64" s="15">
        <f t="shared" si="2"/>
        <v>0.51666699999999999</v>
      </c>
      <c r="J64" s="15">
        <f t="shared" si="3"/>
        <v>9490.0566859999999</v>
      </c>
      <c r="K64" s="15">
        <f t="shared" si="4"/>
        <v>8.5100566860000004</v>
      </c>
      <c r="L64" s="15">
        <f t="shared" si="5"/>
        <v>2102.9511750000001</v>
      </c>
      <c r="M64" s="15">
        <v>2100.34</v>
      </c>
      <c r="N64" s="14">
        <f t="shared" si="6"/>
        <v>2.1029511750000003</v>
      </c>
      <c r="O64" s="14">
        <f t="shared" si="7"/>
        <v>2.09002</v>
      </c>
      <c r="P64" s="14">
        <f t="shared" si="8"/>
        <v>1.2931175000000295E-2</v>
      </c>
      <c r="Q64" s="18">
        <f t="shared" si="9"/>
        <v>6.1871058650157865E-3</v>
      </c>
      <c r="R64" s="15">
        <f t="shared" ca="1" si="10"/>
        <v>7.6710481370262382</v>
      </c>
      <c r="S64" s="15">
        <f t="shared" si="11"/>
        <v>7.7083533333333332</v>
      </c>
      <c r="T64" s="15">
        <f t="shared" ca="1" si="12"/>
        <v>3.7305196307094945E-2</v>
      </c>
      <c r="U64" s="18">
        <f t="shared" ca="1" si="13"/>
        <v>4.8395804776845911E-3</v>
      </c>
      <c r="V64" s="15">
        <f t="shared" si="14"/>
        <v>0.51666666666666661</v>
      </c>
      <c r="W64" s="15">
        <f t="shared" ca="1" si="15"/>
        <v>0.32895186297376178</v>
      </c>
      <c r="X64" s="15">
        <f t="shared" ca="1" si="16"/>
        <v>0.18771480369290483</v>
      </c>
      <c r="Y64" s="35">
        <f t="shared" ca="1" si="17"/>
        <v>0.36331897488949327</v>
      </c>
      <c r="Z64" s="36">
        <f t="shared" ca="1" si="18"/>
        <v>23.947422</v>
      </c>
      <c r="AA64" s="18">
        <f t="shared" ca="1" si="19"/>
        <v>8.597625954198472E-2</v>
      </c>
      <c r="AB64" s="2"/>
    </row>
    <row r="65" spans="6:28" x14ac:dyDescent="0.25">
      <c r="F65" s="14">
        <v>63</v>
      </c>
      <c r="G65" s="14">
        <f t="shared" si="0"/>
        <v>26.3</v>
      </c>
      <c r="H65" s="14">
        <f t="shared" si="1"/>
        <v>299.45</v>
      </c>
      <c r="I65" s="15">
        <f t="shared" si="2"/>
        <v>0.52500000000000002</v>
      </c>
      <c r="J65" s="15">
        <f t="shared" si="3"/>
        <v>9448.8940889999994</v>
      </c>
      <c r="K65" s="15">
        <f t="shared" si="4"/>
        <v>8.4688940889999991</v>
      </c>
      <c r="L65" s="15">
        <f t="shared" si="5"/>
        <v>2100.9315929999998</v>
      </c>
      <c r="M65" s="15">
        <v>2098.84</v>
      </c>
      <c r="N65" s="14">
        <f t="shared" si="6"/>
        <v>2.1009315929999999</v>
      </c>
      <c r="O65" s="14">
        <f t="shared" si="7"/>
        <v>2.0877300000000001</v>
      </c>
      <c r="P65" s="14">
        <f t="shared" si="8"/>
        <v>1.3201592999999789E-2</v>
      </c>
      <c r="Q65" s="18">
        <f t="shared" si="9"/>
        <v>6.3234196950754116E-3</v>
      </c>
      <c r="R65" s="15">
        <f t="shared" ca="1" si="10"/>
        <v>7.6632850000000001</v>
      </c>
      <c r="S65" s="15">
        <f t="shared" si="11"/>
        <v>7.6999074193548385</v>
      </c>
      <c r="T65" s="15">
        <f t="shared" ca="1" si="12"/>
        <v>3.6622419354838343E-2</v>
      </c>
      <c r="U65" s="18">
        <f t="shared" ca="1" si="13"/>
        <v>4.7562155439405101E-3</v>
      </c>
      <c r="V65" s="15">
        <f t="shared" si="14"/>
        <v>0.52499999999999947</v>
      </c>
      <c r="W65" s="15">
        <f t="shared" ca="1" si="15"/>
        <v>0.33671499999999988</v>
      </c>
      <c r="X65" s="15">
        <f t="shared" ca="1" si="16"/>
        <v>0.18828499999999959</v>
      </c>
      <c r="Y65" s="35">
        <f t="shared" ca="1" si="17"/>
        <v>0.35863809523809481</v>
      </c>
      <c r="Z65" s="36">
        <f t="shared" ca="1" si="18"/>
        <v>24.040579999999999</v>
      </c>
      <c r="AA65" s="18">
        <f t="shared" ca="1" si="19"/>
        <v>8.5909505703422137E-2</v>
      </c>
      <c r="AB65" s="2"/>
    </row>
    <row r="66" spans="6:28" x14ac:dyDescent="0.25">
      <c r="F66" s="14">
        <v>64</v>
      </c>
      <c r="G66" s="14">
        <f t="shared" si="0"/>
        <v>26.4</v>
      </c>
      <c r="H66" s="14">
        <f t="shared" si="1"/>
        <v>299.54999999999995</v>
      </c>
      <c r="I66" s="15">
        <f t="shared" si="2"/>
        <v>0.53333299999999995</v>
      </c>
      <c r="J66" s="15">
        <f t="shared" si="3"/>
        <v>9407.9337639999994</v>
      </c>
      <c r="K66" s="15">
        <f t="shared" si="4"/>
        <v>8.4279337640000005</v>
      </c>
      <c r="L66" s="15">
        <f t="shared" si="5"/>
        <v>2098.9083270000001</v>
      </c>
      <c r="M66" s="15">
        <v>2096.5700000000002</v>
      </c>
      <c r="N66" s="14">
        <f t="shared" si="6"/>
        <v>2.0989083270000002</v>
      </c>
      <c r="O66" s="14">
        <f t="shared" si="7"/>
        <v>2.0854400000000002</v>
      </c>
      <c r="P66" s="14">
        <f t="shared" si="8"/>
        <v>1.3468327000000002E-2</v>
      </c>
      <c r="Q66" s="18">
        <f t="shared" si="9"/>
        <v>6.4582663610557008E-3</v>
      </c>
      <c r="R66" s="15">
        <f t="shared" ca="1" si="10"/>
        <v>7.6559049999999997</v>
      </c>
      <c r="S66" s="15">
        <f t="shared" si="11"/>
        <v>7.6914615053763447</v>
      </c>
      <c r="T66" s="15">
        <f t="shared" ca="1" si="12"/>
        <v>3.5556505376344916E-2</v>
      </c>
      <c r="U66" s="18">
        <f t="shared" ca="1" si="13"/>
        <v>4.6228542327736875E-3</v>
      </c>
      <c r="V66" s="15">
        <f t="shared" si="14"/>
        <v>0.53333333333333233</v>
      </c>
      <c r="W66" s="15">
        <f t="shared" ca="1" si="15"/>
        <v>0.34409500000000026</v>
      </c>
      <c r="X66" s="15">
        <f t="shared" ca="1" si="16"/>
        <v>0.18923833333333206</v>
      </c>
      <c r="Y66" s="35">
        <f t="shared" ca="1" si="17"/>
        <v>0.35482187499999829</v>
      </c>
      <c r="Z66" s="36">
        <f t="shared" ca="1" si="18"/>
        <v>24.12914</v>
      </c>
      <c r="AA66" s="18">
        <f t="shared" ca="1" si="19"/>
        <v>8.6017424242424215E-2</v>
      </c>
      <c r="AB66" s="2"/>
    </row>
    <row r="67" spans="6:28" x14ac:dyDescent="0.25">
      <c r="F67" s="14">
        <v>65</v>
      </c>
      <c r="G67" s="14">
        <f t="shared" ref="G67:G130" si="20">F67*0.1+20</f>
        <v>26.5</v>
      </c>
      <c r="H67" s="14">
        <f t="shared" ref="H67:H130" si="21">G67+273.15</f>
        <v>299.64999999999998</v>
      </c>
      <c r="I67" s="15">
        <f t="shared" ref="I67:I130" si="22">ROUND(1/12*G67-5/3,6)</f>
        <v>0.54166700000000001</v>
      </c>
      <c r="J67" s="15">
        <f t="shared" ref="J67:J130" si="23">ROUND(10000*EXP(($B$3)+($B$4/H67)+($B$5/(H67^2))+($B$6/(H67^3))),6)</f>
        <v>9367.17461</v>
      </c>
      <c r="K67" s="15">
        <f t="shared" ref="K67:K130" si="24">$B$9*(2*$B$8+J67)-$B$9*$B$10</f>
        <v>8.3871746100000006</v>
      </c>
      <c r="L67" s="15">
        <f t="shared" ref="L67:L130" si="25">ROUND(1/(1/(J67+2*$B$8)+1/($B$7)),6)</f>
        <v>2096.881386</v>
      </c>
      <c r="M67" s="15">
        <v>2094.3000000000002</v>
      </c>
      <c r="N67" s="14">
        <f t="shared" ref="N67:N130" si="26">$B$9*(L67+$B$10)*(L67/(L67+$B$10))</f>
        <v>2.0968813860000002</v>
      </c>
      <c r="O67" s="14">
        <f t="shared" ref="O67:O130" si="27">$B$11*G67+$B$12</f>
        <v>2.0831499999999998</v>
      </c>
      <c r="P67" s="14">
        <f t="shared" ref="P67:P130" si="28">ABS(N67-O67)</f>
        <v>1.3731386000000345E-2</v>
      </c>
      <c r="Q67" s="18">
        <f t="shared" ref="Q67:Q130" si="29">ABS(O67-N67)/O67</f>
        <v>6.5916453447905079E-3</v>
      </c>
      <c r="R67" s="15">
        <f t="shared" ref="R67:R130" ca="1" si="30">ROUND(N67*$B$29,6)+RANDBETWEEN(-1,1)*$B$24+RANDBETWEEN(-1,1)*$B$25</f>
        <v>7.6489081370262388</v>
      </c>
      <c r="S67" s="15">
        <f t="shared" ref="S67:S130" si="31">O67*$B$23</f>
        <v>7.6830155913978482</v>
      </c>
      <c r="T67" s="15">
        <f t="shared" ref="T67:T130" ca="1" si="32">ABS(R67-S67)</f>
        <v>3.4107454371609336E-2</v>
      </c>
      <c r="U67" s="18">
        <f t="shared" ref="U67:U130" ca="1" si="33">ABS(S67-R67)/S67</f>
        <v>4.4393316616195781E-3</v>
      </c>
      <c r="V67" s="15">
        <f t="shared" ref="V67:V130" si="34">$B$44*S67+$B$45</f>
        <v>0.54166666666666785</v>
      </c>
      <c r="W67" s="15">
        <f t="shared" ref="W67:W130" ca="1" si="35">$B$46*R67+$B$47</f>
        <v>0.35109186297376116</v>
      </c>
      <c r="X67" s="15">
        <f t="shared" ref="X67:X130" ca="1" si="36">ABS(V67-W67)</f>
        <v>0.19057480369290669</v>
      </c>
      <c r="Y67" s="35">
        <f t="shared" ref="Y67:Y130" ca="1" si="37">IF(V67 = 0, ABS(V67-W67)/(V67+0.0001), ABS(V67-W67)/V67)</f>
        <v>0.35183040681767314</v>
      </c>
      <c r="Z67" s="36">
        <f t="shared" ref="Z67:Z130" ca="1" si="38">ROUND((W67+5/3)/(1/12),6)</f>
        <v>24.213101999999999</v>
      </c>
      <c r="AA67" s="18">
        <f t="shared" ref="AA67:AA130" ca="1" si="39">ABS(G67-Z67)/G67</f>
        <v>8.6298037735849084E-2</v>
      </c>
      <c r="AB67" s="2"/>
    </row>
    <row r="68" spans="6:28" x14ac:dyDescent="0.25">
      <c r="F68" s="14">
        <v>66</v>
      </c>
      <c r="G68" s="14">
        <f t="shared" si="20"/>
        <v>26.6</v>
      </c>
      <c r="H68" s="14">
        <f t="shared" si="21"/>
        <v>299.75</v>
      </c>
      <c r="I68" s="15">
        <f t="shared" si="22"/>
        <v>0.55000000000000004</v>
      </c>
      <c r="J68" s="15">
        <f t="shared" si="23"/>
        <v>9326.6155290000006</v>
      </c>
      <c r="K68" s="15">
        <f t="shared" si="24"/>
        <v>8.346615529000001</v>
      </c>
      <c r="L68" s="15">
        <f t="shared" si="25"/>
        <v>2094.8507789999999</v>
      </c>
      <c r="M68" s="15">
        <v>2092.77</v>
      </c>
      <c r="N68" s="14">
        <f t="shared" si="26"/>
        <v>2.0948507789999997</v>
      </c>
      <c r="O68" s="14">
        <f t="shared" si="27"/>
        <v>2.0808599999999999</v>
      </c>
      <c r="P68" s="14">
        <f t="shared" si="28"/>
        <v>1.3990778999999787E-2</v>
      </c>
      <c r="Q68" s="18">
        <f t="shared" si="29"/>
        <v>6.7235561258324862E-3</v>
      </c>
      <c r="R68" s="15">
        <f t="shared" ca="1" si="30"/>
        <v>7.6411157725947509</v>
      </c>
      <c r="S68" s="15">
        <f t="shared" si="31"/>
        <v>7.6745696774193544</v>
      </c>
      <c r="T68" s="15">
        <f t="shared" ca="1" si="32"/>
        <v>3.345390482460342E-2</v>
      </c>
      <c r="U68" s="18">
        <f t="shared" ca="1" si="33"/>
        <v>4.3590593649874328E-3</v>
      </c>
      <c r="V68" s="15">
        <f t="shared" si="34"/>
        <v>0.54999999999999982</v>
      </c>
      <c r="W68" s="15">
        <f t="shared" ca="1" si="35"/>
        <v>0.35888422740524906</v>
      </c>
      <c r="X68" s="15">
        <f t="shared" ca="1" si="36"/>
        <v>0.19111577259475077</v>
      </c>
      <c r="Y68" s="35">
        <f t="shared" ca="1" si="37"/>
        <v>0.34748322289954697</v>
      </c>
      <c r="Z68" s="36">
        <f t="shared" ca="1" si="38"/>
        <v>24.306611</v>
      </c>
      <c r="AA68" s="18">
        <f t="shared" ca="1" si="39"/>
        <v>8.6217631578947407E-2</v>
      </c>
      <c r="AB68" s="2"/>
    </row>
    <row r="69" spans="6:28" x14ac:dyDescent="0.25">
      <c r="F69" s="14">
        <v>67</v>
      </c>
      <c r="G69" s="14">
        <f t="shared" si="20"/>
        <v>26.7</v>
      </c>
      <c r="H69" s="14">
        <f t="shared" si="21"/>
        <v>299.84999999999997</v>
      </c>
      <c r="I69" s="15">
        <f t="shared" si="22"/>
        <v>0.55833299999999997</v>
      </c>
      <c r="J69" s="15">
        <f t="shared" si="23"/>
        <v>9286.2554309999996</v>
      </c>
      <c r="K69" s="15">
        <f t="shared" si="24"/>
        <v>8.3062554310000003</v>
      </c>
      <c r="L69" s="15">
        <f t="shared" si="25"/>
        <v>2092.8165159999999</v>
      </c>
      <c r="M69" s="15">
        <v>2090.4899999999998</v>
      </c>
      <c r="N69" s="14">
        <f t="shared" si="26"/>
        <v>2.0928165160000001</v>
      </c>
      <c r="O69" s="14">
        <f t="shared" si="27"/>
        <v>2.07857</v>
      </c>
      <c r="P69" s="14">
        <f t="shared" si="28"/>
        <v>1.4246516000000042E-2</v>
      </c>
      <c r="Q69" s="18">
        <f t="shared" si="29"/>
        <v>6.853998662542056E-3</v>
      </c>
      <c r="R69" s="15">
        <f t="shared" ca="1" si="30"/>
        <v>7.6340811370262385</v>
      </c>
      <c r="S69" s="15">
        <f t="shared" si="31"/>
        <v>7.6661237634408597</v>
      </c>
      <c r="T69" s="15">
        <f t="shared" ca="1" si="32"/>
        <v>3.2042626414621189E-2</v>
      </c>
      <c r="U69" s="18">
        <f t="shared" ca="1" si="33"/>
        <v>4.1797689945249714E-3</v>
      </c>
      <c r="V69" s="15">
        <f t="shared" si="34"/>
        <v>0.55833333333333357</v>
      </c>
      <c r="W69" s="15">
        <f t="shared" ca="1" si="35"/>
        <v>0.36591886297376153</v>
      </c>
      <c r="X69" s="15">
        <f t="shared" ca="1" si="36"/>
        <v>0.19241447035957204</v>
      </c>
      <c r="Y69" s="35">
        <f t="shared" ca="1" si="37"/>
        <v>0.34462293198729305</v>
      </c>
      <c r="Z69" s="36">
        <f t="shared" ca="1" si="38"/>
        <v>24.391026</v>
      </c>
      <c r="AA69" s="18">
        <f t="shared" ca="1" si="39"/>
        <v>8.6478426966292113E-2</v>
      </c>
      <c r="AB69" s="2"/>
    </row>
    <row r="70" spans="6:28" x14ac:dyDescent="0.25">
      <c r="F70" s="14">
        <v>68</v>
      </c>
      <c r="G70" s="14">
        <f t="shared" si="20"/>
        <v>26.8</v>
      </c>
      <c r="H70" s="14">
        <f t="shared" si="21"/>
        <v>299.95</v>
      </c>
      <c r="I70" s="15">
        <f t="shared" si="22"/>
        <v>0.56666700000000003</v>
      </c>
      <c r="J70" s="15">
        <f t="shared" si="23"/>
        <v>9246.0932339999999</v>
      </c>
      <c r="K70" s="15">
        <f t="shared" si="24"/>
        <v>8.2660932339999995</v>
      </c>
      <c r="L70" s="15">
        <f t="shared" si="25"/>
        <v>2090.7786059999999</v>
      </c>
      <c r="M70" s="15">
        <v>2088.44</v>
      </c>
      <c r="N70" s="14">
        <f t="shared" si="26"/>
        <v>2.0907786059999998</v>
      </c>
      <c r="O70" s="14">
        <f t="shared" si="27"/>
        <v>2.0762799999999997</v>
      </c>
      <c r="P70" s="14">
        <f t="shared" si="28"/>
        <v>1.449860600000008E-2</v>
      </c>
      <c r="Q70" s="18">
        <f t="shared" si="29"/>
        <v>6.9829724314640039E-3</v>
      </c>
      <c r="R70" s="15">
        <f t="shared" ca="1" si="30"/>
        <v>7.6270325014577258</v>
      </c>
      <c r="S70" s="15">
        <f t="shared" si="31"/>
        <v>7.6576778494623641</v>
      </c>
      <c r="T70" s="15">
        <f t="shared" ca="1" si="32"/>
        <v>3.0645348004638251E-2</v>
      </c>
      <c r="U70" s="18">
        <f t="shared" ca="1" si="33"/>
        <v>4.0019113636113358E-3</v>
      </c>
      <c r="V70" s="15">
        <f t="shared" si="34"/>
        <v>0.56666666666666821</v>
      </c>
      <c r="W70" s="15">
        <f t="shared" ca="1" si="35"/>
        <v>0.37296749854227418</v>
      </c>
      <c r="X70" s="15">
        <f t="shared" ca="1" si="36"/>
        <v>0.19369916812439403</v>
      </c>
      <c r="Y70" s="35">
        <f t="shared" ca="1" si="37"/>
        <v>0.34182206139598853</v>
      </c>
      <c r="Z70" s="36">
        <f t="shared" ca="1" si="38"/>
        <v>24.47561</v>
      </c>
      <c r="AA70" s="18">
        <f t="shared" ca="1" si="39"/>
        <v>8.6730970149253767E-2</v>
      </c>
      <c r="AB70" s="2"/>
    </row>
    <row r="71" spans="6:28" x14ac:dyDescent="0.25">
      <c r="F71" s="14">
        <v>69</v>
      </c>
      <c r="G71" s="14">
        <f t="shared" si="20"/>
        <v>26.9</v>
      </c>
      <c r="H71" s="14">
        <f t="shared" si="21"/>
        <v>300.04999999999995</v>
      </c>
      <c r="I71" s="15">
        <f t="shared" si="22"/>
        <v>0.57499999999999996</v>
      </c>
      <c r="J71" s="15">
        <f t="shared" si="23"/>
        <v>9206.1278610000008</v>
      </c>
      <c r="K71" s="15">
        <f t="shared" si="24"/>
        <v>8.2261278610000019</v>
      </c>
      <c r="L71" s="15">
        <f t="shared" si="25"/>
        <v>2088.7370580000002</v>
      </c>
      <c r="M71" s="15">
        <v>2086.14</v>
      </c>
      <c r="N71" s="14">
        <f t="shared" si="26"/>
        <v>2.0887370580000004</v>
      </c>
      <c r="O71" s="14">
        <f t="shared" si="27"/>
        <v>2.0739900000000002</v>
      </c>
      <c r="P71" s="14">
        <f t="shared" si="28"/>
        <v>1.4747058000000202E-2</v>
      </c>
      <c r="Q71" s="18">
        <f t="shared" si="29"/>
        <v>7.1104769068318554E-3</v>
      </c>
      <c r="R71" s="15">
        <f t="shared" ca="1" si="30"/>
        <v>7.618805</v>
      </c>
      <c r="S71" s="15">
        <f t="shared" si="31"/>
        <v>7.6492319354838711</v>
      </c>
      <c r="T71" s="15">
        <f t="shared" ca="1" si="32"/>
        <v>3.0426935483871098E-2</v>
      </c>
      <c r="U71" s="18">
        <f t="shared" ca="1" si="33"/>
        <v>3.977776558548864E-3</v>
      </c>
      <c r="V71" s="15">
        <f t="shared" si="34"/>
        <v>0.57499999999999929</v>
      </c>
      <c r="W71" s="15">
        <f t="shared" ca="1" si="35"/>
        <v>0.38119499999999995</v>
      </c>
      <c r="X71" s="15">
        <f t="shared" ca="1" si="36"/>
        <v>0.19380499999999934</v>
      </c>
      <c r="Y71" s="35">
        <f t="shared" ca="1" si="37"/>
        <v>0.33705217391304276</v>
      </c>
      <c r="Z71" s="36">
        <f t="shared" ca="1" si="38"/>
        <v>24.574339999999999</v>
      </c>
      <c r="AA71" s="18">
        <f t="shared" ca="1" si="39"/>
        <v>8.6455762081784363E-2</v>
      </c>
      <c r="AB71" s="2"/>
    </row>
    <row r="72" spans="6:28" x14ac:dyDescent="0.25">
      <c r="F72" s="14">
        <v>70</v>
      </c>
      <c r="G72" s="14">
        <f t="shared" si="20"/>
        <v>27</v>
      </c>
      <c r="H72" s="14">
        <f t="shared" si="21"/>
        <v>300.14999999999998</v>
      </c>
      <c r="I72" s="15">
        <f t="shared" si="22"/>
        <v>0.58333299999999999</v>
      </c>
      <c r="J72" s="15">
        <f t="shared" si="23"/>
        <v>9166.3582409999999</v>
      </c>
      <c r="K72" s="15">
        <f t="shared" si="24"/>
        <v>8.1863582410000006</v>
      </c>
      <c r="L72" s="15">
        <f t="shared" si="25"/>
        <v>2086.6918820000001</v>
      </c>
      <c r="M72" s="15">
        <v>2084.33</v>
      </c>
      <c r="N72" s="14">
        <f t="shared" si="26"/>
        <v>2.0866918820000002</v>
      </c>
      <c r="O72" s="14">
        <f t="shared" si="27"/>
        <v>2.0716999999999999</v>
      </c>
      <c r="P72" s="14">
        <f t="shared" si="28"/>
        <v>1.4991882000000345E-2</v>
      </c>
      <c r="Q72" s="18">
        <f t="shared" si="29"/>
        <v>7.2365120432496726E-3</v>
      </c>
      <c r="R72" s="15">
        <f t="shared" ca="1" si="30"/>
        <v>7.6113557725947514</v>
      </c>
      <c r="S72" s="15">
        <f t="shared" si="31"/>
        <v>7.6407860215053756</v>
      </c>
      <c r="T72" s="15">
        <f t="shared" ca="1" si="32"/>
        <v>2.9430248910624179E-2</v>
      </c>
      <c r="U72" s="18">
        <f t="shared" ca="1" si="33"/>
        <v>3.8517305454950925E-3</v>
      </c>
      <c r="V72" s="15">
        <f t="shared" si="34"/>
        <v>0.58333333333333393</v>
      </c>
      <c r="W72" s="15">
        <f t="shared" ca="1" si="35"/>
        <v>0.38864422740524862</v>
      </c>
      <c r="X72" s="15">
        <f t="shared" ca="1" si="36"/>
        <v>0.1946891059280853</v>
      </c>
      <c r="Y72" s="35">
        <f t="shared" ca="1" si="37"/>
        <v>0.33375275301957447</v>
      </c>
      <c r="Z72" s="36">
        <f t="shared" ca="1" si="38"/>
        <v>24.663730999999999</v>
      </c>
      <c r="AA72" s="18">
        <f t="shared" ca="1" si="39"/>
        <v>8.652848148148154E-2</v>
      </c>
      <c r="AB72" s="2"/>
    </row>
    <row r="73" spans="6:28" x14ac:dyDescent="0.25">
      <c r="F73" s="14">
        <v>71</v>
      </c>
      <c r="G73" s="14">
        <f t="shared" si="20"/>
        <v>27.1</v>
      </c>
      <c r="H73" s="14">
        <f t="shared" si="21"/>
        <v>300.25</v>
      </c>
      <c r="I73" s="15">
        <f t="shared" si="22"/>
        <v>0.59166700000000005</v>
      </c>
      <c r="J73" s="15">
        <f t="shared" si="23"/>
        <v>9126.7833100000007</v>
      </c>
      <c r="K73" s="15">
        <f t="shared" si="24"/>
        <v>8.1467833100000018</v>
      </c>
      <c r="L73" s="15">
        <f t="shared" si="25"/>
        <v>2084.6430879999998</v>
      </c>
      <c r="M73" s="15">
        <v>2082.27</v>
      </c>
      <c r="N73" s="14">
        <f t="shared" si="26"/>
        <v>2.084643088</v>
      </c>
      <c r="O73" s="14">
        <f t="shared" si="27"/>
        <v>2.06941</v>
      </c>
      <c r="P73" s="14">
        <f t="shared" si="28"/>
        <v>1.5233088000000006E-2</v>
      </c>
      <c r="Q73" s="18">
        <f t="shared" si="29"/>
        <v>7.3610777951203512E-3</v>
      </c>
      <c r="R73" s="15">
        <f t="shared" ca="1" si="30"/>
        <v>7.6042573644314873</v>
      </c>
      <c r="S73" s="15">
        <f t="shared" si="31"/>
        <v>7.6323401075268809</v>
      </c>
      <c r="T73" s="15">
        <f t="shared" ca="1" si="32"/>
        <v>2.8082743095393603E-2</v>
      </c>
      <c r="U73" s="18">
        <f t="shared" ca="1" si="33"/>
        <v>3.6794407350504324E-3</v>
      </c>
      <c r="V73" s="15">
        <f t="shared" si="34"/>
        <v>0.59166666666666679</v>
      </c>
      <c r="W73" s="15">
        <f t="shared" ca="1" si="35"/>
        <v>0.39574263556851275</v>
      </c>
      <c r="X73" s="15">
        <f t="shared" ca="1" si="36"/>
        <v>0.19592403109815404</v>
      </c>
      <c r="Y73" s="35">
        <f t="shared" ca="1" si="37"/>
        <v>0.33113920748983777</v>
      </c>
      <c r="Z73" s="36">
        <f t="shared" ca="1" si="38"/>
        <v>24.748912000000001</v>
      </c>
      <c r="AA73" s="18">
        <f t="shared" ca="1" si="39"/>
        <v>8.6756014760147618E-2</v>
      </c>
      <c r="AB73" s="2"/>
    </row>
    <row r="74" spans="6:28" x14ac:dyDescent="0.25">
      <c r="F74" s="14">
        <v>72</v>
      </c>
      <c r="G74" s="14">
        <f t="shared" si="20"/>
        <v>27.2</v>
      </c>
      <c r="H74" s="14">
        <f t="shared" si="21"/>
        <v>300.34999999999997</v>
      </c>
      <c r="I74" s="15">
        <f t="shared" si="22"/>
        <v>0.6</v>
      </c>
      <c r="J74" s="15">
        <f t="shared" si="23"/>
        <v>9087.4020110000001</v>
      </c>
      <c r="K74" s="15">
        <f t="shared" si="24"/>
        <v>8.1074020109999996</v>
      </c>
      <c r="L74" s="15">
        <f t="shared" si="25"/>
        <v>2082.5906839999998</v>
      </c>
      <c r="M74" s="15">
        <v>2079.9499999999998</v>
      </c>
      <c r="N74" s="14">
        <f t="shared" si="26"/>
        <v>2.0825906839999999</v>
      </c>
      <c r="O74" s="14">
        <f t="shared" si="27"/>
        <v>2.0671200000000001</v>
      </c>
      <c r="P74" s="14">
        <f t="shared" si="28"/>
        <v>1.5470683999999846E-2</v>
      </c>
      <c r="Q74" s="18">
        <f t="shared" si="29"/>
        <v>7.4841731491156029E-3</v>
      </c>
      <c r="R74" s="15">
        <f t="shared" ca="1" si="30"/>
        <v>7.596770364431487</v>
      </c>
      <c r="S74" s="15">
        <f t="shared" si="31"/>
        <v>7.623894193548387</v>
      </c>
      <c r="T74" s="15">
        <f t="shared" ca="1" si="32"/>
        <v>2.7123829116900033E-2</v>
      </c>
      <c r="U74" s="18">
        <f t="shared" ca="1" si="33"/>
        <v>3.5577394476241802E-3</v>
      </c>
      <c r="V74" s="15">
        <f t="shared" si="34"/>
        <v>0.59999999999999964</v>
      </c>
      <c r="W74" s="15">
        <f t="shared" ca="1" si="35"/>
        <v>0.40322963556851299</v>
      </c>
      <c r="X74" s="15">
        <f t="shared" ca="1" si="36"/>
        <v>0.19677036443148666</v>
      </c>
      <c r="Y74" s="35">
        <f t="shared" ca="1" si="37"/>
        <v>0.32795060738581128</v>
      </c>
      <c r="Z74" s="36">
        <f t="shared" ca="1" si="38"/>
        <v>24.838756</v>
      </c>
      <c r="AA74" s="18">
        <f t="shared" ca="1" si="39"/>
        <v>8.6810441176470562E-2</v>
      </c>
      <c r="AB74" s="2"/>
    </row>
    <row r="75" spans="6:28" x14ac:dyDescent="0.25">
      <c r="F75" s="14">
        <v>73</v>
      </c>
      <c r="G75" s="14">
        <f t="shared" si="20"/>
        <v>27.3</v>
      </c>
      <c r="H75" s="14">
        <f t="shared" si="21"/>
        <v>300.45</v>
      </c>
      <c r="I75" s="15">
        <f t="shared" si="22"/>
        <v>0.60833300000000001</v>
      </c>
      <c r="J75" s="15">
        <f t="shared" si="23"/>
        <v>9048.2132920000004</v>
      </c>
      <c r="K75" s="15">
        <f t="shared" si="24"/>
        <v>8.0682132920000011</v>
      </c>
      <c r="L75" s="15">
        <f t="shared" si="25"/>
        <v>2080.5346810000001</v>
      </c>
      <c r="M75" s="15">
        <v>2078.11</v>
      </c>
      <c r="N75" s="14">
        <f t="shared" si="26"/>
        <v>2.0805346810000001</v>
      </c>
      <c r="O75" s="14">
        <f t="shared" si="27"/>
        <v>2.0648299999999997</v>
      </c>
      <c r="P75" s="14">
        <f t="shared" si="28"/>
        <v>1.5704681000000331E-2</v>
      </c>
      <c r="Q75" s="18">
        <f t="shared" si="29"/>
        <v>7.605798540315829E-3</v>
      </c>
      <c r="R75" s="15">
        <f t="shared" ca="1" si="30"/>
        <v>7.5892821370262382</v>
      </c>
      <c r="S75" s="15">
        <f t="shared" si="31"/>
        <v>7.6154482795698915</v>
      </c>
      <c r="T75" s="15">
        <f t="shared" ca="1" si="32"/>
        <v>2.6166142543653237E-2</v>
      </c>
      <c r="U75" s="18">
        <f t="shared" ca="1" si="33"/>
        <v>3.4359293876172264E-3</v>
      </c>
      <c r="V75" s="15">
        <f t="shared" si="34"/>
        <v>0.60833333333333428</v>
      </c>
      <c r="W75" s="15">
        <f t="shared" ca="1" si="35"/>
        <v>0.41071786297376178</v>
      </c>
      <c r="X75" s="15">
        <f t="shared" ca="1" si="36"/>
        <v>0.1976154703595725</v>
      </c>
      <c r="Y75" s="35">
        <f t="shared" ca="1" si="37"/>
        <v>0.32484734853628305</v>
      </c>
      <c r="Z75" s="36">
        <f t="shared" ca="1" si="38"/>
        <v>24.928614</v>
      </c>
      <c r="AA75" s="18">
        <f t="shared" ca="1" si="39"/>
        <v>8.6863956043956081E-2</v>
      </c>
      <c r="AB75" s="2"/>
    </row>
    <row r="76" spans="6:28" x14ac:dyDescent="0.25">
      <c r="F76" s="14">
        <v>74</v>
      </c>
      <c r="G76" s="14">
        <f t="shared" si="20"/>
        <v>27.4</v>
      </c>
      <c r="H76" s="14">
        <f t="shared" si="21"/>
        <v>300.54999999999995</v>
      </c>
      <c r="I76" s="15">
        <f t="shared" si="22"/>
        <v>0.61666699999999997</v>
      </c>
      <c r="J76" s="15">
        <f t="shared" si="23"/>
        <v>9009.2161080000005</v>
      </c>
      <c r="K76" s="15">
        <f t="shared" si="24"/>
        <v>8.029216108</v>
      </c>
      <c r="L76" s="15">
        <f t="shared" si="25"/>
        <v>2078.475089</v>
      </c>
      <c r="M76" s="15">
        <v>2076.52</v>
      </c>
      <c r="N76" s="14">
        <f t="shared" si="26"/>
        <v>2.0784750889999999</v>
      </c>
      <c r="O76" s="14">
        <f t="shared" si="27"/>
        <v>2.0625399999999998</v>
      </c>
      <c r="P76" s="14">
        <f t="shared" si="28"/>
        <v>1.5935089000000069E-2</v>
      </c>
      <c r="Q76" s="18">
        <f t="shared" si="29"/>
        <v>7.7259539208936892E-3</v>
      </c>
      <c r="R76" s="15">
        <f t="shared" ca="1" si="30"/>
        <v>7.5813740000000003</v>
      </c>
      <c r="S76" s="15">
        <f t="shared" si="31"/>
        <v>7.6070023655913968</v>
      </c>
      <c r="T76" s="15">
        <f t="shared" ca="1" si="32"/>
        <v>2.5628365591396474E-2</v>
      </c>
      <c r="U76" s="18">
        <f t="shared" ca="1" si="33"/>
        <v>3.369049246957087E-3</v>
      </c>
      <c r="V76" s="15">
        <f t="shared" si="34"/>
        <v>0.61666666666666714</v>
      </c>
      <c r="W76" s="15">
        <f t="shared" ca="1" si="35"/>
        <v>0.41862599999999972</v>
      </c>
      <c r="X76" s="15">
        <f t="shared" ca="1" si="36"/>
        <v>0.19804066666666742</v>
      </c>
      <c r="Y76" s="35">
        <f t="shared" ca="1" si="37"/>
        <v>0.32114702702702802</v>
      </c>
      <c r="Z76" s="36">
        <f t="shared" ca="1" si="38"/>
        <v>25.023512</v>
      </c>
      <c r="AA76" s="18">
        <f t="shared" ca="1" si="39"/>
        <v>8.6733138686131334E-2</v>
      </c>
      <c r="AB76" s="2"/>
    </row>
    <row r="77" spans="6:28" x14ac:dyDescent="0.25">
      <c r="F77" s="14">
        <v>75</v>
      </c>
      <c r="G77" s="14">
        <f t="shared" si="20"/>
        <v>27.5</v>
      </c>
      <c r="H77" s="14">
        <f t="shared" si="21"/>
        <v>300.64999999999998</v>
      </c>
      <c r="I77" s="15">
        <f t="shared" si="22"/>
        <v>0.625</v>
      </c>
      <c r="J77" s="15">
        <f t="shared" si="23"/>
        <v>8970.40942</v>
      </c>
      <c r="K77" s="15">
        <f t="shared" si="24"/>
        <v>7.9904094200000007</v>
      </c>
      <c r="L77" s="15">
        <f t="shared" si="25"/>
        <v>2076.4119169999999</v>
      </c>
      <c r="M77" s="15">
        <v>2074.17</v>
      </c>
      <c r="N77" s="14">
        <f t="shared" si="26"/>
        <v>2.0764119170000002</v>
      </c>
      <c r="O77" s="14">
        <f t="shared" si="27"/>
        <v>2.0602499999999999</v>
      </c>
      <c r="P77" s="14">
        <f t="shared" si="28"/>
        <v>1.6161917000000248E-2</v>
      </c>
      <c r="Q77" s="18">
        <f t="shared" si="29"/>
        <v>7.8446387574324702E-3</v>
      </c>
      <c r="R77" s="15">
        <f t="shared" ca="1" si="30"/>
        <v>7.5734626355685126</v>
      </c>
      <c r="S77" s="15">
        <f t="shared" si="31"/>
        <v>7.5985564516129029</v>
      </c>
      <c r="T77" s="15">
        <f t="shared" ca="1" si="32"/>
        <v>2.5093816044390316E-2</v>
      </c>
      <c r="U77" s="18">
        <f t="shared" ca="1" si="33"/>
        <v>3.302445168919393E-3</v>
      </c>
      <c r="V77" s="15">
        <f t="shared" si="34"/>
        <v>0.625</v>
      </c>
      <c r="W77" s="15">
        <f t="shared" ca="1" si="35"/>
        <v>0.42653736443148738</v>
      </c>
      <c r="X77" s="15">
        <f t="shared" ca="1" si="36"/>
        <v>0.19846263556851262</v>
      </c>
      <c r="Y77" s="35">
        <f t="shared" ca="1" si="37"/>
        <v>0.3175402169096202</v>
      </c>
      <c r="Z77" s="36">
        <f t="shared" ca="1" si="38"/>
        <v>25.118448000000001</v>
      </c>
      <c r="AA77" s="18">
        <f t="shared" ca="1" si="39"/>
        <v>8.6601890909090887E-2</v>
      </c>
      <c r="AB77" s="2"/>
    </row>
    <row r="78" spans="6:28" x14ac:dyDescent="0.25">
      <c r="F78" s="14">
        <v>76</v>
      </c>
      <c r="G78" s="14">
        <f t="shared" si="20"/>
        <v>27.6</v>
      </c>
      <c r="H78" s="14">
        <f t="shared" si="21"/>
        <v>300.75</v>
      </c>
      <c r="I78" s="15">
        <f t="shared" si="22"/>
        <v>0.63333300000000003</v>
      </c>
      <c r="J78" s="15">
        <f t="shared" si="23"/>
        <v>8931.792195</v>
      </c>
      <c r="K78" s="15">
        <f t="shared" si="24"/>
        <v>7.9517921949999995</v>
      </c>
      <c r="L78" s="15">
        <f t="shared" si="25"/>
        <v>2074.3451759999998</v>
      </c>
      <c r="M78" s="15">
        <v>2072.0700000000002</v>
      </c>
      <c r="N78" s="14">
        <f t="shared" si="26"/>
        <v>2.074345176</v>
      </c>
      <c r="O78" s="14">
        <f t="shared" si="27"/>
        <v>2.05796</v>
      </c>
      <c r="P78" s="14">
        <f t="shared" si="28"/>
        <v>1.6385176000000001E-2</v>
      </c>
      <c r="Q78" s="18">
        <f t="shared" si="29"/>
        <v>7.9618534859764046E-3</v>
      </c>
      <c r="R78" s="15">
        <f t="shared" ca="1" si="30"/>
        <v>7.5663197725947517</v>
      </c>
      <c r="S78" s="15">
        <f t="shared" si="31"/>
        <v>7.5901105376344082</v>
      </c>
      <c r="T78" s="15">
        <f t="shared" ca="1" si="32"/>
        <v>2.3790765039656492E-2</v>
      </c>
      <c r="U78" s="18">
        <f t="shared" ca="1" si="33"/>
        <v>3.1344424987875476E-3</v>
      </c>
      <c r="V78" s="15">
        <f t="shared" si="34"/>
        <v>0.63333333333333375</v>
      </c>
      <c r="W78" s="15">
        <f t="shared" ca="1" si="35"/>
        <v>0.43368022740524825</v>
      </c>
      <c r="X78" s="15">
        <f t="shared" ca="1" si="36"/>
        <v>0.19965310592808549</v>
      </c>
      <c r="Y78" s="35">
        <f t="shared" ca="1" si="37"/>
        <v>0.31524174620224005</v>
      </c>
      <c r="Z78" s="36">
        <f t="shared" ca="1" si="38"/>
        <v>25.204163000000001</v>
      </c>
      <c r="AA78" s="18">
        <f t="shared" ca="1" si="39"/>
        <v>8.680568840579711E-2</v>
      </c>
      <c r="AB78" s="2"/>
    </row>
    <row r="79" spans="6:28" x14ac:dyDescent="0.25">
      <c r="F79" s="14">
        <v>77</v>
      </c>
      <c r="G79" s="14">
        <f t="shared" si="20"/>
        <v>27.7</v>
      </c>
      <c r="H79" s="14">
        <f t="shared" si="21"/>
        <v>300.84999999999997</v>
      </c>
      <c r="I79" s="15">
        <f t="shared" si="22"/>
        <v>0.64166699999999999</v>
      </c>
      <c r="J79" s="15">
        <f t="shared" si="23"/>
        <v>8893.3634079999993</v>
      </c>
      <c r="K79" s="15">
        <f t="shared" si="24"/>
        <v>7.9133634079999986</v>
      </c>
      <c r="L79" s="15">
        <f t="shared" si="25"/>
        <v>2072.2748750000001</v>
      </c>
      <c r="M79" s="15">
        <v>2070.21</v>
      </c>
      <c r="N79" s="14">
        <f t="shared" si="26"/>
        <v>2.0722748750000002</v>
      </c>
      <c r="O79" s="14">
        <f t="shared" si="27"/>
        <v>2.0556700000000001</v>
      </c>
      <c r="P79" s="14">
        <f t="shared" si="28"/>
        <v>1.6604875000000074E-2</v>
      </c>
      <c r="Q79" s="18">
        <f t="shared" si="29"/>
        <v>8.0775975715946975E-3</v>
      </c>
      <c r="R79" s="15">
        <f t="shared" ca="1" si="30"/>
        <v>7.5587472274052487</v>
      </c>
      <c r="S79" s="15">
        <f t="shared" si="31"/>
        <v>7.5816646236559144</v>
      </c>
      <c r="T79" s="15">
        <f t="shared" ca="1" si="32"/>
        <v>2.2917396250665689E-2</v>
      </c>
      <c r="U79" s="18">
        <f t="shared" ca="1" si="33"/>
        <v>3.0227393835332711E-3</v>
      </c>
      <c r="V79" s="15">
        <f t="shared" si="34"/>
        <v>0.64166666666666572</v>
      </c>
      <c r="W79" s="15">
        <f t="shared" ca="1" si="35"/>
        <v>0.44125277259475126</v>
      </c>
      <c r="X79" s="15">
        <f t="shared" ca="1" si="36"/>
        <v>0.20041389407191446</v>
      </c>
      <c r="Y79" s="35">
        <f t="shared" ca="1" si="37"/>
        <v>0.31233334141077623</v>
      </c>
      <c r="Z79" s="36">
        <f t="shared" ca="1" si="38"/>
        <v>25.295033</v>
      </c>
      <c r="AA79" s="18">
        <f t="shared" ca="1" si="39"/>
        <v>8.6821913357400693E-2</v>
      </c>
      <c r="AB79" s="2"/>
    </row>
    <row r="80" spans="6:28" x14ac:dyDescent="0.25">
      <c r="F80" s="14">
        <v>78</v>
      </c>
      <c r="G80" s="14">
        <f t="shared" si="20"/>
        <v>27.8</v>
      </c>
      <c r="H80" s="14">
        <f t="shared" si="21"/>
        <v>300.95</v>
      </c>
      <c r="I80" s="15">
        <f t="shared" si="22"/>
        <v>0.65</v>
      </c>
      <c r="J80" s="15">
        <f t="shared" si="23"/>
        <v>8855.1220360000007</v>
      </c>
      <c r="K80" s="15">
        <f t="shared" si="24"/>
        <v>7.8751220360000005</v>
      </c>
      <c r="L80" s="15">
        <f t="shared" si="25"/>
        <v>2070.201024</v>
      </c>
      <c r="M80" s="15">
        <v>2067.84</v>
      </c>
      <c r="N80" s="14">
        <f t="shared" si="26"/>
        <v>2.0702010240000002</v>
      </c>
      <c r="O80" s="14">
        <f t="shared" si="27"/>
        <v>2.0533799999999998</v>
      </c>
      <c r="P80" s="14">
        <f t="shared" si="28"/>
        <v>1.6821024000000406E-2</v>
      </c>
      <c r="Q80" s="18">
        <f t="shared" si="29"/>
        <v>8.1918709639717969E-3</v>
      </c>
      <c r="R80" s="15">
        <f t="shared" ca="1" si="30"/>
        <v>7.5511929999999996</v>
      </c>
      <c r="S80" s="15">
        <f t="shared" si="31"/>
        <v>7.5732187096774179</v>
      </c>
      <c r="T80" s="15">
        <f t="shared" ca="1" si="32"/>
        <v>2.2025709677418348E-2</v>
      </c>
      <c r="U80" s="18">
        <f t="shared" ca="1" si="33"/>
        <v>2.9083683598458408E-3</v>
      </c>
      <c r="V80" s="15">
        <f t="shared" si="34"/>
        <v>0.65000000000000124</v>
      </c>
      <c r="W80" s="15">
        <f t="shared" ca="1" si="35"/>
        <v>0.4488070000000004</v>
      </c>
      <c r="X80" s="15">
        <f t="shared" ca="1" si="36"/>
        <v>0.20119300000000084</v>
      </c>
      <c r="Y80" s="35">
        <f t="shared" ca="1" si="37"/>
        <v>0.309527692307693</v>
      </c>
      <c r="Z80" s="36">
        <f t="shared" ca="1" si="38"/>
        <v>25.385684000000001</v>
      </c>
      <c r="AA80" s="18">
        <f t="shared" ca="1" si="39"/>
        <v>8.6845899280575511E-2</v>
      </c>
      <c r="AB80" s="2"/>
    </row>
    <row r="81" spans="6:28" x14ac:dyDescent="0.25">
      <c r="F81" s="14">
        <v>79</v>
      </c>
      <c r="G81" s="14">
        <f t="shared" si="20"/>
        <v>27.9</v>
      </c>
      <c r="H81" s="14">
        <f t="shared" si="21"/>
        <v>301.04999999999995</v>
      </c>
      <c r="I81" s="15">
        <f t="shared" si="22"/>
        <v>0.65833299999999995</v>
      </c>
      <c r="J81" s="15">
        <f t="shared" si="23"/>
        <v>8817.0670649999993</v>
      </c>
      <c r="K81" s="15">
        <f t="shared" si="24"/>
        <v>7.8370670649999994</v>
      </c>
      <c r="L81" s="15">
        <f t="shared" si="25"/>
        <v>2068.1236349999999</v>
      </c>
      <c r="M81" s="15">
        <v>2065.7199999999998</v>
      </c>
      <c r="N81" s="14">
        <f t="shared" si="26"/>
        <v>2.0681236350000001</v>
      </c>
      <c r="O81" s="14">
        <f t="shared" si="27"/>
        <v>2.0510899999999999</v>
      </c>
      <c r="P81" s="14">
        <f t="shared" si="28"/>
        <v>1.7033635000000213E-2</v>
      </c>
      <c r="Q81" s="18">
        <f t="shared" si="29"/>
        <v>8.3046745876583748E-3</v>
      </c>
      <c r="R81" s="15">
        <f t="shared" ca="1" si="30"/>
        <v>7.5436052274052487</v>
      </c>
      <c r="S81" s="15">
        <f t="shared" si="31"/>
        <v>7.5647727956989241</v>
      </c>
      <c r="T81" s="15">
        <f t="shared" ca="1" si="32"/>
        <v>2.1167568293675387E-2</v>
      </c>
      <c r="U81" s="18">
        <f t="shared" ca="1" si="33"/>
        <v>2.7981763451918286E-3</v>
      </c>
      <c r="V81" s="15">
        <f t="shared" si="34"/>
        <v>0.65833333333333321</v>
      </c>
      <c r="W81" s="15">
        <f t="shared" ca="1" si="35"/>
        <v>0.45639477259475125</v>
      </c>
      <c r="X81" s="15">
        <f t="shared" ca="1" si="36"/>
        <v>0.20193856073858196</v>
      </c>
      <c r="Y81" s="35">
        <f t="shared" ca="1" si="37"/>
        <v>0.3067421175775929</v>
      </c>
      <c r="Z81" s="36">
        <f t="shared" ca="1" si="38"/>
        <v>25.476737</v>
      </c>
      <c r="AA81" s="18">
        <f t="shared" ca="1" si="39"/>
        <v>8.6855304659498159E-2</v>
      </c>
      <c r="AB81" s="2"/>
    </row>
    <row r="82" spans="6:28" x14ac:dyDescent="0.25">
      <c r="F82" s="14">
        <v>80</v>
      </c>
      <c r="G82" s="14">
        <f t="shared" si="20"/>
        <v>28</v>
      </c>
      <c r="H82" s="14">
        <f t="shared" si="21"/>
        <v>301.14999999999998</v>
      </c>
      <c r="I82" s="15">
        <f t="shared" si="22"/>
        <v>0.66666700000000001</v>
      </c>
      <c r="J82" s="15">
        <f t="shared" si="23"/>
        <v>8779.1974879999998</v>
      </c>
      <c r="K82" s="15">
        <f t="shared" si="24"/>
        <v>7.7991974880000008</v>
      </c>
      <c r="L82" s="15">
        <f t="shared" si="25"/>
        <v>2066.0427169999998</v>
      </c>
      <c r="M82" s="15">
        <v>2063.34</v>
      </c>
      <c r="N82" s="14">
        <f t="shared" si="26"/>
        <v>2.0660427169999998</v>
      </c>
      <c r="O82" s="14">
        <f t="shared" si="27"/>
        <v>2.0488</v>
      </c>
      <c r="P82" s="14">
        <f t="shared" si="28"/>
        <v>1.7242716999999796E-2</v>
      </c>
      <c r="Q82" s="18">
        <f t="shared" si="29"/>
        <v>8.4160079070674521E-3</v>
      </c>
      <c r="R82" s="15">
        <f t="shared" ca="1" si="30"/>
        <v>7.5352444985422737</v>
      </c>
      <c r="S82" s="15">
        <f t="shared" si="31"/>
        <v>7.5563268817204294</v>
      </c>
      <c r="T82" s="15">
        <f t="shared" ca="1" si="32"/>
        <v>2.1082383178155695E-2</v>
      </c>
      <c r="U82" s="18">
        <f t="shared" ca="1" si="33"/>
        <v>2.7900305939855853E-3</v>
      </c>
      <c r="V82" s="15">
        <f t="shared" si="34"/>
        <v>0.66666666666666696</v>
      </c>
      <c r="W82" s="15">
        <f t="shared" ca="1" si="35"/>
        <v>0.46475550145772626</v>
      </c>
      <c r="X82" s="15">
        <f t="shared" ca="1" si="36"/>
        <v>0.2019111652089407</v>
      </c>
      <c r="Y82" s="35">
        <f t="shared" ca="1" si="37"/>
        <v>0.30286674781341094</v>
      </c>
      <c r="Z82" s="36">
        <f t="shared" ca="1" si="38"/>
        <v>25.577065999999999</v>
      </c>
      <c r="AA82" s="18">
        <f t="shared" ca="1" si="39"/>
        <v>8.653335714285719E-2</v>
      </c>
      <c r="AB82" s="2"/>
    </row>
    <row r="83" spans="6:28" x14ac:dyDescent="0.25">
      <c r="F83" s="14">
        <v>81</v>
      </c>
      <c r="G83" s="14">
        <f t="shared" si="20"/>
        <v>28.1</v>
      </c>
      <c r="H83" s="14">
        <f t="shared" si="21"/>
        <v>301.25</v>
      </c>
      <c r="I83" s="15">
        <f t="shared" si="22"/>
        <v>0.67500000000000004</v>
      </c>
      <c r="J83" s="15">
        <f t="shared" si="23"/>
        <v>8741.5123010000007</v>
      </c>
      <c r="K83" s="15">
        <f t="shared" si="24"/>
        <v>7.7615123010000016</v>
      </c>
      <c r="L83" s="15">
        <f t="shared" si="25"/>
        <v>2063.9582799999998</v>
      </c>
      <c r="M83" s="15">
        <v>2061.69</v>
      </c>
      <c r="N83" s="14">
        <f t="shared" si="26"/>
        <v>2.06395828</v>
      </c>
      <c r="O83" s="14">
        <f t="shared" si="27"/>
        <v>2.0465100000000001</v>
      </c>
      <c r="P83" s="14">
        <f t="shared" si="28"/>
        <v>1.7448279999999983E-2</v>
      </c>
      <c r="Q83" s="18">
        <f t="shared" si="29"/>
        <v>8.5258708728518217E-3</v>
      </c>
      <c r="R83" s="15">
        <f t="shared" ca="1" si="30"/>
        <v>7.529204501457726</v>
      </c>
      <c r="S83" s="15">
        <f t="shared" si="31"/>
        <v>7.5478809677419356</v>
      </c>
      <c r="T83" s="15">
        <f t="shared" ca="1" si="32"/>
        <v>1.8676466284209603E-2</v>
      </c>
      <c r="U83" s="18">
        <f t="shared" ca="1" si="33"/>
        <v>2.4743986244654512E-3</v>
      </c>
      <c r="V83" s="15">
        <f t="shared" si="34"/>
        <v>0.67499999999999982</v>
      </c>
      <c r="W83" s="15">
        <f t="shared" ca="1" si="35"/>
        <v>0.47079549854227398</v>
      </c>
      <c r="X83" s="15">
        <f t="shared" ca="1" si="36"/>
        <v>0.20420450145772584</v>
      </c>
      <c r="Y83" s="35">
        <f t="shared" ca="1" si="37"/>
        <v>0.30252518734477912</v>
      </c>
      <c r="Z83" s="36">
        <f t="shared" ca="1" si="38"/>
        <v>25.649546000000001</v>
      </c>
      <c r="AA83" s="18">
        <f t="shared" ca="1" si="39"/>
        <v>8.7204768683274037E-2</v>
      </c>
      <c r="AB83" s="2"/>
    </row>
    <row r="84" spans="6:28" x14ac:dyDescent="0.25">
      <c r="F84" s="14">
        <v>82</v>
      </c>
      <c r="G84" s="14">
        <f t="shared" si="20"/>
        <v>28.200000000000003</v>
      </c>
      <c r="H84" s="14">
        <f t="shared" si="21"/>
        <v>301.34999999999997</v>
      </c>
      <c r="I84" s="15">
        <f t="shared" si="22"/>
        <v>0.68333299999999997</v>
      </c>
      <c r="J84" s="15">
        <f t="shared" si="23"/>
        <v>8704.0105079999994</v>
      </c>
      <c r="K84" s="15">
        <f t="shared" si="24"/>
        <v>7.7240105079999992</v>
      </c>
      <c r="L84" s="15">
        <f t="shared" si="25"/>
        <v>2061.8703350000001</v>
      </c>
      <c r="M84" s="15">
        <v>2059.5500000000002</v>
      </c>
      <c r="N84" s="14">
        <f t="shared" si="26"/>
        <v>2.0618703350000001</v>
      </c>
      <c r="O84" s="14">
        <f t="shared" si="27"/>
        <v>2.0442200000000001</v>
      </c>
      <c r="P84" s="14">
        <f t="shared" si="28"/>
        <v>1.7650334999999906E-2</v>
      </c>
      <c r="Q84" s="18">
        <f t="shared" si="29"/>
        <v>8.6342639246264619E-3</v>
      </c>
      <c r="R84" s="15">
        <f t="shared" ca="1" si="30"/>
        <v>7.5208069999999996</v>
      </c>
      <c r="S84" s="15">
        <f t="shared" si="31"/>
        <v>7.5394350537634409</v>
      </c>
      <c r="T84" s="15">
        <f t="shared" ca="1" si="32"/>
        <v>1.8628053763441343E-2</v>
      </c>
      <c r="U84" s="18">
        <f t="shared" ca="1" si="33"/>
        <v>2.4707492843436358E-3</v>
      </c>
      <c r="V84" s="15">
        <f t="shared" si="34"/>
        <v>0.68333333333333268</v>
      </c>
      <c r="W84" s="15">
        <f t="shared" ca="1" si="35"/>
        <v>0.47919300000000042</v>
      </c>
      <c r="X84" s="15">
        <f t="shared" ca="1" si="36"/>
        <v>0.20414033333333226</v>
      </c>
      <c r="Y84" s="35">
        <f t="shared" ca="1" si="37"/>
        <v>0.29874195121951092</v>
      </c>
      <c r="Z84" s="36">
        <f t="shared" ca="1" si="38"/>
        <v>25.750316000000002</v>
      </c>
      <c r="AA84" s="18">
        <f t="shared" ca="1" si="39"/>
        <v>8.6868226950354649E-2</v>
      </c>
      <c r="AB84" s="2"/>
    </row>
    <row r="85" spans="6:28" x14ac:dyDescent="0.25">
      <c r="F85" s="14">
        <v>83</v>
      </c>
      <c r="G85" s="14">
        <f t="shared" si="20"/>
        <v>28.3</v>
      </c>
      <c r="H85" s="14">
        <f t="shared" si="21"/>
        <v>301.45</v>
      </c>
      <c r="I85" s="15">
        <f t="shared" si="22"/>
        <v>0.69166700000000003</v>
      </c>
      <c r="J85" s="15">
        <f t="shared" si="23"/>
        <v>8666.6911180000006</v>
      </c>
      <c r="K85" s="15">
        <f t="shared" si="24"/>
        <v>7.6866911180000006</v>
      </c>
      <c r="L85" s="15">
        <f t="shared" si="25"/>
        <v>2059.7788919999998</v>
      </c>
      <c r="M85" s="15">
        <v>2057.39</v>
      </c>
      <c r="N85" s="14">
        <f t="shared" si="26"/>
        <v>2.0597788919999998</v>
      </c>
      <c r="O85" s="14">
        <f t="shared" si="27"/>
        <v>2.0419299999999998</v>
      </c>
      <c r="P85" s="14">
        <f t="shared" si="28"/>
        <v>1.784889199999995E-2</v>
      </c>
      <c r="Q85" s="18">
        <f t="shared" si="29"/>
        <v>8.7411870142463013E-3</v>
      </c>
      <c r="R85" s="15">
        <f t="shared" ca="1" si="30"/>
        <v>7.5135741370262386</v>
      </c>
      <c r="S85" s="15">
        <f t="shared" si="31"/>
        <v>7.5309891397849453</v>
      </c>
      <c r="T85" s="15">
        <f t="shared" ca="1" si="32"/>
        <v>1.7415002758706777E-2</v>
      </c>
      <c r="U85" s="18">
        <f t="shared" ca="1" si="33"/>
        <v>2.3124456078028655E-3</v>
      </c>
      <c r="V85" s="15">
        <f t="shared" si="34"/>
        <v>0.69166666666666732</v>
      </c>
      <c r="W85" s="15">
        <f t="shared" ca="1" si="35"/>
        <v>0.48642586297376145</v>
      </c>
      <c r="X85" s="15">
        <f t="shared" ca="1" si="36"/>
        <v>0.20524080369290587</v>
      </c>
      <c r="Y85" s="35">
        <f t="shared" ca="1" si="37"/>
        <v>0.29673369208612871</v>
      </c>
      <c r="Z85" s="36">
        <f t="shared" ca="1" si="38"/>
        <v>25.837109999999999</v>
      </c>
      <c r="AA85" s="18">
        <f t="shared" ca="1" si="39"/>
        <v>8.7027915194346342E-2</v>
      </c>
      <c r="AB85" s="2"/>
    </row>
    <row r="86" spans="6:28" x14ac:dyDescent="0.25">
      <c r="F86" s="14">
        <v>84</v>
      </c>
      <c r="G86" s="14">
        <f t="shared" si="20"/>
        <v>28.4</v>
      </c>
      <c r="H86" s="14">
        <f t="shared" si="21"/>
        <v>301.54999999999995</v>
      </c>
      <c r="I86" s="15">
        <f t="shared" si="22"/>
        <v>0.7</v>
      </c>
      <c r="J86" s="15">
        <f t="shared" si="23"/>
        <v>8629.5531460000002</v>
      </c>
      <c r="K86" s="15">
        <f t="shared" si="24"/>
        <v>7.6495531460000006</v>
      </c>
      <c r="L86" s="15">
        <f t="shared" si="25"/>
        <v>2057.6839629999999</v>
      </c>
      <c r="M86" s="15">
        <v>2055.23</v>
      </c>
      <c r="N86" s="14">
        <f t="shared" si="26"/>
        <v>2.0576839630000001</v>
      </c>
      <c r="O86" s="14">
        <f t="shared" si="27"/>
        <v>2.0396399999999999</v>
      </c>
      <c r="P86" s="14">
        <f t="shared" si="28"/>
        <v>1.8043963000000218E-2</v>
      </c>
      <c r="Q86" s="18">
        <f t="shared" si="29"/>
        <v>8.8466410739151125E-3</v>
      </c>
      <c r="R86" s="15">
        <f t="shared" ca="1" si="30"/>
        <v>7.505933137026239</v>
      </c>
      <c r="S86" s="15">
        <f t="shared" si="31"/>
        <v>7.5225432258064506</v>
      </c>
      <c r="T86" s="15">
        <f t="shared" ca="1" si="32"/>
        <v>1.661008878021164E-2</v>
      </c>
      <c r="U86" s="18">
        <f t="shared" ca="1" si="33"/>
        <v>2.2080416531512805E-3</v>
      </c>
      <c r="V86" s="15">
        <f t="shared" si="34"/>
        <v>0.70000000000000018</v>
      </c>
      <c r="W86" s="15">
        <f t="shared" ca="1" si="35"/>
        <v>0.49406686297376101</v>
      </c>
      <c r="X86" s="15">
        <f t="shared" ca="1" si="36"/>
        <v>0.20593313702623917</v>
      </c>
      <c r="Y86" s="35">
        <f t="shared" ca="1" si="37"/>
        <v>0.29419019575177019</v>
      </c>
      <c r="Z86" s="36">
        <f t="shared" ca="1" si="38"/>
        <v>25.928802000000001</v>
      </c>
      <c r="AA86" s="18">
        <f t="shared" ca="1" si="39"/>
        <v>8.7014014084506958E-2</v>
      </c>
      <c r="AB86" s="2"/>
    </row>
    <row r="87" spans="6:28" x14ac:dyDescent="0.25">
      <c r="F87" s="14">
        <v>85</v>
      </c>
      <c r="G87" s="14">
        <f t="shared" si="20"/>
        <v>28.5</v>
      </c>
      <c r="H87" s="14">
        <f t="shared" si="21"/>
        <v>301.64999999999998</v>
      </c>
      <c r="I87" s="15">
        <f t="shared" si="22"/>
        <v>0.70833299999999999</v>
      </c>
      <c r="J87" s="15">
        <f t="shared" si="23"/>
        <v>8592.5956129999995</v>
      </c>
      <c r="K87" s="15">
        <f t="shared" si="24"/>
        <v>7.6125956129999999</v>
      </c>
      <c r="L87" s="15">
        <f t="shared" si="25"/>
        <v>2055.5855569999999</v>
      </c>
      <c r="M87" s="15">
        <v>2053.06</v>
      </c>
      <c r="N87" s="14">
        <f t="shared" si="26"/>
        <v>2.0555855570000001</v>
      </c>
      <c r="O87" s="14">
        <f t="shared" si="27"/>
        <v>2.03735</v>
      </c>
      <c r="P87" s="14">
        <f t="shared" si="28"/>
        <v>1.8235557000000124E-2</v>
      </c>
      <c r="Q87" s="18">
        <f t="shared" si="29"/>
        <v>8.9506255675265052E-3</v>
      </c>
      <c r="R87" s="15">
        <f t="shared" ca="1" si="30"/>
        <v>7.4974858629737611</v>
      </c>
      <c r="S87" s="15">
        <f t="shared" si="31"/>
        <v>7.5140973118279568</v>
      </c>
      <c r="T87" s="15">
        <f t="shared" ca="1" si="32"/>
        <v>1.6611448854195743E-2</v>
      </c>
      <c r="U87" s="18">
        <f t="shared" ca="1" si="33"/>
        <v>2.2107045151049114E-3</v>
      </c>
      <c r="V87" s="15">
        <f t="shared" si="34"/>
        <v>0.70833333333333304</v>
      </c>
      <c r="W87" s="15">
        <f t="shared" ca="1" si="35"/>
        <v>0.50251413702623893</v>
      </c>
      <c r="X87" s="15">
        <f t="shared" ca="1" si="36"/>
        <v>0.20581919630709411</v>
      </c>
      <c r="Y87" s="35">
        <f t="shared" ca="1" si="37"/>
        <v>0.29056827713942712</v>
      </c>
      <c r="Z87" s="36">
        <f t="shared" ca="1" si="38"/>
        <v>26.030169999999998</v>
      </c>
      <c r="AA87" s="18">
        <f t="shared" ca="1" si="39"/>
        <v>8.6660701754386033E-2</v>
      </c>
      <c r="AB87" s="2"/>
    </row>
    <row r="88" spans="6:28" x14ac:dyDescent="0.25">
      <c r="F88" s="14">
        <v>86</v>
      </c>
      <c r="G88" s="14">
        <f t="shared" si="20"/>
        <v>28.6</v>
      </c>
      <c r="H88" s="14">
        <f t="shared" si="21"/>
        <v>301.75</v>
      </c>
      <c r="I88" s="15">
        <f t="shared" si="22"/>
        <v>0.71666700000000005</v>
      </c>
      <c r="J88" s="15">
        <f t="shared" si="23"/>
        <v>8555.8175460000002</v>
      </c>
      <c r="K88" s="15">
        <f t="shared" si="24"/>
        <v>7.5758175459999997</v>
      </c>
      <c r="L88" s="15">
        <f t="shared" si="25"/>
        <v>2053.483686</v>
      </c>
      <c r="M88" s="15">
        <v>2050.88</v>
      </c>
      <c r="N88" s="14">
        <f t="shared" si="26"/>
        <v>2.0534836860000003</v>
      </c>
      <c r="O88" s="14">
        <f t="shared" si="27"/>
        <v>2.0350599999999996</v>
      </c>
      <c r="P88" s="14">
        <f t="shared" si="28"/>
        <v>1.8423686000000661E-2</v>
      </c>
      <c r="Q88" s="18">
        <f t="shared" si="29"/>
        <v>9.0531414307198129E-3</v>
      </c>
      <c r="R88" s="15">
        <f t="shared" ca="1" si="30"/>
        <v>7.4894344985422743</v>
      </c>
      <c r="S88" s="15">
        <f t="shared" si="31"/>
        <v>7.5056513978494603</v>
      </c>
      <c r="T88" s="15">
        <f t="shared" ca="1" si="32"/>
        <v>1.6216899307186061E-2</v>
      </c>
      <c r="U88" s="18">
        <f t="shared" ca="1" si="33"/>
        <v>2.1606251673016112E-3</v>
      </c>
      <c r="V88" s="15">
        <f t="shared" si="34"/>
        <v>0.71666666666666856</v>
      </c>
      <c r="W88" s="15">
        <f t="shared" ca="1" si="35"/>
        <v>0.51056550145772572</v>
      </c>
      <c r="X88" s="15">
        <f t="shared" ca="1" si="36"/>
        <v>0.20610116520894284</v>
      </c>
      <c r="Y88" s="35">
        <f t="shared" ca="1" si="37"/>
        <v>0.28758302122177992</v>
      </c>
      <c r="Z88" s="36">
        <f t="shared" ca="1" si="38"/>
        <v>26.126785999999999</v>
      </c>
      <c r="AA88" s="18">
        <f t="shared" ca="1" si="39"/>
        <v>8.6476013986014066E-2</v>
      </c>
      <c r="AB88" s="2"/>
    </row>
    <row r="89" spans="6:28" x14ac:dyDescent="0.25">
      <c r="F89" s="14">
        <v>87</v>
      </c>
      <c r="G89" s="14">
        <f t="shared" si="20"/>
        <v>28.700000000000003</v>
      </c>
      <c r="H89" s="14">
        <f t="shared" si="21"/>
        <v>301.84999999999997</v>
      </c>
      <c r="I89" s="15">
        <f t="shared" si="22"/>
        <v>0.72499999999999998</v>
      </c>
      <c r="J89" s="15">
        <f t="shared" si="23"/>
        <v>8519.2179780000006</v>
      </c>
      <c r="K89" s="15">
        <f t="shared" si="24"/>
        <v>7.5392179779999999</v>
      </c>
      <c r="L89" s="15">
        <f t="shared" si="25"/>
        <v>2051.3783600000002</v>
      </c>
      <c r="M89" s="15">
        <v>2049.19</v>
      </c>
      <c r="N89" s="14">
        <f t="shared" si="26"/>
        <v>2.0513783600000002</v>
      </c>
      <c r="O89" s="14">
        <f t="shared" si="27"/>
        <v>2.0327699999999997</v>
      </c>
      <c r="P89" s="14">
        <f t="shared" si="28"/>
        <v>1.8608360000000435E-2</v>
      </c>
      <c r="Q89" s="18">
        <f t="shared" si="29"/>
        <v>9.1541886194701997E-3</v>
      </c>
      <c r="R89" s="15">
        <f t="shared" ca="1" si="30"/>
        <v>7.4821506355685123</v>
      </c>
      <c r="S89" s="15">
        <f t="shared" si="31"/>
        <v>7.4972054838709665</v>
      </c>
      <c r="T89" s="15">
        <f t="shared" ca="1" si="32"/>
        <v>1.5054848302454182E-2</v>
      </c>
      <c r="U89" s="18">
        <f t="shared" ca="1" si="33"/>
        <v>2.0080613149582563E-3</v>
      </c>
      <c r="V89" s="15">
        <f t="shared" si="34"/>
        <v>0.72500000000000053</v>
      </c>
      <c r="W89" s="15">
        <f t="shared" ca="1" si="35"/>
        <v>0.51784936443148766</v>
      </c>
      <c r="X89" s="15">
        <f t="shared" ca="1" si="36"/>
        <v>0.20715063556851288</v>
      </c>
      <c r="Y89" s="35">
        <f t="shared" ca="1" si="37"/>
        <v>0.28572501457725891</v>
      </c>
      <c r="Z89" s="36">
        <f t="shared" ca="1" si="38"/>
        <v>26.214192000000001</v>
      </c>
      <c r="AA89" s="18">
        <f t="shared" ca="1" si="39"/>
        <v>8.6613519163763142E-2</v>
      </c>
      <c r="AB89" s="2"/>
    </row>
    <row r="90" spans="6:28" x14ac:dyDescent="0.25">
      <c r="F90" s="14">
        <v>88</v>
      </c>
      <c r="G90" s="14">
        <f t="shared" si="20"/>
        <v>28.8</v>
      </c>
      <c r="H90" s="14">
        <f t="shared" si="21"/>
        <v>301.95</v>
      </c>
      <c r="I90" s="15">
        <f t="shared" si="22"/>
        <v>0.73333300000000001</v>
      </c>
      <c r="J90" s="15">
        <f t="shared" si="23"/>
        <v>8482.7959460000002</v>
      </c>
      <c r="K90" s="15">
        <f t="shared" si="24"/>
        <v>7.5027959460000009</v>
      </c>
      <c r="L90" s="15">
        <f t="shared" si="25"/>
        <v>2049.2695899999999</v>
      </c>
      <c r="M90" s="15">
        <v>2046.75</v>
      </c>
      <c r="N90" s="14">
        <f t="shared" si="26"/>
        <v>2.0492695899999998</v>
      </c>
      <c r="O90" s="14">
        <f t="shared" si="27"/>
        <v>2.0304799999999998</v>
      </c>
      <c r="P90" s="14">
        <f t="shared" si="28"/>
        <v>1.8789589999999912E-2</v>
      </c>
      <c r="Q90" s="18">
        <f t="shared" si="29"/>
        <v>9.2537675820495227E-3</v>
      </c>
      <c r="R90" s="15">
        <f t="shared" ca="1" si="30"/>
        <v>7.4744488629737615</v>
      </c>
      <c r="S90" s="15">
        <f t="shared" si="31"/>
        <v>7.4887595698924718</v>
      </c>
      <c r="T90" s="15">
        <f t="shared" ca="1" si="32"/>
        <v>1.4310706918710281E-2</v>
      </c>
      <c r="U90" s="18">
        <f t="shared" ca="1" si="33"/>
        <v>1.9109582548549843E-3</v>
      </c>
      <c r="V90" s="15">
        <f t="shared" si="34"/>
        <v>0.73333333333333428</v>
      </c>
      <c r="W90" s="15">
        <f t="shared" ca="1" si="35"/>
        <v>0.52555113702623846</v>
      </c>
      <c r="X90" s="15">
        <f t="shared" ca="1" si="36"/>
        <v>0.20778219630709582</v>
      </c>
      <c r="Y90" s="35">
        <f t="shared" ca="1" si="37"/>
        <v>0.28333935860058485</v>
      </c>
      <c r="Z90" s="36">
        <f t="shared" ca="1" si="38"/>
        <v>26.306614</v>
      </c>
      <c r="AA90" s="18">
        <f t="shared" ca="1" si="39"/>
        <v>8.6575902777777811E-2</v>
      </c>
      <c r="AB90" s="2"/>
    </row>
    <row r="91" spans="6:28" x14ac:dyDescent="0.25">
      <c r="F91" s="14">
        <v>89</v>
      </c>
      <c r="G91" s="14">
        <f t="shared" si="20"/>
        <v>28.9</v>
      </c>
      <c r="H91" s="14">
        <f t="shared" si="21"/>
        <v>302.04999999999995</v>
      </c>
      <c r="I91" s="15">
        <f t="shared" si="22"/>
        <v>0.74166699999999997</v>
      </c>
      <c r="J91" s="15">
        <f t="shared" si="23"/>
        <v>8446.5504939999992</v>
      </c>
      <c r="K91" s="15">
        <f t="shared" si="24"/>
        <v>7.4665504939999998</v>
      </c>
      <c r="L91" s="15">
        <f t="shared" si="25"/>
        <v>2047.157387</v>
      </c>
      <c r="M91" s="15">
        <v>2044.31</v>
      </c>
      <c r="N91" s="14">
        <f t="shared" si="26"/>
        <v>2.0471573870000004</v>
      </c>
      <c r="O91" s="14">
        <f t="shared" si="27"/>
        <v>2.0281899999999999</v>
      </c>
      <c r="P91" s="14">
        <f t="shared" si="28"/>
        <v>1.8967387000000446E-2</v>
      </c>
      <c r="Q91" s="18">
        <f t="shared" si="29"/>
        <v>9.3518787687546269E-3</v>
      </c>
      <c r="R91" s="15">
        <f t="shared" ca="1" si="30"/>
        <v>7.4671399999999997</v>
      </c>
      <c r="S91" s="15">
        <f t="shared" si="31"/>
        <v>7.480313655913978</v>
      </c>
      <c r="T91" s="15">
        <f t="shared" ca="1" si="32"/>
        <v>1.3173655913978344E-2</v>
      </c>
      <c r="U91" s="18">
        <f t="shared" ca="1" si="33"/>
        <v>1.7611100977782098E-3</v>
      </c>
      <c r="V91" s="15">
        <f t="shared" si="34"/>
        <v>0.74166666666666714</v>
      </c>
      <c r="W91" s="15">
        <f t="shared" ca="1" si="35"/>
        <v>0.53286000000000033</v>
      </c>
      <c r="X91" s="15">
        <f t="shared" ca="1" si="36"/>
        <v>0.20880666666666681</v>
      </c>
      <c r="Y91" s="35">
        <f t="shared" ca="1" si="37"/>
        <v>0.28153707865168542</v>
      </c>
      <c r="Z91" s="36">
        <f t="shared" ca="1" si="38"/>
        <v>26.39432</v>
      </c>
      <c r="AA91" s="18">
        <f t="shared" ca="1" si="39"/>
        <v>8.6701730103806163E-2</v>
      </c>
      <c r="AB91" s="2"/>
    </row>
    <row r="92" spans="6:28" x14ac:dyDescent="0.25">
      <c r="F92" s="14">
        <v>90</v>
      </c>
      <c r="G92" s="14">
        <f t="shared" si="20"/>
        <v>29</v>
      </c>
      <c r="H92" s="14">
        <f t="shared" si="21"/>
        <v>302.14999999999998</v>
      </c>
      <c r="I92" s="15">
        <f t="shared" si="22"/>
        <v>0.75</v>
      </c>
      <c r="J92" s="15">
        <f t="shared" si="23"/>
        <v>8410.4806719999997</v>
      </c>
      <c r="K92" s="15">
        <f t="shared" si="24"/>
        <v>7.4304806719999998</v>
      </c>
      <c r="L92" s="15">
        <f t="shared" si="25"/>
        <v>2045.0417629999999</v>
      </c>
      <c r="M92" s="15">
        <v>2042.59</v>
      </c>
      <c r="N92" s="14">
        <f t="shared" si="26"/>
        <v>2.045041763</v>
      </c>
      <c r="O92" s="14">
        <f t="shared" si="27"/>
        <v>2.0259</v>
      </c>
      <c r="P92" s="14">
        <f t="shared" si="28"/>
        <v>1.9141762999999923E-2</v>
      </c>
      <c r="Q92" s="18">
        <f t="shared" si="29"/>
        <v>9.4485231255244193E-3</v>
      </c>
      <c r="R92" s="15">
        <f t="shared" ca="1" si="30"/>
        <v>7.4586414985422742</v>
      </c>
      <c r="S92" s="15">
        <f t="shared" si="31"/>
        <v>7.4718677419354833</v>
      </c>
      <c r="T92" s="15">
        <f t="shared" ca="1" si="32"/>
        <v>1.3226243393209103E-2</v>
      </c>
      <c r="U92" s="18">
        <f t="shared" ca="1" si="33"/>
        <v>1.7701388528302601E-3</v>
      </c>
      <c r="V92" s="15">
        <f t="shared" si="34"/>
        <v>0.75</v>
      </c>
      <c r="W92" s="15">
        <f t="shared" ca="1" si="35"/>
        <v>0.54135850145772579</v>
      </c>
      <c r="X92" s="15">
        <f t="shared" ca="1" si="36"/>
        <v>0.20864149854227421</v>
      </c>
      <c r="Y92" s="35">
        <f t="shared" ca="1" si="37"/>
        <v>0.27818866472303228</v>
      </c>
      <c r="Z92" s="36">
        <f t="shared" ca="1" si="38"/>
        <v>26.496302</v>
      </c>
      <c r="AA92" s="18">
        <f t="shared" ca="1" si="39"/>
        <v>8.6334413793103443E-2</v>
      </c>
      <c r="AB92" s="2"/>
    </row>
    <row r="93" spans="6:28" x14ac:dyDescent="0.25">
      <c r="F93" s="14">
        <v>91</v>
      </c>
      <c r="G93" s="14">
        <f t="shared" si="20"/>
        <v>29.1</v>
      </c>
      <c r="H93" s="14">
        <f t="shared" si="21"/>
        <v>302.25</v>
      </c>
      <c r="I93" s="15">
        <f t="shared" si="22"/>
        <v>0.75833300000000003</v>
      </c>
      <c r="J93" s="15">
        <f t="shared" si="23"/>
        <v>8374.5855360000005</v>
      </c>
      <c r="K93" s="15">
        <f t="shared" si="24"/>
        <v>7.394585536000001</v>
      </c>
      <c r="L93" s="15">
        <f t="shared" si="25"/>
        <v>2042.922728</v>
      </c>
      <c r="M93" s="15">
        <v>2040.38</v>
      </c>
      <c r="N93" s="14">
        <f t="shared" si="26"/>
        <v>2.0429227280000002</v>
      </c>
      <c r="O93" s="14">
        <f t="shared" si="27"/>
        <v>2.0236099999999997</v>
      </c>
      <c r="P93" s="14">
        <f t="shared" si="28"/>
        <v>1.9312728000000501E-2</v>
      </c>
      <c r="Q93" s="18">
        <f t="shared" si="29"/>
        <v>9.5437006142490427E-3</v>
      </c>
      <c r="R93" s="15">
        <f t="shared" ca="1" si="30"/>
        <v>7.4524755014577257</v>
      </c>
      <c r="S93" s="15">
        <f t="shared" si="31"/>
        <v>7.4634218279569877</v>
      </c>
      <c r="T93" s="15">
        <f t="shared" ca="1" si="32"/>
        <v>1.0946326499261971E-2</v>
      </c>
      <c r="U93" s="18">
        <f t="shared" ca="1" si="33"/>
        <v>1.4666632479834497E-3</v>
      </c>
      <c r="V93" s="15">
        <f t="shared" si="34"/>
        <v>0.75833333333333464</v>
      </c>
      <c r="W93" s="15">
        <f t="shared" ca="1" si="35"/>
        <v>0.54752449854227425</v>
      </c>
      <c r="X93" s="15">
        <f t="shared" ca="1" si="36"/>
        <v>0.21080883479106038</v>
      </c>
      <c r="Y93" s="35">
        <f t="shared" ca="1" si="37"/>
        <v>0.27798967225194726</v>
      </c>
      <c r="Z93" s="36">
        <f t="shared" ca="1" si="38"/>
        <v>26.570294000000001</v>
      </c>
      <c r="AA93" s="18">
        <f t="shared" ca="1" si="39"/>
        <v>8.6931477663230269E-2</v>
      </c>
      <c r="AB93" s="2"/>
    </row>
    <row r="94" spans="6:28" x14ac:dyDescent="0.25">
      <c r="F94" s="14">
        <v>92</v>
      </c>
      <c r="G94" s="14">
        <f t="shared" si="20"/>
        <v>29.200000000000003</v>
      </c>
      <c r="H94" s="14">
        <f t="shared" si="21"/>
        <v>302.34999999999997</v>
      </c>
      <c r="I94" s="15">
        <f t="shared" si="22"/>
        <v>0.76666699999999999</v>
      </c>
      <c r="J94" s="15">
        <f t="shared" si="23"/>
        <v>8338.8641449999996</v>
      </c>
      <c r="K94" s="15">
        <f t="shared" si="24"/>
        <v>7.3588641450000001</v>
      </c>
      <c r="L94" s="15">
        <f t="shared" si="25"/>
        <v>2040.800293</v>
      </c>
      <c r="M94" s="15">
        <v>2038.16</v>
      </c>
      <c r="N94" s="14">
        <f t="shared" si="26"/>
        <v>2.0408002930000002</v>
      </c>
      <c r="O94" s="14">
        <f t="shared" si="27"/>
        <v>2.0213199999999998</v>
      </c>
      <c r="P94" s="14">
        <f t="shared" si="28"/>
        <v>1.9480293000000426E-2</v>
      </c>
      <c r="Q94" s="18">
        <f t="shared" si="29"/>
        <v>9.6374116913702079E-3</v>
      </c>
      <c r="R94" s="15">
        <f t="shared" ca="1" si="30"/>
        <v>7.4443373644314876</v>
      </c>
      <c r="S94" s="15">
        <f t="shared" si="31"/>
        <v>7.4549759139784939</v>
      </c>
      <c r="T94" s="15">
        <f t="shared" ca="1" si="32"/>
        <v>1.0638549547006271E-2</v>
      </c>
      <c r="U94" s="18">
        <f t="shared" ca="1" si="33"/>
        <v>1.4270400964084134E-3</v>
      </c>
      <c r="V94" s="15">
        <f t="shared" si="34"/>
        <v>0.76666666666666661</v>
      </c>
      <c r="W94" s="15">
        <f t="shared" ca="1" si="35"/>
        <v>0.55566263556851236</v>
      </c>
      <c r="X94" s="15">
        <f t="shared" ca="1" si="36"/>
        <v>0.21100403109815424</v>
      </c>
      <c r="Y94" s="35">
        <f t="shared" ca="1" si="37"/>
        <v>0.27522264925846207</v>
      </c>
      <c r="Z94" s="36">
        <f t="shared" ca="1" si="38"/>
        <v>26.667952</v>
      </c>
      <c r="AA94" s="18">
        <f t="shared" ca="1" si="39"/>
        <v>8.6713972602739831E-2</v>
      </c>
      <c r="AB94" s="2"/>
    </row>
    <row r="95" spans="6:28" x14ac:dyDescent="0.25">
      <c r="F95" s="14">
        <v>93</v>
      </c>
      <c r="G95" s="14">
        <f t="shared" si="20"/>
        <v>29.3</v>
      </c>
      <c r="H95" s="14">
        <f t="shared" si="21"/>
        <v>302.45</v>
      </c>
      <c r="I95" s="15">
        <f t="shared" si="22"/>
        <v>0.77500000000000002</v>
      </c>
      <c r="J95" s="15">
        <f t="shared" si="23"/>
        <v>8303.3155650000008</v>
      </c>
      <c r="K95" s="15">
        <f t="shared" si="24"/>
        <v>7.3233155650000015</v>
      </c>
      <c r="L95" s="15">
        <f t="shared" si="25"/>
        <v>2038.674471</v>
      </c>
      <c r="M95" s="15">
        <v>2035.94</v>
      </c>
      <c r="N95" s="14">
        <f t="shared" si="26"/>
        <v>2.0386744709999998</v>
      </c>
      <c r="O95" s="14">
        <f t="shared" si="27"/>
        <v>2.0190299999999999</v>
      </c>
      <c r="P95" s="14">
        <f t="shared" si="28"/>
        <v>1.9644470999999886E-2</v>
      </c>
      <c r="Q95" s="18">
        <f t="shared" si="29"/>
        <v>9.7296578059760802E-3</v>
      </c>
      <c r="R95" s="15">
        <f t="shared" ca="1" si="30"/>
        <v>7.4362087725947514</v>
      </c>
      <c r="S95" s="15">
        <f t="shared" si="31"/>
        <v>7.4465299999999992</v>
      </c>
      <c r="T95" s="15">
        <f t="shared" ca="1" si="32"/>
        <v>1.0321227405247768E-2</v>
      </c>
      <c r="U95" s="18">
        <f t="shared" ca="1" si="33"/>
        <v>1.386045232510682E-3</v>
      </c>
      <c r="V95" s="15">
        <f t="shared" si="34"/>
        <v>0.77500000000000036</v>
      </c>
      <c r="W95" s="15">
        <f t="shared" ca="1" si="35"/>
        <v>0.56379122740524856</v>
      </c>
      <c r="X95" s="15">
        <f t="shared" ca="1" si="36"/>
        <v>0.21120877259475179</v>
      </c>
      <c r="Y95" s="35">
        <f t="shared" ca="1" si="37"/>
        <v>0.27252744850935701</v>
      </c>
      <c r="Z95" s="36">
        <f t="shared" ca="1" si="38"/>
        <v>26.765495000000001</v>
      </c>
      <c r="AA95" s="18">
        <f t="shared" ca="1" si="39"/>
        <v>8.6501877133105781E-2</v>
      </c>
      <c r="AB95" s="2"/>
    </row>
    <row r="96" spans="6:28" x14ac:dyDescent="0.25">
      <c r="F96" s="14">
        <v>94</v>
      </c>
      <c r="G96" s="14">
        <f t="shared" si="20"/>
        <v>29.4</v>
      </c>
      <c r="H96" s="14">
        <f t="shared" si="21"/>
        <v>302.54999999999995</v>
      </c>
      <c r="I96" s="15">
        <f t="shared" si="22"/>
        <v>0.78333299999999995</v>
      </c>
      <c r="J96" s="15">
        <f t="shared" si="23"/>
        <v>8267.9388689999996</v>
      </c>
      <c r="K96" s="15">
        <f t="shared" si="24"/>
        <v>7.2879388689999995</v>
      </c>
      <c r="L96" s="15">
        <f t="shared" si="25"/>
        <v>2036.545271</v>
      </c>
      <c r="M96" s="15">
        <v>2033.94</v>
      </c>
      <c r="N96" s="14">
        <f t="shared" si="26"/>
        <v>2.036545271</v>
      </c>
      <c r="O96" s="14">
        <f t="shared" si="27"/>
        <v>2.01674</v>
      </c>
      <c r="P96" s="14">
        <f t="shared" si="28"/>
        <v>1.9805271000000069E-2</v>
      </c>
      <c r="Q96" s="18">
        <f t="shared" si="29"/>
        <v>9.8204384303381045E-3</v>
      </c>
      <c r="R96" s="15">
        <f t="shared" ca="1" si="30"/>
        <v>7.4280358629737613</v>
      </c>
      <c r="S96" s="15">
        <f t="shared" si="31"/>
        <v>7.4380840860215054</v>
      </c>
      <c r="T96" s="15">
        <f t="shared" ca="1" si="32"/>
        <v>1.0048223047744109E-2</v>
      </c>
      <c r="U96" s="18">
        <f t="shared" ca="1" si="33"/>
        <v>1.3509154953797679E-3</v>
      </c>
      <c r="V96" s="15">
        <f t="shared" si="34"/>
        <v>0.78333333333333321</v>
      </c>
      <c r="W96" s="15">
        <f t="shared" ca="1" si="35"/>
        <v>0.57196413702623872</v>
      </c>
      <c r="X96" s="15">
        <f t="shared" ca="1" si="36"/>
        <v>0.2113691963070945</v>
      </c>
      <c r="Y96" s="35">
        <f t="shared" ca="1" si="37"/>
        <v>0.26983301656224834</v>
      </c>
      <c r="Z96" s="36">
        <f t="shared" ca="1" si="38"/>
        <v>26.863569999999999</v>
      </c>
      <c r="AA96" s="18">
        <f t="shared" ca="1" si="39"/>
        <v>8.6273129251700664E-2</v>
      </c>
      <c r="AB96" s="2"/>
    </row>
    <row r="97" spans="6:28" x14ac:dyDescent="0.25">
      <c r="F97" s="14">
        <v>95</v>
      </c>
      <c r="G97" s="14">
        <f t="shared" si="20"/>
        <v>29.5</v>
      </c>
      <c r="H97" s="14">
        <f t="shared" si="21"/>
        <v>302.64999999999998</v>
      </c>
      <c r="I97" s="15">
        <f t="shared" si="22"/>
        <v>0.79166700000000001</v>
      </c>
      <c r="J97" s="15">
        <f t="shared" si="23"/>
        <v>8232.7331340000001</v>
      </c>
      <c r="K97" s="15">
        <f t="shared" si="24"/>
        <v>7.2527331339999996</v>
      </c>
      <c r="L97" s="15">
        <f t="shared" si="25"/>
        <v>2034.412707</v>
      </c>
      <c r="M97" s="15">
        <v>2031.46</v>
      </c>
      <c r="N97" s="14">
        <f t="shared" si="26"/>
        <v>2.034412707</v>
      </c>
      <c r="O97" s="14">
        <f t="shared" si="27"/>
        <v>2.0144500000000001</v>
      </c>
      <c r="P97" s="14">
        <f t="shared" si="28"/>
        <v>1.9962706999999913E-2</v>
      </c>
      <c r="Q97" s="18">
        <f t="shared" si="29"/>
        <v>9.9097555163940101E-3</v>
      </c>
      <c r="R97" s="15">
        <f t="shared" ca="1" si="30"/>
        <v>7.4202676355685124</v>
      </c>
      <c r="S97" s="15">
        <f t="shared" si="31"/>
        <v>7.4296381720430107</v>
      </c>
      <c r="T97" s="15">
        <f t="shared" ca="1" si="32"/>
        <v>9.3705364744982589E-3</v>
      </c>
      <c r="U97" s="18">
        <f t="shared" ca="1" si="33"/>
        <v>1.2612372577925335E-3</v>
      </c>
      <c r="V97" s="15">
        <f t="shared" si="34"/>
        <v>0.79166666666666607</v>
      </c>
      <c r="W97" s="15">
        <f t="shared" ca="1" si="35"/>
        <v>0.57973236443148757</v>
      </c>
      <c r="X97" s="15">
        <f t="shared" ca="1" si="36"/>
        <v>0.21193430223517851</v>
      </c>
      <c r="Y97" s="35">
        <f t="shared" ca="1" si="37"/>
        <v>0.26770648703390987</v>
      </c>
      <c r="Z97" s="36">
        <f t="shared" ca="1" si="38"/>
        <v>26.956788</v>
      </c>
      <c r="AA97" s="18">
        <f t="shared" ca="1" si="39"/>
        <v>8.6210576271186459E-2</v>
      </c>
      <c r="AB97" s="2"/>
    </row>
    <row r="98" spans="6:28" x14ac:dyDescent="0.25">
      <c r="F98" s="14">
        <v>96</v>
      </c>
      <c r="G98" s="14">
        <f t="shared" si="20"/>
        <v>29.6</v>
      </c>
      <c r="H98" s="14">
        <f t="shared" si="21"/>
        <v>302.75</v>
      </c>
      <c r="I98" s="15">
        <f t="shared" si="22"/>
        <v>0.8</v>
      </c>
      <c r="J98" s="15">
        <f t="shared" si="23"/>
        <v>8197.6974420000006</v>
      </c>
      <c r="K98" s="15">
        <f t="shared" si="24"/>
        <v>7.2176974420000004</v>
      </c>
      <c r="L98" s="15">
        <f t="shared" si="25"/>
        <v>2032.2767879999999</v>
      </c>
      <c r="M98" s="15">
        <v>2029.69</v>
      </c>
      <c r="N98" s="14">
        <f t="shared" si="26"/>
        <v>2.0322767879999999</v>
      </c>
      <c r="O98" s="14">
        <f t="shared" si="27"/>
        <v>2.0121599999999997</v>
      </c>
      <c r="P98" s="14">
        <f t="shared" si="28"/>
        <v>2.0116788000000163E-2</v>
      </c>
      <c r="Q98" s="18">
        <f t="shared" si="29"/>
        <v>9.9976085400764175E-3</v>
      </c>
      <c r="R98" s="15">
        <f t="shared" ca="1" si="30"/>
        <v>7.4132473644314869</v>
      </c>
      <c r="S98" s="15">
        <f t="shared" si="31"/>
        <v>7.4211922580645151</v>
      </c>
      <c r="T98" s="15">
        <f t="shared" ca="1" si="32"/>
        <v>7.9448936330281938E-3</v>
      </c>
      <c r="U98" s="18">
        <f t="shared" ca="1" si="33"/>
        <v>1.0705683610870717E-3</v>
      </c>
      <c r="V98" s="15">
        <f t="shared" si="34"/>
        <v>0.80000000000000071</v>
      </c>
      <c r="W98" s="15">
        <f t="shared" ca="1" si="35"/>
        <v>0.58675263556851309</v>
      </c>
      <c r="X98" s="15">
        <f t="shared" ca="1" si="36"/>
        <v>0.21324736443148762</v>
      </c>
      <c r="Y98" s="35">
        <f t="shared" ca="1" si="37"/>
        <v>0.2665592055393593</v>
      </c>
      <c r="Z98" s="36">
        <f t="shared" ca="1" si="38"/>
        <v>27.041032000000001</v>
      </c>
      <c r="AA98" s="18">
        <f t="shared" ca="1" si="39"/>
        <v>8.6451621621621622E-2</v>
      </c>
      <c r="AB98" s="2"/>
    </row>
    <row r="99" spans="6:28" x14ac:dyDescent="0.25">
      <c r="F99" s="14">
        <v>97</v>
      </c>
      <c r="G99" s="14">
        <f t="shared" si="20"/>
        <v>29.700000000000003</v>
      </c>
      <c r="H99" s="14">
        <f t="shared" si="21"/>
        <v>302.84999999999997</v>
      </c>
      <c r="I99" s="15">
        <f t="shared" si="22"/>
        <v>0.80833299999999997</v>
      </c>
      <c r="J99" s="15">
        <f t="shared" si="23"/>
        <v>8162.8308809999999</v>
      </c>
      <c r="K99" s="15">
        <f t="shared" si="24"/>
        <v>7.1828308809999992</v>
      </c>
      <c r="L99" s="15">
        <f t="shared" si="25"/>
        <v>2030.137528</v>
      </c>
      <c r="M99" s="15">
        <v>2027.44</v>
      </c>
      <c r="N99" s="14">
        <f t="shared" si="26"/>
        <v>2.030137528</v>
      </c>
      <c r="O99" s="14">
        <f t="shared" si="27"/>
        <v>2.0098699999999998</v>
      </c>
      <c r="P99" s="14">
        <f t="shared" si="28"/>
        <v>2.0267528000000201E-2</v>
      </c>
      <c r="Q99" s="18">
        <f t="shared" si="29"/>
        <v>1.0083999462651915E-2</v>
      </c>
      <c r="R99" s="15">
        <f t="shared" ca="1" si="30"/>
        <v>7.4042774985422737</v>
      </c>
      <c r="S99" s="15">
        <f t="shared" si="31"/>
        <v>7.4127463440860204</v>
      </c>
      <c r="T99" s="15">
        <f t="shared" ca="1" si="32"/>
        <v>8.4688455437467169E-3</v>
      </c>
      <c r="U99" s="18">
        <f t="shared" ca="1" si="33"/>
        <v>1.1424707052742019E-3</v>
      </c>
      <c r="V99" s="15">
        <f t="shared" si="34"/>
        <v>0.80833333333333446</v>
      </c>
      <c r="W99" s="15">
        <f t="shared" ca="1" si="35"/>
        <v>0.59572250145772632</v>
      </c>
      <c r="X99" s="15">
        <f t="shared" ca="1" si="36"/>
        <v>0.21261083187560814</v>
      </c>
      <c r="Y99" s="35">
        <f t="shared" ca="1" si="37"/>
        <v>0.26302370953683446</v>
      </c>
      <c r="Z99" s="36">
        <f t="shared" ca="1" si="38"/>
        <v>27.148669999999999</v>
      </c>
      <c r="AA99" s="18">
        <f t="shared" ca="1" si="39"/>
        <v>8.590336700336712E-2</v>
      </c>
      <c r="AB99" s="2"/>
    </row>
    <row r="100" spans="6:28" x14ac:dyDescent="0.25">
      <c r="F100" s="14">
        <v>98</v>
      </c>
      <c r="G100" s="14">
        <f t="shared" si="20"/>
        <v>29.8</v>
      </c>
      <c r="H100" s="14">
        <f t="shared" si="21"/>
        <v>302.95</v>
      </c>
      <c r="I100" s="15">
        <f t="shared" si="22"/>
        <v>0.81666700000000003</v>
      </c>
      <c r="J100" s="15">
        <f t="shared" si="23"/>
        <v>8128.1325440000001</v>
      </c>
      <c r="K100" s="15">
        <f t="shared" si="24"/>
        <v>7.148132544000001</v>
      </c>
      <c r="L100" s="15">
        <f t="shared" si="25"/>
        <v>2027.9949360000001</v>
      </c>
      <c r="M100" s="15">
        <v>2025.18</v>
      </c>
      <c r="N100" s="14">
        <f t="shared" si="26"/>
        <v>2.0279949360000002</v>
      </c>
      <c r="O100" s="14">
        <f t="shared" si="27"/>
        <v>2.0075799999999999</v>
      </c>
      <c r="P100" s="14">
        <f t="shared" si="28"/>
        <v>2.0414936000000328E-2</v>
      </c>
      <c r="Q100" s="18">
        <f t="shared" si="29"/>
        <v>1.0168927763775456E-2</v>
      </c>
      <c r="R100" s="15">
        <f t="shared" ca="1" si="30"/>
        <v>7.3964624985422738</v>
      </c>
      <c r="S100" s="15">
        <f t="shared" si="31"/>
        <v>7.4043004301075266</v>
      </c>
      <c r="T100" s="15">
        <f t="shared" ca="1" si="32"/>
        <v>7.8379315652528092E-3</v>
      </c>
      <c r="U100" s="18">
        <f t="shared" ca="1" si="33"/>
        <v>1.0585647677641553E-3</v>
      </c>
      <c r="V100" s="15">
        <f t="shared" si="34"/>
        <v>0.81666666666666643</v>
      </c>
      <c r="W100" s="15">
        <f t="shared" ca="1" si="35"/>
        <v>0.60353750145772622</v>
      </c>
      <c r="X100" s="15">
        <f t="shared" ca="1" si="36"/>
        <v>0.21312916520894021</v>
      </c>
      <c r="Y100" s="35">
        <f t="shared" ca="1" si="37"/>
        <v>0.26097448801094725</v>
      </c>
      <c r="Z100" s="36">
        <f t="shared" ca="1" si="38"/>
        <v>27.242450000000002</v>
      </c>
      <c r="AA100" s="18">
        <f t="shared" ca="1" si="39"/>
        <v>8.5823825503355669E-2</v>
      </c>
      <c r="AB100" s="2"/>
    </row>
    <row r="101" spans="6:28" x14ac:dyDescent="0.25">
      <c r="F101" s="14">
        <v>99</v>
      </c>
      <c r="G101" s="14">
        <f t="shared" si="20"/>
        <v>29.9</v>
      </c>
      <c r="H101" s="14">
        <f t="shared" si="21"/>
        <v>303.04999999999995</v>
      </c>
      <c r="I101" s="15">
        <f t="shared" si="22"/>
        <v>0.82499999999999996</v>
      </c>
      <c r="J101" s="15">
        <f t="shared" si="23"/>
        <v>8093.6015299999999</v>
      </c>
      <c r="K101" s="15">
        <f t="shared" si="24"/>
        <v>7.1136015300000004</v>
      </c>
      <c r="L101" s="15">
        <f t="shared" si="25"/>
        <v>2025.8490260000001</v>
      </c>
      <c r="M101" s="15">
        <v>2023.39</v>
      </c>
      <c r="N101" s="14">
        <f t="shared" si="26"/>
        <v>2.0258490259999999</v>
      </c>
      <c r="O101" s="14">
        <f t="shared" si="27"/>
        <v>2.00529</v>
      </c>
      <c r="P101" s="14">
        <f t="shared" si="28"/>
        <v>2.0559025999999925E-2</v>
      </c>
      <c r="Q101" s="18">
        <f t="shared" si="29"/>
        <v>1.0252395414129589E-2</v>
      </c>
      <c r="R101" s="15">
        <f t="shared" ca="1" si="30"/>
        <v>7.3890316355685126</v>
      </c>
      <c r="S101" s="15">
        <f t="shared" si="31"/>
        <v>7.3958545161290319</v>
      </c>
      <c r="T101" s="15">
        <f t="shared" ca="1" si="32"/>
        <v>6.8228805605192733E-3</v>
      </c>
      <c r="U101" s="18">
        <f t="shared" ca="1" si="33"/>
        <v>9.2252768704952147E-4</v>
      </c>
      <c r="V101" s="15">
        <f t="shared" si="34"/>
        <v>0.82500000000000018</v>
      </c>
      <c r="W101" s="15">
        <f t="shared" ca="1" si="35"/>
        <v>0.61096836443148739</v>
      </c>
      <c r="X101" s="15">
        <f t="shared" ca="1" si="36"/>
        <v>0.21403163556851279</v>
      </c>
      <c r="Y101" s="35">
        <f t="shared" ca="1" si="37"/>
        <v>0.25943228553759118</v>
      </c>
      <c r="Z101" s="36">
        <f t="shared" ca="1" si="38"/>
        <v>27.331620000000001</v>
      </c>
      <c r="AA101" s="18">
        <f t="shared" ca="1" si="39"/>
        <v>8.5898996655518325E-2</v>
      </c>
      <c r="AB101" s="2"/>
    </row>
    <row r="102" spans="6:28" x14ac:dyDescent="0.25">
      <c r="F102" s="14">
        <v>100</v>
      </c>
      <c r="G102" s="14">
        <f t="shared" si="20"/>
        <v>30</v>
      </c>
      <c r="H102" s="14">
        <f t="shared" si="21"/>
        <v>303.14999999999998</v>
      </c>
      <c r="I102" s="15">
        <f t="shared" si="22"/>
        <v>0.83333299999999999</v>
      </c>
      <c r="J102" s="15">
        <f t="shared" si="23"/>
        <v>8059.2369429999999</v>
      </c>
      <c r="K102" s="15">
        <f t="shared" si="24"/>
        <v>7.0792369429999997</v>
      </c>
      <c r="L102" s="15">
        <f t="shared" si="25"/>
        <v>2023.699809</v>
      </c>
      <c r="M102" s="15">
        <v>2020.87</v>
      </c>
      <c r="N102" s="14">
        <f t="shared" si="26"/>
        <v>2.023699809</v>
      </c>
      <c r="O102" s="14">
        <f t="shared" si="27"/>
        <v>2.0030000000000001</v>
      </c>
      <c r="P102" s="14">
        <f t="shared" si="28"/>
        <v>2.0699808999999902E-2</v>
      </c>
      <c r="Q102" s="18">
        <f t="shared" si="29"/>
        <v>1.0334402895656465E-2</v>
      </c>
      <c r="R102" s="15">
        <f t="shared" ca="1" si="30"/>
        <v>7.3815662274052487</v>
      </c>
      <c r="S102" s="15">
        <f t="shared" si="31"/>
        <v>7.3874086021505381</v>
      </c>
      <c r="T102" s="15">
        <f t="shared" ca="1" si="32"/>
        <v>5.8423747452893693E-3</v>
      </c>
      <c r="U102" s="18">
        <f t="shared" ca="1" si="33"/>
        <v>7.9085577364552484E-4</v>
      </c>
      <c r="V102" s="15">
        <f t="shared" si="34"/>
        <v>0.83333333333333215</v>
      </c>
      <c r="W102" s="15">
        <f t="shared" ca="1" si="35"/>
        <v>0.6184337725947513</v>
      </c>
      <c r="X102" s="15">
        <f t="shared" ca="1" si="36"/>
        <v>0.21489956073858085</v>
      </c>
      <c r="Y102" s="35">
        <f t="shared" ca="1" si="37"/>
        <v>0.25787947288629737</v>
      </c>
      <c r="Z102" s="36">
        <f t="shared" ca="1" si="38"/>
        <v>27.421205</v>
      </c>
      <c r="AA102" s="18">
        <f t="shared" ca="1" si="39"/>
        <v>8.5959833333333319E-2</v>
      </c>
      <c r="AB102" s="2"/>
    </row>
    <row r="103" spans="6:28" x14ac:dyDescent="0.25">
      <c r="F103" s="14">
        <v>101</v>
      </c>
      <c r="G103" s="14">
        <f t="shared" si="20"/>
        <v>30.1</v>
      </c>
      <c r="H103" s="14">
        <f t="shared" si="21"/>
        <v>303.25</v>
      </c>
      <c r="I103" s="15">
        <f t="shared" si="22"/>
        <v>0.84166700000000005</v>
      </c>
      <c r="J103" s="15">
        <f t="shared" si="23"/>
        <v>8025.0378920000003</v>
      </c>
      <c r="K103" s="15">
        <f t="shared" si="24"/>
        <v>7.0450378919999999</v>
      </c>
      <c r="L103" s="15">
        <f t="shared" si="25"/>
        <v>2021.5472970000001</v>
      </c>
      <c r="M103" s="15">
        <v>2018.82</v>
      </c>
      <c r="N103" s="14">
        <f t="shared" si="26"/>
        <v>2.0215472970000001</v>
      </c>
      <c r="O103" s="14">
        <f t="shared" si="27"/>
        <v>2.0007099999999998</v>
      </c>
      <c r="P103" s="14">
        <f t="shared" si="28"/>
        <v>2.0837297000000365E-2</v>
      </c>
      <c r="Q103" s="18">
        <f t="shared" si="29"/>
        <v>1.0414951192326908E-2</v>
      </c>
      <c r="R103" s="15">
        <f t="shared" ca="1" si="30"/>
        <v>7.3729444985422736</v>
      </c>
      <c r="S103" s="15">
        <f t="shared" si="31"/>
        <v>7.3789626881720416</v>
      </c>
      <c r="T103" s="15">
        <f t="shared" ca="1" si="32"/>
        <v>6.0181896297679671E-3</v>
      </c>
      <c r="U103" s="18">
        <f t="shared" ca="1" si="33"/>
        <v>8.1558748622143084E-4</v>
      </c>
      <c r="V103" s="15">
        <f t="shared" si="34"/>
        <v>0.84166666666666767</v>
      </c>
      <c r="W103" s="15">
        <f t="shared" ca="1" si="35"/>
        <v>0.62705550145772637</v>
      </c>
      <c r="X103" s="15">
        <f t="shared" ca="1" si="36"/>
        <v>0.2146111652089413</v>
      </c>
      <c r="Y103" s="35">
        <f t="shared" ca="1" si="37"/>
        <v>0.25498356262448441</v>
      </c>
      <c r="Z103" s="36">
        <f t="shared" ca="1" si="38"/>
        <v>27.524666</v>
      </c>
      <c r="AA103" s="18">
        <f t="shared" ca="1" si="39"/>
        <v>8.5559269102990082E-2</v>
      </c>
      <c r="AB103" s="2"/>
    </row>
    <row r="104" spans="6:28" x14ac:dyDescent="0.25">
      <c r="F104" s="14">
        <v>102</v>
      </c>
      <c r="G104" s="14">
        <f t="shared" si="20"/>
        <v>30.200000000000003</v>
      </c>
      <c r="H104" s="14">
        <f t="shared" si="21"/>
        <v>303.34999999999997</v>
      </c>
      <c r="I104" s="15">
        <f t="shared" si="22"/>
        <v>0.85</v>
      </c>
      <c r="J104" s="15">
        <f t="shared" si="23"/>
        <v>7991.0034919999998</v>
      </c>
      <c r="K104" s="15">
        <f t="shared" si="24"/>
        <v>7.0110034920000004</v>
      </c>
      <c r="L104" s="15">
        <f t="shared" si="25"/>
        <v>2019.3915019999999</v>
      </c>
      <c r="M104" s="15">
        <v>2017.01</v>
      </c>
      <c r="N104" s="14">
        <f t="shared" si="26"/>
        <v>2.0193915019999999</v>
      </c>
      <c r="O104" s="14">
        <f t="shared" si="27"/>
        <v>1.9984199999999999</v>
      </c>
      <c r="P104" s="14">
        <f t="shared" si="28"/>
        <v>2.0971502000000086E-2</v>
      </c>
      <c r="Q104" s="18">
        <f t="shared" si="29"/>
        <v>1.0494041292621215E-2</v>
      </c>
      <c r="R104" s="15">
        <f t="shared" ca="1" si="30"/>
        <v>7.3658727725947513</v>
      </c>
      <c r="S104" s="15">
        <f t="shared" si="31"/>
        <v>7.3705167741935478</v>
      </c>
      <c r="T104" s="15">
        <f t="shared" ca="1" si="32"/>
        <v>4.6440015987965211E-3</v>
      </c>
      <c r="U104" s="18">
        <f t="shared" ca="1" si="33"/>
        <v>6.3007815341477856E-4</v>
      </c>
      <c r="V104" s="15">
        <f t="shared" si="34"/>
        <v>0.85000000000000053</v>
      </c>
      <c r="W104" s="15">
        <f t="shared" ca="1" si="35"/>
        <v>0.63412722740524874</v>
      </c>
      <c r="X104" s="15">
        <f t="shared" ca="1" si="36"/>
        <v>0.21587277259475179</v>
      </c>
      <c r="Y104" s="35">
        <f t="shared" ca="1" si="37"/>
        <v>0.25396796775853137</v>
      </c>
      <c r="Z104" s="36">
        <f t="shared" ca="1" si="38"/>
        <v>27.609527</v>
      </c>
      <c r="AA104" s="18">
        <f t="shared" ca="1" si="39"/>
        <v>8.577725165562923E-2</v>
      </c>
      <c r="AB104" s="2"/>
    </row>
    <row r="105" spans="6:28" x14ac:dyDescent="0.25">
      <c r="F105" s="14">
        <v>103</v>
      </c>
      <c r="G105" s="14">
        <f t="shared" si="20"/>
        <v>30.3</v>
      </c>
      <c r="H105" s="14">
        <f t="shared" si="21"/>
        <v>303.45</v>
      </c>
      <c r="I105" s="15">
        <f t="shared" si="22"/>
        <v>0.85833300000000001</v>
      </c>
      <c r="J105" s="15">
        <f t="shared" si="23"/>
        <v>7957.132861</v>
      </c>
      <c r="K105" s="15">
        <f t="shared" si="24"/>
        <v>6.9771328610000003</v>
      </c>
      <c r="L105" s="15">
        <f t="shared" si="25"/>
        <v>2017.2324349999999</v>
      </c>
      <c r="M105" s="15">
        <v>2014.71</v>
      </c>
      <c r="N105" s="14">
        <f t="shared" si="26"/>
        <v>2.0172324349999999</v>
      </c>
      <c r="O105" s="14">
        <f t="shared" si="27"/>
        <v>1.99613</v>
      </c>
      <c r="P105" s="14">
        <f t="shared" si="28"/>
        <v>2.1102434999999975E-2</v>
      </c>
      <c r="Q105" s="18">
        <f t="shared" si="29"/>
        <v>1.0571673688587404E-2</v>
      </c>
      <c r="R105" s="15">
        <f t="shared" ca="1" si="30"/>
        <v>7.3587685014577255</v>
      </c>
      <c r="S105" s="15">
        <f t="shared" si="31"/>
        <v>7.3620708602150531</v>
      </c>
      <c r="T105" s="15">
        <f t="shared" ca="1" si="32"/>
        <v>3.3023587573275393E-3</v>
      </c>
      <c r="U105" s="18">
        <f t="shared" ca="1" si="33"/>
        <v>4.4856383754381227E-4</v>
      </c>
      <c r="V105" s="15">
        <f t="shared" si="34"/>
        <v>0.85833333333333339</v>
      </c>
      <c r="W105" s="15">
        <f t="shared" ca="1" si="35"/>
        <v>0.64123149854227446</v>
      </c>
      <c r="X105" s="15">
        <f t="shared" ca="1" si="36"/>
        <v>0.21710183479105893</v>
      </c>
      <c r="Y105" s="35">
        <f t="shared" ca="1" si="37"/>
        <v>0.25293417645560262</v>
      </c>
      <c r="Z105" s="36">
        <f t="shared" ca="1" si="38"/>
        <v>27.694777999999999</v>
      </c>
      <c r="AA105" s="18">
        <f t="shared" ca="1" si="39"/>
        <v>8.5980924092409275E-2</v>
      </c>
      <c r="AB105" s="2"/>
    </row>
    <row r="106" spans="6:28" x14ac:dyDescent="0.25">
      <c r="F106" s="14">
        <v>104</v>
      </c>
      <c r="G106" s="14">
        <f t="shared" si="20"/>
        <v>30.4</v>
      </c>
      <c r="H106" s="14">
        <f t="shared" si="21"/>
        <v>303.54999999999995</v>
      </c>
      <c r="I106" s="15">
        <f t="shared" si="22"/>
        <v>0.86666699999999997</v>
      </c>
      <c r="J106" s="15">
        <f t="shared" si="23"/>
        <v>7923.4251249999998</v>
      </c>
      <c r="K106" s="15">
        <f t="shared" si="24"/>
        <v>6.9434251250000001</v>
      </c>
      <c r="L106" s="15">
        <f t="shared" si="25"/>
        <v>2015.0701100000001</v>
      </c>
      <c r="M106" s="15">
        <v>2012.41</v>
      </c>
      <c r="N106" s="14">
        <f t="shared" si="26"/>
        <v>2.0150701100000004</v>
      </c>
      <c r="O106" s="14">
        <f t="shared" si="27"/>
        <v>1.9938400000000001</v>
      </c>
      <c r="P106" s="14">
        <f t="shared" si="28"/>
        <v>2.1230110000000302E-2</v>
      </c>
      <c r="Q106" s="18">
        <f t="shared" si="29"/>
        <v>1.0647850379167987E-2</v>
      </c>
      <c r="R106" s="15">
        <f t="shared" ca="1" si="30"/>
        <v>7.3501107725947517</v>
      </c>
      <c r="S106" s="15">
        <f t="shared" si="31"/>
        <v>7.3536249462365593</v>
      </c>
      <c r="T106" s="15">
        <f t="shared" ca="1" si="32"/>
        <v>3.5141736418076164E-3</v>
      </c>
      <c r="U106" s="18">
        <f t="shared" ca="1" si="33"/>
        <v>4.7788317564470041E-4</v>
      </c>
      <c r="V106" s="15">
        <f t="shared" si="34"/>
        <v>0.86666666666666625</v>
      </c>
      <c r="W106" s="15">
        <f t="shared" ca="1" si="35"/>
        <v>0.64988922740524835</v>
      </c>
      <c r="X106" s="15">
        <f t="shared" ca="1" si="36"/>
        <v>0.2167774392614179</v>
      </c>
      <c r="Y106" s="35">
        <f t="shared" ca="1" si="37"/>
        <v>0.2501278145324054</v>
      </c>
      <c r="Z106" s="36">
        <f t="shared" ca="1" si="38"/>
        <v>27.798670999999999</v>
      </c>
      <c r="AA106" s="18">
        <f t="shared" ca="1" si="39"/>
        <v>8.5570032894736844E-2</v>
      </c>
      <c r="AB106" s="2"/>
    </row>
    <row r="107" spans="6:28" x14ac:dyDescent="0.25">
      <c r="F107" s="14">
        <v>105</v>
      </c>
      <c r="G107" s="14">
        <f t="shared" si="20"/>
        <v>30.5</v>
      </c>
      <c r="H107" s="14">
        <f t="shared" si="21"/>
        <v>303.64999999999998</v>
      </c>
      <c r="I107" s="15">
        <f t="shared" si="22"/>
        <v>0.875</v>
      </c>
      <c r="J107" s="15">
        <f t="shared" si="23"/>
        <v>7889.879414</v>
      </c>
      <c r="K107" s="15">
        <f t="shared" si="24"/>
        <v>6.9098794139999997</v>
      </c>
      <c r="L107" s="15">
        <f t="shared" si="25"/>
        <v>2012.904538</v>
      </c>
      <c r="M107" s="15">
        <v>2010.33</v>
      </c>
      <c r="N107" s="14">
        <f t="shared" si="26"/>
        <v>2.0129045379999999</v>
      </c>
      <c r="O107" s="14">
        <f t="shared" si="27"/>
        <v>1.9915499999999999</v>
      </c>
      <c r="P107" s="14">
        <f t="shared" si="28"/>
        <v>2.1354537999999978E-2</v>
      </c>
      <c r="Q107" s="18">
        <f t="shared" si="29"/>
        <v>1.0722571866134407E-2</v>
      </c>
      <c r="R107" s="15">
        <f t="shared" ca="1" si="30"/>
        <v>7.3421902274052488</v>
      </c>
      <c r="S107" s="15">
        <f t="shared" si="31"/>
        <v>7.3451790322580637</v>
      </c>
      <c r="T107" s="15">
        <f t="shared" ca="1" si="32"/>
        <v>2.9888048528148303E-3</v>
      </c>
      <c r="U107" s="18">
        <f t="shared" ca="1" si="33"/>
        <v>4.0690701202636425E-4</v>
      </c>
      <c r="V107" s="15">
        <f t="shared" si="34"/>
        <v>0.87500000000000089</v>
      </c>
      <c r="W107" s="15">
        <f t="shared" ca="1" si="35"/>
        <v>0.65780977259475115</v>
      </c>
      <c r="X107" s="15">
        <f t="shared" ca="1" si="36"/>
        <v>0.21719022740524974</v>
      </c>
      <c r="Y107" s="35">
        <f t="shared" ca="1" si="37"/>
        <v>0.24821740274885659</v>
      </c>
      <c r="Z107" s="36">
        <f t="shared" ca="1" si="38"/>
        <v>27.893716999999999</v>
      </c>
      <c r="AA107" s="18">
        <f t="shared" ca="1" si="39"/>
        <v>8.5451901639344297E-2</v>
      </c>
      <c r="AB107" s="2"/>
    </row>
    <row r="108" spans="6:28" x14ac:dyDescent="0.25">
      <c r="F108" s="14">
        <v>106</v>
      </c>
      <c r="G108" s="14">
        <f t="shared" si="20"/>
        <v>30.6</v>
      </c>
      <c r="H108" s="14">
        <f t="shared" si="21"/>
        <v>303.75</v>
      </c>
      <c r="I108" s="15">
        <f t="shared" si="22"/>
        <v>0.88333300000000003</v>
      </c>
      <c r="J108" s="15">
        <f t="shared" si="23"/>
        <v>7856.4948619999996</v>
      </c>
      <c r="K108" s="15">
        <f t="shared" si="24"/>
        <v>6.8764948619999995</v>
      </c>
      <c r="L108" s="15">
        <f t="shared" si="25"/>
        <v>2010.735731</v>
      </c>
      <c r="M108" s="15">
        <v>2008.01</v>
      </c>
      <c r="N108" s="14">
        <f t="shared" si="26"/>
        <v>2.0107357310000005</v>
      </c>
      <c r="O108" s="14">
        <f t="shared" si="27"/>
        <v>1.9892599999999998</v>
      </c>
      <c r="P108" s="14">
        <f t="shared" si="28"/>
        <v>2.1475731000000664E-2</v>
      </c>
      <c r="Q108" s="18">
        <f t="shared" si="29"/>
        <v>1.0795839156269501E-2</v>
      </c>
      <c r="R108" s="15">
        <f t="shared" ca="1" si="30"/>
        <v>7.3335084985422743</v>
      </c>
      <c r="S108" s="15">
        <f t="shared" si="31"/>
        <v>7.336733118279569</v>
      </c>
      <c r="T108" s="15">
        <f t="shared" ca="1" si="32"/>
        <v>3.2246197372947094E-3</v>
      </c>
      <c r="U108" s="18">
        <f t="shared" ca="1" si="33"/>
        <v>4.3951711004186944E-4</v>
      </c>
      <c r="V108" s="15">
        <f t="shared" si="34"/>
        <v>0.88333333333333375</v>
      </c>
      <c r="W108" s="15">
        <f t="shared" ca="1" si="35"/>
        <v>0.66649150145772573</v>
      </c>
      <c r="X108" s="15">
        <f t="shared" ca="1" si="36"/>
        <v>0.21684183187560802</v>
      </c>
      <c r="Y108" s="35">
        <f t="shared" ca="1" si="37"/>
        <v>0.24548131910446178</v>
      </c>
      <c r="Z108" s="36">
        <f t="shared" ca="1" si="38"/>
        <v>27.997897999999999</v>
      </c>
      <c r="AA108" s="18">
        <f t="shared" ca="1" si="39"/>
        <v>8.5036013071895497E-2</v>
      </c>
      <c r="AB108" s="2"/>
    </row>
    <row r="109" spans="6:28" x14ac:dyDescent="0.25">
      <c r="F109" s="14">
        <v>107</v>
      </c>
      <c r="G109" s="14">
        <f t="shared" si="20"/>
        <v>30.700000000000003</v>
      </c>
      <c r="H109" s="14">
        <f t="shared" si="21"/>
        <v>303.84999999999997</v>
      </c>
      <c r="I109" s="15">
        <f t="shared" si="22"/>
        <v>0.89166699999999999</v>
      </c>
      <c r="J109" s="15">
        <f t="shared" si="23"/>
        <v>7823.2706090000001</v>
      </c>
      <c r="K109" s="15">
        <f t="shared" si="24"/>
        <v>6.8432706090000002</v>
      </c>
      <c r="L109" s="15">
        <f t="shared" si="25"/>
        <v>2008.5637019999999</v>
      </c>
      <c r="M109" s="15">
        <v>2005.92</v>
      </c>
      <c r="N109" s="14">
        <f t="shared" si="26"/>
        <v>2.008563702</v>
      </c>
      <c r="O109" s="14">
        <f t="shared" si="27"/>
        <v>1.9869699999999999</v>
      </c>
      <c r="P109" s="14">
        <f t="shared" si="28"/>
        <v>2.1593702000000103E-2</v>
      </c>
      <c r="Q109" s="18">
        <f t="shared" si="29"/>
        <v>1.08676537642743E-2</v>
      </c>
      <c r="R109" s="15">
        <f t="shared" ca="1" si="30"/>
        <v>7.3267523644314876</v>
      </c>
      <c r="S109" s="15">
        <f t="shared" si="31"/>
        <v>7.3282872043010743</v>
      </c>
      <c r="T109" s="15">
        <f t="shared" ca="1" si="32"/>
        <v>1.5348398695866905E-3</v>
      </c>
      <c r="U109" s="18">
        <f t="shared" ca="1" si="33"/>
        <v>2.0944046361691057E-4</v>
      </c>
      <c r="V109" s="15">
        <f t="shared" si="34"/>
        <v>0.8916666666666675</v>
      </c>
      <c r="W109" s="15">
        <f t="shared" ca="1" si="35"/>
        <v>0.67324763556851241</v>
      </c>
      <c r="X109" s="15">
        <f t="shared" ca="1" si="36"/>
        <v>0.21841903109815508</v>
      </c>
      <c r="Y109" s="35">
        <f t="shared" ca="1" si="37"/>
        <v>0.24495592272690267</v>
      </c>
      <c r="Z109" s="36">
        <f t="shared" ca="1" si="38"/>
        <v>28.078972</v>
      </c>
      <c r="AA109" s="18">
        <f t="shared" ca="1" si="39"/>
        <v>8.5375504885993561E-2</v>
      </c>
      <c r="AB109" s="2"/>
    </row>
    <row r="110" spans="6:28" x14ac:dyDescent="0.25">
      <c r="F110" s="14">
        <v>108</v>
      </c>
      <c r="G110" s="14">
        <f t="shared" si="20"/>
        <v>30.8</v>
      </c>
      <c r="H110" s="14">
        <f t="shared" si="21"/>
        <v>303.95</v>
      </c>
      <c r="I110" s="15">
        <f t="shared" si="22"/>
        <v>0.9</v>
      </c>
      <c r="J110" s="15">
        <f t="shared" si="23"/>
        <v>7790.2058010000001</v>
      </c>
      <c r="K110" s="15">
        <f t="shared" si="24"/>
        <v>6.8102058010000004</v>
      </c>
      <c r="L110" s="15">
        <f t="shared" si="25"/>
        <v>2006.388463</v>
      </c>
      <c r="M110" s="15">
        <v>2003.59</v>
      </c>
      <c r="N110" s="14">
        <f t="shared" si="26"/>
        <v>2.0063884630000004</v>
      </c>
      <c r="O110" s="14">
        <f t="shared" si="27"/>
        <v>1.98468</v>
      </c>
      <c r="P110" s="14">
        <f t="shared" si="28"/>
        <v>2.17084630000004E-2</v>
      </c>
      <c r="Q110" s="18">
        <f t="shared" si="29"/>
        <v>1.0938016707983353E-2</v>
      </c>
      <c r="R110" s="15">
        <f t="shared" ca="1" si="30"/>
        <v>7.3184222274052484</v>
      </c>
      <c r="S110" s="15">
        <f t="shared" si="31"/>
        <v>7.3198412903225805</v>
      </c>
      <c r="T110" s="15">
        <f t="shared" ca="1" si="32"/>
        <v>1.4190629173320701E-3</v>
      </c>
      <c r="U110" s="18">
        <f t="shared" ca="1" si="33"/>
        <v>1.938652575989845E-4</v>
      </c>
      <c r="V110" s="15">
        <f t="shared" si="34"/>
        <v>0.89999999999999947</v>
      </c>
      <c r="W110" s="15">
        <f t="shared" ca="1" si="35"/>
        <v>0.68157777259475161</v>
      </c>
      <c r="X110" s="15">
        <f t="shared" ca="1" si="36"/>
        <v>0.21842222740524786</v>
      </c>
      <c r="Y110" s="35">
        <f t="shared" ca="1" si="37"/>
        <v>0.24269136378360887</v>
      </c>
      <c r="Z110" s="36">
        <f t="shared" ca="1" si="38"/>
        <v>28.178933000000001</v>
      </c>
      <c r="AA110" s="18">
        <f t="shared" ca="1" si="39"/>
        <v>8.5099577922077924E-2</v>
      </c>
      <c r="AB110" s="2"/>
    </row>
    <row r="111" spans="6:28" x14ac:dyDescent="0.25">
      <c r="F111" s="14">
        <v>109</v>
      </c>
      <c r="G111" s="14">
        <f t="shared" si="20"/>
        <v>30.9</v>
      </c>
      <c r="H111" s="14">
        <f t="shared" si="21"/>
        <v>304.04999999999995</v>
      </c>
      <c r="I111" s="15">
        <f t="shared" si="22"/>
        <v>0.90833299999999995</v>
      </c>
      <c r="J111" s="15">
        <f t="shared" si="23"/>
        <v>7757.2995870000004</v>
      </c>
      <c r="K111" s="15">
        <f t="shared" si="24"/>
        <v>6.7772995870000008</v>
      </c>
      <c r="L111" s="15">
        <f t="shared" si="25"/>
        <v>2004.2100270000001</v>
      </c>
      <c r="M111" s="15">
        <v>2001.49</v>
      </c>
      <c r="N111" s="14">
        <f t="shared" si="26"/>
        <v>2.0042100270000001</v>
      </c>
      <c r="O111" s="14">
        <f t="shared" si="27"/>
        <v>1.9823900000000001</v>
      </c>
      <c r="P111" s="14">
        <f t="shared" si="28"/>
        <v>2.1820026999999964E-2</v>
      </c>
      <c r="Q111" s="18">
        <f t="shared" si="29"/>
        <v>1.1006929514374045E-2</v>
      </c>
      <c r="R111" s="15">
        <f t="shared" ca="1" si="30"/>
        <v>7.3112685014577261</v>
      </c>
      <c r="S111" s="15">
        <f t="shared" si="31"/>
        <v>7.3113953763440858</v>
      </c>
      <c r="T111" s="15">
        <f t="shared" ca="1" si="32"/>
        <v>1.2687488635965138E-4</v>
      </c>
      <c r="U111" s="18">
        <f t="shared" ca="1" si="33"/>
        <v>1.7353033152899E-5</v>
      </c>
      <c r="V111" s="15">
        <f t="shared" si="34"/>
        <v>0.90833333333333321</v>
      </c>
      <c r="W111" s="15">
        <f t="shared" ca="1" si="35"/>
        <v>0.68873149854227389</v>
      </c>
      <c r="X111" s="15">
        <f t="shared" ca="1" si="36"/>
        <v>0.21960183479105932</v>
      </c>
      <c r="Y111" s="35">
        <f t="shared" ca="1" si="37"/>
        <v>0.2417634878433681</v>
      </c>
      <c r="Z111" s="36">
        <f t="shared" ca="1" si="38"/>
        <v>28.264778</v>
      </c>
      <c r="AA111" s="18">
        <f t="shared" ca="1" si="39"/>
        <v>8.5282265372168251E-2</v>
      </c>
      <c r="AB111" s="2"/>
    </row>
    <row r="112" spans="6:28" x14ac:dyDescent="0.25">
      <c r="F112" s="14">
        <v>110</v>
      </c>
      <c r="G112" s="14">
        <f t="shared" si="20"/>
        <v>31</v>
      </c>
      <c r="H112" s="14">
        <f t="shared" si="21"/>
        <v>304.14999999999998</v>
      </c>
      <c r="I112" s="15">
        <f t="shared" si="22"/>
        <v>0.91666700000000001</v>
      </c>
      <c r="J112" s="15">
        <f t="shared" si="23"/>
        <v>7724.5511219999999</v>
      </c>
      <c r="K112" s="15">
        <f t="shared" si="24"/>
        <v>6.7445511219999998</v>
      </c>
      <c r="L112" s="15">
        <f t="shared" si="25"/>
        <v>2002.0284059999999</v>
      </c>
      <c r="M112" s="15">
        <v>1999.37</v>
      </c>
      <c r="N112" s="14">
        <f t="shared" si="26"/>
        <v>2.002028406</v>
      </c>
      <c r="O112" s="14">
        <f t="shared" si="27"/>
        <v>1.9801</v>
      </c>
      <c r="P112" s="14">
        <f t="shared" si="28"/>
        <v>2.1928406000000011E-2</v>
      </c>
      <c r="Q112" s="18">
        <f t="shared" si="29"/>
        <v>1.1074393212464022E-2</v>
      </c>
      <c r="R112" s="15">
        <f t="shared" ca="1" si="30"/>
        <v>7.3029251370262385</v>
      </c>
      <c r="S112" s="15">
        <f t="shared" si="31"/>
        <v>7.3029494623655911</v>
      </c>
      <c r="T112" s="15">
        <f t="shared" ca="1" si="32"/>
        <v>2.4325339352593289E-5</v>
      </c>
      <c r="U112" s="18">
        <f t="shared" ca="1" si="33"/>
        <v>3.330892467207867E-6</v>
      </c>
      <c r="V112" s="15">
        <f t="shared" si="34"/>
        <v>0.91666666666666696</v>
      </c>
      <c r="W112" s="15">
        <f t="shared" ca="1" si="35"/>
        <v>0.69707486297376153</v>
      </c>
      <c r="X112" s="15">
        <f t="shared" ca="1" si="36"/>
        <v>0.21959180369290543</v>
      </c>
      <c r="Y112" s="35">
        <f t="shared" ca="1" si="37"/>
        <v>0.23955469493771495</v>
      </c>
      <c r="Z112" s="36">
        <f t="shared" ca="1" si="38"/>
        <v>28.364898</v>
      </c>
      <c r="AA112" s="18">
        <f t="shared" ca="1" si="39"/>
        <v>8.5003290322580638E-2</v>
      </c>
      <c r="AB112" s="2"/>
    </row>
    <row r="113" spans="6:28" x14ac:dyDescent="0.25">
      <c r="F113" s="14">
        <v>111</v>
      </c>
      <c r="G113" s="14">
        <f t="shared" si="20"/>
        <v>31.1</v>
      </c>
      <c r="H113" s="14">
        <f t="shared" si="21"/>
        <v>304.25</v>
      </c>
      <c r="I113" s="15">
        <f t="shared" si="22"/>
        <v>0.92500000000000004</v>
      </c>
      <c r="J113" s="15">
        <f t="shared" si="23"/>
        <v>7691.9595669999999</v>
      </c>
      <c r="K113" s="15">
        <f t="shared" si="24"/>
        <v>6.7119595670000001</v>
      </c>
      <c r="L113" s="15">
        <f t="shared" si="25"/>
        <v>1999.8436119999999</v>
      </c>
      <c r="M113" s="15">
        <v>1996.78</v>
      </c>
      <c r="N113" s="14">
        <f t="shared" si="26"/>
        <v>1.999843612</v>
      </c>
      <c r="O113" s="14">
        <f t="shared" si="27"/>
        <v>1.9778099999999998</v>
      </c>
      <c r="P113" s="14">
        <f t="shared" si="28"/>
        <v>2.2033612000000202E-2</v>
      </c>
      <c r="Q113" s="18">
        <f t="shared" si="29"/>
        <v>1.114040883603592E-2</v>
      </c>
      <c r="R113" s="15">
        <f t="shared" ca="1" si="30"/>
        <v>7.2945707725947511</v>
      </c>
      <c r="S113" s="15">
        <f t="shared" si="31"/>
        <v>7.2945035483870955</v>
      </c>
      <c r="T113" s="15">
        <f t="shared" ca="1" si="32"/>
        <v>6.7224207655591783E-5</v>
      </c>
      <c r="U113" s="18">
        <f t="shared" ca="1" si="33"/>
        <v>9.2157344512438941E-6</v>
      </c>
      <c r="V113" s="15">
        <f t="shared" si="34"/>
        <v>0.92500000000000071</v>
      </c>
      <c r="W113" s="15">
        <f t="shared" ca="1" si="35"/>
        <v>0.70542922740524894</v>
      </c>
      <c r="X113" s="15">
        <f t="shared" ca="1" si="36"/>
        <v>0.21957077259475177</v>
      </c>
      <c r="Y113" s="35">
        <f t="shared" ca="1" si="37"/>
        <v>0.23737380821054227</v>
      </c>
      <c r="Z113" s="36">
        <f t="shared" ca="1" si="38"/>
        <v>28.465150999999999</v>
      </c>
      <c r="AA113" s="18">
        <f t="shared" ca="1" si="39"/>
        <v>8.4721832797427732E-2</v>
      </c>
      <c r="AB113" s="2"/>
    </row>
    <row r="114" spans="6:28" x14ac:dyDescent="0.25">
      <c r="F114" s="14">
        <v>112</v>
      </c>
      <c r="G114" s="14">
        <f t="shared" si="20"/>
        <v>31.200000000000003</v>
      </c>
      <c r="H114" s="14">
        <f t="shared" si="21"/>
        <v>304.34999999999997</v>
      </c>
      <c r="I114" s="15">
        <f t="shared" si="22"/>
        <v>0.93333299999999997</v>
      </c>
      <c r="J114" s="15">
        <f t="shared" si="23"/>
        <v>7659.524085</v>
      </c>
      <c r="K114" s="15">
        <f t="shared" si="24"/>
        <v>6.6795240850000006</v>
      </c>
      <c r="L114" s="15">
        <f t="shared" si="25"/>
        <v>1997.655659</v>
      </c>
      <c r="M114" s="15">
        <v>1994.66</v>
      </c>
      <c r="N114" s="14">
        <f t="shared" si="26"/>
        <v>1.9976556589999999</v>
      </c>
      <c r="O114" s="14">
        <f t="shared" si="27"/>
        <v>1.9755199999999999</v>
      </c>
      <c r="P114" s="14">
        <f t="shared" si="28"/>
        <v>2.2135658999999919E-2</v>
      </c>
      <c r="Q114" s="18">
        <f t="shared" si="29"/>
        <v>1.12049784360573E-2</v>
      </c>
      <c r="R114" s="15">
        <f t="shared" ca="1" si="30"/>
        <v>7.2873605014577256</v>
      </c>
      <c r="S114" s="15">
        <f t="shared" si="31"/>
        <v>7.2860576344086017</v>
      </c>
      <c r="T114" s="15">
        <f t="shared" ca="1" si="32"/>
        <v>1.302867049123968E-3</v>
      </c>
      <c r="U114" s="18">
        <f t="shared" ca="1" si="33"/>
        <v>1.7881646213874889E-4</v>
      </c>
      <c r="V114" s="15">
        <f t="shared" si="34"/>
        <v>0.93333333333333357</v>
      </c>
      <c r="W114" s="15">
        <f t="shared" ca="1" si="35"/>
        <v>0.71263949854227437</v>
      </c>
      <c r="X114" s="15">
        <f t="shared" ca="1" si="36"/>
        <v>0.2206938347910592</v>
      </c>
      <c r="Y114" s="35">
        <f t="shared" ca="1" si="37"/>
        <v>0.23645768013327764</v>
      </c>
      <c r="Z114" s="36">
        <f t="shared" ca="1" si="38"/>
        <v>28.551673999999998</v>
      </c>
      <c r="AA114" s="18">
        <f t="shared" ca="1" si="39"/>
        <v>8.4882243589743722E-2</v>
      </c>
      <c r="AB114" s="2"/>
    </row>
    <row r="115" spans="6:28" x14ac:dyDescent="0.25">
      <c r="F115" s="14">
        <v>113</v>
      </c>
      <c r="G115" s="14">
        <f t="shared" si="20"/>
        <v>31.3</v>
      </c>
      <c r="H115" s="14">
        <f t="shared" si="21"/>
        <v>304.45</v>
      </c>
      <c r="I115" s="15">
        <f t="shared" si="22"/>
        <v>0.94166700000000003</v>
      </c>
      <c r="J115" s="15">
        <f t="shared" si="23"/>
        <v>7627.2438469999997</v>
      </c>
      <c r="K115" s="15">
        <f t="shared" si="24"/>
        <v>6.6472438469999995</v>
      </c>
      <c r="L115" s="15">
        <f t="shared" si="25"/>
        <v>1995.4645599999999</v>
      </c>
      <c r="M115" s="15">
        <v>1992.76</v>
      </c>
      <c r="N115" s="14">
        <f t="shared" si="26"/>
        <v>1.9954645599999998</v>
      </c>
      <c r="O115" s="14">
        <f t="shared" si="27"/>
        <v>1.97323</v>
      </c>
      <c r="P115" s="14">
        <f t="shared" si="28"/>
        <v>2.2234559999999792E-2</v>
      </c>
      <c r="Q115" s="18">
        <f t="shared" si="29"/>
        <v>1.1268103566233938E-2</v>
      </c>
      <c r="R115" s="15">
        <f t="shared" ca="1" si="30"/>
        <v>7.2789831370262386</v>
      </c>
      <c r="S115" s="15">
        <f t="shared" si="31"/>
        <v>7.277611720430107</v>
      </c>
      <c r="T115" s="15">
        <f t="shared" ca="1" si="32"/>
        <v>1.3714165961316027E-3</v>
      </c>
      <c r="U115" s="18">
        <f t="shared" ca="1" si="33"/>
        <v>1.8844322132241371E-4</v>
      </c>
      <c r="V115" s="15">
        <f t="shared" si="34"/>
        <v>0.94166666666666643</v>
      </c>
      <c r="W115" s="15">
        <f t="shared" ca="1" si="35"/>
        <v>0.72101686297376144</v>
      </c>
      <c r="X115" s="15">
        <f t="shared" ca="1" si="36"/>
        <v>0.22064980369290499</v>
      </c>
      <c r="Y115" s="35">
        <f t="shared" ca="1" si="37"/>
        <v>0.23431837560308499</v>
      </c>
      <c r="Z115" s="36">
        <f t="shared" ca="1" si="38"/>
        <v>28.652201999999999</v>
      </c>
      <c r="AA115" s="18">
        <f t="shared" ca="1" si="39"/>
        <v>8.4594185303514424E-2</v>
      </c>
      <c r="AB115" s="2"/>
    </row>
    <row r="116" spans="6:28" x14ac:dyDescent="0.25">
      <c r="F116" s="14">
        <v>114</v>
      </c>
      <c r="G116" s="14">
        <f t="shared" si="20"/>
        <v>31.4</v>
      </c>
      <c r="H116" s="14">
        <f t="shared" si="21"/>
        <v>304.54999999999995</v>
      </c>
      <c r="I116" s="15">
        <f t="shared" si="22"/>
        <v>0.95</v>
      </c>
      <c r="J116" s="15">
        <f t="shared" si="23"/>
        <v>7595.1180279999999</v>
      </c>
      <c r="K116" s="15">
        <f t="shared" si="24"/>
        <v>6.6151180280000004</v>
      </c>
      <c r="L116" s="15">
        <f t="shared" si="25"/>
        <v>1993.2703260000001</v>
      </c>
      <c r="M116" s="15">
        <v>1990.15</v>
      </c>
      <c r="N116" s="14">
        <f t="shared" si="26"/>
        <v>1.9932703260000002</v>
      </c>
      <c r="O116" s="14">
        <f t="shared" si="27"/>
        <v>1.9709400000000001</v>
      </c>
      <c r="P116" s="14">
        <f t="shared" si="28"/>
        <v>2.2330326000000067E-2</v>
      </c>
      <c r="Q116" s="18">
        <f t="shared" si="29"/>
        <v>1.1329784772748062E-2</v>
      </c>
      <c r="R116" s="15">
        <f t="shared" ca="1" si="30"/>
        <v>7.2713655014577263</v>
      </c>
      <c r="S116" s="15">
        <f t="shared" si="31"/>
        <v>7.2691658064516131</v>
      </c>
      <c r="T116" s="15">
        <f t="shared" ca="1" si="32"/>
        <v>2.199695006113167E-3</v>
      </c>
      <c r="U116" s="18">
        <f t="shared" ca="1" si="33"/>
        <v>3.026062501093136E-4</v>
      </c>
      <c r="V116" s="15">
        <f t="shared" si="34"/>
        <v>0.94999999999999929</v>
      </c>
      <c r="W116" s="15">
        <f t="shared" ca="1" si="35"/>
        <v>0.72863449854227369</v>
      </c>
      <c r="X116" s="15">
        <f t="shared" ca="1" si="36"/>
        <v>0.2213655014577256</v>
      </c>
      <c r="Y116" s="35">
        <f t="shared" ca="1" si="37"/>
        <v>0.23301631732392186</v>
      </c>
      <c r="Z116" s="36">
        <f t="shared" ca="1" si="38"/>
        <v>28.743614000000001</v>
      </c>
      <c r="AA116" s="18">
        <f t="shared" ca="1" si="39"/>
        <v>8.4598280254777003E-2</v>
      </c>
      <c r="AB116" s="2"/>
    </row>
    <row r="117" spans="6:28" x14ac:dyDescent="0.25">
      <c r="F117" s="14">
        <v>115</v>
      </c>
      <c r="G117" s="14">
        <f t="shared" si="20"/>
        <v>31.5</v>
      </c>
      <c r="H117" s="14">
        <f t="shared" si="21"/>
        <v>304.64999999999998</v>
      </c>
      <c r="I117" s="15">
        <f t="shared" si="22"/>
        <v>0.95833299999999999</v>
      </c>
      <c r="J117" s="15">
        <f t="shared" si="23"/>
        <v>7563.1458050000001</v>
      </c>
      <c r="K117" s="15">
        <f t="shared" si="24"/>
        <v>6.583145805</v>
      </c>
      <c r="L117" s="15">
        <f t="shared" si="25"/>
        <v>1991.0729710000001</v>
      </c>
      <c r="M117" s="15">
        <v>1988</v>
      </c>
      <c r="N117" s="14">
        <f t="shared" si="26"/>
        <v>1.9910729709999999</v>
      </c>
      <c r="O117" s="14">
        <f t="shared" si="27"/>
        <v>1.9686499999999998</v>
      </c>
      <c r="P117" s="14">
        <f t="shared" si="28"/>
        <v>2.2422971000000125E-2</v>
      </c>
      <c r="Q117" s="18">
        <f t="shared" si="29"/>
        <v>1.1390024128209752E-2</v>
      </c>
      <c r="R117" s="15">
        <f t="shared" ca="1" si="30"/>
        <v>7.2629651370262387</v>
      </c>
      <c r="S117" s="15">
        <f t="shared" si="31"/>
        <v>7.2607198924731176</v>
      </c>
      <c r="T117" s="15">
        <f t="shared" ca="1" si="32"/>
        <v>2.2452445531211396E-3</v>
      </c>
      <c r="U117" s="18">
        <f t="shared" ca="1" si="33"/>
        <v>3.092316721167952E-4</v>
      </c>
      <c r="V117" s="15">
        <f t="shared" si="34"/>
        <v>0.95833333333333393</v>
      </c>
      <c r="W117" s="15">
        <f t="shared" ca="1" si="35"/>
        <v>0.73703486297376131</v>
      </c>
      <c r="X117" s="15">
        <f t="shared" ca="1" si="36"/>
        <v>0.22129847035957262</v>
      </c>
      <c r="Y117" s="35">
        <f t="shared" ca="1" si="37"/>
        <v>0.23092014298390173</v>
      </c>
      <c r="Z117" s="36">
        <f t="shared" ca="1" si="38"/>
        <v>28.844418000000001</v>
      </c>
      <c r="AA117" s="18">
        <f t="shared" ca="1" si="39"/>
        <v>8.4304190476190449E-2</v>
      </c>
      <c r="AB117" s="2"/>
    </row>
    <row r="118" spans="6:28" x14ac:dyDescent="0.25">
      <c r="F118" s="14">
        <v>116</v>
      </c>
      <c r="G118" s="14">
        <f t="shared" si="20"/>
        <v>31.6</v>
      </c>
      <c r="H118" s="14">
        <f t="shared" si="21"/>
        <v>304.75</v>
      </c>
      <c r="I118" s="15">
        <f t="shared" si="22"/>
        <v>0.96666700000000005</v>
      </c>
      <c r="J118" s="15">
        <f t="shared" si="23"/>
        <v>7531.3263649999999</v>
      </c>
      <c r="K118" s="15">
        <f t="shared" si="24"/>
        <v>6.5513263650000004</v>
      </c>
      <c r="L118" s="15">
        <f t="shared" si="25"/>
        <v>1988.872509</v>
      </c>
      <c r="M118" s="15">
        <v>1986.08</v>
      </c>
      <c r="N118" s="14">
        <f t="shared" si="26"/>
        <v>1.9888725089999999</v>
      </c>
      <c r="O118" s="14">
        <f t="shared" si="27"/>
        <v>1.9663599999999999</v>
      </c>
      <c r="P118" s="14">
        <f t="shared" si="28"/>
        <v>2.2512509000000014E-2</v>
      </c>
      <c r="Q118" s="18">
        <f t="shared" si="29"/>
        <v>1.1448823714884362E-2</v>
      </c>
      <c r="R118" s="15">
        <f t="shared" ca="1" si="30"/>
        <v>7.2549381370262385</v>
      </c>
      <c r="S118" s="15">
        <f t="shared" si="31"/>
        <v>7.2522739784946229</v>
      </c>
      <c r="T118" s="15">
        <f t="shared" ca="1" si="32"/>
        <v>2.6641585316156124E-3</v>
      </c>
      <c r="U118" s="18">
        <f t="shared" ca="1" si="33"/>
        <v>3.6735492061051726E-4</v>
      </c>
      <c r="V118" s="15">
        <f t="shared" si="34"/>
        <v>0.96666666666666679</v>
      </c>
      <c r="W118" s="15">
        <f t="shared" ca="1" si="35"/>
        <v>0.74506186297376154</v>
      </c>
      <c r="X118" s="15">
        <f t="shared" ca="1" si="36"/>
        <v>0.22160480369290525</v>
      </c>
      <c r="Y118" s="35">
        <f t="shared" ca="1" si="37"/>
        <v>0.229246348647833</v>
      </c>
      <c r="Z118" s="36">
        <f t="shared" ca="1" si="38"/>
        <v>28.940742</v>
      </c>
      <c r="AA118" s="18">
        <f t="shared" ca="1" si="39"/>
        <v>8.4153734177215223E-2</v>
      </c>
      <c r="AB118" s="2"/>
    </row>
    <row r="119" spans="6:28" x14ac:dyDescent="0.25">
      <c r="F119" s="14">
        <v>117</v>
      </c>
      <c r="G119" s="14">
        <f t="shared" si="20"/>
        <v>31.700000000000003</v>
      </c>
      <c r="H119" s="14">
        <f t="shared" si="21"/>
        <v>304.84999999999997</v>
      </c>
      <c r="I119" s="15">
        <f t="shared" si="22"/>
        <v>0.97499999999999998</v>
      </c>
      <c r="J119" s="15">
        <f t="shared" si="23"/>
        <v>7499.6588940000001</v>
      </c>
      <c r="K119" s="15">
        <f t="shared" si="24"/>
        <v>6.519658894</v>
      </c>
      <c r="L119" s="15">
        <f t="shared" si="25"/>
        <v>1986.6689510000001</v>
      </c>
      <c r="M119" s="15">
        <v>1983.92</v>
      </c>
      <c r="N119" s="14">
        <f t="shared" si="26"/>
        <v>1.986668951</v>
      </c>
      <c r="O119" s="14">
        <f t="shared" si="27"/>
        <v>1.96407</v>
      </c>
      <c r="P119" s="14">
        <f t="shared" si="28"/>
        <v>2.2598950999999978E-2</v>
      </c>
      <c r="Q119" s="18">
        <f t="shared" si="29"/>
        <v>1.1506184097308129E-2</v>
      </c>
      <c r="R119" s="15">
        <f t="shared" ca="1" si="30"/>
        <v>7.246505</v>
      </c>
      <c r="S119" s="15">
        <f t="shared" si="31"/>
        <v>7.243828064516129</v>
      </c>
      <c r="T119" s="15">
        <f t="shared" ca="1" si="32"/>
        <v>2.6769354838709347E-3</v>
      </c>
      <c r="U119" s="18">
        <f t="shared" ca="1" si="33"/>
        <v>3.6954707649452579E-4</v>
      </c>
      <c r="V119" s="15">
        <f t="shared" si="34"/>
        <v>0.97499999999999964</v>
      </c>
      <c r="W119" s="15">
        <f t="shared" ca="1" si="35"/>
        <v>0.75349500000000003</v>
      </c>
      <c r="X119" s="15">
        <f t="shared" ca="1" si="36"/>
        <v>0.22150499999999962</v>
      </c>
      <c r="Y119" s="35">
        <f t="shared" ca="1" si="37"/>
        <v>0.22718461538461507</v>
      </c>
      <c r="Z119" s="36">
        <f t="shared" ca="1" si="38"/>
        <v>29.04194</v>
      </c>
      <c r="AA119" s="18">
        <f t="shared" ca="1" si="39"/>
        <v>8.3850473186119948E-2</v>
      </c>
      <c r="AB119" s="2"/>
    </row>
    <row r="120" spans="6:28" x14ac:dyDescent="0.25">
      <c r="F120" s="14">
        <v>118</v>
      </c>
      <c r="G120" s="14">
        <f t="shared" si="20"/>
        <v>31.8</v>
      </c>
      <c r="H120" s="14">
        <f t="shared" si="21"/>
        <v>304.95</v>
      </c>
      <c r="I120" s="15">
        <f t="shared" si="22"/>
        <v>0.98333300000000001</v>
      </c>
      <c r="J120" s="15">
        <f t="shared" si="23"/>
        <v>7468.1425870000003</v>
      </c>
      <c r="K120" s="15">
        <f t="shared" si="24"/>
        <v>6.4881425870000005</v>
      </c>
      <c r="L120" s="15">
        <f t="shared" si="25"/>
        <v>1984.462311</v>
      </c>
      <c r="M120" s="15">
        <v>1981.28</v>
      </c>
      <c r="N120" s="14">
        <f t="shared" si="26"/>
        <v>1.9844623110000001</v>
      </c>
      <c r="O120" s="14">
        <f t="shared" si="27"/>
        <v>1.9617800000000001</v>
      </c>
      <c r="P120" s="14">
        <f t="shared" si="28"/>
        <v>2.2682311000000066E-2</v>
      </c>
      <c r="Q120" s="18">
        <f t="shared" si="29"/>
        <v>1.1562107371876594E-2</v>
      </c>
      <c r="R120" s="15">
        <f t="shared" ca="1" si="30"/>
        <v>7.2388521370262389</v>
      </c>
      <c r="S120" s="15">
        <f t="shared" si="31"/>
        <v>7.2353821505376343</v>
      </c>
      <c r="T120" s="15">
        <f t="shared" ca="1" si="32"/>
        <v>3.4699864886045262E-3</v>
      </c>
      <c r="U120" s="18">
        <f t="shared" ca="1" si="33"/>
        <v>4.7958579331524106E-4</v>
      </c>
      <c r="V120" s="15">
        <f t="shared" si="34"/>
        <v>0.98333333333333339</v>
      </c>
      <c r="W120" s="15">
        <f t="shared" ca="1" si="35"/>
        <v>0.76114786297376114</v>
      </c>
      <c r="X120" s="15">
        <f t="shared" ca="1" si="36"/>
        <v>0.22218547035957226</v>
      </c>
      <c r="Y120" s="35">
        <f t="shared" ca="1" si="37"/>
        <v>0.2259513257893955</v>
      </c>
      <c r="Z120" s="36">
        <f t="shared" ca="1" si="38"/>
        <v>29.133773999999999</v>
      </c>
      <c r="AA120" s="18">
        <f t="shared" ca="1" si="39"/>
        <v>8.3843584905660434E-2</v>
      </c>
      <c r="AB120" s="2"/>
    </row>
    <row r="121" spans="6:28" x14ac:dyDescent="0.25">
      <c r="F121" s="14">
        <v>119</v>
      </c>
      <c r="G121" s="14">
        <f t="shared" si="20"/>
        <v>31.9</v>
      </c>
      <c r="H121" s="14">
        <f t="shared" si="21"/>
        <v>305.04999999999995</v>
      </c>
      <c r="I121" s="15">
        <f t="shared" si="22"/>
        <v>0.99166699999999997</v>
      </c>
      <c r="J121" s="15">
        <f t="shared" si="23"/>
        <v>7436.7766430000001</v>
      </c>
      <c r="K121" s="15">
        <f t="shared" si="24"/>
        <v>6.4567766430000004</v>
      </c>
      <c r="L121" s="15">
        <f t="shared" si="25"/>
        <v>1982.2526029999999</v>
      </c>
      <c r="M121" s="15">
        <v>1979.1</v>
      </c>
      <c r="N121" s="14">
        <f t="shared" si="26"/>
        <v>1.9822526030000001</v>
      </c>
      <c r="O121" s="14">
        <f t="shared" si="27"/>
        <v>1.95949</v>
      </c>
      <c r="P121" s="14">
        <f t="shared" si="28"/>
        <v>2.2762603000000103E-2</v>
      </c>
      <c r="Q121" s="18">
        <f t="shared" si="29"/>
        <v>1.1616595644785175E-2</v>
      </c>
      <c r="R121" s="15">
        <f t="shared" ca="1" si="30"/>
        <v>7.2303959999999998</v>
      </c>
      <c r="S121" s="15">
        <f t="shared" si="31"/>
        <v>7.2269362365591396</v>
      </c>
      <c r="T121" s="15">
        <f t="shared" ca="1" si="32"/>
        <v>3.4597634408601863E-3</v>
      </c>
      <c r="U121" s="18">
        <f t="shared" ca="1" si="33"/>
        <v>4.7873169592367056E-4</v>
      </c>
      <c r="V121" s="15">
        <f t="shared" si="34"/>
        <v>0.99166666666666625</v>
      </c>
      <c r="W121" s="15">
        <f t="shared" ca="1" si="35"/>
        <v>0.76960400000000018</v>
      </c>
      <c r="X121" s="15">
        <f t="shared" ca="1" si="36"/>
        <v>0.22206266666666608</v>
      </c>
      <c r="Y121" s="35">
        <f t="shared" ca="1" si="37"/>
        <v>0.22392873949579781</v>
      </c>
      <c r="Z121" s="36">
        <f t="shared" ca="1" si="38"/>
        <v>29.235247999999999</v>
      </c>
      <c r="AA121" s="18">
        <f t="shared" ca="1" si="39"/>
        <v>8.3534545454545459E-2</v>
      </c>
      <c r="AB121" s="2"/>
    </row>
    <row r="122" spans="6:28" x14ac:dyDescent="0.25">
      <c r="F122" s="14">
        <v>120</v>
      </c>
      <c r="G122" s="14">
        <f t="shared" si="20"/>
        <v>32</v>
      </c>
      <c r="H122" s="14">
        <f t="shared" si="21"/>
        <v>305.14999999999998</v>
      </c>
      <c r="I122" s="15">
        <f t="shared" si="22"/>
        <v>1</v>
      </c>
      <c r="J122" s="15">
        <f t="shared" si="23"/>
        <v>7405.5602630000003</v>
      </c>
      <c r="K122" s="15">
        <f t="shared" si="24"/>
        <v>6.4255602630000004</v>
      </c>
      <c r="L122" s="15">
        <f t="shared" si="25"/>
        <v>1980.039839</v>
      </c>
      <c r="M122" s="15">
        <v>1977.15</v>
      </c>
      <c r="N122" s="14">
        <f t="shared" si="26"/>
        <v>1.9800398390000002</v>
      </c>
      <c r="O122" s="14">
        <f t="shared" si="27"/>
        <v>1.9571999999999998</v>
      </c>
      <c r="P122" s="14">
        <f t="shared" si="28"/>
        <v>2.2839839000000417E-2</v>
      </c>
      <c r="Q122" s="18">
        <f t="shared" si="29"/>
        <v>1.1669650010218894E-2</v>
      </c>
      <c r="R122" s="15">
        <f t="shared" ca="1" si="30"/>
        <v>7.2223142274052483</v>
      </c>
      <c r="S122" s="15">
        <f t="shared" si="31"/>
        <v>7.218490322580644</v>
      </c>
      <c r="T122" s="15">
        <f t="shared" ca="1" si="32"/>
        <v>3.8239048246042628E-3</v>
      </c>
      <c r="U122" s="18">
        <f t="shared" ca="1" si="33"/>
        <v>5.2973747331106749E-4</v>
      </c>
      <c r="V122" s="15">
        <f t="shared" si="34"/>
        <v>1.0000000000000009</v>
      </c>
      <c r="W122" s="15">
        <f t="shared" ca="1" si="35"/>
        <v>0.77768577259475169</v>
      </c>
      <c r="X122" s="15">
        <f t="shared" ca="1" si="36"/>
        <v>0.2223142274052492</v>
      </c>
      <c r="Y122" s="35">
        <f t="shared" ca="1" si="37"/>
        <v>0.222314227405249</v>
      </c>
      <c r="Z122" s="36">
        <f t="shared" ca="1" si="38"/>
        <v>29.332229000000002</v>
      </c>
      <c r="AA122" s="18">
        <f t="shared" ca="1" si="39"/>
        <v>8.3367843749999948E-2</v>
      </c>
      <c r="AB122" s="2"/>
    </row>
    <row r="123" spans="6:28" x14ac:dyDescent="0.25">
      <c r="F123" s="14">
        <v>121</v>
      </c>
      <c r="G123" s="14">
        <f t="shared" si="20"/>
        <v>32.1</v>
      </c>
      <c r="H123" s="14">
        <f t="shared" si="21"/>
        <v>305.25</v>
      </c>
      <c r="I123" s="15">
        <f t="shared" si="22"/>
        <v>1.0083329999999999</v>
      </c>
      <c r="J123" s="15">
        <f t="shared" si="23"/>
        <v>7374.4926560000004</v>
      </c>
      <c r="K123" s="15">
        <f t="shared" si="24"/>
        <v>6.3944926560000006</v>
      </c>
      <c r="L123" s="15">
        <f t="shared" si="25"/>
        <v>1977.8240330000001</v>
      </c>
      <c r="M123" s="15">
        <v>1974.96</v>
      </c>
      <c r="N123" s="14">
        <f t="shared" si="26"/>
        <v>1.9778240330000001</v>
      </c>
      <c r="O123" s="14">
        <f t="shared" si="27"/>
        <v>1.9549099999999999</v>
      </c>
      <c r="P123" s="14">
        <f t="shared" si="28"/>
        <v>2.2914033000000167E-2</v>
      </c>
      <c r="Q123" s="18">
        <f t="shared" si="29"/>
        <v>1.1721272590554126E-2</v>
      </c>
      <c r="R123" s="15">
        <f t="shared" ca="1" si="30"/>
        <v>7.2142312274052482</v>
      </c>
      <c r="S123" s="15">
        <f t="shared" si="31"/>
        <v>7.2100444086021502</v>
      </c>
      <c r="T123" s="15">
        <f t="shared" ca="1" si="32"/>
        <v>4.1868188030980136E-3</v>
      </c>
      <c r="U123" s="18">
        <f t="shared" ca="1" si="33"/>
        <v>5.8069251253193524E-4</v>
      </c>
      <c r="V123" s="15">
        <f t="shared" si="34"/>
        <v>1.0083333333333329</v>
      </c>
      <c r="W123" s="15">
        <f t="shared" ca="1" si="35"/>
        <v>0.78576877259475175</v>
      </c>
      <c r="X123" s="15">
        <f t="shared" ca="1" si="36"/>
        <v>0.22256456073858111</v>
      </c>
      <c r="Y123" s="35">
        <f t="shared" ca="1" si="37"/>
        <v>0.22072518420355161</v>
      </c>
      <c r="Z123" s="36">
        <f t="shared" ca="1" si="38"/>
        <v>29.429224999999999</v>
      </c>
      <c r="AA123" s="18">
        <f t="shared" ca="1" si="39"/>
        <v>8.3201713395638699E-2</v>
      </c>
      <c r="AB123" s="2"/>
    </row>
    <row r="124" spans="6:28" x14ac:dyDescent="0.25">
      <c r="F124" s="14">
        <v>122</v>
      </c>
      <c r="G124" s="14">
        <f t="shared" si="20"/>
        <v>32.200000000000003</v>
      </c>
      <c r="H124" s="14">
        <f t="shared" si="21"/>
        <v>305.34999999999997</v>
      </c>
      <c r="I124" s="15">
        <f t="shared" si="22"/>
        <v>1.016667</v>
      </c>
      <c r="J124" s="15">
        <f t="shared" si="23"/>
        <v>7343.5730329999997</v>
      </c>
      <c r="K124" s="15">
        <f t="shared" si="24"/>
        <v>6.3635730329999998</v>
      </c>
      <c r="L124" s="15">
        <f t="shared" si="25"/>
        <v>1975.6051970000001</v>
      </c>
      <c r="M124" s="15">
        <v>1972.29</v>
      </c>
      <c r="N124" s="14">
        <f t="shared" si="26"/>
        <v>1.9756051969999999</v>
      </c>
      <c r="O124" s="14">
        <f t="shared" si="27"/>
        <v>1.95262</v>
      </c>
      <c r="P124" s="14">
        <f t="shared" si="28"/>
        <v>2.2985196999999902E-2</v>
      </c>
      <c r="Q124" s="18">
        <f t="shared" si="29"/>
        <v>1.1771464493859482E-2</v>
      </c>
      <c r="R124" s="15">
        <f t="shared" ca="1" si="30"/>
        <v>7.2065343644314872</v>
      </c>
      <c r="S124" s="15">
        <f t="shared" si="31"/>
        <v>7.2015984946236555</v>
      </c>
      <c r="T124" s="15">
        <f t="shared" ca="1" si="32"/>
        <v>4.9358698078316721E-3</v>
      </c>
      <c r="U124" s="18">
        <f t="shared" ca="1" si="33"/>
        <v>6.8538530876395564E-4</v>
      </c>
      <c r="V124" s="15">
        <f t="shared" si="34"/>
        <v>1.0166666666666666</v>
      </c>
      <c r="W124" s="15">
        <f t="shared" ca="1" si="35"/>
        <v>0.79346563556851279</v>
      </c>
      <c r="X124" s="15">
        <f t="shared" ca="1" si="36"/>
        <v>0.22320103109815381</v>
      </c>
      <c r="Y124" s="35">
        <f t="shared" ca="1" si="37"/>
        <v>0.21954199780146277</v>
      </c>
      <c r="Z124" s="36">
        <f t="shared" ca="1" si="38"/>
        <v>29.521588000000001</v>
      </c>
      <c r="AA124" s="18">
        <f t="shared" ca="1" si="39"/>
        <v>8.3180496894409983E-2</v>
      </c>
      <c r="AB124" s="2"/>
    </row>
    <row r="125" spans="6:28" x14ac:dyDescent="0.25">
      <c r="F125" s="14">
        <v>123</v>
      </c>
      <c r="G125" s="14">
        <f t="shared" si="20"/>
        <v>32.299999999999997</v>
      </c>
      <c r="H125" s="14">
        <f t="shared" si="21"/>
        <v>305.45</v>
      </c>
      <c r="I125" s="15">
        <f t="shared" si="22"/>
        <v>1.0249999999999999</v>
      </c>
      <c r="J125" s="15">
        <f t="shared" si="23"/>
        <v>7312.8006109999997</v>
      </c>
      <c r="K125" s="15">
        <f t="shared" si="24"/>
        <v>6.3328006109999997</v>
      </c>
      <c r="L125" s="15">
        <f t="shared" si="25"/>
        <v>1973.383347</v>
      </c>
      <c r="M125" s="15">
        <v>1970.32</v>
      </c>
      <c r="N125" s="14">
        <f t="shared" si="26"/>
        <v>1.9733833470000002</v>
      </c>
      <c r="O125" s="14">
        <f t="shared" si="27"/>
        <v>1.9503300000000001</v>
      </c>
      <c r="P125" s="14">
        <f t="shared" si="28"/>
        <v>2.3053347000000057E-2</v>
      </c>
      <c r="Q125" s="18">
        <f t="shared" si="29"/>
        <v>1.1820228884342678E-2</v>
      </c>
      <c r="R125" s="15">
        <f t="shared" ca="1" si="30"/>
        <v>7.1980449999999996</v>
      </c>
      <c r="S125" s="15">
        <f t="shared" si="31"/>
        <v>7.1931525806451617</v>
      </c>
      <c r="T125" s="15">
        <f t="shared" ca="1" si="32"/>
        <v>4.8924193548378625E-3</v>
      </c>
      <c r="U125" s="18">
        <f t="shared" ca="1" si="33"/>
        <v>6.8014953109740044E-4</v>
      </c>
      <c r="V125" s="15">
        <f t="shared" si="34"/>
        <v>1.0249999999999995</v>
      </c>
      <c r="W125" s="15">
        <f t="shared" ca="1" si="35"/>
        <v>0.80195500000000042</v>
      </c>
      <c r="X125" s="15">
        <f t="shared" ca="1" si="36"/>
        <v>0.22304499999999905</v>
      </c>
      <c r="Y125" s="35">
        <f t="shared" ca="1" si="37"/>
        <v>0.21760487804877968</v>
      </c>
      <c r="Z125" s="36">
        <f t="shared" ca="1" si="38"/>
        <v>29.623460000000001</v>
      </c>
      <c r="AA125" s="18">
        <f t="shared" ca="1" si="39"/>
        <v>8.2865015479876042E-2</v>
      </c>
      <c r="AB125" s="2"/>
    </row>
    <row r="126" spans="6:28" x14ac:dyDescent="0.25">
      <c r="F126" s="14">
        <v>124</v>
      </c>
      <c r="G126" s="14">
        <f t="shared" si="20"/>
        <v>32.4</v>
      </c>
      <c r="H126" s="14">
        <f t="shared" si="21"/>
        <v>305.54999999999995</v>
      </c>
      <c r="I126" s="15">
        <f t="shared" si="22"/>
        <v>1.0333330000000001</v>
      </c>
      <c r="J126" s="15">
        <f t="shared" si="23"/>
        <v>7282.1746119999998</v>
      </c>
      <c r="K126" s="15">
        <f t="shared" si="24"/>
        <v>6.302174612</v>
      </c>
      <c r="L126" s="15">
        <f t="shared" si="25"/>
        <v>1971.1584949999999</v>
      </c>
      <c r="M126" s="15">
        <v>1967.88</v>
      </c>
      <c r="N126" s="14">
        <f t="shared" si="26"/>
        <v>1.9711584949999998</v>
      </c>
      <c r="O126" s="14">
        <f t="shared" si="27"/>
        <v>1.94804</v>
      </c>
      <c r="P126" s="14">
        <f t="shared" si="28"/>
        <v>2.311849499999985E-2</v>
      </c>
      <c r="Q126" s="18">
        <f t="shared" si="29"/>
        <v>1.1867566887743502E-2</v>
      </c>
      <c r="R126" s="15">
        <f t="shared" ca="1" si="30"/>
        <v>7.1899182274052489</v>
      </c>
      <c r="S126" s="15">
        <f t="shared" si="31"/>
        <v>7.1847066666666661</v>
      </c>
      <c r="T126" s="15">
        <f t="shared" ca="1" si="32"/>
        <v>5.2115607385827545E-3</v>
      </c>
      <c r="U126" s="18">
        <f t="shared" ca="1" si="33"/>
        <v>7.2536861703230123E-4</v>
      </c>
      <c r="V126" s="15">
        <f t="shared" si="34"/>
        <v>1.0333333333333332</v>
      </c>
      <c r="W126" s="15">
        <f t="shared" ca="1" si="35"/>
        <v>0.81008177259475111</v>
      </c>
      <c r="X126" s="15">
        <f t="shared" ca="1" si="36"/>
        <v>0.2232515607385821</v>
      </c>
      <c r="Y126" s="35">
        <f t="shared" ca="1" si="37"/>
        <v>0.21604989748895045</v>
      </c>
      <c r="Z126" s="36">
        <f t="shared" ca="1" si="38"/>
        <v>29.720980999999998</v>
      </c>
      <c r="AA126" s="18">
        <f t="shared" ca="1" si="39"/>
        <v>8.2685771604938285E-2</v>
      </c>
      <c r="AB126" s="2"/>
    </row>
    <row r="127" spans="6:28" x14ac:dyDescent="0.25">
      <c r="F127" s="14">
        <v>125</v>
      </c>
      <c r="G127" s="14">
        <f t="shared" si="20"/>
        <v>32.5</v>
      </c>
      <c r="H127" s="14">
        <f t="shared" si="21"/>
        <v>305.64999999999998</v>
      </c>
      <c r="I127" s="15">
        <f t="shared" si="22"/>
        <v>1.0416669999999999</v>
      </c>
      <c r="J127" s="15">
        <f t="shared" si="23"/>
        <v>7251.6942600000002</v>
      </c>
      <c r="K127" s="15">
        <f t="shared" si="24"/>
        <v>6.2716942600000003</v>
      </c>
      <c r="L127" s="15">
        <f t="shared" si="25"/>
        <v>1968.930654</v>
      </c>
      <c r="M127" s="15">
        <v>1965.42</v>
      </c>
      <c r="N127" s="14">
        <f t="shared" si="26"/>
        <v>1.968930654</v>
      </c>
      <c r="O127" s="14">
        <f t="shared" si="27"/>
        <v>1.9457499999999999</v>
      </c>
      <c r="P127" s="14">
        <f t="shared" si="28"/>
        <v>2.3180654000000134E-2</v>
      </c>
      <c r="Q127" s="18">
        <f t="shared" si="29"/>
        <v>1.1913480149042855E-2</v>
      </c>
      <c r="R127" s="15">
        <f t="shared" ca="1" si="30"/>
        <v>7.1810214985422745</v>
      </c>
      <c r="S127" s="15">
        <f t="shared" si="31"/>
        <v>7.1762607526881714</v>
      </c>
      <c r="T127" s="15">
        <f t="shared" ca="1" si="32"/>
        <v>4.7607458541030212E-3</v>
      </c>
      <c r="U127" s="18">
        <f t="shared" ca="1" si="33"/>
        <v>6.634020164776876E-4</v>
      </c>
      <c r="V127" s="15">
        <f t="shared" si="34"/>
        <v>1.041666666666667</v>
      </c>
      <c r="W127" s="15">
        <f t="shared" ca="1" si="35"/>
        <v>0.81897850145772555</v>
      </c>
      <c r="X127" s="15">
        <f t="shared" ca="1" si="36"/>
        <v>0.22268816520894141</v>
      </c>
      <c r="Y127" s="35">
        <f t="shared" ca="1" si="37"/>
        <v>0.21378063860058369</v>
      </c>
      <c r="Z127" s="36">
        <f t="shared" ca="1" si="38"/>
        <v>29.827742000000001</v>
      </c>
      <c r="AA127" s="18">
        <f t="shared" ca="1" si="39"/>
        <v>8.2223323076923052E-2</v>
      </c>
      <c r="AB127" s="2"/>
    </row>
    <row r="128" spans="6:28" x14ac:dyDescent="0.25">
      <c r="F128" s="14">
        <v>126</v>
      </c>
      <c r="G128" s="14">
        <f t="shared" si="20"/>
        <v>32.6</v>
      </c>
      <c r="H128" s="14">
        <f t="shared" si="21"/>
        <v>305.75</v>
      </c>
      <c r="I128" s="15">
        <f t="shared" si="22"/>
        <v>1.05</v>
      </c>
      <c r="J128" s="15">
        <f t="shared" si="23"/>
        <v>7221.3587870000001</v>
      </c>
      <c r="K128" s="15">
        <f t="shared" si="24"/>
        <v>6.2413587870000002</v>
      </c>
      <c r="L128" s="15">
        <f t="shared" si="25"/>
        <v>1966.6998390000001</v>
      </c>
      <c r="M128" s="15">
        <v>1963.43</v>
      </c>
      <c r="N128" s="14">
        <f t="shared" si="26"/>
        <v>1.9666998390000001</v>
      </c>
      <c r="O128" s="14">
        <f t="shared" si="27"/>
        <v>1.94346</v>
      </c>
      <c r="P128" s="14">
        <f t="shared" si="28"/>
        <v>2.3239839000000151E-2</v>
      </c>
      <c r="Q128" s="18">
        <f t="shared" si="29"/>
        <v>1.1957971350066455E-2</v>
      </c>
      <c r="R128" s="15">
        <f t="shared" ca="1" si="30"/>
        <v>7.1728844985422739</v>
      </c>
      <c r="S128" s="15">
        <f t="shared" si="31"/>
        <v>7.1678148387096767</v>
      </c>
      <c r="T128" s="15">
        <f t="shared" ca="1" si="32"/>
        <v>5.0696598325972175E-3</v>
      </c>
      <c r="U128" s="18">
        <f t="shared" ca="1" si="33"/>
        <v>7.0728108170688164E-4</v>
      </c>
      <c r="V128" s="15">
        <f t="shared" si="34"/>
        <v>1.0500000000000007</v>
      </c>
      <c r="W128" s="15">
        <f t="shared" ca="1" si="35"/>
        <v>0.82711550145772605</v>
      </c>
      <c r="X128" s="15">
        <f t="shared" ca="1" si="36"/>
        <v>0.22288449854227466</v>
      </c>
      <c r="Y128" s="35">
        <f t="shared" ca="1" si="37"/>
        <v>0.2122709509926424</v>
      </c>
      <c r="Z128" s="36">
        <f t="shared" ca="1" si="38"/>
        <v>29.925386</v>
      </c>
      <c r="AA128" s="18">
        <f t="shared" ca="1" si="39"/>
        <v>8.2043374233128893E-2</v>
      </c>
      <c r="AB128" s="2"/>
    </row>
    <row r="129" spans="6:28" x14ac:dyDescent="0.25">
      <c r="F129" s="14">
        <v>127</v>
      </c>
      <c r="G129" s="14">
        <f t="shared" si="20"/>
        <v>32.700000000000003</v>
      </c>
      <c r="H129" s="14">
        <f t="shared" si="21"/>
        <v>305.84999999999997</v>
      </c>
      <c r="I129" s="15">
        <f t="shared" si="22"/>
        <v>1.058333</v>
      </c>
      <c r="J129" s="15">
        <f t="shared" si="23"/>
        <v>7191.1674270000003</v>
      </c>
      <c r="K129" s="15">
        <f t="shared" si="24"/>
        <v>6.2111674270000004</v>
      </c>
      <c r="L129" s="15">
        <f t="shared" si="25"/>
        <v>1964.4660630000001</v>
      </c>
      <c r="M129" s="15">
        <v>1961.43</v>
      </c>
      <c r="N129" s="14">
        <f t="shared" si="26"/>
        <v>1.9644660629999999</v>
      </c>
      <c r="O129" s="14">
        <f t="shared" si="27"/>
        <v>1.9411699999999998</v>
      </c>
      <c r="P129" s="14">
        <f t="shared" si="28"/>
        <v>2.3296063000000089E-2</v>
      </c>
      <c r="Q129" s="18">
        <f t="shared" si="29"/>
        <v>1.2001042154989048E-2</v>
      </c>
      <c r="R129" s="15">
        <f t="shared" ca="1" si="30"/>
        <v>7.1647364985422737</v>
      </c>
      <c r="S129" s="15">
        <f t="shared" si="31"/>
        <v>7.159368924731182</v>
      </c>
      <c r="T129" s="15">
        <f t="shared" ca="1" si="32"/>
        <v>5.3675738110916527E-3</v>
      </c>
      <c r="U129" s="18">
        <f t="shared" ca="1" si="33"/>
        <v>7.4972722701158927E-4</v>
      </c>
      <c r="V129" s="15">
        <f t="shared" si="34"/>
        <v>1.0583333333333336</v>
      </c>
      <c r="W129" s="15">
        <f t="shared" ca="1" si="35"/>
        <v>0.83526350145772632</v>
      </c>
      <c r="X129" s="15">
        <f t="shared" ca="1" si="36"/>
        <v>0.22306983187560725</v>
      </c>
      <c r="Y129" s="35">
        <f t="shared" ca="1" si="37"/>
        <v>0.21077464429191231</v>
      </c>
      <c r="Z129" s="36">
        <f t="shared" ca="1" si="38"/>
        <v>30.023161999999999</v>
      </c>
      <c r="AA129" s="18">
        <f t="shared" ca="1" si="39"/>
        <v>8.1860489296636182E-2</v>
      </c>
      <c r="AB129" s="2"/>
    </row>
    <row r="130" spans="6:28" x14ac:dyDescent="0.25">
      <c r="F130" s="14">
        <v>128</v>
      </c>
      <c r="G130" s="14">
        <f t="shared" si="20"/>
        <v>32.799999999999997</v>
      </c>
      <c r="H130" s="14">
        <f t="shared" si="21"/>
        <v>305.95</v>
      </c>
      <c r="I130" s="15">
        <f t="shared" si="22"/>
        <v>1.066667</v>
      </c>
      <c r="J130" s="15">
        <f t="shared" si="23"/>
        <v>7161.1194189999997</v>
      </c>
      <c r="K130" s="15">
        <f t="shared" si="24"/>
        <v>6.1811194189999998</v>
      </c>
      <c r="L130" s="15">
        <f t="shared" si="25"/>
        <v>1962.2293400000001</v>
      </c>
      <c r="M130" s="15">
        <v>1959.42</v>
      </c>
      <c r="N130" s="14">
        <f t="shared" si="26"/>
        <v>1.9622293400000004</v>
      </c>
      <c r="O130" s="14">
        <f t="shared" si="27"/>
        <v>1.9388800000000002</v>
      </c>
      <c r="P130" s="14">
        <f t="shared" si="28"/>
        <v>2.3349340000000218E-2</v>
      </c>
      <c r="Q130" s="18">
        <f t="shared" si="29"/>
        <v>1.2042694751609288E-2</v>
      </c>
      <c r="R130" s="15">
        <f t="shared" ca="1" si="30"/>
        <v>7.1573707725947511</v>
      </c>
      <c r="S130" s="15">
        <f t="shared" si="31"/>
        <v>7.1509230107526882</v>
      </c>
      <c r="T130" s="15">
        <f t="shared" ca="1" si="32"/>
        <v>6.4477618420628602E-3</v>
      </c>
      <c r="U130" s="18">
        <f t="shared" ca="1" si="33"/>
        <v>9.0166847445672402E-4</v>
      </c>
      <c r="V130" s="15">
        <f t="shared" si="34"/>
        <v>1.0666666666666664</v>
      </c>
      <c r="W130" s="15">
        <f t="shared" ca="1" si="35"/>
        <v>0.84262922740524893</v>
      </c>
      <c r="X130" s="15">
        <f t="shared" ca="1" si="36"/>
        <v>0.2240374392614175</v>
      </c>
      <c r="Y130" s="35">
        <f t="shared" ca="1" si="37"/>
        <v>0.21003509930757897</v>
      </c>
      <c r="Z130" s="36">
        <f t="shared" ca="1" si="38"/>
        <v>30.111550999999999</v>
      </c>
      <c r="AA130" s="18">
        <f t="shared" ca="1" si="39"/>
        <v>8.1964908536585335E-2</v>
      </c>
      <c r="AB130" s="2"/>
    </row>
    <row r="131" spans="6:28" x14ac:dyDescent="0.25">
      <c r="F131" s="14">
        <v>129</v>
      </c>
      <c r="G131" s="14">
        <f t="shared" ref="G131:G194" si="40">F131*0.1+20</f>
        <v>32.9</v>
      </c>
      <c r="H131" s="14">
        <f t="shared" ref="H131:H194" si="41">G131+273.15</f>
        <v>306.04999999999995</v>
      </c>
      <c r="I131" s="15">
        <f t="shared" ref="I131:I194" si="42">ROUND(1/12*G131-5/3,6)</f>
        <v>1.075</v>
      </c>
      <c r="J131" s="15">
        <f t="shared" ref="J131:J194" si="43">ROUND(10000*EXP(($B$3)+($B$4/H131)+($B$5/(H131^2))+($B$6/(H131^3))),6)</f>
        <v>7131.2140060000002</v>
      </c>
      <c r="K131" s="15">
        <f t="shared" ref="K131:K194" si="44">$B$9*(2*$B$8+J131)-$B$9*$B$10</f>
        <v>6.151214006</v>
      </c>
      <c r="L131" s="15">
        <f t="shared" ref="L131:L194" si="45">ROUND(1/(1/(J131+2*$B$8)+1/($B$7)),6)</f>
        <v>1959.989683</v>
      </c>
      <c r="M131" s="15">
        <v>1956.94</v>
      </c>
      <c r="N131" s="14">
        <f t="shared" ref="N131:N194" si="46">$B$9*(L131+$B$10)*(L131/(L131+$B$10))</f>
        <v>1.9599896829999999</v>
      </c>
      <c r="O131" s="14">
        <f t="shared" ref="O131:O194" si="47">$B$11*G131+$B$12</f>
        <v>1.9365899999999998</v>
      </c>
      <c r="P131" s="14">
        <f t="shared" ref="P131:P194" si="48">ABS(N131-O131)</f>
        <v>2.339968300000006E-2</v>
      </c>
      <c r="Q131" s="18">
        <f t="shared" ref="Q131:Q194" si="49">ABS(O131-N131)/O131</f>
        <v>1.2082930821702096E-2</v>
      </c>
      <c r="R131" s="15">
        <f t="shared" ref="R131:R194" ca="1" si="50">ROUND(N131*$B$29,6)+RANDBETWEEN(-1,1)*$B$24+RANDBETWEEN(-1,1)*$B$25</f>
        <v>7.1495861370262386</v>
      </c>
      <c r="S131" s="15">
        <f t="shared" ref="S131:S194" si="51">O131*$B$23</f>
        <v>7.1424770967741926</v>
      </c>
      <c r="T131" s="15">
        <f t="shared" ref="T131:T194" ca="1" si="52">ABS(R131-S131)</f>
        <v>7.1090402520459506E-3</v>
      </c>
      <c r="U131" s="18">
        <f t="shared" ref="U131:U194" ca="1" si="53">ABS(S131-R131)/S131</f>
        <v>9.9531859265697279E-4</v>
      </c>
      <c r="V131" s="15">
        <f t="shared" ref="V131:V194" si="54">$B$44*S131+$B$45</f>
        <v>1.0750000000000002</v>
      </c>
      <c r="W131" s="15">
        <f t="shared" ref="W131:W194" ca="1" si="55">$B$46*R131+$B$47</f>
        <v>0.85041386297376143</v>
      </c>
      <c r="X131" s="15">
        <f t="shared" ref="X131:X194" ca="1" si="56">ABS(V131-W131)</f>
        <v>0.22458613702623875</v>
      </c>
      <c r="Y131" s="35">
        <f t="shared" ref="Y131:Y194" ca="1" si="57">IF(V131 = 0, ABS(V131-W131)/(V131+0.0001), ABS(V131-W131)/V131)</f>
        <v>0.20891733676859414</v>
      </c>
      <c r="Z131" s="36">
        <f t="shared" ref="Z131:Z194" ca="1" si="58">ROUND((W131+5/3)/(1/12),6)</f>
        <v>30.204965999999999</v>
      </c>
      <c r="AA131" s="18">
        <f t="shared" ref="AA131:AA194" ca="1" si="59">ABS(G131-Z131)/G131</f>
        <v>8.1915927051671722E-2</v>
      </c>
      <c r="AB131" s="2"/>
    </row>
    <row r="132" spans="6:28" x14ac:dyDescent="0.25">
      <c r="F132" s="14">
        <v>130</v>
      </c>
      <c r="G132" s="14">
        <f t="shared" si="40"/>
        <v>33</v>
      </c>
      <c r="H132" s="14">
        <f t="shared" si="41"/>
        <v>306.14999999999998</v>
      </c>
      <c r="I132" s="15">
        <f t="shared" si="42"/>
        <v>1.0833330000000001</v>
      </c>
      <c r="J132" s="15">
        <f t="shared" si="43"/>
        <v>7101.4504370000004</v>
      </c>
      <c r="K132" s="15">
        <f t="shared" si="44"/>
        <v>6.1214504370000009</v>
      </c>
      <c r="L132" s="15">
        <f t="shared" si="45"/>
        <v>1957.7471069999999</v>
      </c>
      <c r="M132" s="15">
        <v>1954.45</v>
      </c>
      <c r="N132" s="14">
        <f t="shared" si="46"/>
        <v>1.9577471069999999</v>
      </c>
      <c r="O132" s="14">
        <f t="shared" si="47"/>
        <v>1.9342999999999999</v>
      </c>
      <c r="P132" s="14">
        <f t="shared" si="48"/>
        <v>2.3447106999999967E-2</v>
      </c>
      <c r="Q132" s="18">
        <f t="shared" si="49"/>
        <v>1.2121753088972738E-2</v>
      </c>
      <c r="R132" s="15">
        <f t="shared" ca="1" si="50"/>
        <v>7.1402284985422737</v>
      </c>
      <c r="S132" s="15">
        <f t="shared" si="51"/>
        <v>7.1340311827956979</v>
      </c>
      <c r="T132" s="15">
        <f t="shared" ca="1" si="52"/>
        <v>6.1973157465757822E-3</v>
      </c>
      <c r="U132" s="18">
        <f t="shared" ca="1" si="53"/>
        <v>8.6869759716233345E-4</v>
      </c>
      <c r="V132" s="15">
        <f t="shared" si="54"/>
        <v>1.0833333333333339</v>
      </c>
      <c r="W132" s="15">
        <f t="shared" ca="1" si="55"/>
        <v>0.85977150145772629</v>
      </c>
      <c r="X132" s="15">
        <f t="shared" ca="1" si="56"/>
        <v>0.22356183187560763</v>
      </c>
      <c r="Y132" s="35">
        <f t="shared" ca="1" si="57"/>
        <v>0.20636476788517616</v>
      </c>
      <c r="Z132" s="36">
        <f t="shared" ca="1" si="58"/>
        <v>30.317257999999999</v>
      </c>
      <c r="AA132" s="18">
        <f t="shared" ca="1" si="59"/>
        <v>8.1295212121212157E-2</v>
      </c>
      <c r="AB132" s="2"/>
    </row>
    <row r="133" spans="6:28" x14ac:dyDescent="0.25">
      <c r="F133" s="14">
        <v>131</v>
      </c>
      <c r="G133" s="14">
        <f t="shared" si="40"/>
        <v>33.1</v>
      </c>
      <c r="H133" s="14">
        <f t="shared" si="41"/>
        <v>306.25</v>
      </c>
      <c r="I133" s="15">
        <f t="shared" si="42"/>
        <v>1.0916669999999999</v>
      </c>
      <c r="J133" s="15">
        <f t="shared" si="43"/>
        <v>7071.8279629999997</v>
      </c>
      <c r="K133" s="15">
        <f t="shared" si="44"/>
        <v>6.0918279630000001</v>
      </c>
      <c r="L133" s="15">
        <f t="shared" si="45"/>
        <v>1955.501626</v>
      </c>
      <c r="M133" s="15">
        <v>1952.42</v>
      </c>
      <c r="N133" s="14">
        <f t="shared" si="46"/>
        <v>1.955501626</v>
      </c>
      <c r="O133" s="14">
        <f t="shared" si="47"/>
        <v>1.93201</v>
      </c>
      <c r="P133" s="14">
        <f t="shared" si="48"/>
        <v>2.3491625999999988E-2</v>
      </c>
      <c r="Q133" s="18">
        <f t="shared" si="49"/>
        <v>1.2159163772444236E-2</v>
      </c>
      <c r="R133" s="15">
        <f t="shared" ca="1" si="50"/>
        <v>7.1324346355685124</v>
      </c>
      <c r="S133" s="15">
        <f t="shared" si="51"/>
        <v>7.1255852688172041</v>
      </c>
      <c r="T133" s="15">
        <f t="shared" ca="1" si="52"/>
        <v>6.8493667513083167E-3</v>
      </c>
      <c r="U133" s="18">
        <f t="shared" ca="1" si="53"/>
        <v>9.6123567298848174E-4</v>
      </c>
      <c r="V133" s="15">
        <f t="shared" si="54"/>
        <v>1.0916666666666668</v>
      </c>
      <c r="W133" s="15">
        <f t="shared" ca="1" si="55"/>
        <v>0.86756536443148757</v>
      </c>
      <c r="X133" s="15">
        <f t="shared" ca="1" si="56"/>
        <v>0.22410130223517921</v>
      </c>
      <c r="Y133" s="35">
        <f t="shared" ca="1" si="57"/>
        <v>0.20528363563527866</v>
      </c>
      <c r="Z133" s="36">
        <f t="shared" ca="1" si="58"/>
        <v>30.410784</v>
      </c>
      <c r="AA133" s="18">
        <f t="shared" ca="1" si="59"/>
        <v>8.1245196374622408E-2</v>
      </c>
      <c r="AB133" s="2"/>
    </row>
    <row r="134" spans="6:28" x14ac:dyDescent="0.25">
      <c r="F134" s="14">
        <v>132</v>
      </c>
      <c r="G134" s="14">
        <f t="shared" si="40"/>
        <v>33.200000000000003</v>
      </c>
      <c r="H134" s="14">
        <f t="shared" si="41"/>
        <v>306.34999999999997</v>
      </c>
      <c r="I134" s="15">
        <f t="shared" si="42"/>
        <v>1.1000000000000001</v>
      </c>
      <c r="J134" s="15">
        <f t="shared" si="43"/>
        <v>7042.3458419999997</v>
      </c>
      <c r="K134" s="15">
        <f t="shared" si="44"/>
        <v>6.062345842</v>
      </c>
      <c r="L134" s="15">
        <f t="shared" si="45"/>
        <v>1953.2532530000001</v>
      </c>
      <c r="M134" s="15">
        <v>1949.92</v>
      </c>
      <c r="N134" s="14">
        <f t="shared" si="46"/>
        <v>1.953253253</v>
      </c>
      <c r="O134" s="14">
        <f t="shared" si="47"/>
        <v>1.9297199999999999</v>
      </c>
      <c r="P134" s="14">
        <f t="shared" si="48"/>
        <v>2.3533253000000087E-2</v>
      </c>
      <c r="Q134" s="18">
        <f t="shared" si="49"/>
        <v>1.2195164583462932E-2</v>
      </c>
      <c r="R134" s="15">
        <f t="shared" ca="1" si="50"/>
        <v>7.124619</v>
      </c>
      <c r="S134" s="15">
        <f t="shared" si="51"/>
        <v>7.1171393548387085</v>
      </c>
      <c r="T134" s="15">
        <f t="shared" ca="1" si="52"/>
        <v>7.4796451612915149E-3</v>
      </c>
      <c r="U134" s="18">
        <f t="shared" ca="1" si="53"/>
        <v>1.0509342010011861E-3</v>
      </c>
      <c r="V134" s="15">
        <f t="shared" si="54"/>
        <v>1.1000000000000005</v>
      </c>
      <c r="W134" s="15">
        <f t="shared" ca="1" si="55"/>
        <v>0.87538099999999996</v>
      </c>
      <c r="X134" s="15">
        <f t="shared" ca="1" si="56"/>
        <v>0.22461900000000057</v>
      </c>
      <c r="Y134" s="35">
        <f t="shared" ca="1" si="57"/>
        <v>0.20419909090909133</v>
      </c>
      <c r="Z134" s="36">
        <f t="shared" ca="1" si="58"/>
        <v>30.504572</v>
      </c>
      <c r="AA134" s="18">
        <f t="shared" ca="1" si="59"/>
        <v>8.1187590361445877E-2</v>
      </c>
      <c r="AB134" s="2"/>
    </row>
    <row r="135" spans="6:28" x14ac:dyDescent="0.25">
      <c r="F135" s="14">
        <v>133</v>
      </c>
      <c r="G135" s="14">
        <f t="shared" si="40"/>
        <v>33.299999999999997</v>
      </c>
      <c r="H135" s="14">
        <f t="shared" si="41"/>
        <v>306.45</v>
      </c>
      <c r="I135" s="15">
        <f t="shared" si="42"/>
        <v>1.108333</v>
      </c>
      <c r="J135" s="15">
        <f t="shared" si="43"/>
        <v>7013.0033329999997</v>
      </c>
      <c r="K135" s="15">
        <f t="shared" si="44"/>
        <v>6.0330033329999999</v>
      </c>
      <c r="L135" s="15">
        <f t="shared" si="45"/>
        <v>1951.0020030000001</v>
      </c>
      <c r="M135" s="15">
        <v>1947.87</v>
      </c>
      <c r="N135" s="14">
        <f t="shared" si="46"/>
        <v>1.9510020030000002</v>
      </c>
      <c r="O135" s="14">
        <f t="shared" si="47"/>
        <v>1.92743</v>
      </c>
      <c r="P135" s="14">
        <f t="shared" si="48"/>
        <v>2.3572003000000175E-2</v>
      </c>
      <c r="Q135" s="18">
        <f t="shared" si="49"/>
        <v>1.2229758279159385E-2</v>
      </c>
      <c r="R135" s="15">
        <f t="shared" ca="1" si="50"/>
        <v>7.1164069999999997</v>
      </c>
      <c r="S135" s="15">
        <f t="shared" si="51"/>
        <v>7.1086934408602147</v>
      </c>
      <c r="T135" s="15">
        <f t="shared" ca="1" si="52"/>
        <v>7.7135591397849979E-3</v>
      </c>
      <c r="U135" s="18">
        <f t="shared" ca="1" si="53"/>
        <v>1.0850881676016668E-3</v>
      </c>
      <c r="V135" s="15">
        <f t="shared" si="54"/>
        <v>1.1083333333333334</v>
      </c>
      <c r="W135" s="15">
        <f t="shared" ca="1" si="55"/>
        <v>0.88359300000000029</v>
      </c>
      <c r="X135" s="15">
        <f t="shared" ca="1" si="56"/>
        <v>0.2247403333333331</v>
      </c>
      <c r="Y135" s="35">
        <f t="shared" ca="1" si="57"/>
        <v>0.20277323308270653</v>
      </c>
      <c r="Z135" s="36">
        <f t="shared" ca="1" si="58"/>
        <v>30.603116</v>
      </c>
      <c r="AA135" s="18">
        <f t="shared" ca="1" si="59"/>
        <v>8.0987507507507425E-2</v>
      </c>
      <c r="AB135" s="2"/>
    </row>
    <row r="136" spans="6:28" x14ac:dyDescent="0.25">
      <c r="F136" s="14">
        <v>134</v>
      </c>
      <c r="G136" s="14">
        <f t="shared" si="40"/>
        <v>33.4</v>
      </c>
      <c r="H136" s="14">
        <f t="shared" si="41"/>
        <v>306.54999999999995</v>
      </c>
      <c r="I136" s="15">
        <f t="shared" si="42"/>
        <v>1.1166670000000001</v>
      </c>
      <c r="J136" s="15">
        <f t="shared" si="43"/>
        <v>6983.7997020000003</v>
      </c>
      <c r="K136" s="15">
        <f t="shared" si="44"/>
        <v>6.0037997020000002</v>
      </c>
      <c r="L136" s="15">
        <f t="shared" si="45"/>
        <v>1948.7478900000001</v>
      </c>
      <c r="M136" s="15">
        <v>1945.82</v>
      </c>
      <c r="N136" s="14">
        <f t="shared" si="46"/>
        <v>1.9487478900000001</v>
      </c>
      <c r="O136" s="14">
        <f t="shared" si="47"/>
        <v>1.9251399999999999</v>
      </c>
      <c r="P136" s="14">
        <f t="shared" si="48"/>
        <v>2.3607890000000298E-2</v>
      </c>
      <c r="Q136" s="18">
        <f t="shared" si="49"/>
        <v>1.2262947110340183E-2</v>
      </c>
      <c r="R136" s="15">
        <f t="shared" ca="1" si="50"/>
        <v>7.1081957725947511</v>
      </c>
      <c r="S136" s="15">
        <f t="shared" si="51"/>
        <v>7.1002475268817191</v>
      </c>
      <c r="T136" s="15">
        <f t="shared" ca="1" si="52"/>
        <v>7.9482457130319872E-3</v>
      </c>
      <c r="U136" s="18">
        <f t="shared" ca="1" si="53"/>
        <v>1.119432200488747E-3</v>
      </c>
      <c r="V136" s="15">
        <f t="shared" si="54"/>
        <v>1.1166666666666671</v>
      </c>
      <c r="W136" s="15">
        <f t="shared" ca="1" si="55"/>
        <v>0.89180422740524889</v>
      </c>
      <c r="X136" s="15">
        <f t="shared" ca="1" si="56"/>
        <v>0.22486243926141825</v>
      </c>
      <c r="Y136" s="35">
        <f t="shared" ca="1" si="57"/>
        <v>0.20136934859231476</v>
      </c>
      <c r="Z136" s="36">
        <f t="shared" ca="1" si="58"/>
        <v>30.701650999999998</v>
      </c>
      <c r="AA136" s="18">
        <f t="shared" ca="1" si="59"/>
        <v>8.0788892215568869E-2</v>
      </c>
      <c r="AB136" s="2"/>
    </row>
    <row r="137" spans="6:28" x14ac:dyDescent="0.25">
      <c r="F137" s="14">
        <v>135</v>
      </c>
      <c r="G137" s="14">
        <f t="shared" si="40"/>
        <v>33.5</v>
      </c>
      <c r="H137" s="14">
        <f t="shared" si="41"/>
        <v>306.64999999999998</v>
      </c>
      <c r="I137" s="15">
        <f t="shared" si="42"/>
        <v>1.125</v>
      </c>
      <c r="J137" s="15">
        <f t="shared" si="43"/>
        <v>6954.7342189999999</v>
      </c>
      <c r="K137" s="15">
        <f t="shared" si="44"/>
        <v>5.9747342190000001</v>
      </c>
      <c r="L137" s="15">
        <f t="shared" si="45"/>
        <v>1946.4909279999999</v>
      </c>
      <c r="M137" s="15">
        <v>1943.3</v>
      </c>
      <c r="N137" s="14">
        <f t="shared" si="46"/>
        <v>1.9464909279999998</v>
      </c>
      <c r="O137" s="14">
        <f t="shared" si="47"/>
        <v>1.9228499999999999</v>
      </c>
      <c r="P137" s="14">
        <f t="shared" si="48"/>
        <v>2.3640927999999839E-2</v>
      </c>
      <c r="Q137" s="18">
        <f t="shared" si="49"/>
        <v>1.2294733338533863E-2</v>
      </c>
      <c r="R137" s="15">
        <f t="shared" ca="1" si="50"/>
        <v>7.0999422274052488</v>
      </c>
      <c r="S137" s="15">
        <f t="shared" si="51"/>
        <v>7.0918016129032253</v>
      </c>
      <c r="T137" s="15">
        <f t="shared" ca="1" si="52"/>
        <v>8.1406145020235243E-3</v>
      </c>
      <c r="U137" s="18">
        <f t="shared" ca="1" si="53"/>
        <v>1.1478908952010205E-3</v>
      </c>
      <c r="V137" s="15">
        <f t="shared" si="54"/>
        <v>1.125</v>
      </c>
      <c r="W137" s="15">
        <f t="shared" ca="1" si="55"/>
        <v>0.90005777259475117</v>
      </c>
      <c r="X137" s="15">
        <f t="shared" ca="1" si="56"/>
        <v>0.22494222740524883</v>
      </c>
      <c r="Y137" s="35">
        <f t="shared" ca="1" si="57"/>
        <v>0.19994864658244341</v>
      </c>
      <c r="Z137" s="36">
        <f t="shared" ca="1" si="58"/>
        <v>30.800692999999999</v>
      </c>
      <c r="AA137" s="18">
        <f t="shared" ca="1" si="59"/>
        <v>8.0576328358208979E-2</v>
      </c>
      <c r="AB137" s="2"/>
    </row>
    <row r="138" spans="6:28" x14ac:dyDescent="0.25">
      <c r="F138" s="14">
        <v>136</v>
      </c>
      <c r="G138" s="14">
        <f t="shared" si="40"/>
        <v>33.6</v>
      </c>
      <c r="H138" s="14">
        <f t="shared" si="41"/>
        <v>306.75</v>
      </c>
      <c r="I138" s="15">
        <f t="shared" si="42"/>
        <v>1.1333329999999999</v>
      </c>
      <c r="J138" s="15">
        <f t="shared" si="43"/>
        <v>6925.8061559999996</v>
      </c>
      <c r="K138" s="15">
        <f t="shared" si="44"/>
        <v>5.9458061559999997</v>
      </c>
      <c r="L138" s="15">
        <f t="shared" si="45"/>
        <v>1944.2311319999999</v>
      </c>
      <c r="M138" s="15">
        <v>1941.23</v>
      </c>
      <c r="N138" s="14">
        <f t="shared" si="46"/>
        <v>1.9442311320000001</v>
      </c>
      <c r="O138" s="14">
        <f t="shared" si="47"/>
        <v>1.92056</v>
      </c>
      <c r="P138" s="14">
        <f t="shared" si="48"/>
        <v>2.3671132000000039E-2</v>
      </c>
      <c r="Q138" s="18">
        <f t="shared" si="49"/>
        <v>1.2325119756737639E-2</v>
      </c>
      <c r="R138" s="15">
        <f t="shared" ca="1" si="50"/>
        <v>7.09171</v>
      </c>
      <c r="S138" s="15">
        <f t="shared" si="51"/>
        <v>7.0833556989247306</v>
      </c>
      <c r="T138" s="15">
        <f t="shared" ca="1" si="52"/>
        <v>8.3543010752693547E-3</v>
      </c>
      <c r="U138" s="18">
        <f t="shared" ca="1" si="53"/>
        <v>1.1794270160028187E-3</v>
      </c>
      <c r="V138" s="15">
        <f t="shared" si="54"/>
        <v>1.1333333333333337</v>
      </c>
      <c r="W138" s="15">
        <f t="shared" ca="1" si="55"/>
        <v>0.90829000000000004</v>
      </c>
      <c r="X138" s="15">
        <f t="shared" ca="1" si="56"/>
        <v>0.22504333333333371</v>
      </c>
      <c r="Y138" s="35">
        <f t="shared" ca="1" si="57"/>
        <v>0.19856764705882379</v>
      </c>
      <c r="Z138" s="36">
        <f t="shared" ca="1" si="58"/>
        <v>30.899480000000001</v>
      </c>
      <c r="AA138" s="18">
        <f t="shared" ca="1" si="59"/>
        <v>8.0372619047619068E-2</v>
      </c>
      <c r="AB138" s="2"/>
    </row>
    <row r="139" spans="6:28" x14ac:dyDescent="0.25">
      <c r="F139" s="14">
        <v>137</v>
      </c>
      <c r="G139" s="14">
        <f t="shared" si="40"/>
        <v>33.700000000000003</v>
      </c>
      <c r="H139" s="14">
        <f t="shared" si="41"/>
        <v>306.84999999999997</v>
      </c>
      <c r="I139" s="15">
        <f t="shared" si="42"/>
        <v>1.141667</v>
      </c>
      <c r="J139" s="15">
        <f t="shared" si="43"/>
        <v>6897.0147919999999</v>
      </c>
      <c r="K139" s="15">
        <f t="shared" si="44"/>
        <v>5.9170147919999998</v>
      </c>
      <c r="L139" s="15">
        <f t="shared" si="45"/>
        <v>1941.968515</v>
      </c>
      <c r="M139" s="15">
        <v>1938.69</v>
      </c>
      <c r="N139" s="14">
        <f t="shared" si="46"/>
        <v>1.9419685150000001</v>
      </c>
      <c r="O139" s="14">
        <f t="shared" si="47"/>
        <v>1.9182699999999999</v>
      </c>
      <c r="P139" s="14">
        <f t="shared" si="48"/>
        <v>2.3698515000000198E-2</v>
      </c>
      <c r="Q139" s="18">
        <f t="shared" si="49"/>
        <v>1.2354108128678548E-2</v>
      </c>
      <c r="R139" s="15">
        <f t="shared" ca="1" si="50"/>
        <v>7.0834462274052488</v>
      </c>
      <c r="S139" s="15">
        <f t="shared" si="51"/>
        <v>7.0749097849462359</v>
      </c>
      <c r="T139" s="15">
        <f t="shared" ca="1" si="52"/>
        <v>8.5364424590128607E-3</v>
      </c>
      <c r="U139" s="18">
        <f t="shared" ca="1" si="53"/>
        <v>1.2065796905532883E-3</v>
      </c>
      <c r="V139" s="15">
        <f t="shared" si="54"/>
        <v>1.1416666666666666</v>
      </c>
      <c r="W139" s="15">
        <f t="shared" ca="1" si="55"/>
        <v>0.91655377259475124</v>
      </c>
      <c r="X139" s="15">
        <f t="shared" ca="1" si="56"/>
        <v>0.22511289407191537</v>
      </c>
      <c r="Y139" s="35">
        <f t="shared" ca="1" si="57"/>
        <v>0.19717917728926895</v>
      </c>
      <c r="Z139" s="36">
        <f t="shared" ca="1" si="58"/>
        <v>30.998645</v>
      </c>
      <c r="AA139" s="18">
        <f t="shared" ca="1" si="59"/>
        <v>8.0158902077151414E-2</v>
      </c>
      <c r="AB139" s="2"/>
    </row>
    <row r="140" spans="6:28" x14ac:dyDescent="0.25">
      <c r="F140" s="14">
        <v>138</v>
      </c>
      <c r="G140" s="14">
        <f t="shared" si="40"/>
        <v>33.799999999999997</v>
      </c>
      <c r="H140" s="14">
        <f t="shared" si="41"/>
        <v>306.95</v>
      </c>
      <c r="I140" s="15">
        <f t="shared" si="42"/>
        <v>1.1499999999999999</v>
      </c>
      <c r="J140" s="15">
        <f t="shared" si="43"/>
        <v>6868.3594080000003</v>
      </c>
      <c r="K140" s="15">
        <f t="shared" si="44"/>
        <v>5.8883594080000004</v>
      </c>
      <c r="L140" s="15">
        <f t="shared" si="45"/>
        <v>1939.7030930000001</v>
      </c>
      <c r="M140" s="15">
        <v>1936.61</v>
      </c>
      <c r="N140" s="14">
        <f t="shared" si="46"/>
        <v>1.9397030930000001</v>
      </c>
      <c r="O140" s="14">
        <f t="shared" si="47"/>
        <v>1.91598</v>
      </c>
      <c r="P140" s="14">
        <f t="shared" si="48"/>
        <v>2.3723093000000084E-2</v>
      </c>
      <c r="Q140" s="18">
        <f t="shared" si="49"/>
        <v>1.2381701792294326E-2</v>
      </c>
      <c r="R140" s="15">
        <f t="shared" ca="1" si="50"/>
        <v>7.0751939999999998</v>
      </c>
      <c r="S140" s="15">
        <f t="shared" si="51"/>
        <v>7.0664638709677421</v>
      </c>
      <c r="T140" s="15">
        <f t="shared" ca="1" si="52"/>
        <v>8.7301290322576719E-3</v>
      </c>
      <c r="U140" s="18">
        <f t="shared" ca="1" si="53"/>
        <v>1.2354310715611276E-3</v>
      </c>
      <c r="V140" s="15">
        <f t="shared" si="54"/>
        <v>1.1499999999999995</v>
      </c>
      <c r="W140" s="15">
        <f t="shared" ca="1" si="55"/>
        <v>0.92480600000000024</v>
      </c>
      <c r="X140" s="15">
        <f t="shared" ca="1" si="56"/>
        <v>0.22519399999999923</v>
      </c>
      <c r="Y140" s="35">
        <f t="shared" ca="1" si="57"/>
        <v>0.1958208695652168</v>
      </c>
      <c r="Z140" s="36">
        <f t="shared" ca="1" si="58"/>
        <v>31.097671999999999</v>
      </c>
      <c r="AA140" s="18">
        <f t="shared" ca="1" si="59"/>
        <v>7.9950532544378644E-2</v>
      </c>
      <c r="AB140" s="2"/>
    </row>
    <row r="141" spans="6:28" x14ac:dyDescent="0.25">
      <c r="F141" s="14">
        <v>139</v>
      </c>
      <c r="G141" s="14">
        <f t="shared" si="40"/>
        <v>33.9</v>
      </c>
      <c r="H141" s="14">
        <f t="shared" si="41"/>
        <v>307.04999999999995</v>
      </c>
      <c r="I141" s="15">
        <f t="shared" si="42"/>
        <v>1.1583330000000001</v>
      </c>
      <c r="J141" s="15">
        <f t="shared" si="43"/>
        <v>6839.8392910000002</v>
      </c>
      <c r="K141" s="15">
        <f t="shared" si="44"/>
        <v>5.8598392910000001</v>
      </c>
      <c r="L141" s="15">
        <f t="shared" si="45"/>
        <v>1937.43488</v>
      </c>
      <c r="M141" s="15">
        <v>1934.06</v>
      </c>
      <c r="N141" s="14">
        <f t="shared" si="46"/>
        <v>1.9374348799999999</v>
      </c>
      <c r="O141" s="14">
        <f t="shared" si="47"/>
        <v>1.9136899999999999</v>
      </c>
      <c r="P141" s="14">
        <f t="shared" si="48"/>
        <v>2.3744879999999968E-2</v>
      </c>
      <c r="Q141" s="18">
        <f t="shared" si="49"/>
        <v>1.2407903056398878E-2</v>
      </c>
      <c r="R141" s="15">
        <f t="shared" ca="1" si="50"/>
        <v>7.0673053644314869</v>
      </c>
      <c r="S141" s="15">
        <f t="shared" si="51"/>
        <v>7.0580179569892465</v>
      </c>
      <c r="T141" s="15">
        <f t="shared" ca="1" si="52"/>
        <v>9.2874074422404362E-3</v>
      </c>
      <c r="U141" s="18">
        <f t="shared" ca="1" si="53"/>
        <v>1.315866224602549E-3</v>
      </c>
      <c r="V141" s="15">
        <f t="shared" si="54"/>
        <v>1.1583333333333341</v>
      </c>
      <c r="W141" s="15">
        <f t="shared" ca="1" si="55"/>
        <v>0.93269463556851306</v>
      </c>
      <c r="X141" s="15">
        <f t="shared" ca="1" si="56"/>
        <v>0.22563869776482104</v>
      </c>
      <c r="Y141" s="35">
        <f t="shared" ca="1" si="57"/>
        <v>0.19479599807034897</v>
      </c>
      <c r="Z141" s="36">
        <f t="shared" ca="1" si="58"/>
        <v>31.192336000000001</v>
      </c>
      <c r="AA141" s="18">
        <f t="shared" ca="1" si="59"/>
        <v>7.9872094395280174E-2</v>
      </c>
      <c r="AB141" s="2"/>
    </row>
    <row r="142" spans="6:28" x14ac:dyDescent="0.25">
      <c r="F142" s="14">
        <v>140</v>
      </c>
      <c r="G142" s="14">
        <f t="shared" si="40"/>
        <v>34</v>
      </c>
      <c r="H142" s="14">
        <f t="shared" si="41"/>
        <v>307.14999999999998</v>
      </c>
      <c r="I142" s="15">
        <f t="shared" si="42"/>
        <v>1.1666669999999999</v>
      </c>
      <c r="J142" s="15">
        <f t="shared" si="43"/>
        <v>6811.4537300000002</v>
      </c>
      <c r="K142" s="15">
        <f t="shared" si="44"/>
        <v>5.8314537300000007</v>
      </c>
      <c r="L142" s="15">
        <f t="shared" si="45"/>
        <v>1935.1638889999999</v>
      </c>
      <c r="M142" s="15">
        <v>1931.96</v>
      </c>
      <c r="N142" s="14">
        <f t="shared" si="46"/>
        <v>1.935163889</v>
      </c>
      <c r="O142" s="14">
        <f t="shared" si="47"/>
        <v>1.9114</v>
      </c>
      <c r="P142" s="14">
        <f t="shared" si="48"/>
        <v>2.3763889000000038E-2</v>
      </c>
      <c r="Q142" s="18">
        <f t="shared" si="49"/>
        <v>1.2432713717693857E-2</v>
      </c>
      <c r="R142" s="15">
        <f t="shared" ca="1" si="50"/>
        <v>7.0582516355685128</v>
      </c>
      <c r="S142" s="15">
        <f t="shared" si="51"/>
        <v>7.0495720430107527</v>
      </c>
      <c r="T142" s="15">
        <f t="shared" ca="1" si="52"/>
        <v>8.6795925577600741E-3</v>
      </c>
      <c r="U142" s="18">
        <f t="shared" ca="1" si="53"/>
        <v>1.2312226195865881E-3</v>
      </c>
      <c r="V142" s="15">
        <f t="shared" si="54"/>
        <v>1.1666666666666661</v>
      </c>
      <c r="W142" s="15">
        <f t="shared" ca="1" si="55"/>
        <v>0.94174836443148724</v>
      </c>
      <c r="X142" s="15">
        <f t="shared" ca="1" si="56"/>
        <v>0.22491830223517884</v>
      </c>
      <c r="Y142" s="35">
        <f t="shared" ca="1" si="57"/>
        <v>0.19278711620158195</v>
      </c>
      <c r="Z142" s="36">
        <f t="shared" ca="1" si="58"/>
        <v>31.300979999999999</v>
      </c>
      <c r="AA142" s="18">
        <f t="shared" ca="1" si="59"/>
        <v>7.9382941176470614E-2</v>
      </c>
      <c r="AB142" s="2"/>
    </row>
    <row r="143" spans="6:28" x14ac:dyDescent="0.25">
      <c r="F143" s="14">
        <v>141</v>
      </c>
      <c r="G143" s="14">
        <f t="shared" si="40"/>
        <v>34.1</v>
      </c>
      <c r="H143" s="14">
        <f t="shared" si="41"/>
        <v>307.25</v>
      </c>
      <c r="I143" s="15">
        <f t="shared" si="42"/>
        <v>1.175</v>
      </c>
      <c r="J143" s="15">
        <f t="shared" si="43"/>
        <v>6783.2020190000003</v>
      </c>
      <c r="K143" s="15">
        <f t="shared" si="44"/>
        <v>5.8032020190000004</v>
      </c>
      <c r="L143" s="15">
        <f t="shared" si="45"/>
        <v>1932.8901370000001</v>
      </c>
      <c r="M143" s="15">
        <v>1929.86</v>
      </c>
      <c r="N143" s="14">
        <f t="shared" si="46"/>
        <v>1.932890137</v>
      </c>
      <c r="O143" s="14">
        <f t="shared" si="47"/>
        <v>1.9091099999999999</v>
      </c>
      <c r="P143" s="14">
        <f t="shared" si="48"/>
        <v>2.3780137000000146E-2</v>
      </c>
      <c r="Q143" s="18">
        <f t="shared" si="49"/>
        <v>1.2456137676718548E-2</v>
      </c>
      <c r="R143" s="15">
        <f t="shared" ca="1" si="50"/>
        <v>7.0499468629737612</v>
      </c>
      <c r="S143" s="15">
        <f t="shared" si="51"/>
        <v>7.0411261290322571</v>
      </c>
      <c r="T143" s="15">
        <f t="shared" ca="1" si="52"/>
        <v>8.8207339415040664E-3</v>
      </c>
      <c r="U143" s="18">
        <f t="shared" ca="1" si="53"/>
        <v>1.2527447711998879E-3</v>
      </c>
      <c r="V143" s="15">
        <f t="shared" si="54"/>
        <v>1.1750000000000007</v>
      </c>
      <c r="W143" s="15">
        <f t="shared" ca="1" si="55"/>
        <v>0.95005313702623884</v>
      </c>
      <c r="X143" s="15">
        <f t="shared" ca="1" si="56"/>
        <v>0.22494686297376187</v>
      </c>
      <c r="Y143" s="35">
        <f t="shared" ca="1" si="57"/>
        <v>0.19144413870107382</v>
      </c>
      <c r="Z143" s="36">
        <f t="shared" ca="1" si="58"/>
        <v>31.400638000000001</v>
      </c>
      <c r="AA143" s="18">
        <f t="shared" ca="1" si="59"/>
        <v>7.9160175953079198E-2</v>
      </c>
      <c r="AB143" s="2"/>
    </row>
    <row r="144" spans="6:28" x14ac:dyDescent="0.25">
      <c r="F144" s="14">
        <v>142</v>
      </c>
      <c r="G144" s="14">
        <f t="shared" si="40"/>
        <v>34.200000000000003</v>
      </c>
      <c r="H144" s="14">
        <f t="shared" si="41"/>
        <v>307.34999999999997</v>
      </c>
      <c r="I144" s="15">
        <f t="shared" si="42"/>
        <v>1.183333</v>
      </c>
      <c r="J144" s="15">
        <f t="shared" si="43"/>
        <v>6755.0834580000001</v>
      </c>
      <c r="K144" s="15">
        <f t="shared" si="44"/>
        <v>5.7750834580000001</v>
      </c>
      <c r="L144" s="15">
        <f t="shared" si="45"/>
        <v>1930.6136369999999</v>
      </c>
      <c r="M144" s="15">
        <v>1927.29</v>
      </c>
      <c r="N144" s="14">
        <f t="shared" si="46"/>
        <v>1.9306136370000002</v>
      </c>
      <c r="O144" s="14">
        <f t="shared" si="47"/>
        <v>1.9068199999999997</v>
      </c>
      <c r="P144" s="14">
        <f t="shared" si="48"/>
        <v>2.3793637000000478E-2</v>
      </c>
      <c r="Q144" s="18">
        <f t="shared" si="49"/>
        <v>1.2478176755016458E-2</v>
      </c>
      <c r="R144" s="15">
        <f t="shared" ca="1" si="50"/>
        <v>7.0420282274052486</v>
      </c>
      <c r="S144" s="15">
        <f t="shared" si="51"/>
        <v>7.0326802150537624</v>
      </c>
      <c r="T144" s="15">
        <f t="shared" ca="1" si="52"/>
        <v>9.3480123514861901E-3</v>
      </c>
      <c r="U144" s="18">
        <f t="shared" ca="1" si="53"/>
        <v>1.3292247145656299E-3</v>
      </c>
      <c r="V144" s="15">
        <f t="shared" si="54"/>
        <v>1.1833333333333336</v>
      </c>
      <c r="W144" s="15">
        <f t="shared" ca="1" si="55"/>
        <v>0.95797177259475141</v>
      </c>
      <c r="X144" s="15">
        <f t="shared" ca="1" si="56"/>
        <v>0.22536156073858216</v>
      </c>
      <c r="Y144" s="35">
        <f t="shared" ca="1" si="57"/>
        <v>0.19044638935654826</v>
      </c>
      <c r="Z144" s="36">
        <f t="shared" ca="1" si="58"/>
        <v>31.495660999999998</v>
      </c>
      <c r="AA144" s="18">
        <f t="shared" ca="1" si="59"/>
        <v>7.9074239766081994E-2</v>
      </c>
      <c r="AB144" s="2"/>
    </row>
    <row r="145" spans="6:28" x14ac:dyDescent="0.25">
      <c r="F145" s="14">
        <v>143</v>
      </c>
      <c r="G145" s="14">
        <f t="shared" si="40"/>
        <v>34.299999999999997</v>
      </c>
      <c r="H145" s="14">
        <f t="shared" si="41"/>
        <v>307.45</v>
      </c>
      <c r="I145" s="15">
        <f t="shared" si="42"/>
        <v>1.191667</v>
      </c>
      <c r="J145" s="15">
        <f t="shared" si="43"/>
        <v>6727.0973480000002</v>
      </c>
      <c r="K145" s="15">
        <f t="shared" si="44"/>
        <v>5.7470973480000005</v>
      </c>
      <c r="L145" s="15">
        <f t="shared" si="45"/>
        <v>1928.3344050000001</v>
      </c>
      <c r="M145" s="15">
        <v>1924.71</v>
      </c>
      <c r="N145" s="14">
        <f t="shared" si="46"/>
        <v>1.9283344050000002</v>
      </c>
      <c r="O145" s="14">
        <f t="shared" si="47"/>
        <v>1.9045300000000001</v>
      </c>
      <c r="P145" s="14">
        <f t="shared" si="48"/>
        <v>2.3804405000000139E-2</v>
      </c>
      <c r="Q145" s="18">
        <f t="shared" si="49"/>
        <v>1.2498834358083169E-2</v>
      </c>
      <c r="R145" s="15">
        <f t="shared" ca="1" si="50"/>
        <v>7.0341221370262383</v>
      </c>
      <c r="S145" s="15">
        <f t="shared" si="51"/>
        <v>7.0242343010752686</v>
      </c>
      <c r="T145" s="15">
        <f t="shared" ca="1" si="52"/>
        <v>9.8878359509697589E-3</v>
      </c>
      <c r="U145" s="18">
        <f t="shared" ca="1" si="53"/>
        <v>1.40767456311304E-3</v>
      </c>
      <c r="V145" s="15">
        <f t="shared" si="54"/>
        <v>1.1916666666666664</v>
      </c>
      <c r="W145" s="15">
        <f t="shared" ca="1" si="55"/>
        <v>0.96587786297376166</v>
      </c>
      <c r="X145" s="15">
        <f t="shared" ca="1" si="56"/>
        <v>0.22578880369290477</v>
      </c>
      <c r="Y145" s="35">
        <f t="shared" ca="1" si="57"/>
        <v>0.18947312198005997</v>
      </c>
      <c r="Z145" s="36">
        <f t="shared" ca="1" si="58"/>
        <v>31.590534000000002</v>
      </c>
      <c r="AA145" s="18">
        <f t="shared" ca="1" si="59"/>
        <v>7.8993177842565473E-2</v>
      </c>
      <c r="AB145" s="2"/>
    </row>
    <row r="146" spans="6:28" x14ac:dyDescent="0.25">
      <c r="F146" s="14">
        <v>144</v>
      </c>
      <c r="G146" s="14">
        <f t="shared" si="40"/>
        <v>34.4</v>
      </c>
      <c r="H146" s="14">
        <f t="shared" si="41"/>
        <v>307.54999999999995</v>
      </c>
      <c r="I146" s="15">
        <f t="shared" si="42"/>
        <v>1.2</v>
      </c>
      <c r="J146" s="15">
        <f t="shared" si="43"/>
        <v>6699.2429949999996</v>
      </c>
      <c r="K146" s="15">
        <f t="shared" si="44"/>
        <v>5.7192429950000001</v>
      </c>
      <c r="L146" s="15">
        <f t="shared" si="45"/>
        <v>1926.0524539999999</v>
      </c>
      <c r="M146" s="15">
        <v>1922.59</v>
      </c>
      <c r="N146" s="14">
        <f t="shared" si="46"/>
        <v>1.9260524539999999</v>
      </c>
      <c r="O146" s="14">
        <f t="shared" si="47"/>
        <v>1.9022399999999999</v>
      </c>
      <c r="P146" s="14">
        <f t="shared" si="48"/>
        <v>2.3812453999999983E-2</v>
      </c>
      <c r="Q146" s="18">
        <f t="shared" si="49"/>
        <v>1.2518112330725872E-2</v>
      </c>
      <c r="R146" s="15">
        <f t="shared" ca="1" si="50"/>
        <v>7.0254019999999997</v>
      </c>
      <c r="S146" s="15">
        <f t="shared" si="51"/>
        <v>7.0157883870967739</v>
      </c>
      <c r="T146" s="15">
        <f t="shared" ca="1" si="52"/>
        <v>9.6136129032258211E-3</v>
      </c>
      <c r="U146" s="18">
        <f t="shared" ca="1" si="53"/>
        <v>1.370282621537857E-3</v>
      </c>
      <c r="V146" s="15">
        <f t="shared" si="54"/>
        <v>1.2000000000000002</v>
      </c>
      <c r="W146" s="15">
        <f t="shared" ca="1" si="55"/>
        <v>0.9745980000000003</v>
      </c>
      <c r="X146" s="15">
        <f t="shared" ca="1" si="56"/>
        <v>0.22540199999999988</v>
      </c>
      <c r="Y146" s="35">
        <f t="shared" ca="1" si="57"/>
        <v>0.18783499999999986</v>
      </c>
      <c r="Z146" s="36">
        <f t="shared" ca="1" si="58"/>
        <v>31.695176</v>
      </c>
      <c r="AA146" s="18">
        <f t="shared" ca="1" si="59"/>
        <v>7.8628604651162753E-2</v>
      </c>
      <c r="AB146" s="2"/>
    </row>
    <row r="147" spans="6:28" x14ac:dyDescent="0.25">
      <c r="F147" s="14">
        <v>145</v>
      </c>
      <c r="G147" s="14">
        <f t="shared" si="40"/>
        <v>34.5</v>
      </c>
      <c r="H147" s="14">
        <f t="shared" si="41"/>
        <v>307.64999999999998</v>
      </c>
      <c r="I147" s="15">
        <f t="shared" si="42"/>
        <v>1.2083330000000001</v>
      </c>
      <c r="J147" s="15">
        <f t="shared" si="43"/>
        <v>6671.5197099999996</v>
      </c>
      <c r="K147" s="15">
        <f t="shared" si="44"/>
        <v>5.6915197099999997</v>
      </c>
      <c r="L147" s="15">
        <f t="shared" si="45"/>
        <v>1923.767801</v>
      </c>
      <c r="M147" s="15">
        <v>1920.46</v>
      </c>
      <c r="N147" s="14">
        <f t="shared" si="46"/>
        <v>1.9237678009999999</v>
      </c>
      <c r="O147" s="14">
        <f t="shared" si="47"/>
        <v>1.89995</v>
      </c>
      <c r="P147" s="14">
        <f t="shared" si="48"/>
        <v>2.3817800999999861E-2</v>
      </c>
      <c r="Q147" s="18">
        <f t="shared" si="49"/>
        <v>1.2536014631963925E-2</v>
      </c>
      <c r="R147" s="15">
        <f t="shared" ca="1" si="50"/>
        <v>7.0174543644314875</v>
      </c>
      <c r="S147" s="15">
        <f t="shared" si="51"/>
        <v>7.0073424731182792</v>
      </c>
      <c r="T147" s="15">
        <f t="shared" ca="1" si="52"/>
        <v>1.0111891313208332E-2</v>
      </c>
      <c r="U147" s="18">
        <f t="shared" ca="1" si="53"/>
        <v>1.4430422591731162E-3</v>
      </c>
      <c r="V147" s="15">
        <f t="shared" si="54"/>
        <v>1.208333333333333</v>
      </c>
      <c r="W147" s="15">
        <f t="shared" ca="1" si="55"/>
        <v>0.98254563556851249</v>
      </c>
      <c r="X147" s="15">
        <f t="shared" ca="1" si="56"/>
        <v>0.22578769776482055</v>
      </c>
      <c r="Y147" s="35">
        <f t="shared" ca="1" si="57"/>
        <v>0.18685878435709291</v>
      </c>
      <c r="Z147" s="36">
        <f t="shared" ca="1" si="58"/>
        <v>31.790548000000001</v>
      </c>
      <c r="AA147" s="18">
        <f t="shared" ca="1" si="59"/>
        <v>7.8534840579710108E-2</v>
      </c>
      <c r="AB147" s="2"/>
    </row>
    <row r="148" spans="6:28" x14ac:dyDescent="0.25">
      <c r="F148" s="14">
        <v>146</v>
      </c>
      <c r="G148" s="14">
        <f t="shared" si="40"/>
        <v>34.6</v>
      </c>
      <c r="H148" s="14">
        <f t="shared" si="41"/>
        <v>307.75</v>
      </c>
      <c r="I148" s="15">
        <f t="shared" si="42"/>
        <v>1.2166669999999999</v>
      </c>
      <c r="J148" s="15">
        <f t="shared" si="43"/>
        <v>6643.9268069999998</v>
      </c>
      <c r="K148" s="15">
        <f t="shared" si="44"/>
        <v>5.6639268070000002</v>
      </c>
      <c r="L148" s="15">
        <f t="shared" si="45"/>
        <v>1921.4804590000001</v>
      </c>
      <c r="M148" s="15">
        <v>1918.31</v>
      </c>
      <c r="N148" s="14">
        <f t="shared" si="46"/>
        <v>1.9214804590000001</v>
      </c>
      <c r="O148" s="14">
        <f t="shared" si="47"/>
        <v>1.8976599999999999</v>
      </c>
      <c r="P148" s="14">
        <f t="shared" si="48"/>
        <v>2.3820459000000183E-2</v>
      </c>
      <c r="Q148" s="18">
        <f t="shared" si="49"/>
        <v>1.2552543132068012E-2</v>
      </c>
      <c r="R148" s="15">
        <f t="shared" ca="1" si="50"/>
        <v>7.009506501457726</v>
      </c>
      <c r="S148" s="15">
        <f t="shared" si="51"/>
        <v>6.9988965591397845</v>
      </c>
      <c r="T148" s="15">
        <f t="shared" ca="1" si="52"/>
        <v>1.0609942317941545E-2</v>
      </c>
      <c r="U148" s="18">
        <f t="shared" ca="1" si="53"/>
        <v>1.5159450105154267E-3</v>
      </c>
      <c r="V148" s="15">
        <f t="shared" si="54"/>
        <v>1.2166666666666668</v>
      </c>
      <c r="W148" s="15">
        <f t="shared" ca="1" si="55"/>
        <v>0.99049349854227398</v>
      </c>
      <c r="X148" s="15">
        <f t="shared" ca="1" si="56"/>
        <v>0.22617316812439281</v>
      </c>
      <c r="Y148" s="35">
        <f t="shared" ca="1" si="57"/>
        <v>0.18589575462278859</v>
      </c>
      <c r="Z148" s="36">
        <f t="shared" ca="1" si="58"/>
        <v>31.885922000000001</v>
      </c>
      <c r="AA148" s="18">
        <f t="shared" ca="1" si="59"/>
        <v>7.8441560693641638E-2</v>
      </c>
      <c r="AB148" s="2"/>
    </row>
    <row r="149" spans="6:28" x14ac:dyDescent="0.25">
      <c r="F149" s="14">
        <v>147</v>
      </c>
      <c r="G149" s="14">
        <f t="shared" si="40"/>
        <v>34.700000000000003</v>
      </c>
      <c r="H149" s="14">
        <f t="shared" si="41"/>
        <v>307.84999999999997</v>
      </c>
      <c r="I149" s="15">
        <f t="shared" si="42"/>
        <v>1.2250000000000001</v>
      </c>
      <c r="J149" s="15">
        <f t="shared" si="43"/>
        <v>6616.4636030000001</v>
      </c>
      <c r="K149" s="15">
        <f t="shared" si="44"/>
        <v>5.6364636030000002</v>
      </c>
      <c r="L149" s="15">
        <f t="shared" si="45"/>
        <v>1919.1904440000001</v>
      </c>
      <c r="M149" s="15">
        <v>1915.94</v>
      </c>
      <c r="N149" s="14">
        <f t="shared" si="46"/>
        <v>1.9191904440000001</v>
      </c>
      <c r="O149" s="14">
        <f t="shared" si="47"/>
        <v>1.8953699999999998</v>
      </c>
      <c r="P149" s="14">
        <f t="shared" si="48"/>
        <v>2.3820444000000274E-2</v>
      </c>
      <c r="Q149" s="18">
        <f t="shared" si="49"/>
        <v>1.2567701293151351E-2</v>
      </c>
      <c r="R149" s="15">
        <f t="shared" ca="1" si="50"/>
        <v>6.9999866355685123</v>
      </c>
      <c r="S149" s="15">
        <f t="shared" si="51"/>
        <v>6.9904506451612889</v>
      </c>
      <c r="T149" s="15">
        <f t="shared" ca="1" si="52"/>
        <v>9.5359904072234158E-3</v>
      </c>
      <c r="U149" s="18">
        <f t="shared" ca="1" si="53"/>
        <v>1.3641453021092597E-3</v>
      </c>
      <c r="V149" s="15">
        <f t="shared" si="54"/>
        <v>1.2250000000000014</v>
      </c>
      <c r="W149" s="15">
        <f t="shared" ca="1" si="55"/>
        <v>1.0000133644314877</v>
      </c>
      <c r="X149" s="15">
        <f t="shared" ca="1" si="56"/>
        <v>0.22498663556851373</v>
      </c>
      <c r="Y149" s="35">
        <f t="shared" ca="1" si="57"/>
        <v>0.18366255964776609</v>
      </c>
      <c r="Z149" s="36">
        <f t="shared" ca="1" si="58"/>
        <v>32.000160000000001</v>
      </c>
      <c r="AA149" s="18">
        <f t="shared" ca="1" si="59"/>
        <v>7.7805187319884769E-2</v>
      </c>
      <c r="AB149" s="2"/>
    </row>
    <row r="150" spans="6:28" x14ac:dyDescent="0.25">
      <c r="F150" s="14">
        <v>148</v>
      </c>
      <c r="G150" s="14">
        <f t="shared" si="40"/>
        <v>34.799999999999997</v>
      </c>
      <c r="H150" s="14">
        <f t="shared" si="41"/>
        <v>307.95</v>
      </c>
      <c r="I150" s="15">
        <f t="shared" si="42"/>
        <v>1.233333</v>
      </c>
      <c r="J150" s="15">
        <f t="shared" si="43"/>
        <v>6589.129422</v>
      </c>
      <c r="K150" s="15">
        <f t="shared" si="44"/>
        <v>5.6091294220000005</v>
      </c>
      <c r="L150" s="15">
        <f t="shared" si="45"/>
        <v>1916.8977709999999</v>
      </c>
      <c r="M150" s="15">
        <v>1913.1</v>
      </c>
      <c r="N150" s="14">
        <f t="shared" si="46"/>
        <v>1.9168977709999999</v>
      </c>
      <c r="O150" s="14">
        <f t="shared" si="47"/>
        <v>1.8930799999999999</v>
      </c>
      <c r="P150" s="14">
        <f t="shared" si="48"/>
        <v>2.3817771000000043E-2</v>
      </c>
      <c r="Q150" s="18">
        <f t="shared" si="49"/>
        <v>1.2581492065839819E-2</v>
      </c>
      <c r="R150" s="15">
        <f t="shared" ca="1" si="50"/>
        <v>6.9927915014577255</v>
      </c>
      <c r="S150" s="15">
        <f t="shared" si="51"/>
        <v>6.9820047311827951</v>
      </c>
      <c r="T150" s="15">
        <f t="shared" ca="1" si="52"/>
        <v>1.0786770274930468E-2</v>
      </c>
      <c r="U150" s="18">
        <f t="shared" ca="1" si="53"/>
        <v>1.5449388378032684E-3</v>
      </c>
      <c r="V150" s="15">
        <f t="shared" si="54"/>
        <v>1.2333333333333334</v>
      </c>
      <c r="W150" s="15">
        <f t="shared" ca="1" si="55"/>
        <v>1.0072084985422745</v>
      </c>
      <c r="X150" s="15">
        <f t="shared" ca="1" si="56"/>
        <v>0.22612483479105894</v>
      </c>
      <c r="Y150" s="35">
        <f t="shared" ca="1" si="57"/>
        <v>0.18334446064139914</v>
      </c>
      <c r="Z150" s="36">
        <f t="shared" ca="1" si="58"/>
        <v>32.086502000000003</v>
      </c>
      <c r="AA150" s="18">
        <f t="shared" ca="1" si="59"/>
        <v>7.7974080459769959E-2</v>
      </c>
      <c r="AB150" s="2"/>
    </row>
    <row r="151" spans="6:28" x14ac:dyDescent="0.25">
      <c r="F151" s="14">
        <v>149</v>
      </c>
      <c r="G151" s="14">
        <f t="shared" si="40"/>
        <v>34.9</v>
      </c>
      <c r="H151" s="14">
        <f t="shared" si="41"/>
        <v>308.04999999999995</v>
      </c>
      <c r="I151" s="15">
        <f t="shared" si="42"/>
        <v>1.2416670000000001</v>
      </c>
      <c r="J151" s="15">
        <f t="shared" si="43"/>
        <v>6561.9235900000003</v>
      </c>
      <c r="K151" s="15">
        <f t="shared" si="44"/>
        <v>5.5819235900000006</v>
      </c>
      <c r="L151" s="15">
        <f t="shared" si="45"/>
        <v>1914.602455</v>
      </c>
      <c r="M151" s="15">
        <v>1911.17</v>
      </c>
      <c r="N151" s="14">
        <f t="shared" si="46"/>
        <v>1.9146024549999998</v>
      </c>
      <c r="O151" s="14">
        <f t="shared" si="47"/>
        <v>1.89079</v>
      </c>
      <c r="P151" s="14">
        <f t="shared" si="48"/>
        <v>2.3812454999999844E-2</v>
      </c>
      <c r="Q151" s="18">
        <f t="shared" si="49"/>
        <v>1.2593918415053942E-2</v>
      </c>
      <c r="R151" s="15">
        <f t="shared" ca="1" si="50"/>
        <v>6.9828554985422739</v>
      </c>
      <c r="S151" s="15">
        <f t="shared" si="51"/>
        <v>6.9735588172043004</v>
      </c>
      <c r="T151" s="15">
        <f t="shared" ca="1" si="52"/>
        <v>9.2966813379735669E-3</v>
      </c>
      <c r="U151" s="18">
        <f t="shared" ca="1" si="53"/>
        <v>1.3331329930189944E-3</v>
      </c>
      <c r="V151" s="15">
        <f t="shared" si="54"/>
        <v>1.2416666666666671</v>
      </c>
      <c r="W151" s="15">
        <f t="shared" ca="1" si="55"/>
        <v>1.0171445014577261</v>
      </c>
      <c r="X151" s="15">
        <f t="shared" ca="1" si="56"/>
        <v>0.22452216520894108</v>
      </c>
      <c r="Y151" s="35">
        <f t="shared" ca="1" si="57"/>
        <v>0.18082322030250281</v>
      </c>
      <c r="Z151" s="36">
        <f t="shared" ca="1" si="58"/>
        <v>32.205734</v>
      </c>
      <c r="AA151" s="18">
        <f t="shared" ca="1" si="59"/>
        <v>7.7199598853868165E-2</v>
      </c>
      <c r="AB151" s="2"/>
    </row>
    <row r="152" spans="6:28" x14ac:dyDescent="0.25">
      <c r="F152" s="14">
        <v>150</v>
      </c>
      <c r="G152" s="14">
        <f t="shared" si="40"/>
        <v>35</v>
      </c>
      <c r="H152" s="14">
        <f t="shared" si="41"/>
        <v>308.14999999999998</v>
      </c>
      <c r="I152" s="15">
        <f t="shared" si="42"/>
        <v>1.25</v>
      </c>
      <c r="J152" s="15">
        <f t="shared" si="43"/>
        <v>6534.8454339999998</v>
      </c>
      <c r="K152" s="15">
        <f t="shared" si="44"/>
        <v>5.5548454339999997</v>
      </c>
      <c r="L152" s="15">
        <f t="shared" si="45"/>
        <v>1912.304511</v>
      </c>
      <c r="M152" s="15">
        <v>1908.77</v>
      </c>
      <c r="N152" s="14">
        <f t="shared" si="46"/>
        <v>1.9123045110000001</v>
      </c>
      <c r="O152" s="14">
        <f t="shared" si="47"/>
        <v>1.8885000000000001</v>
      </c>
      <c r="P152" s="14">
        <f t="shared" si="48"/>
        <v>2.3804511000000028E-2</v>
      </c>
      <c r="Q152" s="18">
        <f t="shared" si="49"/>
        <v>1.2604983320095329E-2</v>
      </c>
      <c r="R152" s="15">
        <f t="shared" ca="1" si="50"/>
        <v>6.9756521370262385</v>
      </c>
      <c r="S152" s="15">
        <f t="shared" si="51"/>
        <v>6.9651129032258066</v>
      </c>
      <c r="T152" s="15">
        <f t="shared" ca="1" si="52"/>
        <v>1.053923380043198E-2</v>
      </c>
      <c r="U152" s="18">
        <f t="shared" ca="1" si="53"/>
        <v>1.5131461538191093E-3</v>
      </c>
      <c r="V152" s="15">
        <f t="shared" si="54"/>
        <v>1.2499999999999991</v>
      </c>
      <c r="W152" s="15">
        <f t="shared" ca="1" si="55"/>
        <v>1.0243478629737615</v>
      </c>
      <c r="X152" s="15">
        <f t="shared" ca="1" si="56"/>
        <v>0.22565213702623765</v>
      </c>
      <c r="Y152" s="35">
        <f t="shared" ca="1" si="57"/>
        <v>0.18052170962099026</v>
      </c>
      <c r="Z152" s="36">
        <f t="shared" ca="1" si="58"/>
        <v>32.292174000000003</v>
      </c>
      <c r="AA152" s="18">
        <f t="shared" ca="1" si="59"/>
        <v>7.7366457142857059E-2</v>
      </c>
      <c r="AB152" s="2"/>
    </row>
    <row r="153" spans="6:28" x14ac:dyDescent="0.25">
      <c r="F153" s="14">
        <v>151</v>
      </c>
      <c r="G153" s="14">
        <f t="shared" si="40"/>
        <v>35.1</v>
      </c>
      <c r="H153" s="14">
        <f t="shared" si="41"/>
        <v>308.25</v>
      </c>
      <c r="I153" s="15">
        <f t="shared" si="42"/>
        <v>1.2583329999999999</v>
      </c>
      <c r="J153" s="15">
        <f t="shared" si="43"/>
        <v>6507.8942909999996</v>
      </c>
      <c r="K153" s="15">
        <f t="shared" si="44"/>
        <v>5.527894291</v>
      </c>
      <c r="L153" s="15">
        <f t="shared" si="45"/>
        <v>1910.003954</v>
      </c>
      <c r="M153" s="15">
        <v>1906.37</v>
      </c>
      <c r="N153" s="14">
        <f t="shared" si="46"/>
        <v>1.9100039540000002</v>
      </c>
      <c r="O153" s="14">
        <f t="shared" si="47"/>
        <v>1.8862099999999999</v>
      </c>
      <c r="P153" s="14">
        <f t="shared" si="48"/>
        <v>2.3793954000000284E-2</v>
      </c>
      <c r="Q153" s="18">
        <f t="shared" si="49"/>
        <v>1.2614689774733611E-2</v>
      </c>
      <c r="R153" s="15">
        <f t="shared" ca="1" si="50"/>
        <v>6.9676455014577261</v>
      </c>
      <c r="S153" s="15">
        <f t="shared" si="51"/>
        <v>6.956666989247311</v>
      </c>
      <c r="T153" s="15">
        <f t="shared" ca="1" si="52"/>
        <v>1.0978512210415126E-2</v>
      </c>
      <c r="U153" s="18">
        <f t="shared" ca="1" si="53"/>
        <v>1.5781281793974394E-3</v>
      </c>
      <c r="V153" s="15">
        <f t="shared" si="54"/>
        <v>1.2583333333333337</v>
      </c>
      <c r="W153" s="15">
        <f t="shared" ca="1" si="55"/>
        <v>1.0323544985422739</v>
      </c>
      <c r="X153" s="15">
        <f t="shared" ca="1" si="56"/>
        <v>0.22597883479105985</v>
      </c>
      <c r="Y153" s="35">
        <f t="shared" ca="1" si="57"/>
        <v>0.17958582897302763</v>
      </c>
      <c r="Z153" s="36">
        <f t="shared" ca="1" si="58"/>
        <v>32.388254000000003</v>
      </c>
      <c r="AA153" s="18">
        <f t="shared" ca="1" si="59"/>
        <v>7.7257720797720739E-2</v>
      </c>
      <c r="AB153" s="2"/>
    </row>
    <row r="154" spans="6:28" x14ac:dyDescent="0.25">
      <c r="F154" s="14">
        <v>152</v>
      </c>
      <c r="G154" s="14">
        <f t="shared" si="40"/>
        <v>35.200000000000003</v>
      </c>
      <c r="H154" s="14">
        <f t="shared" si="41"/>
        <v>308.34999999999997</v>
      </c>
      <c r="I154" s="15">
        <f t="shared" si="42"/>
        <v>1.266667</v>
      </c>
      <c r="J154" s="15">
        <f t="shared" si="43"/>
        <v>6481.0694960000001</v>
      </c>
      <c r="K154" s="15">
        <f t="shared" si="44"/>
        <v>5.5010694960000004</v>
      </c>
      <c r="L154" s="15">
        <f t="shared" si="45"/>
        <v>1907.7008000000001</v>
      </c>
      <c r="M154" s="15">
        <v>1904.64</v>
      </c>
      <c r="N154" s="14">
        <f t="shared" si="46"/>
        <v>1.9077008000000002</v>
      </c>
      <c r="O154" s="14">
        <f t="shared" si="47"/>
        <v>1.8839199999999998</v>
      </c>
      <c r="P154" s="14">
        <f t="shared" si="48"/>
        <v>2.3780800000000379E-2</v>
      </c>
      <c r="Q154" s="18">
        <f t="shared" si="49"/>
        <v>1.2623041318102882E-2</v>
      </c>
      <c r="R154" s="15">
        <f t="shared" ca="1" si="50"/>
        <v>6.9580776355685128</v>
      </c>
      <c r="S154" s="15">
        <f t="shared" si="51"/>
        <v>6.9482210752688163</v>
      </c>
      <c r="T154" s="15">
        <f t="shared" ca="1" si="52"/>
        <v>9.856560299696504E-3</v>
      </c>
      <c r="U154" s="18">
        <f t="shared" ca="1" si="53"/>
        <v>1.4185732136214691E-3</v>
      </c>
      <c r="V154" s="15">
        <f t="shared" si="54"/>
        <v>1.2666666666666675</v>
      </c>
      <c r="W154" s="15">
        <f t="shared" ca="1" si="55"/>
        <v>1.0419223644314872</v>
      </c>
      <c r="X154" s="15">
        <f t="shared" ca="1" si="56"/>
        <v>0.22474430223518027</v>
      </c>
      <c r="Y154" s="35">
        <f t="shared" ca="1" si="57"/>
        <v>0.17742971229093168</v>
      </c>
      <c r="Z154" s="36">
        <f t="shared" ca="1" si="58"/>
        <v>32.503067999999999</v>
      </c>
      <c r="AA154" s="18">
        <f t="shared" ca="1" si="59"/>
        <v>7.6617386363636464E-2</v>
      </c>
      <c r="AB154" s="2"/>
    </row>
    <row r="155" spans="6:28" x14ac:dyDescent="0.25">
      <c r="F155" s="14">
        <v>153</v>
      </c>
      <c r="G155" s="14">
        <f t="shared" si="40"/>
        <v>35.299999999999997</v>
      </c>
      <c r="H155" s="14">
        <f t="shared" si="41"/>
        <v>308.45</v>
      </c>
      <c r="I155" s="15">
        <f t="shared" si="42"/>
        <v>1.2749999999999999</v>
      </c>
      <c r="J155" s="15">
        <f t="shared" si="43"/>
        <v>6454.3703919999998</v>
      </c>
      <c r="K155" s="15">
        <f t="shared" si="44"/>
        <v>5.474370392</v>
      </c>
      <c r="L155" s="15">
        <f t="shared" si="45"/>
        <v>1905.395064</v>
      </c>
      <c r="M155" s="15">
        <v>1902.22</v>
      </c>
      <c r="N155" s="14">
        <f t="shared" si="46"/>
        <v>1.9053950640000001</v>
      </c>
      <c r="O155" s="14">
        <f t="shared" si="47"/>
        <v>1.8816299999999999</v>
      </c>
      <c r="P155" s="14">
        <f t="shared" si="48"/>
        <v>2.3765064000000224E-2</v>
      </c>
      <c r="Q155" s="18">
        <f t="shared" si="49"/>
        <v>1.2630040975112123E-2</v>
      </c>
      <c r="R155" s="15">
        <f t="shared" ca="1" si="50"/>
        <v>6.949656862973761</v>
      </c>
      <c r="S155" s="15">
        <f t="shared" si="51"/>
        <v>6.9397751612903216</v>
      </c>
      <c r="T155" s="15">
        <f t="shared" ca="1" si="52"/>
        <v>9.8817016834393812E-3</v>
      </c>
      <c r="U155" s="18">
        <f t="shared" ca="1" si="53"/>
        <v>1.4239224548021328E-3</v>
      </c>
      <c r="V155" s="15">
        <f t="shared" si="54"/>
        <v>1.2750000000000004</v>
      </c>
      <c r="W155" s="15">
        <f t="shared" ca="1" si="55"/>
        <v>1.050343137026239</v>
      </c>
      <c r="X155" s="15">
        <f t="shared" ca="1" si="56"/>
        <v>0.22465686297376131</v>
      </c>
      <c r="Y155" s="35">
        <f t="shared" ca="1" si="57"/>
        <v>0.17620146115589116</v>
      </c>
      <c r="Z155" s="36">
        <f t="shared" ca="1" si="58"/>
        <v>32.604118</v>
      </c>
      <c r="AA155" s="18">
        <f t="shared" ca="1" si="59"/>
        <v>7.6370594900849798E-2</v>
      </c>
      <c r="AB155" s="2"/>
    </row>
    <row r="156" spans="6:28" x14ac:dyDescent="0.25">
      <c r="F156" s="14">
        <v>154</v>
      </c>
      <c r="G156" s="14">
        <f t="shared" si="40"/>
        <v>35.4</v>
      </c>
      <c r="H156" s="14">
        <f t="shared" si="41"/>
        <v>308.54999999999995</v>
      </c>
      <c r="I156" s="15">
        <f t="shared" si="42"/>
        <v>1.2833330000000001</v>
      </c>
      <c r="J156" s="15">
        <f t="shared" si="43"/>
        <v>6427.7963220000001</v>
      </c>
      <c r="K156" s="15">
        <f t="shared" si="44"/>
        <v>5.4477963220000003</v>
      </c>
      <c r="L156" s="15">
        <f t="shared" si="45"/>
        <v>1903.086761</v>
      </c>
      <c r="M156" s="15">
        <v>1899.35</v>
      </c>
      <c r="N156" s="14">
        <f t="shared" si="46"/>
        <v>1.9030867609999997</v>
      </c>
      <c r="O156" s="14">
        <f t="shared" si="47"/>
        <v>1.87934</v>
      </c>
      <c r="P156" s="14">
        <f t="shared" si="48"/>
        <v>2.3746760999999728E-2</v>
      </c>
      <c r="Q156" s="18">
        <f t="shared" si="49"/>
        <v>1.2635691785413882E-2</v>
      </c>
      <c r="R156" s="15">
        <f t="shared" ca="1" si="50"/>
        <v>6.9424145014577263</v>
      </c>
      <c r="S156" s="15">
        <f t="shared" si="51"/>
        <v>6.9313292473118278</v>
      </c>
      <c r="T156" s="15">
        <f t="shared" ca="1" si="52"/>
        <v>1.108525414589856E-2</v>
      </c>
      <c r="U156" s="18">
        <f t="shared" ca="1" si="53"/>
        <v>1.5992970107714542E-3</v>
      </c>
      <c r="V156" s="15">
        <f t="shared" si="54"/>
        <v>1.2833333333333332</v>
      </c>
      <c r="W156" s="15">
        <f t="shared" ca="1" si="55"/>
        <v>1.0575854985422737</v>
      </c>
      <c r="X156" s="15">
        <f t="shared" ca="1" si="56"/>
        <v>0.22574783479105953</v>
      </c>
      <c r="Y156" s="35">
        <f t="shared" ca="1" si="57"/>
        <v>0.17590740373329317</v>
      </c>
      <c r="Z156" s="36">
        <f t="shared" ca="1" si="58"/>
        <v>32.691026000000001</v>
      </c>
      <c r="AA156" s="18">
        <f t="shared" ca="1" si="59"/>
        <v>7.6524689265536669E-2</v>
      </c>
      <c r="AB156" s="2"/>
    </row>
    <row r="157" spans="6:28" x14ac:dyDescent="0.25">
      <c r="F157" s="14">
        <v>155</v>
      </c>
      <c r="G157" s="14">
        <f t="shared" si="40"/>
        <v>35.5</v>
      </c>
      <c r="H157" s="14">
        <f t="shared" si="41"/>
        <v>308.64999999999998</v>
      </c>
      <c r="I157" s="15">
        <f t="shared" si="42"/>
        <v>1.2916669999999999</v>
      </c>
      <c r="J157" s="15">
        <f t="shared" si="43"/>
        <v>6401.3466369999996</v>
      </c>
      <c r="K157" s="15">
        <f t="shared" si="44"/>
        <v>5.4213466370000001</v>
      </c>
      <c r="L157" s="15">
        <f t="shared" si="45"/>
        <v>1900.7759060000001</v>
      </c>
      <c r="M157" s="15">
        <v>1897.37</v>
      </c>
      <c r="N157" s="14">
        <f t="shared" si="46"/>
        <v>1.9007759060000002</v>
      </c>
      <c r="O157" s="14">
        <f t="shared" si="47"/>
        <v>1.8770499999999999</v>
      </c>
      <c r="P157" s="14">
        <f t="shared" si="48"/>
        <v>2.3725906000000352E-2</v>
      </c>
      <c r="Q157" s="18">
        <f t="shared" si="49"/>
        <v>1.2639996803495033E-2</v>
      </c>
      <c r="R157" s="15">
        <f t="shared" ca="1" si="50"/>
        <v>6.9332039999999999</v>
      </c>
      <c r="S157" s="15">
        <f t="shared" si="51"/>
        <v>6.9228833333333322</v>
      </c>
      <c r="T157" s="15">
        <f t="shared" ca="1" si="52"/>
        <v>1.0320666666667755E-2</v>
      </c>
      <c r="U157" s="18">
        <f t="shared" ca="1" si="53"/>
        <v>1.4908046502783412E-3</v>
      </c>
      <c r="V157" s="15">
        <f t="shared" si="54"/>
        <v>1.2916666666666679</v>
      </c>
      <c r="W157" s="15">
        <f t="shared" ca="1" si="55"/>
        <v>1.0667960000000001</v>
      </c>
      <c r="X157" s="15">
        <f t="shared" ca="1" si="56"/>
        <v>0.22487066666666777</v>
      </c>
      <c r="Y157" s="35">
        <f t="shared" ca="1" si="57"/>
        <v>0.17409341935483941</v>
      </c>
      <c r="Z157" s="36">
        <f t="shared" ca="1" si="58"/>
        <v>32.801552000000001</v>
      </c>
      <c r="AA157" s="18">
        <f t="shared" ca="1" si="59"/>
        <v>7.6012619718309832E-2</v>
      </c>
      <c r="AB157" s="2"/>
    </row>
    <row r="158" spans="6:28" x14ac:dyDescent="0.25">
      <c r="F158" s="14">
        <v>156</v>
      </c>
      <c r="G158" s="14">
        <f t="shared" si="40"/>
        <v>35.6</v>
      </c>
      <c r="H158" s="14">
        <f t="shared" si="41"/>
        <v>308.75</v>
      </c>
      <c r="I158" s="15">
        <f t="shared" si="42"/>
        <v>1.3</v>
      </c>
      <c r="J158" s="15">
        <f t="shared" si="43"/>
        <v>6375.0206870000002</v>
      </c>
      <c r="K158" s="15">
        <f t="shared" si="44"/>
        <v>5.3950206870000006</v>
      </c>
      <c r="L158" s="15">
        <f t="shared" si="45"/>
        <v>1898.4625160000001</v>
      </c>
      <c r="M158" s="15">
        <v>1894.93</v>
      </c>
      <c r="N158" s="14">
        <f t="shared" si="46"/>
        <v>1.8984625159999999</v>
      </c>
      <c r="O158" s="14">
        <f t="shared" si="47"/>
        <v>1.8747599999999998</v>
      </c>
      <c r="P158" s="14">
        <f t="shared" si="48"/>
        <v>2.3702516000000173E-2</v>
      </c>
      <c r="Q158" s="18">
        <f t="shared" si="49"/>
        <v>1.2642960165567953E-2</v>
      </c>
      <c r="R158" s="15">
        <f t="shared" ca="1" si="50"/>
        <v>6.9247552274052486</v>
      </c>
      <c r="S158" s="15">
        <f t="shared" si="51"/>
        <v>6.9144374193548375</v>
      </c>
      <c r="T158" s="15">
        <f t="shared" ca="1" si="52"/>
        <v>1.0317808050411159E-2</v>
      </c>
      <c r="U158" s="18">
        <f t="shared" ca="1" si="53"/>
        <v>1.4922122256150058E-3</v>
      </c>
      <c r="V158" s="15">
        <f t="shared" si="54"/>
        <v>1.3000000000000007</v>
      </c>
      <c r="W158" s="15">
        <f t="shared" ca="1" si="55"/>
        <v>1.0752447725947514</v>
      </c>
      <c r="X158" s="15">
        <f t="shared" ca="1" si="56"/>
        <v>0.22475522740524934</v>
      </c>
      <c r="Y158" s="35">
        <f t="shared" ca="1" si="57"/>
        <v>0.17288863646557631</v>
      </c>
      <c r="Z158" s="36">
        <f t="shared" ca="1" si="58"/>
        <v>32.902937000000001</v>
      </c>
      <c r="AA158" s="18">
        <f t="shared" ca="1" si="59"/>
        <v>7.5760196629213475E-2</v>
      </c>
      <c r="AB158" s="2"/>
    </row>
    <row r="159" spans="6:28" x14ac:dyDescent="0.25">
      <c r="F159" s="14">
        <v>157</v>
      </c>
      <c r="G159" s="14">
        <f t="shared" si="40"/>
        <v>35.700000000000003</v>
      </c>
      <c r="H159" s="14">
        <f t="shared" si="41"/>
        <v>308.84999999999997</v>
      </c>
      <c r="I159" s="15">
        <f t="shared" si="42"/>
        <v>1.308333</v>
      </c>
      <c r="J159" s="15">
        <f t="shared" si="43"/>
        <v>6348.81783</v>
      </c>
      <c r="K159" s="15">
        <f t="shared" si="44"/>
        <v>5.3688178300000002</v>
      </c>
      <c r="L159" s="15">
        <f t="shared" si="45"/>
        <v>1896.1466049999999</v>
      </c>
      <c r="M159" s="15">
        <v>1892.71</v>
      </c>
      <c r="N159" s="14">
        <f t="shared" si="46"/>
        <v>1.8961466049999998</v>
      </c>
      <c r="O159" s="14">
        <f t="shared" si="47"/>
        <v>1.8724699999999999</v>
      </c>
      <c r="P159" s="14">
        <f t="shared" si="48"/>
        <v>2.3676604999999906E-2</v>
      </c>
      <c r="Q159" s="18">
        <f t="shared" si="49"/>
        <v>1.2644584425918657E-2</v>
      </c>
      <c r="R159" s="15">
        <f t="shared" ca="1" si="50"/>
        <v>6.9163189999999997</v>
      </c>
      <c r="S159" s="15">
        <f t="shared" si="51"/>
        <v>6.9059915053763437</v>
      </c>
      <c r="T159" s="15">
        <f t="shared" ca="1" si="52"/>
        <v>1.0327494623656008E-2</v>
      </c>
      <c r="U159" s="18">
        <f t="shared" ca="1" si="53"/>
        <v>1.4954398098543866E-3</v>
      </c>
      <c r="V159" s="15">
        <f t="shared" si="54"/>
        <v>1.3083333333333336</v>
      </c>
      <c r="W159" s="15">
        <f t="shared" ca="1" si="55"/>
        <v>1.0836810000000003</v>
      </c>
      <c r="X159" s="15">
        <f t="shared" ca="1" si="56"/>
        <v>0.22465233333333323</v>
      </c>
      <c r="Y159" s="35">
        <f t="shared" ca="1" si="57"/>
        <v>0.1717087898089171</v>
      </c>
      <c r="Z159" s="36">
        <f t="shared" ca="1" si="58"/>
        <v>33.004171999999997</v>
      </c>
      <c r="AA159" s="18">
        <f t="shared" ca="1" si="59"/>
        <v>7.551338935574245E-2</v>
      </c>
      <c r="AB159" s="2"/>
    </row>
    <row r="160" spans="6:28" x14ac:dyDescent="0.25">
      <c r="F160" s="14">
        <v>158</v>
      </c>
      <c r="G160" s="14">
        <f t="shared" si="40"/>
        <v>35.799999999999997</v>
      </c>
      <c r="H160" s="14">
        <f t="shared" si="41"/>
        <v>308.95</v>
      </c>
      <c r="I160" s="15">
        <f t="shared" si="42"/>
        <v>1.316667</v>
      </c>
      <c r="J160" s="15">
        <f t="shared" si="43"/>
        <v>6322.7374259999997</v>
      </c>
      <c r="K160" s="15">
        <f t="shared" si="44"/>
        <v>5.3427374260000002</v>
      </c>
      <c r="L160" s="15">
        <f t="shared" si="45"/>
        <v>1893.8281899999999</v>
      </c>
      <c r="M160" s="15">
        <v>1890.04</v>
      </c>
      <c r="N160" s="14">
        <f t="shared" si="46"/>
        <v>1.89382819</v>
      </c>
      <c r="O160" s="14">
        <f t="shared" si="47"/>
        <v>1.87018</v>
      </c>
      <c r="P160" s="14">
        <f t="shared" si="48"/>
        <v>2.3648190000000069E-2</v>
      </c>
      <c r="Q160" s="18">
        <f t="shared" si="49"/>
        <v>1.2644873755467426E-2</v>
      </c>
      <c r="R160" s="15">
        <f t="shared" ca="1" si="50"/>
        <v>6.9078727725947511</v>
      </c>
      <c r="S160" s="15">
        <f t="shared" si="51"/>
        <v>6.897545591397849</v>
      </c>
      <c r="T160" s="15">
        <f t="shared" ca="1" si="52"/>
        <v>1.0327181196902124E-2</v>
      </c>
      <c r="U160" s="18">
        <f t="shared" ca="1" si="53"/>
        <v>1.4972255072560135E-3</v>
      </c>
      <c r="V160" s="15">
        <f t="shared" si="54"/>
        <v>1.3166666666666664</v>
      </c>
      <c r="W160" s="15">
        <f t="shared" ca="1" si="55"/>
        <v>1.0921272274052489</v>
      </c>
      <c r="X160" s="15">
        <f t="shared" ca="1" si="56"/>
        <v>0.22453943926141751</v>
      </c>
      <c r="Y160" s="35">
        <f t="shared" ca="1" si="57"/>
        <v>0.1705362829833551</v>
      </c>
      <c r="Z160" s="36">
        <f t="shared" ca="1" si="58"/>
        <v>33.105527000000002</v>
      </c>
      <c r="AA160" s="18">
        <f t="shared" ca="1" si="59"/>
        <v>7.5264608938547348E-2</v>
      </c>
      <c r="AB160" s="2"/>
    </row>
    <row r="161" spans="6:28" x14ac:dyDescent="0.25">
      <c r="F161" s="14">
        <v>159</v>
      </c>
      <c r="G161" s="14">
        <f t="shared" si="40"/>
        <v>35.9</v>
      </c>
      <c r="H161" s="14">
        <f t="shared" si="41"/>
        <v>309.04999999999995</v>
      </c>
      <c r="I161" s="15">
        <f t="shared" si="42"/>
        <v>1.325</v>
      </c>
      <c r="J161" s="15">
        <f t="shared" si="43"/>
        <v>6296.7788369999998</v>
      </c>
      <c r="K161" s="15">
        <f t="shared" si="44"/>
        <v>5.3167788370000002</v>
      </c>
      <c r="L161" s="15">
        <f t="shared" si="45"/>
        <v>1891.5072849999999</v>
      </c>
      <c r="M161" s="15">
        <v>1888.25</v>
      </c>
      <c r="N161" s="14">
        <f t="shared" si="46"/>
        <v>1.8915072850000001</v>
      </c>
      <c r="O161" s="14">
        <f t="shared" si="47"/>
        <v>1.8678900000000001</v>
      </c>
      <c r="P161" s="14">
        <f t="shared" si="48"/>
        <v>2.3617285000000043E-2</v>
      </c>
      <c r="Q161" s="18">
        <f t="shared" si="49"/>
        <v>1.2643830739497531E-2</v>
      </c>
      <c r="R161" s="15">
        <f t="shared" ca="1" si="50"/>
        <v>6.899010635568513</v>
      </c>
      <c r="S161" s="15">
        <f t="shared" si="51"/>
        <v>6.8890996774193551</v>
      </c>
      <c r="T161" s="15">
        <f t="shared" ca="1" si="52"/>
        <v>9.910958149157878E-3</v>
      </c>
      <c r="U161" s="18">
        <f t="shared" ca="1" si="53"/>
        <v>1.4386434531704303E-3</v>
      </c>
      <c r="V161" s="15">
        <f t="shared" si="54"/>
        <v>1.3249999999999993</v>
      </c>
      <c r="W161" s="15">
        <f t="shared" ca="1" si="55"/>
        <v>1.100989364431487</v>
      </c>
      <c r="X161" s="15">
        <f t="shared" ca="1" si="56"/>
        <v>0.22401063556851231</v>
      </c>
      <c r="Y161" s="35">
        <f t="shared" ca="1" si="57"/>
        <v>0.16906463061774524</v>
      </c>
      <c r="Z161" s="36">
        <f t="shared" ca="1" si="58"/>
        <v>33.211872</v>
      </c>
      <c r="AA161" s="18">
        <f t="shared" ca="1" si="59"/>
        <v>7.4878217270194961E-2</v>
      </c>
      <c r="AB161" s="2"/>
    </row>
    <row r="162" spans="6:28" x14ac:dyDescent="0.25">
      <c r="F162" s="14">
        <v>160</v>
      </c>
      <c r="G162" s="14">
        <f t="shared" si="40"/>
        <v>36</v>
      </c>
      <c r="H162" s="14">
        <f t="shared" si="41"/>
        <v>309.14999999999998</v>
      </c>
      <c r="I162" s="15">
        <f t="shared" si="42"/>
        <v>1.3333330000000001</v>
      </c>
      <c r="J162" s="15">
        <f t="shared" si="43"/>
        <v>6270.9414310000002</v>
      </c>
      <c r="K162" s="15">
        <f t="shared" si="44"/>
        <v>5.2909414310000003</v>
      </c>
      <c r="L162" s="15">
        <f t="shared" si="45"/>
        <v>1889.1839070000001</v>
      </c>
      <c r="M162" s="15">
        <v>1885.79</v>
      </c>
      <c r="N162" s="14">
        <f t="shared" si="46"/>
        <v>1.8891839070000001</v>
      </c>
      <c r="O162" s="14">
        <f t="shared" si="47"/>
        <v>1.8655999999999999</v>
      </c>
      <c r="P162" s="14">
        <f t="shared" si="48"/>
        <v>2.3583907000000126E-2</v>
      </c>
      <c r="Q162" s="18">
        <f t="shared" si="49"/>
        <v>1.2641459584048095E-2</v>
      </c>
      <c r="R162" s="15">
        <f t="shared" ca="1" si="50"/>
        <v>6.8909327725947511</v>
      </c>
      <c r="S162" s="15">
        <f t="shared" si="51"/>
        <v>6.8806537634408595</v>
      </c>
      <c r="T162" s="15">
        <f t="shared" ca="1" si="52"/>
        <v>1.0279009153891572E-2</v>
      </c>
      <c r="U162" s="18">
        <f t="shared" ca="1" si="53"/>
        <v>1.493900072186058E-3</v>
      </c>
      <c r="V162" s="15">
        <f t="shared" si="54"/>
        <v>1.3333333333333339</v>
      </c>
      <c r="W162" s="15">
        <f t="shared" ca="1" si="55"/>
        <v>1.1090672274052489</v>
      </c>
      <c r="X162" s="15">
        <f t="shared" ca="1" si="56"/>
        <v>0.22426610592808505</v>
      </c>
      <c r="Y162" s="35">
        <f t="shared" ca="1" si="57"/>
        <v>0.1681995794460637</v>
      </c>
      <c r="Z162" s="36">
        <f t="shared" ca="1" si="58"/>
        <v>33.308807000000002</v>
      </c>
      <c r="AA162" s="18">
        <f t="shared" ca="1" si="59"/>
        <v>7.4755361111111071E-2</v>
      </c>
      <c r="AB162" s="2"/>
    </row>
    <row r="163" spans="6:28" x14ac:dyDescent="0.25">
      <c r="F163" s="14">
        <v>161</v>
      </c>
      <c r="G163" s="14">
        <f t="shared" si="40"/>
        <v>36.1</v>
      </c>
      <c r="H163" s="14">
        <f t="shared" si="41"/>
        <v>309.25</v>
      </c>
      <c r="I163" s="15">
        <f t="shared" si="42"/>
        <v>1.3416669999999999</v>
      </c>
      <c r="J163" s="15">
        <f t="shared" si="43"/>
        <v>6245.2245780000003</v>
      </c>
      <c r="K163" s="15">
        <f t="shared" si="44"/>
        <v>5.2652245780000007</v>
      </c>
      <c r="L163" s="15">
        <f t="shared" si="45"/>
        <v>1886.858072</v>
      </c>
      <c r="M163" s="15">
        <v>1883.32</v>
      </c>
      <c r="N163" s="14">
        <f t="shared" si="46"/>
        <v>1.8868580719999999</v>
      </c>
      <c r="O163" s="14">
        <f t="shared" si="47"/>
        <v>1.8633099999999998</v>
      </c>
      <c r="P163" s="14">
        <f t="shared" si="48"/>
        <v>2.3548072000000086E-2</v>
      </c>
      <c r="Q163" s="18">
        <f t="shared" si="49"/>
        <v>1.2637763979155421E-2</v>
      </c>
      <c r="R163" s="15">
        <f t="shared" ca="1" si="50"/>
        <v>6.8816564985422737</v>
      </c>
      <c r="S163" s="15">
        <f t="shared" si="51"/>
        <v>6.8722078494623648</v>
      </c>
      <c r="T163" s="15">
        <f t="shared" ca="1" si="52"/>
        <v>9.448649079908833E-3</v>
      </c>
      <c r="U163" s="18">
        <f t="shared" ca="1" si="53"/>
        <v>1.3749073495569596E-3</v>
      </c>
      <c r="V163" s="15">
        <f t="shared" si="54"/>
        <v>1.3416666666666668</v>
      </c>
      <c r="W163" s="15">
        <f t="shared" ca="1" si="55"/>
        <v>1.1183435014577263</v>
      </c>
      <c r="X163" s="15">
        <f t="shared" ca="1" si="56"/>
        <v>0.22332316520894047</v>
      </c>
      <c r="Y163" s="35">
        <f t="shared" ca="1" si="57"/>
        <v>0.16645204860293697</v>
      </c>
      <c r="Z163" s="36">
        <f t="shared" ca="1" si="58"/>
        <v>33.420121999999999</v>
      </c>
      <c r="AA163" s="18">
        <f t="shared" ca="1" si="59"/>
        <v>7.4234847645429425E-2</v>
      </c>
      <c r="AB163" s="2"/>
    </row>
    <row r="164" spans="6:28" x14ac:dyDescent="0.25">
      <c r="F164" s="14">
        <v>162</v>
      </c>
      <c r="G164" s="14">
        <f t="shared" si="40"/>
        <v>36.200000000000003</v>
      </c>
      <c r="H164" s="14">
        <f t="shared" si="41"/>
        <v>309.34999999999997</v>
      </c>
      <c r="I164" s="15">
        <f t="shared" si="42"/>
        <v>1.35</v>
      </c>
      <c r="J164" s="15">
        <f t="shared" si="43"/>
        <v>6219.6276529999996</v>
      </c>
      <c r="K164" s="15">
        <f t="shared" si="44"/>
        <v>5.2396276529999994</v>
      </c>
      <c r="L164" s="15">
        <f t="shared" si="45"/>
        <v>1884.529794</v>
      </c>
      <c r="M164" s="15">
        <v>1881.06</v>
      </c>
      <c r="N164" s="14">
        <f t="shared" si="46"/>
        <v>1.8845297940000001</v>
      </c>
      <c r="O164" s="14">
        <f t="shared" si="47"/>
        <v>1.8610199999999999</v>
      </c>
      <c r="P164" s="14">
        <f t="shared" si="48"/>
        <v>2.3509794000000195E-2</v>
      </c>
      <c r="Q164" s="18">
        <f t="shared" si="49"/>
        <v>1.263274655833908E-2</v>
      </c>
      <c r="R164" s="15">
        <f t="shared" ca="1" si="50"/>
        <v>6.8739557725947513</v>
      </c>
      <c r="S164" s="15">
        <f t="shared" si="51"/>
        <v>6.8637619354838701</v>
      </c>
      <c r="T164" s="15">
        <f t="shared" ca="1" si="52"/>
        <v>1.0193837110881176E-2</v>
      </c>
      <c r="U164" s="18">
        <f t="shared" ca="1" si="53"/>
        <v>1.4851676393643086E-3</v>
      </c>
      <c r="V164" s="15">
        <f t="shared" si="54"/>
        <v>1.3500000000000005</v>
      </c>
      <c r="W164" s="15">
        <f t="shared" ca="1" si="55"/>
        <v>1.1260442274052487</v>
      </c>
      <c r="X164" s="15">
        <f t="shared" ca="1" si="56"/>
        <v>0.22395577259475186</v>
      </c>
      <c r="Y164" s="35">
        <f t="shared" ca="1" si="57"/>
        <v>0.1658931648850013</v>
      </c>
      <c r="Z164" s="36">
        <f t="shared" ca="1" si="58"/>
        <v>33.512531000000003</v>
      </c>
      <c r="AA164" s="18">
        <f t="shared" ca="1" si="59"/>
        <v>7.4239475138121541E-2</v>
      </c>
      <c r="AB164" s="2"/>
    </row>
    <row r="165" spans="6:28" x14ac:dyDescent="0.25">
      <c r="F165" s="14">
        <v>163</v>
      </c>
      <c r="G165" s="14">
        <f t="shared" si="40"/>
        <v>36.299999999999997</v>
      </c>
      <c r="H165" s="14">
        <f t="shared" si="41"/>
        <v>309.45</v>
      </c>
      <c r="I165" s="15">
        <f t="shared" si="42"/>
        <v>1.358333</v>
      </c>
      <c r="J165" s="15">
        <f t="shared" si="43"/>
        <v>6194.1500340000002</v>
      </c>
      <c r="K165" s="15">
        <f t="shared" si="44"/>
        <v>5.2141500340000002</v>
      </c>
      <c r="L165" s="15">
        <f t="shared" si="45"/>
        <v>1882.199091</v>
      </c>
      <c r="M165" s="15">
        <v>1878.35</v>
      </c>
      <c r="N165" s="14">
        <f t="shared" si="46"/>
        <v>1.8821990909999997</v>
      </c>
      <c r="O165" s="14">
        <f t="shared" si="47"/>
        <v>1.85873</v>
      </c>
      <c r="P165" s="14">
        <f t="shared" si="48"/>
        <v>2.346909099999972E-2</v>
      </c>
      <c r="Q165" s="18">
        <f t="shared" si="49"/>
        <v>1.2626412120103361E-2</v>
      </c>
      <c r="R165" s="15">
        <f t="shared" ca="1" si="50"/>
        <v>6.8658401370262387</v>
      </c>
      <c r="S165" s="15">
        <f t="shared" si="51"/>
        <v>6.8553160215053763</v>
      </c>
      <c r="T165" s="15">
        <f t="shared" ca="1" si="52"/>
        <v>1.0524115520862409E-2</v>
      </c>
      <c r="U165" s="18">
        <f t="shared" ca="1" si="53"/>
        <v>1.5351758384074309E-3</v>
      </c>
      <c r="V165" s="15">
        <f t="shared" si="54"/>
        <v>1.3583333333333325</v>
      </c>
      <c r="W165" s="15">
        <f t="shared" ca="1" si="55"/>
        <v>1.1341598629737613</v>
      </c>
      <c r="X165" s="15">
        <f t="shared" ca="1" si="56"/>
        <v>0.22417347035957125</v>
      </c>
      <c r="Y165" s="35">
        <f t="shared" ca="1" si="57"/>
        <v>0.16503568370029795</v>
      </c>
      <c r="Z165" s="36">
        <f t="shared" ca="1" si="58"/>
        <v>33.609918</v>
      </c>
      <c r="AA165" s="18">
        <f t="shared" ca="1" si="59"/>
        <v>7.4106942148760249E-2</v>
      </c>
      <c r="AB165" s="2"/>
    </row>
    <row r="166" spans="6:28" x14ac:dyDescent="0.25">
      <c r="F166" s="14">
        <v>164</v>
      </c>
      <c r="G166" s="14">
        <f t="shared" si="40"/>
        <v>36.400000000000006</v>
      </c>
      <c r="H166" s="14">
        <f t="shared" si="41"/>
        <v>309.54999999999995</v>
      </c>
      <c r="I166" s="15">
        <f t="shared" si="42"/>
        <v>1.3666670000000001</v>
      </c>
      <c r="J166" s="15">
        <f t="shared" si="43"/>
        <v>6168.7911020000001</v>
      </c>
      <c r="K166" s="15">
        <f t="shared" si="44"/>
        <v>5.1887911020000006</v>
      </c>
      <c r="L166" s="15">
        <f t="shared" si="45"/>
        <v>1879.865978</v>
      </c>
      <c r="M166" s="15">
        <v>1876.09</v>
      </c>
      <c r="N166" s="14">
        <f t="shared" si="46"/>
        <v>1.879865978</v>
      </c>
      <c r="O166" s="14">
        <f t="shared" si="47"/>
        <v>1.8564399999999996</v>
      </c>
      <c r="P166" s="14">
        <f t="shared" si="48"/>
        <v>2.3425978000000347E-2</v>
      </c>
      <c r="Q166" s="18">
        <f t="shared" si="49"/>
        <v>1.2618763870634306E-2</v>
      </c>
      <c r="R166" s="15">
        <f t="shared" ca="1" si="50"/>
        <v>6.8561524985422739</v>
      </c>
      <c r="S166" s="15">
        <f t="shared" si="51"/>
        <v>6.8468701075268799</v>
      </c>
      <c r="T166" s="15">
        <f t="shared" ca="1" si="52"/>
        <v>9.2823910153940759E-3</v>
      </c>
      <c r="U166" s="18">
        <f t="shared" ca="1" si="53"/>
        <v>1.3557130294015343E-3</v>
      </c>
      <c r="V166" s="15">
        <f t="shared" si="54"/>
        <v>1.366666666666668</v>
      </c>
      <c r="W166" s="15">
        <f t="shared" ca="1" si="55"/>
        <v>1.1438475014577261</v>
      </c>
      <c r="X166" s="15">
        <f t="shared" ca="1" si="56"/>
        <v>0.22281916520894196</v>
      </c>
      <c r="Y166" s="35">
        <f t="shared" ca="1" si="57"/>
        <v>0.16303841356751836</v>
      </c>
      <c r="Z166" s="36">
        <f t="shared" ca="1" si="58"/>
        <v>33.726170000000003</v>
      </c>
      <c r="AA166" s="18">
        <f t="shared" ca="1" si="59"/>
        <v>7.3456868131868192E-2</v>
      </c>
      <c r="AB166" s="2"/>
    </row>
    <row r="167" spans="6:28" x14ac:dyDescent="0.25">
      <c r="F167" s="14">
        <v>165</v>
      </c>
      <c r="G167" s="14">
        <f t="shared" si="40"/>
        <v>36.5</v>
      </c>
      <c r="H167" s="14">
        <f t="shared" si="41"/>
        <v>309.64999999999998</v>
      </c>
      <c r="I167" s="15">
        <f t="shared" si="42"/>
        <v>1.375</v>
      </c>
      <c r="J167" s="15">
        <f t="shared" si="43"/>
        <v>6143.5502409999999</v>
      </c>
      <c r="K167" s="15">
        <f t="shared" si="44"/>
        <v>5.1635502410000003</v>
      </c>
      <c r="L167" s="15">
        <f t="shared" si="45"/>
        <v>1877.5304699999999</v>
      </c>
      <c r="M167" s="15">
        <v>1873.81</v>
      </c>
      <c r="N167" s="14">
        <f t="shared" si="46"/>
        <v>1.87753047</v>
      </c>
      <c r="O167" s="14">
        <f t="shared" si="47"/>
        <v>1.85415</v>
      </c>
      <c r="P167" s="14">
        <f t="shared" si="48"/>
        <v>2.3380469999999987E-2</v>
      </c>
      <c r="Q167" s="18">
        <f t="shared" si="49"/>
        <v>1.2609805031955336E-2</v>
      </c>
      <c r="R167" s="15">
        <f t="shared" ca="1" si="50"/>
        <v>6.8488003644314874</v>
      </c>
      <c r="S167" s="15">
        <f t="shared" si="51"/>
        <v>6.8384241935483869</v>
      </c>
      <c r="T167" s="15">
        <f t="shared" ca="1" si="52"/>
        <v>1.03761708831005E-2</v>
      </c>
      <c r="U167" s="18">
        <f t="shared" ca="1" si="53"/>
        <v>1.517333612163128E-3</v>
      </c>
      <c r="V167" s="15">
        <f t="shared" si="54"/>
        <v>1.375</v>
      </c>
      <c r="W167" s="15">
        <f t="shared" ca="1" si="55"/>
        <v>1.1511996355685126</v>
      </c>
      <c r="X167" s="15">
        <f t="shared" ca="1" si="56"/>
        <v>0.22380036443148743</v>
      </c>
      <c r="Y167" s="35">
        <f t="shared" ca="1" si="57"/>
        <v>0.16276390140471814</v>
      </c>
      <c r="Z167" s="36">
        <f t="shared" ca="1" si="58"/>
        <v>33.814396000000002</v>
      </c>
      <c r="AA167" s="18">
        <f t="shared" ca="1" si="59"/>
        <v>7.3578191780821867E-2</v>
      </c>
      <c r="AB167" s="2"/>
    </row>
    <row r="168" spans="6:28" x14ac:dyDescent="0.25">
      <c r="F168" s="14">
        <v>166</v>
      </c>
      <c r="G168" s="14">
        <f t="shared" si="40"/>
        <v>36.6</v>
      </c>
      <c r="H168" s="14">
        <f t="shared" si="41"/>
        <v>309.75</v>
      </c>
      <c r="I168" s="15">
        <f t="shared" si="42"/>
        <v>1.3833329999999999</v>
      </c>
      <c r="J168" s="15">
        <f t="shared" si="43"/>
        <v>6118.4268410000004</v>
      </c>
      <c r="K168" s="15">
        <f t="shared" si="44"/>
        <v>5.1384268410000002</v>
      </c>
      <c r="L168" s="15">
        <f t="shared" si="45"/>
        <v>1875.1925839999999</v>
      </c>
      <c r="M168" s="15">
        <v>1871.53</v>
      </c>
      <c r="N168" s="14">
        <f t="shared" si="46"/>
        <v>1.8751925840000001</v>
      </c>
      <c r="O168" s="14">
        <f t="shared" si="47"/>
        <v>1.8518599999999998</v>
      </c>
      <c r="P168" s="14">
        <f t="shared" si="48"/>
        <v>2.3332584000000267E-2</v>
      </c>
      <c r="Q168" s="18">
        <f t="shared" si="49"/>
        <v>1.2599539922024488E-2</v>
      </c>
      <c r="R168" s="15">
        <f t="shared" ca="1" si="50"/>
        <v>6.8402723644314873</v>
      </c>
      <c r="S168" s="15">
        <f t="shared" si="51"/>
        <v>6.8299782795698913</v>
      </c>
      <c r="T168" s="15">
        <f t="shared" ca="1" si="52"/>
        <v>1.0294084861595998E-2</v>
      </c>
      <c r="U168" s="18">
        <f t="shared" ca="1" si="53"/>
        <v>1.5071914492595215E-3</v>
      </c>
      <c r="V168" s="15">
        <f t="shared" si="54"/>
        <v>1.3833333333333337</v>
      </c>
      <c r="W168" s="15">
        <f t="shared" ca="1" si="55"/>
        <v>1.1597276355685127</v>
      </c>
      <c r="X168" s="15">
        <f t="shared" ca="1" si="56"/>
        <v>0.22360569776482109</v>
      </c>
      <c r="Y168" s="35">
        <f t="shared" ca="1" si="57"/>
        <v>0.16164267308300315</v>
      </c>
      <c r="Z168" s="36">
        <f t="shared" ca="1" si="58"/>
        <v>33.916732000000003</v>
      </c>
      <c r="AA168" s="18">
        <f t="shared" ca="1" si="59"/>
        <v>7.3313333333333286E-2</v>
      </c>
      <c r="AB168" s="2"/>
    </row>
    <row r="169" spans="6:28" x14ac:dyDescent="0.25">
      <c r="F169" s="14">
        <v>167</v>
      </c>
      <c r="G169" s="14">
        <f t="shared" si="40"/>
        <v>36.700000000000003</v>
      </c>
      <c r="H169" s="14">
        <f t="shared" si="41"/>
        <v>309.84999999999997</v>
      </c>
      <c r="I169" s="15">
        <f t="shared" si="42"/>
        <v>1.391667</v>
      </c>
      <c r="J169" s="15">
        <f t="shared" si="43"/>
        <v>6093.4202930000001</v>
      </c>
      <c r="K169" s="15">
        <f t="shared" si="44"/>
        <v>5.1134202929999999</v>
      </c>
      <c r="L169" s="15">
        <f t="shared" si="45"/>
        <v>1872.852337</v>
      </c>
      <c r="M169" s="15">
        <v>1869.02</v>
      </c>
      <c r="N169" s="14">
        <f t="shared" si="46"/>
        <v>1.8728523370000001</v>
      </c>
      <c r="O169" s="14">
        <f t="shared" si="47"/>
        <v>1.8495699999999999</v>
      </c>
      <c r="P169" s="14">
        <f t="shared" si="48"/>
        <v>2.3282337000000153E-2</v>
      </c>
      <c r="Q169" s="18">
        <f t="shared" si="49"/>
        <v>1.2587972880183044E-2</v>
      </c>
      <c r="R169" s="15">
        <f t="shared" ca="1" si="50"/>
        <v>6.8313402274052484</v>
      </c>
      <c r="S169" s="15">
        <f t="shared" si="51"/>
        <v>6.8215323655913975</v>
      </c>
      <c r="T169" s="15">
        <f t="shared" ca="1" si="52"/>
        <v>9.8078618138508489E-3</v>
      </c>
      <c r="U169" s="18">
        <f t="shared" ca="1" si="53"/>
        <v>1.4377798547614967E-3</v>
      </c>
      <c r="V169" s="15">
        <f t="shared" si="54"/>
        <v>1.3916666666666666</v>
      </c>
      <c r="W169" s="15">
        <f t="shared" ca="1" si="55"/>
        <v>1.1686597725947516</v>
      </c>
      <c r="X169" s="15">
        <f t="shared" ca="1" si="56"/>
        <v>0.22300689407191499</v>
      </c>
      <c r="Y169" s="35">
        <f t="shared" ca="1" si="57"/>
        <v>0.16024447478221437</v>
      </c>
      <c r="Z169" s="36">
        <f t="shared" ca="1" si="58"/>
        <v>34.023916999999997</v>
      </c>
      <c r="AA169" s="18">
        <f t="shared" ca="1" si="59"/>
        <v>7.2917792915531479E-2</v>
      </c>
      <c r="AB169" s="2"/>
    </row>
    <row r="170" spans="6:28" x14ac:dyDescent="0.25">
      <c r="F170" s="14">
        <v>168</v>
      </c>
      <c r="G170" s="14">
        <f t="shared" si="40"/>
        <v>36.799999999999997</v>
      </c>
      <c r="H170" s="14">
        <f t="shared" si="41"/>
        <v>309.95</v>
      </c>
      <c r="I170" s="15">
        <f t="shared" si="42"/>
        <v>1.4</v>
      </c>
      <c r="J170" s="15">
        <f t="shared" si="43"/>
        <v>6068.5299919999998</v>
      </c>
      <c r="K170" s="15">
        <f t="shared" si="44"/>
        <v>5.0885299919999998</v>
      </c>
      <c r="L170" s="15">
        <f t="shared" si="45"/>
        <v>1870.5097430000001</v>
      </c>
      <c r="M170" s="15">
        <v>1866.5</v>
      </c>
      <c r="N170" s="14">
        <f t="shared" si="46"/>
        <v>1.8705097429999999</v>
      </c>
      <c r="O170" s="14">
        <f t="shared" si="47"/>
        <v>1.84728</v>
      </c>
      <c r="P170" s="14">
        <f t="shared" si="48"/>
        <v>2.3229742999999914E-2</v>
      </c>
      <c r="Q170" s="18">
        <f t="shared" si="49"/>
        <v>1.2575106643280886E-2</v>
      </c>
      <c r="R170" s="15">
        <f t="shared" ca="1" si="50"/>
        <v>6.8227952274052486</v>
      </c>
      <c r="S170" s="15">
        <f t="shared" si="51"/>
        <v>6.8130864516129028</v>
      </c>
      <c r="T170" s="15">
        <f t="shared" ca="1" si="52"/>
        <v>9.7087757923457474E-3</v>
      </c>
      <c r="U170" s="18">
        <f t="shared" ca="1" si="53"/>
        <v>1.4250187284864601E-3</v>
      </c>
      <c r="V170" s="15">
        <f t="shared" si="54"/>
        <v>1.4000000000000004</v>
      </c>
      <c r="W170" s="15">
        <f t="shared" ca="1" si="55"/>
        <v>1.1772047725947514</v>
      </c>
      <c r="X170" s="15">
        <f t="shared" ca="1" si="56"/>
        <v>0.22279522740524893</v>
      </c>
      <c r="Y170" s="35">
        <f t="shared" ca="1" si="57"/>
        <v>0.15913944814660633</v>
      </c>
      <c r="Z170" s="36">
        <f t="shared" ca="1" si="58"/>
        <v>34.126457000000002</v>
      </c>
      <c r="AA170" s="18">
        <f t="shared" ca="1" si="59"/>
        <v>7.2650624999999872E-2</v>
      </c>
      <c r="AB170" s="2"/>
    </row>
    <row r="171" spans="6:28" x14ac:dyDescent="0.25">
      <c r="F171" s="14">
        <v>169</v>
      </c>
      <c r="G171" s="14">
        <f t="shared" si="40"/>
        <v>36.900000000000006</v>
      </c>
      <c r="H171" s="14">
        <f t="shared" si="41"/>
        <v>310.04999999999995</v>
      </c>
      <c r="I171" s="15">
        <f t="shared" si="42"/>
        <v>1.4083330000000001</v>
      </c>
      <c r="J171" s="15">
        <f t="shared" si="43"/>
        <v>6043.7553369999996</v>
      </c>
      <c r="K171" s="15">
        <f t="shared" si="44"/>
        <v>5.0637553369999999</v>
      </c>
      <c r="L171" s="15">
        <f t="shared" si="45"/>
        <v>1868.16482</v>
      </c>
      <c r="M171" s="15">
        <v>1864.64</v>
      </c>
      <c r="N171" s="14">
        <f t="shared" si="46"/>
        <v>1.8681648200000001</v>
      </c>
      <c r="O171" s="14">
        <f t="shared" si="47"/>
        <v>1.8449899999999997</v>
      </c>
      <c r="P171" s="14">
        <f t="shared" si="48"/>
        <v>2.3174820000000373E-2</v>
      </c>
      <c r="Q171" s="18">
        <f t="shared" si="49"/>
        <v>1.2560946129789526E-2</v>
      </c>
      <c r="R171" s="15">
        <f t="shared" ca="1" si="50"/>
        <v>6.8138676355685126</v>
      </c>
      <c r="S171" s="15">
        <f t="shared" si="51"/>
        <v>6.8046405376344072</v>
      </c>
      <c r="T171" s="15">
        <f t="shared" ca="1" si="52"/>
        <v>9.2270979341053661E-3</v>
      </c>
      <c r="U171" s="18">
        <f t="shared" ca="1" si="53"/>
        <v>1.3560007884432807E-3</v>
      </c>
      <c r="V171" s="15">
        <f t="shared" si="54"/>
        <v>1.4083333333333341</v>
      </c>
      <c r="W171" s="15">
        <f t="shared" ca="1" si="55"/>
        <v>1.1861323644314874</v>
      </c>
      <c r="X171" s="15">
        <f t="shared" ca="1" si="56"/>
        <v>0.22220096890184671</v>
      </c>
      <c r="Y171" s="35">
        <f t="shared" ca="1" si="57"/>
        <v>0.15777583590663663</v>
      </c>
      <c r="Z171" s="36">
        <f t="shared" ca="1" si="58"/>
        <v>34.233587999999997</v>
      </c>
      <c r="AA171" s="18">
        <f t="shared" ca="1" si="59"/>
        <v>7.226048780487826E-2</v>
      </c>
      <c r="AB171" s="2"/>
    </row>
    <row r="172" spans="6:28" x14ac:dyDescent="0.25">
      <c r="F172" s="14">
        <v>170</v>
      </c>
      <c r="G172" s="14">
        <f t="shared" si="40"/>
        <v>37</v>
      </c>
      <c r="H172" s="14">
        <f t="shared" si="41"/>
        <v>310.14999999999998</v>
      </c>
      <c r="I172" s="15">
        <f t="shared" si="42"/>
        <v>1.4166669999999999</v>
      </c>
      <c r="J172" s="15">
        <f t="shared" si="43"/>
        <v>6019.0957310000003</v>
      </c>
      <c r="K172" s="15">
        <f t="shared" si="44"/>
        <v>5.0390957310000006</v>
      </c>
      <c r="L172" s="15">
        <f t="shared" si="45"/>
        <v>1865.817583</v>
      </c>
      <c r="M172" s="15">
        <v>1861.89</v>
      </c>
      <c r="N172" s="14">
        <f t="shared" si="46"/>
        <v>1.8658175829999999</v>
      </c>
      <c r="O172" s="14">
        <f t="shared" si="47"/>
        <v>1.8426999999999998</v>
      </c>
      <c r="P172" s="14">
        <f t="shared" si="48"/>
        <v>2.3117583000000108E-2</v>
      </c>
      <c r="Q172" s="18">
        <f t="shared" si="49"/>
        <v>1.2545494654583008E-2</v>
      </c>
      <c r="R172" s="15">
        <f t="shared" ca="1" si="50"/>
        <v>6.8049094985422744</v>
      </c>
      <c r="S172" s="15">
        <f t="shared" si="51"/>
        <v>6.7961946236559125</v>
      </c>
      <c r="T172" s="15">
        <f t="shared" ca="1" si="52"/>
        <v>8.7148748863619119E-3</v>
      </c>
      <c r="U172" s="18">
        <f t="shared" ca="1" si="53"/>
        <v>1.2823168506722184E-3</v>
      </c>
      <c r="V172" s="15">
        <f t="shared" si="54"/>
        <v>1.4166666666666679</v>
      </c>
      <c r="W172" s="15">
        <f t="shared" ca="1" si="55"/>
        <v>1.1950905014577256</v>
      </c>
      <c r="X172" s="15">
        <f t="shared" ca="1" si="56"/>
        <v>0.2215761652089423</v>
      </c>
      <c r="Y172" s="35">
        <f t="shared" ca="1" si="57"/>
        <v>0.15640670485337091</v>
      </c>
      <c r="Z172" s="36">
        <f t="shared" ca="1" si="58"/>
        <v>34.341085999999997</v>
      </c>
      <c r="AA172" s="18">
        <f t="shared" ca="1" si="59"/>
        <v>7.1862540540540615E-2</v>
      </c>
      <c r="AB172" s="2"/>
    </row>
    <row r="173" spans="6:28" x14ac:dyDescent="0.25">
      <c r="F173" s="14">
        <v>171</v>
      </c>
      <c r="G173" s="14">
        <f t="shared" si="40"/>
        <v>37.1</v>
      </c>
      <c r="H173" s="14">
        <f t="shared" si="41"/>
        <v>310.25</v>
      </c>
      <c r="I173" s="15">
        <f t="shared" si="42"/>
        <v>1.425</v>
      </c>
      <c r="J173" s="15">
        <f t="shared" si="43"/>
        <v>5994.5505780000003</v>
      </c>
      <c r="K173" s="15">
        <f t="shared" si="44"/>
        <v>5.0145505780000006</v>
      </c>
      <c r="L173" s="15">
        <f t="shared" si="45"/>
        <v>1863.4680490000001</v>
      </c>
      <c r="M173" s="15">
        <v>1860.01</v>
      </c>
      <c r="N173" s="14">
        <f t="shared" si="46"/>
        <v>1.8634680490000002</v>
      </c>
      <c r="O173" s="14">
        <f t="shared" si="47"/>
        <v>1.8404099999999999</v>
      </c>
      <c r="P173" s="14">
        <f t="shared" si="48"/>
        <v>2.3058049000000302E-2</v>
      </c>
      <c r="Q173" s="18">
        <f t="shared" si="49"/>
        <v>1.2528756635749807E-2</v>
      </c>
      <c r="R173" s="15">
        <f t="shared" ca="1" si="50"/>
        <v>6.7963394985422738</v>
      </c>
      <c r="S173" s="15">
        <f t="shared" si="51"/>
        <v>6.7877487096774187</v>
      </c>
      <c r="T173" s="15">
        <f t="shared" ca="1" si="52"/>
        <v>8.5907888648550923E-3</v>
      </c>
      <c r="U173" s="18">
        <f t="shared" ca="1" si="53"/>
        <v>1.265631541811064E-3</v>
      </c>
      <c r="V173" s="15">
        <f t="shared" si="54"/>
        <v>1.4249999999999998</v>
      </c>
      <c r="W173" s="15">
        <f t="shared" ca="1" si="55"/>
        <v>1.2036605014577262</v>
      </c>
      <c r="X173" s="15">
        <f t="shared" ca="1" si="56"/>
        <v>0.22133949854227364</v>
      </c>
      <c r="Y173" s="35">
        <f t="shared" ca="1" si="57"/>
        <v>0.15532596388931486</v>
      </c>
      <c r="Z173" s="36">
        <f t="shared" ca="1" si="58"/>
        <v>34.443925999999998</v>
      </c>
      <c r="AA173" s="18">
        <f t="shared" ca="1" si="59"/>
        <v>7.15922911051214E-2</v>
      </c>
      <c r="AB173" s="2"/>
    </row>
    <row r="174" spans="6:28" x14ac:dyDescent="0.25">
      <c r="F174" s="14">
        <v>172</v>
      </c>
      <c r="G174" s="14">
        <f t="shared" si="40"/>
        <v>37.200000000000003</v>
      </c>
      <c r="H174" s="14">
        <f t="shared" si="41"/>
        <v>310.34999999999997</v>
      </c>
      <c r="I174" s="15">
        <f t="shared" si="42"/>
        <v>1.433333</v>
      </c>
      <c r="J174" s="15">
        <f t="shared" si="43"/>
        <v>5970.1192879999999</v>
      </c>
      <c r="K174" s="15">
        <f t="shared" si="44"/>
        <v>4.9901192879999998</v>
      </c>
      <c r="L174" s="15">
        <f t="shared" si="45"/>
        <v>1861.116233</v>
      </c>
      <c r="M174" s="15">
        <v>1857.25</v>
      </c>
      <c r="N174" s="14">
        <f t="shared" si="46"/>
        <v>1.861116233</v>
      </c>
      <c r="O174" s="14">
        <f t="shared" si="47"/>
        <v>1.83812</v>
      </c>
      <c r="P174" s="14">
        <f t="shared" si="48"/>
        <v>2.2996232999999977E-2</v>
      </c>
      <c r="Q174" s="18">
        <f t="shared" si="49"/>
        <v>1.2510735425325863E-2</v>
      </c>
      <c r="R174" s="15">
        <f t="shared" ca="1" si="50"/>
        <v>6.7893245014577257</v>
      </c>
      <c r="S174" s="15">
        <f t="shared" si="51"/>
        <v>6.779302795698924</v>
      </c>
      <c r="T174" s="15">
        <f t="shared" ca="1" si="52"/>
        <v>1.002170575880168E-2</v>
      </c>
      <c r="U174" s="18">
        <f t="shared" ca="1" si="53"/>
        <v>1.4782797082260248E-3</v>
      </c>
      <c r="V174" s="15">
        <f t="shared" si="54"/>
        <v>1.4333333333333336</v>
      </c>
      <c r="W174" s="15">
        <f t="shared" ca="1" si="55"/>
        <v>1.2106754985422743</v>
      </c>
      <c r="X174" s="15">
        <f t="shared" ca="1" si="56"/>
        <v>0.22265783479105927</v>
      </c>
      <c r="Y174" s="35">
        <f t="shared" ca="1" si="57"/>
        <v>0.15534267543562272</v>
      </c>
      <c r="Z174" s="36">
        <f t="shared" ca="1" si="58"/>
        <v>34.528106000000001</v>
      </c>
      <c r="AA174" s="18">
        <f t="shared" ca="1" si="59"/>
        <v>7.182510752688176E-2</v>
      </c>
      <c r="AB174" s="2"/>
    </row>
    <row r="175" spans="6:28" x14ac:dyDescent="0.25">
      <c r="F175" s="14">
        <v>173</v>
      </c>
      <c r="G175" s="14">
        <f t="shared" si="40"/>
        <v>37.299999999999997</v>
      </c>
      <c r="H175" s="14">
        <f t="shared" si="41"/>
        <v>310.45</v>
      </c>
      <c r="I175" s="15">
        <f t="shared" si="42"/>
        <v>1.441667</v>
      </c>
      <c r="J175" s="15">
        <f t="shared" si="43"/>
        <v>5945.801273</v>
      </c>
      <c r="K175" s="15">
        <f t="shared" si="44"/>
        <v>4.9658012730000003</v>
      </c>
      <c r="L175" s="15">
        <f t="shared" si="45"/>
        <v>1858.762154</v>
      </c>
      <c r="M175" s="15">
        <v>1855.36</v>
      </c>
      <c r="N175" s="14">
        <f t="shared" si="46"/>
        <v>1.8587621540000001</v>
      </c>
      <c r="O175" s="14">
        <f t="shared" si="47"/>
        <v>1.8358300000000001</v>
      </c>
      <c r="P175" s="14">
        <f t="shared" si="48"/>
        <v>2.2932154000000038E-2</v>
      </c>
      <c r="Q175" s="18">
        <f t="shared" si="49"/>
        <v>1.2491436570924342E-2</v>
      </c>
      <c r="R175" s="15">
        <f t="shared" ca="1" si="50"/>
        <v>6.780352137026239</v>
      </c>
      <c r="S175" s="15">
        <f t="shared" si="51"/>
        <v>6.7708568817204302</v>
      </c>
      <c r="T175" s="15">
        <f t="shared" ca="1" si="52"/>
        <v>9.4952553058087474E-3</v>
      </c>
      <c r="U175" s="18">
        <f t="shared" ca="1" si="53"/>
        <v>1.402371290913487E-3</v>
      </c>
      <c r="V175" s="15">
        <f t="shared" si="54"/>
        <v>1.4416666666666664</v>
      </c>
      <c r="W175" s="15">
        <f t="shared" ca="1" si="55"/>
        <v>1.219647862973761</v>
      </c>
      <c r="X175" s="15">
        <f t="shared" ca="1" si="56"/>
        <v>0.22201880369290539</v>
      </c>
      <c r="Y175" s="35">
        <f t="shared" ca="1" si="57"/>
        <v>0.15400148233033903</v>
      </c>
      <c r="Z175" s="36">
        <f t="shared" ca="1" si="58"/>
        <v>34.635773999999998</v>
      </c>
      <c r="AA175" s="18">
        <f t="shared" ca="1" si="59"/>
        <v>7.1426970509383361E-2</v>
      </c>
      <c r="AB175" s="2"/>
    </row>
    <row r="176" spans="6:28" x14ac:dyDescent="0.25">
      <c r="F176" s="14">
        <v>174</v>
      </c>
      <c r="G176" s="14">
        <f t="shared" si="40"/>
        <v>37.400000000000006</v>
      </c>
      <c r="H176" s="14">
        <f t="shared" si="41"/>
        <v>310.54999999999995</v>
      </c>
      <c r="I176" s="15">
        <f t="shared" si="42"/>
        <v>1.45</v>
      </c>
      <c r="J176" s="15">
        <f t="shared" si="43"/>
        <v>5921.5959480000001</v>
      </c>
      <c r="K176" s="15">
        <f t="shared" si="44"/>
        <v>4.9415959480000007</v>
      </c>
      <c r="L176" s="15">
        <f t="shared" si="45"/>
        <v>1856.4058259999999</v>
      </c>
      <c r="M176" s="15">
        <v>1852.58</v>
      </c>
      <c r="N176" s="14">
        <f t="shared" si="46"/>
        <v>1.8564058259999998</v>
      </c>
      <c r="O176" s="14">
        <f t="shared" si="47"/>
        <v>1.8335399999999997</v>
      </c>
      <c r="P176" s="14">
        <f t="shared" si="48"/>
        <v>2.2865826000000089E-2</v>
      </c>
      <c r="Q176" s="18">
        <f t="shared" si="49"/>
        <v>1.2470862920907148E-2</v>
      </c>
      <c r="R176" s="15">
        <f t="shared" ca="1" si="50"/>
        <v>6.7709756355685125</v>
      </c>
      <c r="S176" s="15">
        <f t="shared" si="51"/>
        <v>6.7624109677419337</v>
      </c>
      <c r="T176" s="15">
        <f t="shared" ca="1" si="52"/>
        <v>8.5646678265787202E-3</v>
      </c>
      <c r="U176" s="18">
        <f t="shared" ca="1" si="53"/>
        <v>1.2665109925193716E-3</v>
      </c>
      <c r="V176" s="15">
        <f t="shared" si="54"/>
        <v>1.4500000000000011</v>
      </c>
      <c r="W176" s="15">
        <f t="shared" ca="1" si="55"/>
        <v>1.2290243644314875</v>
      </c>
      <c r="X176" s="15">
        <f t="shared" ca="1" si="56"/>
        <v>0.22097563556851352</v>
      </c>
      <c r="Y176" s="35">
        <f t="shared" ca="1" si="57"/>
        <v>0.1523969900472506</v>
      </c>
      <c r="Z176" s="36">
        <f t="shared" ca="1" si="58"/>
        <v>34.748291999999999</v>
      </c>
      <c r="AA176" s="18">
        <f t="shared" ca="1" si="59"/>
        <v>7.0901283422460049E-2</v>
      </c>
      <c r="AB176" s="2"/>
    </row>
    <row r="177" spans="6:28" x14ac:dyDescent="0.25">
      <c r="F177" s="14">
        <v>175</v>
      </c>
      <c r="G177" s="14">
        <f t="shared" si="40"/>
        <v>37.5</v>
      </c>
      <c r="H177" s="14">
        <f t="shared" si="41"/>
        <v>310.64999999999998</v>
      </c>
      <c r="I177" s="15">
        <f t="shared" si="42"/>
        <v>1.4583330000000001</v>
      </c>
      <c r="J177" s="15">
        <f t="shared" si="43"/>
        <v>5897.5027330000003</v>
      </c>
      <c r="K177" s="15">
        <f t="shared" si="44"/>
        <v>4.9175027330000001</v>
      </c>
      <c r="L177" s="15">
        <f t="shared" si="45"/>
        <v>1854.047266</v>
      </c>
      <c r="M177" s="15">
        <v>1850.24</v>
      </c>
      <c r="N177" s="14">
        <f t="shared" si="46"/>
        <v>1.854047266</v>
      </c>
      <c r="O177" s="14">
        <f t="shared" si="47"/>
        <v>1.8312499999999998</v>
      </c>
      <c r="P177" s="14">
        <f t="shared" si="48"/>
        <v>2.2797266000000205E-2</v>
      </c>
      <c r="Q177" s="18">
        <f t="shared" si="49"/>
        <v>1.2449018976109328E-2</v>
      </c>
      <c r="R177" s="15">
        <f t="shared" ca="1" si="50"/>
        <v>6.7627579999999998</v>
      </c>
      <c r="S177" s="15">
        <f t="shared" si="51"/>
        <v>6.7539650537634399</v>
      </c>
      <c r="T177" s="15">
        <f t="shared" ca="1" si="52"/>
        <v>8.7929462365599065E-3</v>
      </c>
      <c r="U177" s="18">
        <f t="shared" ca="1" si="53"/>
        <v>1.3018939491936381E-3</v>
      </c>
      <c r="V177" s="15">
        <f t="shared" si="54"/>
        <v>1.4583333333333339</v>
      </c>
      <c r="W177" s="15">
        <f t="shared" ca="1" si="55"/>
        <v>1.2372420000000002</v>
      </c>
      <c r="X177" s="15">
        <f t="shared" ca="1" si="56"/>
        <v>0.22109133333333375</v>
      </c>
      <c r="Y177" s="35">
        <f t="shared" ca="1" si="57"/>
        <v>0.15160548571428595</v>
      </c>
      <c r="Z177" s="36">
        <f t="shared" ca="1" si="58"/>
        <v>34.846904000000002</v>
      </c>
      <c r="AA177" s="18">
        <f t="shared" ca="1" si="59"/>
        <v>7.0749226666666609E-2</v>
      </c>
      <c r="AB177" s="2"/>
    </row>
    <row r="178" spans="6:28" x14ac:dyDescent="0.25">
      <c r="F178" s="14">
        <v>176</v>
      </c>
      <c r="G178" s="14">
        <f t="shared" si="40"/>
        <v>37.6</v>
      </c>
      <c r="H178" s="14">
        <f t="shared" si="41"/>
        <v>310.75</v>
      </c>
      <c r="I178" s="15">
        <f t="shared" si="42"/>
        <v>1.4666669999999999</v>
      </c>
      <c r="J178" s="15">
        <f t="shared" si="43"/>
        <v>5873.5210489999999</v>
      </c>
      <c r="K178" s="15">
        <f t="shared" si="44"/>
        <v>4.8935210490000003</v>
      </c>
      <c r="L178" s="15">
        <f t="shared" si="45"/>
        <v>1851.6864909999999</v>
      </c>
      <c r="M178" s="15">
        <v>1848.11</v>
      </c>
      <c r="N178" s="14">
        <f t="shared" si="46"/>
        <v>1.8516864910000002</v>
      </c>
      <c r="O178" s="14">
        <f t="shared" si="47"/>
        <v>1.8289599999999999</v>
      </c>
      <c r="P178" s="14">
        <f t="shared" si="48"/>
        <v>2.2726491000000237E-2</v>
      </c>
      <c r="Q178" s="18">
        <f t="shared" si="49"/>
        <v>1.24259092599074E-2</v>
      </c>
      <c r="R178" s="15">
        <f t="shared" ca="1" si="50"/>
        <v>6.7541362274052483</v>
      </c>
      <c r="S178" s="15">
        <f t="shared" si="51"/>
        <v>6.7455191397849452</v>
      </c>
      <c r="T178" s="15">
        <f t="shared" ca="1" si="52"/>
        <v>8.6170876203031099E-3</v>
      </c>
      <c r="U178" s="18">
        <f t="shared" ca="1" si="53"/>
        <v>1.2774535868528916E-3</v>
      </c>
      <c r="V178" s="15">
        <f t="shared" si="54"/>
        <v>1.4666666666666677</v>
      </c>
      <c r="W178" s="15">
        <f t="shared" ca="1" si="55"/>
        <v>1.2458637725947517</v>
      </c>
      <c r="X178" s="15">
        <f t="shared" ca="1" si="56"/>
        <v>0.220802894071916</v>
      </c>
      <c r="Y178" s="35">
        <f t="shared" ca="1" si="57"/>
        <v>0.15054742777630625</v>
      </c>
      <c r="Z178" s="36">
        <f t="shared" ca="1" si="58"/>
        <v>34.950364999999998</v>
      </c>
      <c r="AA178" s="18">
        <f t="shared" ca="1" si="59"/>
        <v>7.0469015957446896E-2</v>
      </c>
      <c r="AB178" s="2"/>
    </row>
    <row r="179" spans="6:28" x14ac:dyDescent="0.25">
      <c r="F179" s="14">
        <v>177</v>
      </c>
      <c r="G179" s="14">
        <f t="shared" si="40"/>
        <v>37.700000000000003</v>
      </c>
      <c r="H179" s="14">
        <f t="shared" si="41"/>
        <v>310.84999999999997</v>
      </c>
      <c r="I179" s="15">
        <f t="shared" si="42"/>
        <v>1.4750000000000001</v>
      </c>
      <c r="J179" s="15">
        <f t="shared" si="43"/>
        <v>5849.6503220000004</v>
      </c>
      <c r="K179" s="15">
        <f t="shared" si="44"/>
        <v>4.8696503220000009</v>
      </c>
      <c r="L179" s="15">
        <f t="shared" si="45"/>
        <v>1849.323517</v>
      </c>
      <c r="M179" s="15">
        <v>1845.53</v>
      </c>
      <c r="N179" s="14">
        <f t="shared" si="46"/>
        <v>1.8493235170000002</v>
      </c>
      <c r="O179" s="14">
        <f t="shared" si="47"/>
        <v>1.82667</v>
      </c>
      <c r="P179" s="14">
        <f t="shared" si="48"/>
        <v>2.2653517000000178E-2</v>
      </c>
      <c r="Q179" s="18">
        <f t="shared" si="49"/>
        <v>1.2401537770916574E-2</v>
      </c>
      <c r="R179" s="15">
        <f t="shared" ca="1" si="50"/>
        <v>6.7455172274052488</v>
      </c>
      <c r="S179" s="15">
        <f t="shared" si="51"/>
        <v>6.7370732258064514</v>
      </c>
      <c r="T179" s="15">
        <f t="shared" ca="1" si="52"/>
        <v>8.4440015987974348E-3</v>
      </c>
      <c r="U179" s="18">
        <f t="shared" ca="1" si="53"/>
        <v>1.2533634882358961E-3</v>
      </c>
      <c r="V179" s="15">
        <f t="shared" si="54"/>
        <v>1.4749999999999996</v>
      </c>
      <c r="W179" s="15">
        <f t="shared" ca="1" si="55"/>
        <v>1.2544827725947512</v>
      </c>
      <c r="X179" s="15">
        <f t="shared" ca="1" si="56"/>
        <v>0.22051722740524848</v>
      </c>
      <c r="Y179" s="35">
        <f t="shared" ca="1" si="57"/>
        <v>0.14950320502050748</v>
      </c>
      <c r="Z179" s="36">
        <f t="shared" ca="1" si="58"/>
        <v>35.053792999999999</v>
      </c>
      <c r="AA179" s="18">
        <f t="shared" ca="1" si="59"/>
        <v>7.0191167108753422E-2</v>
      </c>
      <c r="AB179" s="2"/>
    </row>
    <row r="180" spans="6:28" x14ac:dyDescent="0.25">
      <c r="F180" s="14">
        <v>178</v>
      </c>
      <c r="G180" s="14">
        <f t="shared" si="40"/>
        <v>37.799999999999997</v>
      </c>
      <c r="H180" s="14">
        <f t="shared" si="41"/>
        <v>310.95</v>
      </c>
      <c r="I180" s="15">
        <f t="shared" si="42"/>
        <v>1.483333</v>
      </c>
      <c r="J180" s="15">
        <f t="shared" si="43"/>
        <v>5825.8899810000003</v>
      </c>
      <c r="K180" s="15">
        <f t="shared" si="44"/>
        <v>4.845889981</v>
      </c>
      <c r="L180" s="15">
        <f t="shared" si="45"/>
        <v>1846.958361</v>
      </c>
      <c r="M180" s="15">
        <v>1842.95</v>
      </c>
      <c r="N180" s="14">
        <f t="shared" si="46"/>
        <v>1.846958361</v>
      </c>
      <c r="O180" s="14">
        <f t="shared" si="47"/>
        <v>1.8243800000000001</v>
      </c>
      <c r="P180" s="14">
        <f t="shared" si="48"/>
        <v>2.257836099999988E-2</v>
      </c>
      <c r="Q180" s="18">
        <f t="shared" si="49"/>
        <v>1.2375909075959986E-2</v>
      </c>
      <c r="R180" s="15">
        <f t="shared" ca="1" si="50"/>
        <v>6.7372971370262382</v>
      </c>
      <c r="S180" s="15">
        <f t="shared" si="51"/>
        <v>6.7286273118279567</v>
      </c>
      <c r="T180" s="15">
        <f t="shared" ca="1" si="52"/>
        <v>8.6698251982815222E-3</v>
      </c>
      <c r="U180" s="18">
        <f t="shared" ca="1" si="53"/>
        <v>1.2884983513711957E-3</v>
      </c>
      <c r="V180" s="15">
        <f t="shared" si="54"/>
        <v>1.4833333333333334</v>
      </c>
      <c r="W180" s="15">
        <f t="shared" ca="1" si="55"/>
        <v>1.2627028629737618</v>
      </c>
      <c r="X180" s="15">
        <f t="shared" ca="1" si="56"/>
        <v>0.22063047035957162</v>
      </c>
      <c r="Y180" s="35">
        <f t="shared" ca="1" si="57"/>
        <v>0.14873964293903705</v>
      </c>
      <c r="Z180" s="36">
        <f t="shared" ca="1" si="58"/>
        <v>35.152434</v>
      </c>
      <c r="AA180" s="18">
        <f t="shared" ca="1" si="59"/>
        <v>7.0041428571428518E-2</v>
      </c>
      <c r="AB180" s="2"/>
    </row>
    <row r="181" spans="6:28" x14ac:dyDescent="0.25">
      <c r="F181" s="14">
        <v>179</v>
      </c>
      <c r="G181" s="14">
        <f t="shared" si="40"/>
        <v>37.900000000000006</v>
      </c>
      <c r="H181" s="14">
        <f t="shared" si="41"/>
        <v>311.04999999999995</v>
      </c>
      <c r="I181" s="15">
        <f t="shared" si="42"/>
        <v>1.4916670000000001</v>
      </c>
      <c r="J181" s="15">
        <f t="shared" si="43"/>
        <v>5802.2394569999997</v>
      </c>
      <c r="K181" s="15">
        <f t="shared" si="44"/>
        <v>4.8222394570000002</v>
      </c>
      <c r="L181" s="15">
        <f t="shared" si="45"/>
        <v>1844.5910389999999</v>
      </c>
      <c r="M181" s="15">
        <v>1840.8</v>
      </c>
      <c r="N181" s="14">
        <f t="shared" si="46"/>
        <v>1.844591039</v>
      </c>
      <c r="O181" s="14">
        <f t="shared" si="47"/>
        <v>1.8220899999999998</v>
      </c>
      <c r="P181" s="14">
        <f t="shared" si="48"/>
        <v>2.2501039000000223E-2</v>
      </c>
      <c r="Q181" s="18">
        <f t="shared" si="49"/>
        <v>1.2349027215999333E-2</v>
      </c>
      <c r="R181" s="15">
        <f t="shared" ca="1" si="50"/>
        <v>6.7286621370262383</v>
      </c>
      <c r="S181" s="15">
        <f t="shared" si="51"/>
        <v>6.7201813978494611</v>
      </c>
      <c r="T181" s="15">
        <f t="shared" ca="1" si="52"/>
        <v>8.4807391767771634E-3</v>
      </c>
      <c r="U181" s="18">
        <f t="shared" ca="1" si="53"/>
        <v>1.2619806928859244E-3</v>
      </c>
      <c r="V181" s="15">
        <f t="shared" si="54"/>
        <v>1.4916666666666671</v>
      </c>
      <c r="W181" s="15">
        <f t="shared" ca="1" si="55"/>
        <v>1.2713378629737617</v>
      </c>
      <c r="X181" s="15">
        <f t="shared" ca="1" si="56"/>
        <v>0.22032880369290542</v>
      </c>
      <c r="Y181" s="35">
        <f t="shared" ca="1" si="57"/>
        <v>0.14770646057624939</v>
      </c>
      <c r="Z181" s="36">
        <f t="shared" ca="1" si="58"/>
        <v>35.256053999999999</v>
      </c>
      <c r="AA181" s="18">
        <f t="shared" ca="1" si="59"/>
        <v>6.976110817941969E-2</v>
      </c>
      <c r="AB181" s="2"/>
    </row>
    <row r="182" spans="6:28" x14ac:dyDescent="0.25">
      <c r="F182" s="14">
        <v>180</v>
      </c>
      <c r="G182" s="14">
        <f t="shared" si="40"/>
        <v>38</v>
      </c>
      <c r="H182" s="14">
        <f t="shared" si="41"/>
        <v>311.14999999999998</v>
      </c>
      <c r="I182" s="15">
        <f t="shared" si="42"/>
        <v>1.5</v>
      </c>
      <c r="J182" s="15">
        <f t="shared" si="43"/>
        <v>5778.6981859999996</v>
      </c>
      <c r="K182" s="15">
        <f t="shared" si="44"/>
        <v>4.7986981859999993</v>
      </c>
      <c r="L182" s="15">
        <f t="shared" si="45"/>
        <v>1842.2215679999999</v>
      </c>
      <c r="M182" s="15">
        <v>1838.2</v>
      </c>
      <c r="N182" s="14">
        <f t="shared" si="46"/>
        <v>1.8422215679999998</v>
      </c>
      <c r="O182" s="14">
        <f t="shared" si="47"/>
        <v>1.8197999999999999</v>
      </c>
      <c r="P182" s="14">
        <f t="shared" si="48"/>
        <v>2.2421567999999947E-2</v>
      </c>
      <c r="Q182" s="18">
        <f t="shared" si="49"/>
        <v>1.2320896801846329E-2</v>
      </c>
      <c r="R182" s="15">
        <f t="shared" ca="1" si="50"/>
        <v>6.7200083644314876</v>
      </c>
      <c r="S182" s="15">
        <f t="shared" si="51"/>
        <v>6.7117354838709673</v>
      </c>
      <c r="T182" s="15">
        <f t="shared" ca="1" si="52"/>
        <v>8.2728805605203348E-3</v>
      </c>
      <c r="U182" s="18">
        <f t="shared" ca="1" si="53"/>
        <v>1.2325993150953236E-3</v>
      </c>
      <c r="V182" s="15">
        <f t="shared" si="54"/>
        <v>1.5</v>
      </c>
      <c r="W182" s="15">
        <f t="shared" ca="1" si="55"/>
        <v>1.2799916355685124</v>
      </c>
      <c r="X182" s="15">
        <f t="shared" ca="1" si="56"/>
        <v>0.22000836443148764</v>
      </c>
      <c r="Y182" s="35">
        <f t="shared" ca="1" si="57"/>
        <v>0.1466722429543251</v>
      </c>
      <c r="Z182" s="36">
        <f t="shared" ca="1" si="58"/>
        <v>35.359900000000003</v>
      </c>
      <c r="AA182" s="18">
        <f t="shared" ca="1" si="59"/>
        <v>6.9476315789473594E-2</v>
      </c>
      <c r="AB182" s="2"/>
    </row>
    <row r="183" spans="6:28" x14ac:dyDescent="0.25">
      <c r="F183" s="14">
        <v>181</v>
      </c>
      <c r="G183" s="14">
        <f t="shared" si="40"/>
        <v>38.1</v>
      </c>
      <c r="H183" s="14">
        <f t="shared" si="41"/>
        <v>311.25</v>
      </c>
      <c r="I183" s="15">
        <f t="shared" si="42"/>
        <v>1.5083329999999999</v>
      </c>
      <c r="J183" s="15">
        <f t="shared" si="43"/>
        <v>5755.2656049999996</v>
      </c>
      <c r="K183" s="15">
        <f t="shared" si="44"/>
        <v>4.7752656049999995</v>
      </c>
      <c r="L183" s="15">
        <f t="shared" si="45"/>
        <v>1839.849966</v>
      </c>
      <c r="M183" s="15">
        <v>1836.03</v>
      </c>
      <c r="N183" s="14">
        <f t="shared" si="46"/>
        <v>1.8398499660000001</v>
      </c>
      <c r="O183" s="14">
        <f t="shared" si="47"/>
        <v>1.81751</v>
      </c>
      <c r="P183" s="14">
        <f t="shared" si="48"/>
        <v>2.23399660000001E-2</v>
      </c>
      <c r="Q183" s="18">
        <f t="shared" si="49"/>
        <v>1.2291523017755115E-2</v>
      </c>
      <c r="R183" s="15">
        <f t="shared" ca="1" si="50"/>
        <v>6.7109622274052487</v>
      </c>
      <c r="S183" s="15">
        <f t="shared" si="51"/>
        <v>6.7032895698924726</v>
      </c>
      <c r="T183" s="15">
        <f t="shared" ca="1" si="52"/>
        <v>7.6726575127761265E-3</v>
      </c>
      <c r="U183" s="18">
        <f t="shared" ca="1" si="53"/>
        <v>1.1446107814344656E-3</v>
      </c>
      <c r="V183" s="15">
        <f t="shared" si="54"/>
        <v>1.5083333333333337</v>
      </c>
      <c r="W183" s="15">
        <f t="shared" ca="1" si="55"/>
        <v>1.2890377725947513</v>
      </c>
      <c r="X183" s="15">
        <f t="shared" ca="1" si="56"/>
        <v>0.21929556073858247</v>
      </c>
      <c r="Y183" s="35">
        <f t="shared" ca="1" si="57"/>
        <v>0.14538932203662921</v>
      </c>
      <c r="Z183" s="36">
        <f t="shared" ca="1" si="58"/>
        <v>35.468452999999997</v>
      </c>
      <c r="AA183" s="18">
        <f t="shared" ca="1" si="59"/>
        <v>6.906947506561692E-2</v>
      </c>
      <c r="AB183" s="2"/>
    </row>
    <row r="184" spans="6:28" x14ac:dyDescent="0.25">
      <c r="F184" s="14">
        <v>182</v>
      </c>
      <c r="G184" s="14">
        <f t="shared" si="40"/>
        <v>38.200000000000003</v>
      </c>
      <c r="H184" s="14">
        <f t="shared" si="41"/>
        <v>311.34999999999997</v>
      </c>
      <c r="I184" s="15">
        <f t="shared" si="42"/>
        <v>1.516667</v>
      </c>
      <c r="J184" s="15">
        <f t="shared" si="43"/>
        <v>5731.9411570000002</v>
      </c>
      <c r="K184" s="15">
        <f t="shared" si="44"/>
        <v>4.7519411570000001</v>
      </c>
      <c r="L184" s="15">
        <f t="shared" si="45"/>
        <v>1837.4762479999999</v>
      </c>
      <c r="M184" s="15">
        <v>1833.42</v>
      </c>
      <c r="N184" s="14">
        <f t="shared" si="46"/>
        <v>1.8374762480000002</v>
      </c>
      <c r="O184" s="14">
        <f t="shared" si="47"/>
        <v>1.8152199999999998</v>
      </c>
      <c r="P184" s="14">
        <f t="shared" si="48"/>
        <v>2.2256248000000367E-2</v>
      </c>
      <c r="Q184" s="18">
        <f t="shared" si="49"/>
        <v>1.2260909421447742E-2</v>
      </c>
      <c r="R184" s="15">
        <f t="shared" ca="1" si="50"/>
        <v>6.7015334985422736</v>
      </c>
      <c r="S184" s="15">
        <f t="shared" si="51"/>
        <v>6.6948436559139779</v>
      </c>
      <c r="T184" s="15">
        <f t="shared" ca="1" si="52"/>
        <v>6.6898426282957502E-3</v>
      </c>
      <c r="U184" s="18">
        <f t="shared" ca="1" si="53"/>
        <v>9.9925300307591048E-4</v>
      </c>
      <c r="V184" s="15">
        <f t="shared" si="54"/>
        <v>1.5166666666666666</v>
      </c>
      <c r="W184" s="15">
        <f t="shared" ca="1" si="55"/>
        <v>1.2984665014577264</v>
      </c>
      <c r="X184" s="15">
        <f t="shared" ca="1" si="56"/>
        <v>0.21820016520894026</v>
      </c>
      <c r="Y184" s="35">
        <f t="shared" ca="1" si="57"/>
        <v>0.14386824079710347</v>
      </c>
      <c r="Z184" s="36">
        <f t="shared" ca="1" si="58"/>
        <v>35.581598</v>
      </c>
      <c r="AA184" s="18">
        <f t="shared" ca="1" si="59"/>
        <v>6.8544554973822072E-2</v>
      </c>
      <c r="AB184" s="2"/>
    </row>
    <row r="185" spans="6:28" x14ac:dyDescent="0.25">
      <c r="F185" s="14">
        <v>183</v>
      </c>
      <c r="G185" s="14">
        <f t="shared" si="40"/>
        <v>38.299999999999997</v>
      </c>
      <c r="H185" s="14">
        <f t="shared" si="41"/>
        <v>311.45</v>
      </c>
      <c r="I185" s="15">
        <f t="shared" si="42"/>
        <v>1.5249999999999999</v>
      </c>
      <c r="J185" s="15">
        <f t="shared" si="43"/>
        <v>5708.7242859999997</v>
      </c>
      <c r="K185" s="15">
        <f t="shared" si="44"/>
        <v>4.7287242859999994</v>
      </c>
      <c r="L185" s="15">
        <f t="shared" si="45"/>
        <v>1835.1004310000001</v>
      </c>
      <c r="M185" s="15">
        <v>1831.03</v>
      </c>
      <c r="N185" s="14">
        <f t="shared" si="46"/>
        <v>1.8351004309999999</v>
      </c>
      <c r="O185" s="14">
        <f t="shared" si="47"/>
        <v>1.8129300000000002</v>
      </c>
      <c r="P185" s="14">
        <f t="shared" si="48"/>
        <v>2.2170430999999713E-2</v>
      </c>
      <c r="Q185" s="18">
        <f t="shared" si="49"/>
        <v>1.2229060691808128E-2</v>
      </c>
      <c r="R185" s="15">
        <f t="shared" ca="1" si="50"/>
        <v>6.6944305014577257</v>
      </c>
      <c r="S185" s="15">
        <f t="shared" si="51"/>
        <v>6.6863977419354841</v>
      </c>
      <c r="T185" s="15">
        <f t="shared" ca="1" si="52"/>
        <v>8.0327595222415837E-3</v>
      </c>
      <c r="U185" s="18">
        <f t="shared" ca="1" si="53"/>
        <v>1.2013583146366004E-3</v>
      </c>
      <c r="V185" s="15">
        <f t="shared" si="54"/>
        <v>1.5249999999999995</v>
      </c>
      <c r="W185" s="15">
        <f t="shared" ca="1" si="55"/>
        <v>1.3055694985422743</v>
      </c>
      <c r="X185" s="15">
        <f t="shared" ca="1" si="56"/>
        <v>0.21943050145772514</v>
      </c>
      <c r="Y185" s="35">
        <f t="shared" ca="1" si="57"/>
        <v>0.14388885341490179</v>
      </c>
      <c r="Z185" s="36">
        <f t="shared" ca="1" si="58"/>
        <v>35.666834000000001</v>
      </c>
      <c r="AA185" s="18">
        <f t="shared" ca="1" si="59"/>
        <v>6.875107049608345E-2</v>
      </c>
      <c r="AB185" s="2"/>
    </row>
    <row r="186" spans="6:28" x14ac:dyDescent="0.25">
      <c r="F186" s="14">
        <v>184</v>
      </c>
      <c r="G186" s="14">
        <f t="shared" si="40"/>
        <v>38.400000000000006</v>
      </c>
      <c r="H186" s="14">
        <f t="shared" si="41"/>
        <v>311.54999999999995</v>
      </c>
      <c r="I186" s="15">
        <f t="shared" si="42"/>
        <v>1.5333330000000001</v>
      </c>
      <c r="J186" s="15">
        <f t="shared" si="43"/>
        <v>5685.6144400000003</v>
      </c>
      <c r="K186" s="15">
        <f t="shared" si="44"/>
        <v>4.7056144400000006</v>
      </c>
      <c r="L186" s="15">
        <f t="shared" si="45"/>
        <v>1832.7225330000001</v>
      </c>
      <c r="M186" s="15">
        <v>1828.84</v>
      </c>
      <c r="N186" s="14">
        <f t="shared" si="46"/>
        <v>1.8327225330000001</v>
      </c>
      <c r="O186" s="14">
        <f t="shared" si="47"/>
        <v>1.8106399999999998</v>
      </c>
      <c r="P186" s="14">
        <f t="shared" si="48"/>
        <v>2.2082533000000293E-2</v>
      </c>
      <c r="Q186" s="18">
        <f t="shared" si="49"/>
        <v>1.219598208368328E-2</v>
      </c>
      <c r="R186" s="15">
        <f t="shared" ca="1" si="50"/>
        <v>6.6845896355685124</v>
      </c>
      <c r="S186" s="15">
        <f t="shared" si="51"/>
        <v>6.6779518279569885</v>
      </c>
      <c r="T186" s="15">
        <f t="shared" ca="1" si="52"/>
        <v>6.6378076115238827E-3</v>
      </c>
      <c r="U186" s="18">
        <f t="shared" ca="1" si="53"/>
        <v>9.939885435733388E-4</v>
      </c>
      <c r="V186" s="15">
        <f t="shared" si="54"/>
        <v>1.5333333333333332</v>
      </c>
      <c r="W186" s="15">
        <f t="shared" ca="1" si="55"/>
        <v>1.3154103644314876</v>
      </c>
      <c r="X186" s="15">
        <f t="shared" ca="1" si="56"/>
        <v>0.21792296890184559</v>
      </c>
      <c r="Y186" s="35">
        <f t="shared" ca="1" si="57"/>
        <v>0.14212367537076886</v>
      </c>
      <c r="Z186" s="36">
        <f t="shared" ca="1" si="58"/>
        <v>35.784923999999997</v>
      </c>
      <c r="AA186" s="18">
        <f t="shared" ca="1" si="59"/>
        <v>6.8100937500000222E-2</v>
      </c>
      <c r="AB186" s="2"/>
    </row>
    <row r="187" spans="6:28" x14ac:dyDescent="0.25">
      <c r="F187" s="14">
        <v>185</v>
      </c>
      <c r="G187" s="14">
        <f t="shared" si="40"/>
        <v>38.5</v>
      </c>
      <c r="H187" s="14">
        <f t="shared" si="41"/>
        <v>311.64999999999998</v>
      </c>
      <c r="I187" s="15">
        <f t="shared" si="42"/>
        <v>1.5416669999999999</v>
      </c>
      <c r="J187" s="15">
        <f t="shared" si="43"/>
        <v>5662.6110680000002</v>
      </c>
      <c r="K187" s="15">
        <f t="shared" si="44"/>
        <v>4.6826110679999999</v>
      </c>
      <c r="L187" s="15">
        <f t="shared" si="45"/>
        <v>1830.34257</v>
      </c>
      <c r="M187" s="15">
        <v>1826.21</v>
      </c>
      <c r="N187" s="14">
        <f t="shared" si="46"/>
        <v>1.83034257</v>
      </c>
      <c r="O187" s="14">
        <f t="shared" si="47"/>
        <v>1.8083499999999999</v>
      </c>
      <c r="P187" s="14">
        <f t="shared" si="48"/>
        <v>2.19925700000001E-2</v>
      </c>
      <c r="Q187" s="18">
        <f t="shared" si="49"/>
        <v>1.2161677772555148E-2</v>
      </c>
      <c r="R187" s="15">
        <f t="shared" ca="1" si="50"/>
        <v>6.676283227405249</v>
      </c>
      <c r="S187" s="15">
        <f t="shared" si="51"/>
        <v>6.6695059139784938</v>
      </c>
      <c r="T187" s="15">
        <f t="shared" ca="1" si="52"/>
        <v>6.7773134267552493E-3</v>
      </c>
      <c r="U187" s="18">
        <f t="shared" ca="1" si="53"/>
        <v>1.0161642427740868E-3</v>
      </c>
      <c r="V187" s="15">
        <f t="shared" si="54"/>
        <v>1.541666666666667</v>
      </c>
      <c r="W187" s="15">
        <f t="shared" ca="1" si="55"/>
        <v>1.323716772594751</v>
      </c>
      <c r="X187" s="15">
        <f t="shared" ca="1" si="56"/>
        <v>0.21794989407191601</v>
      </c>
      <c r="Y187" s="35">
        <f t="shared" ca="1" si="57"/>
        <v>0.14137290426286442</v>
      </c>
      <c r="Z187" s="36">
        <f t="shared" ca="1" si="58"/>
        <v>35.884601000000004</v>
      </c>
      <c r="AA187" s="18">
        <f t="shared" ca="1" si="59"/>
        <v>6.793244155844147E-2</v>
      </c>
      <c r="AB187" s="2"/>
    </row>
    <row r="188" spans="6:28" x14ac:dyDescent="0.25">
      <c r="F188" s="14">
        <v>186</v>
      </c>
      <c r="G188" s="14">
        <f t="shared" si="40"/>
        <v>38.6</v>
      </c>
      <c r="H188" s="14">
        <f t="shared" si="41"/>
        <v>311.75</v>
      </c>
      <c r="I188" s="15">
        <f t="shared" si="42"/>
        <v>1.55</v>
      </c>
      <c r="J188" s="15">
        <f t="shared" si="43"/>
        <v>5639.7136270000001</v>
      </c>
      <c r="K188" s="15">
        <f t="shared" si="44"/>
        <v>4.6597136270000004</v>
      </c>
      <c r="L188" s="15">
        <f t="shared" si="45"/>
        <v>1827.9605590000001</v>
      </c>
      <c r="M188" s="15">
        <v>1824.01</v>
      </c>
      <c r="N188" s="14">
        <f t="shared" si="46"/>
        <v>1.8279605590000001</v>
      </c>
      <c r="O188" s="14">
        <f t="shared" si="47"/>
        <v>1.80606</v>
      </c>
      <c r="P188" s="14">
        <f t="shared" si="48"/>
        <v>2.1900559000000097E-2</v>
      </c>
      <c r="Q188" s="18">
        <f t="shared" si="49"/>
        <v>1.2126152508776064E-2</v>
      </c>
      <c r="R188" s="15">
        <f t="shared" ca="1" si="50"/>
        <v>6.6668234985422741</v>
      </c>
      <c r="S188" s="15">
        <f t="shared" si="51"/>
        <v>6.66106</v>
      </c>
      <c r="T188" s="15">
        <f t="shared" ca="1" si="52"/>
        <v>5.7634985422740925E-3</v>
      </c>
      <c r="U188" s="18">
        <f t="shared" ca="1" si="53"/>
        <v>8.6525245865884599E-4</v>
      </c>
      <c r="V188" s="15">
        <f t="shared" si="54"/>
        <v>1.5499999999999998</v>
      </c>
      <c r="W188" s="15">
        <f t="shared" ca="1" si="55"/>
        <v>1.3331765014577259</v>
      </c>
      <c r="X188" s="15">
        <f t="shared" ca="1" si="56"/>
        <v>0.2168234985422739</v>
      </c>
      <c r="Y188" s="35">
        <f t="shared" ca="1" si="57"/>
        <v>0.13988612809178963</v>
      </c>
      <c r="Z188" s="36">
        <f t="shared" ca="1" si="58"/>
        <v>35.998117999999998</v>
      </c>
      <c r="AA188" s="18">
        <f t="shared" ca="1" si="59"/>
        <v>6.7406269430051902E-2</v>
      </c>
      <c r="AB188" s="2"/>
    </row>
    <row r="189" spans="6:28" x14ac:dyDescent="0.25">
      <c r="F189" s="14">
        <v>187</v>
      </c>
      <c r="G189" s="14">
        <f t="shared" si="40"/>
        <v>38.700000000000003</v>
      </c>
      <c r="H189" s="14">
        <f t="shared" si="41"/>
        <v>311.84999999999997</v>
      </c>
      <c r="I189" s="15">
        <f t="shared" si="42"/>
        <v>1.558333</v>
      </c>
      <c r="J189" s="15">
        <f t="shared" si="43"/>
        <v>5616.9215709999999</v>
      </c>
      <c r="K189" s="15">
        <f t="shared" si="44"/>
        <v>4.6369215710000002</v>
      </c>
      <c r="L189" s="15">
        <f t="shared" si="45"/>
        <v>1825.576517</v>
      </c>
      <c r="M189" s="15">
        <v>1821.8</v>
      </c>
      <c r="N189" s="14">
        <f t="shared" si="46"/>
        <v>1.825576517</v>
      </c>
      <c r="O189" s="14">
        <f t="shared" si="47"/>
        <v>1.8037699999999999</v>
      </c>
      <c r="P189" s="14">
        <f t="shared" si="48"/>
        <v>2.1806517000000136E-2</v>
      </c>
      <c r="Q189" s="18">
        <f t="shared" si="49"/>
        <v>1.2089411066821234E-2</v>
      </c>
      <c r="R189" s="15">
        <f t="shared" ca="1" si="50"/>
        <v>6.6581274985422745</v>
      </c>
      <c r="S189" s="15">
        <f t="shared" si="51"/>
        <v>6.6526140860215044</v>
      </c>
      <c r="T189" s="15">
        <f t="shared" ca="1" si="52"/>
        <v>5.513412520770089E-3</v>
      </c>
      <c r="U189" s="18">
        <f t="shared" ca="1" si="53"/>
        <v>8.2875880811347378E-4</v>
      </c>
      <c r="V189" s="15">
        <f t="shared" si="54"/>
        <v>1.5583333333333336</v>
      </c>
      <c r="W189" s="15">
        <f t="shared" ca="1" si="55"/>
        <v>1.3418725014577255</v>
      </c>
      <c r="X189" s="15">
        <f t="shared" ca="1" si="56"/>
        <v>0.21646083187560805</v>
      </c>
      <c r="Y189" s="35">
        <f t="shared" ca="1" si="57"/>
        <v>0.13890534665814419</v>
      </c>
      <c r="Z189" s="36">
        <f t="shared" ca="1" si="58"/>
        <v>36.102469999999997</v>
      </c>
      <c r="AA189" s="18">
        <f t="shared" ca="1" si="59"/>
        <v>6.7119638242894214E-2</v>
      </c>
      <c r="AB189" s="2"/>
    </row>
    <row r="190" spans="6:28" x14ac:dyDescent="0.25">
      <c r="F190" s="14">
        <v>188</v>
      </c>
      <c r="G190" s="14">
        <f t="shared" si="40"/>
        <v>38.799999999999997</v>
      </c>
      <c r="H190" s="14">
        <f t="shared" si="41"/>
        <v>311.95</v>
      </c>
      <c r="I190" s="15">
        <f t="shared" si="42"/>
        <v>1.566667</v>
      </c>
      <c r="J190" s="15">
        <f t="shared" si="43"/>
        <v>5594.2343620000001</v>
      </c>
      <c r="K190" s="15">
        <f t="shared" si="44"/>
        <v>4.6142343620000004</v>
      </c>
      <c r="L190" s="15">
        <f t="shared" si="45"/>
        <v>1823.1904609999999</v>
      </c>
      <c r="M190" s="15">
        <v>1819.16</v>
      </c>
      <c r="N190" s="14">
        <f t="shared" si="46"/>
        <v>1.823190461</v>
      </c>
      <c r="O190" s="14">
        <f t="shared" si="47"/>
        <v>1.80148</v>
      </c>
      <c r="P190" s="14">
        <f t="shared" si="48"/>
        <v>2.171046100000007E-2</v>
      </c>
      <c r="Q190" s="18">
        <f t="shared" si="49"/>
        <v>1.2051458245442674E-2</v>
      </c>
      <c r="R190" s="15">
        <f t="shared" ca="1" si="50"/>
        <v>6.6505913644314871</v>
      </c>
      <c r="S190" s="15">
        <f t="shared" si="51"/>
        <v>6.6441681720430106</v>
      </c>
      <c r="T190" s="15">
        <f t="shared" ca="1" si="52"/>
        <v>6.4231923884765507E-3</v>
      </c>
      <c r="U190" s="18">
        <f t="shared" ca="1" si="53"/>
        <v>9.6674139217362519E-4</v>
      </c>
      <c r="V190" s="15">
        <f t="shared" si="54"/>
        <v>1.5666666666666664</v>
      </c>
      <c r="W190" s="15">
        <f t="shared" ca="1" si="55"/>
        <v>1.3494086355685129</v>
      </c>
      <c r="X190" s="15">
        <f t="shared" ca="1" si="56"/>
        <v>0.21725803109815356</v>
      </c>
      <c r="Y190" s="35">
        <f t="shared" ca="1" si="57"/>
        <v>0.13867533899882145</v>
      </c>
      <c r="Z190" s="36">
        <f t="shared" ca="1" si="58"/>
        <v>36.192903999999999</v>
      </c>
      <c r="AA190" s="18">
        <f t="shared" ca="1" si="59"/>
        <v>6.7193195876288622E-2</v>
      </c>
      <c r="AB190" s="2"/>
    </row>
    <row r="191" spans="6:28" x14ac:dyDescent="0.25">
      <c r="F191" s="14">
        <v>189</v>
      </c>
      <c r="G191" s="14">
        <f t="shared" si="40"/>
        <v>38.900000000000006</v>
      </c>
      <c r="H191" s="14">
        <f t="shared" si="41"/>
        <v>312.04999999999995</v>
      </c>
      <c r="I191" s="15">
        <f t="shared" si="42"/>
        <v>1.575</v>
      </c>
      <c r="J191" s="15">
        <f t="shared" si="43"/>
        <v>5571.6514630000001</v>
      </c>
      <c r="K191" s="15">
        <f t="shared" si="44"/>
        <v>4.5916514629999998</v>
      </c>
      <c r="L191" s="15">
        <f t="shared" si="45"/>
        <v>1820.802408</v>
      </c>
      <c r="M191" s="15">
        <v>1816.93</v>
      </c>
      <c r="N191" s="14">
        <f t="shared" si="46"/>
        <v>1.820802408</v>
      </c>
      <c r="O191" s="14">
        <f t="shared" si="47"/>
        <v>1.7991899999999998</v>
      </c>
      <c r="P191" s="14">
        <f t="shared" si="48"/>
        <v>2.1612408000000194E-2</v>
      </c>
      <c r="Q191" s="18">
        <f t="shared" si="49"/>
        <v>1.2012298867823963E-2</v>
      </c>
      <c r="R191" s="15">
        <f t="shared" ca="1" si="50"/>
        <v>6.6414960000000001</v>
      </c>
      <c r="S191" s="15">
        <f t="shared" si="51"/>
        <v>6.635722258064515</v>
      </c>
      <c r="T191" s="15">
        <f t="shared" ca="1" si="52"/>
        <v>5.7737419354850772E-3</v>
      </c>
      <c r="U191" s="18">
        <f t="shared" ca="1" si="53"/>
        <v>8.7009999981059222E-4</v>
      </c>
      <c r="V191" s="15">
        <f t="shared" si="54"/>
        <v>1.5750000000000011</v>
      </c>
      <c r="W191" s="15">
        <f t="shared" ca="1" si="55"/>
        <v>1.3585039999999999</v>
      </c>
      <c r="X191" s="15">
        <f t="shared" ca="1" si="56"/>
        <v>0.21649600000000113</v>
      </c>
      <c r="Y191" s="35">
        <f t="shared" ca="1" si="57"/>
        <v>0.1374577777777784</v>
      </c>
      <c r="Z191" s="36">
        <f t="shared" ca="1" si="58"/>
        <v>36.302047999999999</v>
      </c>
      <c r="AA191" s="18">
        <f t="shared" ca="1" si="59"/>
        <v>6.6785398457583703E-2</v>
      </c>
      <c r="AB191" s="2"/>
    </row>
    <row r="192" spans="6:28" x14ac:dyDescent="0.25">
      <c r="F192" s="14">
        <v>190</v>
      </c>
      <c r="G192" s="14">
        <f t="shared" si="40"/>
        <v>39</v>
      </c>
      <c r="H192" s="14">
        <f t="shared" si="41"/>
        <v>312.14999999999998</v>
      </c>
      <c r="I192" s="15">
        <f t="shared" si="42"/>
        <v>1.5833330000000001</v>
      </c>
      <c r="J192" s="15">
        <f t="shared" si="43"/>
        <v>5549.1723389999997</v>
      </c>
      <c r="K192" s="15">
        <f t="shared" si="44"/>
        <v>4.5691723389999996</v>
      </c>
      <c r="L192" s="15">
        <f t="shared" si="45"/>
        <v>1818.4123750000001</v>
      </c>
      <c r="M192" s="15">
        <v>1814.27</v>
      </c>
      <c r="N192" s="14">
        <f t="shared" si="46"/>
        <v>1.8184123750000001</v>
      </c>
      <c r="O192" s="14">
        <f t="shared" si="47"/>
        <v>1.7968999999999999</v>
      </c>
      <c r="P192" s="14">
        <f t="shared" si="48"/>
        <v>2.1512375000000139E-2</v>
      </c>
      <c r="Q192" s="18">
        <f t="shared" si="49"/>
        <v>1.1971937781735288E-2</v>
      </c>
      <c r="R192" s="15">
        <f t="shared" ca="1" si="50"/>
        <v>6.633559501457726</v>
      </c>
      <c r="S192" s="15">
        <f t="shared" si="51"/>
        <v>6.6272763440860212</v>
      </c>
      <c r="T192" s="15">
        <f t="shared" ca="1" si="52"/>
        <v>6.2831573717048173E-3</v>
      </c>
      <c r="U192" s="18">
        <f t="shared" ca="1" si="53"/>
        <v>9.480753548645538E-4</v>
      </c>
      <c r="V192" s="15">
        <f t="shared" si="54"/>
        <v>1.583333333333333</v>
      </c>
      <c r="W192" s="15">
        <f t="shared" ca="1" si="55"/>
        <v>1.366440498542274</v>
      </c>
      <c r="X192" s="15">
        <f t="shared" ca="1" si="56"/>
        <v>0.21689283479105903</v>
      </c>
      <c r="Y192" s="35">
        <f t="shared" ca="1" si="57"/>
        <v>0.13698494828908994</v>
      </c>
      <c r="Z192" s="36">
        <f t="shared" ca="1" si="58"/>
        <v>36.397286000000001</v>
      </c>
      <c r="AA192" s="18">
        <f t="shared" ca="1" si="59"/>
        <v>6.6736256410256378E-2</v>
      </c>
      <c r="AB192" s="2"/>
    </row>
    <row r="193" spans="6:28" x14ac:dyDescent="0.25">
      <c r="F193" s="14">
        <v>191</v>
      </c>
      <c r="G193" s="14">
        <f t="shared" si="40"/>
        <v>39.1</v>
      </c>
      <c r="H193" s="14">
        <f t="shared" si="41"/>
        <v>312.25</v>
      </c>
      <c r="I193" s="15">
        <f t="shared" si="42"/>
        <v>1.5916669999999999</v>
      </c>
      <c r="J193" s="15">
        <f t="shared" si="43"/>
        <v>5526.7964599999996</v>
      </c>
      <c r="K193" s="15">
        <f t="shared" si="44"/>
        <v>4.5467964599999995</v>
      </c>
      <c r="L193" s="15">
        <f t="shared" si="45"/>
        <v>1816.0203799999999</v>
      </c>
      <c r="M193" s="15">
        <v>1812.04</v>
      </c>
      <c r="N193" s="14">
        <f t="shared" si="46"/>
        <v>1.8160203800000001</v>
      </c>
      <c r="O193" s="14">
        <f t="shared" si="47"/>
        <v>1.79461</v>
      </c>
      <c r="P193" s="14">
        <f t="shared" si="48"/>
        <v>2.1410380000000062E-2</v>
      </c>
      <c r="Q193" s="18">
        <f t="shared" si="49"/>
        <v>1.193038041691513E-2</v>
      </c>
      <c r="R193" s="15">
        <f t="shared" ca="1" si="50"/>
        <v>6.6240637725947513</v>
      </c>
      <c r="S193" s="15">
        <f t="shared" si="51"/>
        <v>6.6188304301075265</v>
      </c>
      <c r="T193" s="15">
        <f t="shared" ca="1" si="52"/>
        <v>5.2333424872248457E-3</v>
      </c>
      <c r="U193" s="18">
        <f t="shared" ca="1" si="53"/>
        <v>7.9067480916561678E-4</v>
      </c>
      <c r="V193" s="15">
        <f t="shared" si="54"/>
        <v>1.5916666666666668</v>
      </c>
      <c r="W193" s="15">
        <f t="shared" ca="1" si="55"/>
        <v>1.3759362274052487</v>
      </c>
      <c r="X193" s="15">
        <f t="shared" ca="1" si="56"/>
        <v>0.21573043926141811</v>
      </c>
      <c r="Y193" s="35">
        <f t="shared" ca="1" si="57"/>
        <v>0.13553744875062917</v>
      </c>
      <c r="Z193" s="36">
        <f t="shared" ca="1" si="58"/>
        <v>36.511234999999999</v>
      </c>
      <c r="AA193" s="18">
        <f t="shared" ca="1" si="59"/>
        <v>6.620882352941182E-2</v>
      </c>
      <c r="AB193" s="2"/>
    </row>
    <row r="194" spans="6:28" x14ac:dyDescent="0.25">
      <c r="F194" s="14">
        <v>192</v>
      </c>
      <c r="G194" s="14">
        <f t="shared" si="40"/>
        <v>39.200000000000003</v>
      </c>
      <c r="H194" s="14">
        <f t="shared" si="41"/>
        <v>312.34999999999997</v>
      </c>
      <c r="I194" s="15">
        <f t="shared" si="42"/>
        <v>1.6</v>
      </c>
      <c r="J194" s="15">
        <f t="shared" si="43"/>
        <v>5504.5232980000001</v>
      </c>
      <c r="K194" s="15">
        <f t="shared" si="44"/>
        <v>4.5245232980000001</v>
      </c>
      <c r="L194" s="15">
        <f t="shared" si="45"/>
        <v>1813.6264389999999</v>
      </c>
      <c r="M194" s="15">
        <v>1809.37</v>
      </c>
      <c r="N194" s="14">
        <f t="shared" si="46"/>
        <v>1.8136264389999996</v>
      </c>
      <c r="O194" s="14">
        <f t="shared" si="47"/>
        <v>1.7923199999999999</v>
      </c>
      <c r="P194" s="14">
        <f t="shared" si="48"/>
        <v>2.1306438999999733E-2</v>
      </c>
      <c r="Q194" s="18">
        <f t="shared" si="49"/>
        <v>1.1887631114979319E-2</v>
      </c>
      <c r="R194" s="15">
        <f t="shared" ca="1" si="50"/>
        <v>6.6153102274052484</v>
      </c>
      <c r="S194" s="15">
        <f t="shared" si="51"/>
        <v>6.6103845161290318</v>
      </c>
      <c r="T194" s="15">
        <f t="shared" ca="1" si="52"/>
        <v>4.9257112762166599E-3</v>
      </c>
      <c r="U194" s="18">
        <f t="shared" ca="1" si="53"/>
        <v>7.4514746671667175E-4</v>
      </c>
      <c r="V194" s="15">
        <f t="shared" si="54"/>
        <v>1.5999999999999996</v>
      </c>
      <c r="W194" s="15">
        <f t="shared" ca="1" si="55"/>
        <v>1.3846897725947516</v>
      </c>
      <c r="X194" s="15">
        <f t="shared" ca="1" si="56"/>
        <v>0.21531022740524808</v>
      </c>
      <c r="Y194" s="35">
        <f t="shared" ca="1" si="57"/>
        <v>0.13456889212828008</v>
      </c>
      <c r="Z194" s="36">
        <f t="shared" ca="1" si="58"/>
        <v>36.616276999999997</v>
      </c>
      <c r="AA194" s="18">
        <f t="shared" ca="1" si="59"/>
        <v>6.5911301020408319E-2</v>
      </c>
      <c r="AB194" s="2"/>
    </row>
    <row r="195" spans="6:28" x14ac:dyDescent="0.25">
      <c r="F195" s="14">
        <v>193</v>
      </c>
      <c r="G195" s="14">
        <f t="shared" ref="G195:G258" si="60">F195*0.1+20</f>
        <v>39.299999999999997</v>
      </c>
      <c r="H195" s="14">
        <f t="shared" ref="H195:H258" si="61">G195+273.15</f>
        <v>312.45</v>
      </c>
      <c r="I195" s="15">
        <f t="shared" ref="I195:I258" si="62">ROUND(1/12*G195-5/3,6)</f>
        <v>1.608333</v>
      </c>
      <c r="J195" s="15">
        <f t="shared" ref="J195:J258" si="63">ROUND(10000*EXP(($B$3)+($B$4/H195)+($B$5/(H195^2))+($B$6/(H195^3))),6)</f>
        <v>5482.3523269999996</v>
      </c>
      <c r="K195" s="15">
        <f t="shared" ref="K195:K258" si="64">$B$9*(2*$B$8+J195)-$B$9*$B$10</f>
        <v>4.5023523269999997</v>
      </c>
      <c r="L195" s="15">
        <f t="shared" ref="L195:L258" si="65">ROUND(1/(1/(J195+2*$B$8)+1/($B$7)),6)</f>
        <v>1811.2305699999999</v>
      </c>
      <c r="M195" s="15">
        <v>1807.12</v>
      </c>
      <c r="N195" s="14">
        <f t="shared" ref="N195:N258" si="66">$B$9*(L195+$B$10)*(L195/(L195+$B$10))</f>
        <v>1.81123057</v>
      </c>
      <c r="O195" s="14">
        <f t="shared" ref="O195:O258" si="67">$B$11*G195+$B$12</f>
        <v>1.79003</v>
      </c>
      <c r="P195" s="14">
        <f t="shared" ref="P195:P258" si="68">ABS(N195-O195)</f>
        <v>2.1200569999999974E-2</v>
      </c>
      <c r="Q195" s="18">
        <f t="shared" ref="Q195:Q258" si="69">ABS(O195-N195)/O195</f>
        <v>1.184369535706104E-2</v>
      </c>
      <c r="R195" s="15">
        <f t="shared" ref="R195:R258" ca="1" si="70">ROUND(N195*$B$29,6)+RANDBETWEEN(-1,1)*$B$24+RANDBETWEEN(-1,1)*$B$25</f>
        <v>6.6058004985422745</v>
      </c>
      <c r="S195" s="15">
        <f t="shared" ref="S195:S258" si="71">O195*$B$23</f>
        <v>6.6019386021505371</v>
      </c>
      <c r="T195" s="15">
        <f t="shared" ref="T195:T258" ca="1" si="72">ABS(R195-S195)</f>
        <v>3.8618963917373961E-3</v>
      </c>
      <c r="U195" s="18">
        <f t="shared" ref="U195:U258" ca="1" si="73">ABS(S195-R195)/S195</f>
        <v>5.8496399685986319E-4</v>
      </c>
      <c r="V195" s="15">
        <f t="shared" ref="V195:V258" si="74">$B$44*S195+$B$45</f>
        <v>1.6083333333333334</v>
      </c>
      <c r="W195" s="15">
        <f t="shared" ref="W195:W258" ca="1" si="75">$B$46*R195+$B$47</f>
        <v>1.3941995014577255</v>
      </c>
      <c r="X195" s="15">
        <f t="shared" ref="X195:X258" ca="1" si="76">ABS(V195-W195)</f>
        <v>0.21413383187560786</v>
      </c>
      <c r="Y195" s="35">
        <f t="shared" ref="Y195:Y258" ca="1" si="77">IF(V195 = 0, ABS(V195-W195)/(V195+0.0001), ABS(V195-W195)/V195)</f>
        <v>0.13314020634752821</v>
      </c>
      <c r="Z195" s="36">
        <f t="shared" ref="Z195:Z258" ca="1" si="78">ROUND((W195+5/3)/(1/12),6)</f>
        <v>36.730393999999997</v>
      </c>
      <c r="AA195" s="18">
        <f t="shared" ref="AA195:AA258" ca="1" si="79">ABS(G195-Z195)/G195</f>
        <v>6.5384376590330806E-2</v>
      </c>
      <c r="AB195" s="2"/>
    </row>
    <row r="196" spans="6:28" x14ac:dyDescent="0.25">
      <c r="F196" s="14">
        <v>194</v>
      </c>
      <c r="G196" s="14">
        <f t="shared" si="60"/>
        <v>39.400000000000006</v>
      </c>
      <c r="H196" s="14">
        <f t="shared" si="61"/>
        <v>312.54999999999995</v>
      </c>
      <c r="I196" s="15">
        <f t="shared" si="62"/>
        <v>1.6166670000000001</v>
      </c>
      <c r="J196" s="15">
        <f t="shared" si="63"/>
        <v>5460.2830260000001</v>
      </c>
      <c r="K196" s="15">
        <f t="shared" si="64"/>
        <v>4.4802830260000004</v>
      </c>
      <c r="L196" s="15">
        <f t="shared" si="65"/>
        <v>1808.8327899999999</v>
      </c>
      <c r="M196" s="15">
        <v>1804.86</v>
      </c>
      <c r="N196" s="14">
        <f t="shared" si="66"/>
        <v>1.8088327899999999</v>
      </c>
      <c r="O196" s="14">
        <f t="shared" si="67"/>
        <v>1.7877399999999999</v>
      </c>
      <c r="P196" s="14">
        <f t="shared" si="68"/>
        <v>2.1092789999999972E-2</v>
      </c>
      <c r="Q196" s="18">
        <f t="shared" si="69"/>
        <v>1.1798578093011273E-2</v>
      </c>
      <c r="R196" s="15">
        <f t="shared" ca="1" si="70"/>
        <v>6.5978252274052487</v>
      </c>
      <c r="S196" s="15">
        <f t="shared" si="71"/>
        <v>6.5934926881720424</v>
      </c>
      <c r="T196" s="15">
        <f t="shared" ca="1" si="72"/>
        <v>4.3325392332063117E-3</v>
      </c>
      <c r="U196" s="18">
        <f t="shared" ca="1" si="73"/>
        <v>6.5709320357302929E-4</v>
      </c>
      <c r="V196" s="15">
        <f t="shared" si="74"/>
        <v>1.6166666666666671</v>
      </c>
      <c r="W196" s="15">
        <f t="shared" ca="1" si="75"/>
        <v>1.4021747725947513</v>
      </c>
      <c r="X196" s="15">
        <f t="shared" ca="1" si="76"/>
        <v>0.21449189407191582</v>
      </c>
      <c r="Y196" s="35">
        <f t="shared" ca="1" si="77"/>
        <v>0.13267539839499945</v>
      </c>
      <c r="Z196" s="36">
        <f t="shared" ca="1" si="78"/>
        <v>36.826096999999997</v>
      </c>
      <c r="AA196" s="18">
        <f t="shared" ca="1" si="79"/>
        <v>6.5327487309644883E-2</v>
      </c>
      <c r="AB196" s="2"/>
    </row>
    <row r="197" spans="6:28" x14ac:dyDescent="0.25">
      <c r="F197" s="14">
        <v>195</v>
      </c>
      <c r="G197" s="14">
        <f t="shared" si="60"/>
        <v>39.5</v>
      </c>
      <c r="H197" s="14">
        <f t="shared" si="61"/>
        <v>312.64999999999998</v>
      </c>
      <c r="I197" s="15">
        <f t="shared" si="62"/>
        <v>1.625</v>
      </c>
      <c r="J197" s="15">
        <f t="shared" si="63"/>
        <v>5438.3148760000004</v>
      </c>
      <c r="K197" s="15">
        <f t="shared" si="64"/>
        <v>4.4583148760000002</v>
      </c>
      <c r="L197" s="15">
        <f t="shared" si="65"/>
        <v>1806.4331159999999</v>
      </c>
      <c r="M197" s="15">
        <v>1802.17</v>
      </c>
      <c r="N197" s="14">
        <f t="shared" si="66"/>
        <v>1.8064331159999998</v>
      </c>
      <c r="O197" s="14">
        <f t="shared" si="67"/>
        <v>1.78545</v>
      </c>
      <c r="P197" s="14">
        <f t="shared" si="68"/>
        <v>2.0983115999999802E-2</v>
      </c>
      <c r="Q197" s="18">
        <f t="shared" si="69"/>
        <v>1.1752284298076005E-2</v>
      </c>
      <c r="R197" s="15">
        <f t="shared" ca="1" si="70"/>
        <v>6.5890722274052482</v>
      </c>
      <c r="S197" s="15">
        <f t="shared" si="71"/>
        <v>6.5850467741935477</v>
      </c>
      <c r="T197" s="15">
        <f t="shared" ca="1" si="72"/>
        <v>4.0254532117005581E-3</v>
      </c>
      <c r="U197" s="18">
        <f t="shared" ca="1" si="73"/>
        <v>6.1130214404491367E-4</v>
      </c>
      <c r="V197" s="15">
        <f t="shared" si="74"/>
        <v>1.625</v>
      </c>
      <c r="W197" s="15">
        <f t="shared" ca="1" si="75"/>
        <v>1.4109277725947518</v>
      </c>
      <c r="X197" s="15">
        <f t="shared" ca="1" si="76"/>
        <v>0.21407222740524823</v>
      </c>
      <c r="Y197" s="35">
        <f t="shared" ca="1" si="77"/>
        <v>0.1317367553263066</v>
      </c>
      <c r="Z197" s="36">
        <f t="shared" ca="1" si="78"/>
        <v>36.931133000000003</v>
      </c>
      <c r="AA197" s="18">
        <f t="shared" ca="1" si="79"/>
        <v>6.5034607594936636E-2</v>
      </c>
      <c r="AB197" s="2"/>
    </row>
    <row r="198" spans="6:28" x14ac:dyDescent="0.25">
      <c r="F198" s="14">
        <v>196</v>
      </c>
      <c r="G198" s="14">
        <f t="shared" si="60"/>
        <v>39.6</v>
      </c>
      <c r="H198" s="14">
        <f t="shared" si="61"/>
        <v>312.75</v>
      </c>
      <c r="I198" s="15">
        <f t="shared" si="62"/>
        <v>1.6333329999999999</v>
      </c>
      <c r="J198" s="15">
        <f t="shared" si="63"/>
        <v>5416.4473600000001</v>
      </c>
      <c r="K198" s="15">
        <f t="shared" si="64"/>
        <v>4.4364473599999998</v>
      </c>
      <c r="L198" s="15">
        <f t="shared" si="65"/>
        <v>1804.0315660000001</v>
      </c>
      <c r="M198" s="15">
        <v>1800.11</v>
      </c>
      <c r="N198" s="14">
        <f t="shared" si="66"/>
        <v>1.8040315660000004</v>
      </c>
      <c r="O198" s="14">
        <f t="shared" si="67"/>
        <v>1.7831599999999999</v>
      </c>
      <c r="P198" s="14">
        <f t="shared" si="68"/>
        <v>2.0871566000000508E-2</v>
      </c>
      <c r="Q198" s="18">
        <f t="shared" si="69"/>
        <v>1.1704819533861521E-2</v>
      </c>
      <c r="R198" s="15">
        <f t="shared" ca="1" si="70"/>
        <v>6.5807191370262386</v>
      </c>
      <c r="S198" s="15">
        <f t="shared" si="71"/>
        <v>6.576600860215053</v>
      </c>
      <c r="T198" s="15">
        <f t="shared" ca="1" si="72"/>
        <v>4.118276811185595E-3</v>
      </c>
      <c r="U198" s="18">
        <f t="shared" ca="1" si="73"/>
        <v>6.2620142209009297E-4</v>
      </c>
      <c r="V198" s="15">
        <f t="shared" si="74"/>
        <v>1.6333333333333337</v>
      </c>
      <c r="W198" s="15">
        <f t="shared" ca="1" si="75"/>
        <v>1.4192808629737614</v>
      </c>
      <c r="X198" s="15">
        <f t="shared" ca="1" si="76"/>
        <v>0.21405247035957231</v>
      </c>
      <c r="Y198" s="35">
        <f t="shared" ca="1" si="77"/>
        <v>0.13105253287320751</v>
      </c>
      <c r="Z198" s="36">
        <f t="shared" ca="1" si="78"/>
        <v>37.031370000000003</v>
      </c>
      <c r="AA198" s="18">
        <f t="shared" ca="1" si="79"/>
        <v>6.4864393939393902E-2</v>
      </c>
      <c r="AB198" s="2"/>
    </row>
    <row r="199" spans="6:28" x14ac:dyDescent="0.25">
      <c r="F199" s="14">
        <v>197</v>
      </c>
      <c r="G199" s="14">
        <f t="shared" si="60"/>
        <v>39.700000000000003</v>
      </c>
      <c r="H199" s="14">
        <f t="shared" si="61"/>
        <v>312.84999999999997</v>
      </c>
      <c r="I199" s="15">
        <f t="shared" si="62"/>
        <v>1.641667</v>
      </c>
      <c r="J199" s="15">
        <f t="shared" si="63"/>
        <v>5394.6799659999997</v>
      </c>
      <c r="K199" s="15">
        <f t="shared" si="64"/>
        <v>4.4146799659999996</v>
      </c>
      <c r="L199" s="15">
        <f t="shared" si="65"/>
        <v>1801.6281570000001</v>
      </c>
      <c r="M199" s="15">
        <v>1797.2</v>
      </c>
      <c r="N199" s="14">
        <f t="shared" si="66"/>
        <v>1.8016281569999999</v>
      </c>
      <c r="O199" s="14">
        <f t="shared" si="67"/>
        <v>1.7808699999999997</v>
      </c>
      <c r="P199" s="14">
        <f t="shared" si="68"/>
        <v>2.0758157000000166E-2</v>
      </c>
      <c r="Q199" s="18">
        <f t="shared" si="69"/>
        <v>1.1656188829055556E-2</v>
      </c>
      <c r="R199" s="15">
        <f t="shared" ca="1" si="70"/>
        <v>6.5719521370262388</v>
      </c>
      <c r="S199" s="15">
        <f t="shared" si="71"/>
        <v>6.5681549462365583</v>
      </c>
      <c r="T199" s="15">
        <f t="shared" ca="1" si="72"/>
        <v>3.797190789680549E-3</v>
      </c>
      <c r="U199" s="18">
        <f t="shared" ca="1" si="73"/>
        <v>5.7812137818951347E-4</v>
      </c>
      <c r="V199" s="15">
        <f t="shared" si="74"/>
        <v>1.6416666666666675</v>
      </c>
      <c r="W199" s="15">
        <f t="shared" ca="1" si="75"/>
        <v>1.4280478629737612</v>
      </c>
      <c r="X199" s="15">
        <f t="shared" ca="1" si="76"/>
        <v>0.21361880369290631</v>
      </c>
      <c r="Y199" s="35">
        <f t="shared" ca="1" si="77"/>
        <v>0.13012312915303931</v>
      </c>
      <c r="Z199" s="36">
        <f t="shared" ca="1" si="78"/>
        <v>37.136574000000003</v>
      </c>
      <c r="AA199" s="18">
        <f t="shared" ca="1" si="79"/>
        <v>6.4569924433249354E-2</v>
      </c>
      <c r="AB199" s="2"/>
    </row>
    <row r="200" spans="6:28" x14ac:dyDescent="0.25">
      <c r="F200" s="14">
        <v>198</v>
      </c>
      <c r="G200" s="14">
        <f t="shared" si="60"/>
        <v>39.799999999999997</v>
      </c>
      <c r="H200" s="14">
        <f t="shared" si="61"/>
        <v>312.95</v>
      </c>
      <c r="I200" s="15">
        <f t="shared" si="62"/>
        <v>1.65</v>
      </c>
      <c r="J200" s="15">
        <f t="shared" si="63"/>
        <v>5373.0121820000004</v>
      </c>
      <c r="K200" s="15">
        <f t="shared" si="64"/>
        <v>4.3930121820000005</v>
      </c>
      <c r="L200" s="15">
        <f t="shared" si="65"/>
        <v>1799.2229050000001</v>
      </c>
      <c r="M200" s="15">
        <v>1795.13</v>
      </c>
      <c r="N200" s="14">
        <f t="shared" si="66"/>
        <v>1.7992229050000002</v>
      </c>
      <c r="O200" s="14">
        <f t="shared" si="67"/>
        <v>1.77858</v>
      </c>
      <c r="P200" s="14">
        <f t="shared" si="68"/>
        <v>2.06429050000001E-2</v>
      </c>
      <c r="Q200" s="18">
        <f t="shared" si="69"/>
        <v>1.1606396676000011E-2</v>
      </c>
      <c r="R200" s="15">
        <f t="shared" ca="1" si="70"/>
        <v>6.5623976355685123</v>
      </c>
      <c r="S200" s="15">
        <f t="shared" si="71"/>
        <v>6.5597090322580645</v>
      </c>
      <c r="T200" s="15">
        <f t="shared" ca="1" si="72"/>
        <v>2.6886033104478457E-3</v>
      </c>
      <c r="U200" s="18">
        <f t="shared" ca="1" si="73"/>
        <v>4.0986624516824665E-4</v>
      </c>
      <c r="V200" s="15">
        <f t="shared" si="74"/>
        <v>1.6499999999999995</v>
      </c>
      <c r="W200" s="15">
        <f t="shared" ca="1" si="75"/>
        <v>1.4376023644314877</v>
      </c>
      <c r="X200" s="15">
        <f t="shared" ca="1" si="76"/>
        <v>0.21239763556851177</v>
      </c>
      <c r="Y200" s="35">
        <f t="shared" ca="1" si="77"/>
        <v>0.12872583973849203</v>
      </c>
      <c r="Z200" s="36">
        <f t="shared" ca="1" si="78"/>
        <v>37.251227999999998</v>
      </c>
      <c r="AA200" s="18">
        <f t="shared" ca="1" si="79"/>
        <v>6.4039497487437175E-2</v>
      </c>
      <c r="AB200" s="2"/>
    </row>
    <row r="201" spans="6:28" x14ac:dyDescent="0.25">
      <c r="F201" s="14">
        <v>199</v>
      </c>
      <c r="G201" s="14">
        <f t="shared" si="60"/>
        <v>39.900000000000006</v>
      </c>
      <c r="H201" s="14">
        <f t="shared" si="61"/>
        <v>313.04999999999995</v>
      </c>
      <c r="I201" s="15">
        <f t="shared" si="62"/>
        <v>1.6583330000000001</v>
      </c>
      <c r="J201" s="15">
        <f t="shared" si="63"/>
        <v>5351.4435009999997</v>
      </c>
      <c r="K201" s="15">
        <f t="shared" si="64"/>
        <v>4.3714435009999999</v>
      </c>
      <c r="L201" s="15">
        <f t="shared" si="65"/>
        <v>1796.81583</v>
      </c>
      <c r="M201" s="15">
        <v>1792.63</v>
      </c>
      <c r="N201" s="14">
        <f t="shared" si="66"/>
        <v>1.7968158299999999</v>
      </c>
      <c r="O201" s="14">
        <f t="shared" si="67"/>
        <v>1.7762899999999999</v>
      </c>
      <c r="P201" s="14">
        <f t="shared" si="68"/>
        <v>2.0525829999999967E-2</v>
      </c>
      <c r="Q201" s="18">
        <f t="shared" si="69"/>
        <v>1.1555449842086578E-2</v>
      </c>
      <c r="R201" s="15">
        <f t="shared" ca="1" si="70"/>
        <v>6.5543883644314871</v>
      </c>
      <c r="S201" s="15">
        <f t="shared" si="71"/>
        <v>6.5512631182795698</v>
      </c>
      <c r="T201" s="15">
        <f t="shared" ca="1" si="72"/>
        <v>3.125246151917338E-3</v>
      </c>
      <c r="U201" s="18">
        <f t="shared" ca="1" si="73"/>
        <v>4.7704482257736894E-4</v>
      </c>
      <c r="V201" s="15">
        <f t="shared" si="74"/>
        <v>1.6583333333333332</v>
      </c>
      <c r="W201" s="15">
        <f t="shared" ca="1" si="75"/>
        <v>1.4456116355685129</v>
      </c>
      <c r="X201" s="15">
        <f t="shared" ca="1" si="76"/>
        <v>0.21272169776482031</v>
      </c>
      <c r="Y201" s="35">
        <f t="shared" ca="1" si="77"/>
        <v>0.12827439061195195</v>
      </c>
      <c r="Z201" s="36">
        <f t="shared" ca="1" si="78"/>
        <v>37.347340000000003</v>
      </c>
      <c r="AA201" s="18">
        <f t="shared" ca="1" si="79"/>
        <v>6.3976441102756965E-2</v>
      </c>
      <c r="AB201" s="2"/>
    </row>
    <row r="202" spans="6:28" x14ac:dyDescent="0.25">
      <c r="F202" s="14">
        <v>200</v>
      </c>
      <c r="G202" s="14">
        <f t="shared" si="60"/>
        <v>40</v>
      </c>
      <c r="H202" s="14">
        <f t="shared" si="61"/>
        <v>313.14999999999998</v>
      </c>
      <c r="I202" s="15">
        <f t="shared" si="62"/>
        <v>1.6666669999999999</v>
      </c>
      <c r="J202" s="15">
        <f t="shared" si="63"/>
        <v>5329.9734189999999</v>
      </c>
      <c r="K202" s="15">
        <f t="shared" si="64"/>
        <v>4.3499734190000003</v>
      </c>
      <c r="L202" s="15">
        <f t="shared" si="65"/>
        <v>1794.4069480000001</v>
      </c>
      <c r="M202" s="15">
        <v>1790.12</v>
      </c>
      <c r="N202" s="14">
        <f t="shared" si="66"/>
        <v>1.794406948</v>
      </c>
      <c r="O202" s="14">
        <f t="shared" si="67"/>
        <v>1.774</v>
      </c>
      <c r="P202" s="14">
        <f t="shared" si="68"/>
        <v>2.040694799999998E-2</v>
      </c>
      <c r="Q202" s="18">
        <f t="shared" si="69"/>
        <v>1.1503352874859065E-2</v>
      </c>
      <c r="R202" s="15">
        <f t="shared" ca="1" si="70"/>
        <v>6.5459975014577259</v>
      </c>
      <c r="S202" s="15">
        <f t="shared" si="71"/>
        <v>6.5428172043010751</v>
      </c>
      <c r="T202" s="15">
        <f t="shared" ca="1" si="72"/>
        <v>3.180297156650802E-3</v>
      </c>
      <c r="U202" s="18">
        <f t="shared" ca="1" si="73"/>
        <v>4.8607458489901856E-4</v>
      </c>
      <c r="V202" s="15">
        <f t="shared" si="74"/>
        <v>1.6666666666666661</v>
      </c>
      <c r="W202" s="15">
        <f t="shared" ca="1" si="75"/>
        <v>1.4540024985422741</v>
      </c>
      <c r="X202" s="15">
        <f t="shared" ca="1" si="76"/>
        <v>0.21266416812439193</v>
      </c>
      <c r="Y202" s="35">
        <f t="shared" ca="1" si="77"/>
        <v>0.1275985008746352</v>
      </c>
      <c r="Z202" s="36">
        <f t="shared" ca="1" si="78"/>
        <v>37.448030000000003</v>
      </c>
      <c r="AA202" s="18">
        <f t="shared" ca="1" si="79"/>
        <v>6.3799249999999932E-2</v>
      </c>
      <c r="AB202" s="2"/>
    </row>
    <row r="203" spans="6:28" x14ac:dyDescent="0.25">
      <c r="F203" s="14">
        <v>201</v>
      </c>
      <c r="G203" s="14">
        <f t="shared" si="60"/>
        <v>40.1</v>
      </c>
      <c r="H203" s="14">
        <f t="shared" si="61"/>
        <v>313.25</v>
      </c>
      <c r="I203" s="15">
        <f t="shared" si="62"/>
        <v>1.675</v>
      </c>
      <c r="J203" s="15">
        <f t="shared" si="63"/>
        <v>5308.6014329999998</v>
      </c>
      <c r="K203" s="15">
        <f t="shared" si="64"/>
        <v>4.3286014330000002</v>
      </c>
      <c r="L203" s="15">
        <f t="shared" si="65"/>
        <v>1791.9962760000001</v>
      </c>
      <c r="M203" s="15">
        <v>1787.6</v>
      </c>
      <c r="N203" s="14">
        <f t="shared" si="66"/>
        <v>1.7919962760000001</v>
      </c>
      <c r="O203" s="14">
        <f t="shared" si="67"/>
        <v>1.7717099999999999</v>
      </c>
      <c r="P203" s="14">
        <f t="shared" si="68"/>
        <v>2.0286276000000214E-2</v>
      </c>
      <c r="Q203" s="18">
        <f t="shared" si="69"/>
        <v>1.145011090979913E-2</v>
      </c>
      <c r="R203" s="15">
        <f t="shared" ca="1" si="70"/>
        <v>6.5364122274052487</v>
      </c>
      <c r="S203" s="15">
        <f t="shared" si="71"/>
        <v>6.5343712903225804</v>
      </c>
      <c r="T203" s="15">
        <f t="shared" ca="1" si="72"/>
        <v>2.0409370826683926E-3</v>
      </c>
      <c r="U203" s="18">
        <f t="shared" ca="1" si="73"/>
        <v>3.1233870742714383E-4</v>
      </c>
      <c r="V203" s="15">
        <f t="shared" si="74"/>
        <v>1.6749999999999998</v>
      </c>
      <c r="W203" s="15">
        <f t="shared" ca="1" si="75"/>
        <v>1.4635877725947513</v>
      </c>
      <c r="X203" s="15">
        <f t="shared" ca="1" si="76"/>
        <v>0.21141222740524857</v>
      </c>
      <c r="Y203" s="35">
        <f t="shared" ca="1" si="77"/>
        <v>0.12621625516731258</v>
      </c>
      <c r="Z203" s="36">
        <f t="shared" ca="1" si="78"/>
        <v>37.563052999999996</v>
      </c>
      <c r="AA203" s="18">
        <f t="shared" ca="1" si="79"/>
        <v>6.3265511221945264E-2</v>
      </c>
      <c r="AB203" s="2"/>
    </row>
    <row r="204" spans="6:28" x14ac:dyDescent="0.25">
      <c r="F204" s="14">
        <v>202</v>
      </c>
      <c r="G204" s="14">
        <f t="shared" si="60"/>
        <v>40.200000000000003</v>
      </c>
      <c r="H204" s="14">
        <f t="shared" si="61"/>
        <v>313.34999999999997</v>
      </c>
      <c r="I204" s="15">
        <f t="shared" si="62"/>
        <v>1.683333</v>
      </c>
      <c r="J204" s="15">
        <f t="shared" si="63"/>
        <v>5287.3270439999997</v>
      </c>
      <c r="K204" s="15">
        <f t="shared" si="64"/>
        <v>4.307327044</v>
      </c>
      <c r="L204" s="15">
        <f t="shared" si="65"/>
        <v>1789.583832</v>
      </c>
      <c r="M204" s="15">
        <v>1785.5</v>
      </c>
      <c r="N204" s="14">
        <f t="shared" si="66"/>
        <v>1.7895838320000002</v>
      </c>
      <c r="O204" s="14">
        <f t="shared" si="67"/>
        <v>1.7694199999999998</v>
      </c>
      <c r="P204" s="14">
        <f t="shared" si="68"/>
        <v>2.0163832000000381E-2</v>
      </c>
      <c r="Q204" s="18">
        <f t="shared" si="69"/>
        <v>1.1395729674130724E-2</v>
      </c>
      <c r="R204" s="15">
        <f t="shared" ca="1" si="70"/>
        <v>6.5276240000000003</v>
      </c>
      <c r="S204" s="15">
        <f t="shared" si="71"/>
        <v>6.5259253763440848</v>
      </c>
      <c r="T204" s="15">
        <f t="shared" ca="1" si="72"/>
        <v>1.6986236559155543E-3</v>
      </c>
      <c r="U204" s="18">
        <f t="shared" ca="1" si="73"/>
        <v>2.602885503522486E-4</v>
      </c>
      <c r="V204" s="15">
        <f t="shared" si="74"/>
        <v>1.6833333333333345</v>
      </c>
      <c r="W204" s="15">
        <f t="shared" ca="1" si="75"/>
        <v>1.4723759999999997</v>
      </c>
      <c r="X204" s="15">
        <f t="shared" ca="1" si="76"/>
        <v>0.21095733333333477</v>
      </c>
      <c r="Y204" s="35">
        <f t="shared" ca="1" si="77"/>
        <v>0.12532118811881265</v>
      </c>
      <c r="Z204" s="36">
        <f t="shared" ca="1" si="78"/>
        <v>37.668512</v>
      </c>
      <c r="AA204" s="18">
        <f t="shared" ca="1" si="79"/>
        <v>6.297233830845779E-2</v>
      </c>
      <c r="AB204" s="2"/>
    </row>
    <row r="205" spans="6:28" x14ac:dyDescent="0.25">
      <c r="F205" s="14">
        <v>203</v>
      </c>
      <c r="G205" s="14">
        <f t="shared" si="60"/>
        <v>40.299999999999997</v>
      </c>
      <c r="H205" s="14">
        <f t="shared" si="61"/>
        <v>313.45</v>
      </c>
      <c r="I205" s="15">
        <f t="shared" si="62"/>
        <v>1.691667</v>
      </c>
      <c r="J205" s="15">
        <f t="shared" si="63"/>
        <v>5266.1497570000001</v>
      </c>
      <c r="K205" s="15">
        <f t="shared" si="64"/>
        <v>4.2861497570000004</v>
      </c>
      <c r="L205" s="15">
        <f t="shared" si="65"/>
        <v>1787.169635</v>
      </c>
      <c r="M205" s="15">
        <v>1782.55</v>
      </c>
      <c r="N205" s="14">
        <f t="shared" si="66"/>
        <v>1.7871696349999999</v>
      </c>
      <c r="O205" s="14">
        <f t="shared" si="67"/>
        <v>1.7671299999999999</v>
      </c>
      <c r="P205" s="14">
        <f t="shared" si="68"/>
        <v>2.0039635000000056E-2</v>
      </c>
      <c r="Q205" s="18">
        <f t="shared" si="69"/>
        <v>1.134021549065437E-2</v>
      </c>
      <c r="R205" s="15">
        <f t="shared" ca="1" si="70"/>
        <v>6.5195995014577255</v>
      </c>
      <c r="S205" s="15">
        <f t="shared" si="71"/>
        <v>6.5174794623655909</v>
      </c>
      <c r="T205" s="15">
        <f t="shared" ca="1" si="72"/>
        <v>2.1200390921345402E-3</v>
      </c>
      <c r="U205" s="18">
        <f t="shared" ca="1" si="73"/>
        <v>3.2528512047892954E-4</v>
      </c>
      <c r="V205" s="15">
        <f t="shared" si="74"/>
        <v>1.6916666666666664</v>
      </c>
      <c r="W205" s="15">
        <f t="shared" ca="1" si="75"/>
        <v>1.4804004985422745</v>
      </c>
      <c r="X205" s="15">
        <f t="shared" ca="1" si="76"/>
        <v>0.21126616812439192</v>
      </c>
      <c r="Y205" s="35">
        <f t="shared" ca="1" si="77"/>
        <v>0.12488640480259622</v>
      </c>
      <c r="Z205" s="36">
        <f t="shared" ca="1" si="78"/>
        <v>37.764806</v>
      </c>
      <c r="AA205" s="18">
        <f t="shared" ca="1" si="79"/>
        <v>6.2908039702233187E-2</v>
      </c>
      <c r="AB205" s="2"/>
    </row>
    <row r="206" spans="6:28" x14ac:dyDescent="0.25">
      <c r="F206" s="14">
        <v>204</v>
      </c>
      <c r="G206" s="14">
        <f t="shared" si="60"/>
        <v>40.400000000000006</v>
      </c>
      <c r="H206" s="14">
        <f t="shared" si="61"/>
        <v>313.54999999999995</v>
      </c>
      <c r="I206" s="15">
        <f t="shared" si="62"/>
        <v>1.7</v>
      </c>
      <c r="J206" s="15">
        <f t="shared" si="63"/>
        <v>5245.0690770000001</v>
      </c>
      <c r="K206" s="15">
        <f t="shared" si="64"/>
        <v>4.2650690770000006</v>
      </c>
      <c r="L206" s="15">
        <f t="shared" si="65"/>
        <v>1784.7537</v>
      </c>
      <c r="M206" s="15">
        <v>1780.44</v>
      </c>
      <c r="N206" s="14">
        <f t="shared" si="66"/>
        <v>1.7847537000000002</v>
      </c>
      <c r="O206" s="14">
        <f t="shared" si="67"/>
        <v>1.76484</v>
      </c>
      <c r="P206" s="14">
        <f t="shared" si="68"/>
        <v>1.9913700000000256E-2</v>
      </c>
      <c r="Q206" s="18">
        <f t="shared" si="69"/>
        <v>1.128357244849406E-2</v>
      </c>
      <c r="R206" s="15">
        <f t="shared" ca="1" si="70"/>
        <v>6.5107875014577257</v>
      </c>
      <c r="S206" s="15">
        <f t="shared" si="71"/>
        <v>6.5090335483870962</v>
      </c>
      <c r="T206" s="15">
        <f t="shared" ca="1" si="72"/>
        <v>1.7539530706294215E-3</v>
      </c>
      <c r="U206" s="18">
        <f t="shared" ca="1" si="73"/>
        <v>2.6946443855156374E-4</v>
      </c>
      <c r="V206" s="15">
        <f t="shared" si="74"/>
        <v>1.7000000000000002</v>
      </c>
      <c r="W206" s="15">
        <f t="shared" ca="1" si="75"/>
        <v>1.4892124985422743</v>
      </c>
      <c r="X206" s="15">
        <f t="shared" ca="1" si="76"/>
        <v>0.21078750145772585</v>
      </c>
      <c r="Y206" s="35">
        <f t="shared" ca="1" si="77"/>
        <v>0.1239926479163093</v>
      </c>
      <c r="Z206" s="36">
        <f t="shared" ca="1" si="78"/>
        <v>37.870550000000001</v>
      </c>
      <c r="AA206" s="18">
        <f t="shared" ca="1" si="79"/>
        <v>6.2610148514851582E-2</v>
      </c>
      <c r="AB206" s="2"/>
    </row>
    <row r="207" spans="6:28" x14ac:dyDescent="0.25">
      <c r="F207" s="14">
        <v>205</v>
      </c>
      <c r="G207" s="14">
        <f t="shared" si="60"/>
        <v>40.5</v>
      </c>
      <c r="H207" s="14">
        <f t="shared" si="61"/>
        <v>313.64999999999998</v>
      </c>
      <c r="I207" s="15">
        <f t="shared" si="62"/>
        <v>1.7083330000000001</v>
      </c>
      <c r="J207" s="15">
        <f t="shared" si="63"/>
        <v>5224.0845129999998</v>
      </c>
      <c r="K207" s="15">
        <f t="shared" si="64"/>
        <v>4.2440845129999998</v>
      </c>
      <c r="L207" s="15">
        <f t="shared" si="65"/>
        <v>1782.336047</v>
      </c>
      <c r="M207" s="15">
        <v>1777.9</v>
      </c>
      <c r="N207" s="14">
        <f t="shared" si="66"/>
        <v>1.7823360469999998</v>
      </c>
      <c r="O207" s="14">
        <f t="shared" si="67"/>
        <v>1.7625500000000001</v>
      </c>
      <c r="P207" s="14">
        <f t="shared" si="68"/>
        <v>1.9786046999999751E-2</v>
      </c>
      <c r="Q207" s="18">
        <f t="shared" si="69"/>
        <v>1.1225807494822701E-2</v>
      </c>
      <c r="R207" s="15">
        <f t="shared" ca="1" si="70"/>
        <v>6.5015831370262385</v>
      </c>
      <c r="S207" s="15">
        <f t="shared" si="71"/>
        <v>6.5005876344086024</v>
      </c>
      <c r="T207" s="15">
        <f t="shared" ca="1" si="72"/>
        <v>9.9550261763603487E-4</v>
      </c>
      <c r="U207" s="18">
        <f t="shared" ca="1" si="73"/>
        <v>1.5314040416387705E-4</v>
      </c>
      <c r="V207" s="15">
        <f t="shared" si="74"/>
        <v>1.708333333333333</v>
      </c>
      <c r="W207" s="15">
        <f t="shared" ca="1" si="75"/>
        <v>1.4984168629737615</v>
      </c>
      <c r="X207" s="15">
        <f t="shared" ca="1" si="76"/>
        <v>0.20991647035957151</v>
      </c>
      <c r="Y207" s="35">
        <f t="shared" ca="1" si="77"/>
        <v>0.12287793386901749</v>
      </c>
      <c r="Z207" s="36">
        <f t="shared" ca="1" si="78"/>
        <v>37.981001999999997</v>
      </c>
      <c r="AA207" s="18">
        <f t="shared" ca="1" si="79"/>
        <v>6.2197481481481569E-2</v>
      </c>
      <c r="AB207" s="2"/>
    </row>
    <row r="208" spans="6:28" x14ac:dyDescent="0.25">
      <c r="F208" s="14">
        <v>206</v>
      </c>
      <c r="G208" s="14">
        <f t="shared" si="60"/>
        <v>40.6</v>
      </c>
      <c r="H208" s="14">
        <f t="shared" si="61"/>
        <v>313.75</v>
      </c>
      <c r="I208" s="15">
        <f t="shared" si="62"/>
        <v>1.7166669999999999</v>
      </c>
      <c r="J208" s="15">
        <f t="shared" si="63"/>
        <v>5203.1955779999998</v>
      </c>
      <c r="K208" s="15">
        <f t="shared" si="64"/>
        <v>4.2231955780000003</v>
      </c>
      <c r="L208" s="15">
        <f t="shared" si="65"/>
        <v>1779.916692</v>
      </c>
      <c r="M208" s="15">
        <v>1775.78</v>
      </c>
      <c r="N208" s="14">
        <f t="shared" si="66"/>
        <v>1.779916692</v>
      </c>
      <c r="O208" s="14">
        <f t="shared" si="67"/>
        <v>1.7602599999999999</v>
      </c>
      <c r="P208" s="14">
        <f t="shared" si="68"/>
        <v>1.9656692000000087E-2</v>
      </c>
      <c r="Q208" s="18">
        <f t="shared" si="69"/>
        <v>1.1166925340574738E-2</v>
      </c>
      <c r="R208" s="15">
        <f t="shared" ca="1" si="70"/>
        <v>6.4919658629737613</v>
      </c>
      <c r="S208" s="15">
        <f t="shared" si="71"/>
        <v>6.4921417204301068</v>
      </c>
      <c r="T208" s="15">
        <f t="shared" ca="1" si="72"/>
        <v>1.7585745634551841E-4</v>
      </c>
      <c r="U208" s="18">
        <f t="shared" ca="1" si="73"/>
        <v>2.7087741444724316E-5</v>
      </c>
      <c r="V208" s="15">
        <f t="shared" si="74"/>
        <v>1.7166666666666668</v>
      </c>
      <c r="W208" s="15">
        <f t="shared" ca="1" si="75"/>
        <v>1.5080341370262387</v>
      </c>
      <c r="X208" s="15">
        <f t="shared" ca="1" si="76"/>
        <v>0.20863252964042811</v>
      </c>
      <c r="Y208" s="35">
        <f t="shared" ca="1" si="77"/>
        <v>0.12153351241189986</v>
      </c>
      <c r="Z208" s="36">
        <f t="shared" ca="1" si="78"/>
        <v>38.096409999999999</v>
      </c>
      <c r="AA208" s="18">
        <f t="shared" ca="1" si="79"/>
        <v>6.1664778325123216E-2</v>
      </c>
      <c r="AB208" s="2"/>
    </row>
    <row r="209" spans="6:28" x14ac:dyDescent="0.25">
      <c r="F209" s="14">
        <v>207</v>
      </c>
      <c r="G209" s="14">
        <f t="shared" si="60"/>
        <v>40.700000000000003</v>
      </c>
      <c r="H209" s="14">
        <f t="shared" si="61"/>
        <v>313.84999999999997</v>
      </c>
      <c r="I209" s="15">
        <f t="shared" si="62"/>
        <v>1.7250000000000001</v>
      </c>
      <c r="J209" s="15">
        <f t="shared" si="63"/>
        <v>5182.4017860000004</v>
      </c>
      <c r="K209" s="15">
        <f t="shared" si="64"/>
        <v>4.2024017860000002</v>
      </c>
      <c r="L209" s="15">
        <f t="shared" si="65"/>
        <v>1777.4956529999999</v>
      </c>
      <c r="M209" s="15">
        <v>1772.8</v>
      </c>
      <c r="N209" s="14">
        <f t="shared" si="66"/>
        <v>1.7774956529999999</v>
      </c>
      <c r="O209" s="14">
        <f t="shared" si="67"/>
        <v>1.7579699999999998</v>
      </c>
      <c r="P209" s="14">
        <f t="shared" si="68"/>
        <v>1.9525653000000087E-2</v>
      </c>
      <c r="Q209" s="18">
        <f t="shared" si="69"/>
        <v>1.1106931858905492E-2</v>
      </c>
      <c r="R209" s="15">
        <f t="shared" ca="1" si="70"/>
        <v>6.4835417725947515</v>
      </c>
      <c r="S209" s="15">
        <f t="shared" si="71"/>
        <v>6.4836958064516121</v>
      </c>
      <c r="T209" s="15">
        <f t="shared" ca="1" si="72"/>
        <v>1.5403385686063586E-4</v>
      </c>
      <c r="U209" s="18">
        <f t="shared" ca="1" si="73"/>
        <v>2.3757107282449034E-5</v>
      </c>
      <c r="V209" s="15">
        <f t="shared" si="74"/>
        <v>1.7250000000000005</v>
      </c>
      <c r="W209" s="15">
        <f t="shared" ca="1" si="75"/>
        <v>1.5164582274052485</v>
      </c>
      <c r="X209" s="15">
        <f t="shared" ca="1" si="76"/>
        <v>0.20854177259475204</v>
      </c>
      <c r="Y209" s="35">
        <f t="shared" ca="1" si="77"/>
        <v>0.12089378121434897</v>
      </c>
      <c r="Z209" s="36">
        <f t="shared" ca="1" si="78"/>
        <v>38.197499000000001</v>
      </c>
      <c r="AA209" s="18">
        <f t="shared" ca="1" si="79"/>
        <v>6.1486511056511109E-2</v>
      </c>
      <c r="AB209" s="2"/>
    </row>
    <row r="210" spans="6:28" x14ac:dyDescent="0.25">
      <c r="F210" s="14">
        <v>208</v>
      </c>
      <c r="G210" s="14">
        <f t="shared" si="60"/>
        <v>40.799999999999997</v>
      </c>
      <c r="H210" s="14">
        <f t="shared" si="61"/>
        <v>313.95</v>
      </c>
      <c r="I210" s="15">
        <f t="shared" si="62"/>
        <v>1.733333</v>
      </c>
      <c r="J210" s="15">
        <f t="shared" si="63"/>
        <v>5161.702655</v>
      </c>
      <c r="K210" s="15">
        <f t="shared" si="64"/>
        <v>4.1817026550000005</v>
      </c>
      <c r="L210" s="15">
        <f t="shared" si="65"/>
        <v>1775.072948</v>
      </c>
      <c r="M210" s="15">
        <v>1770.66</v>
      </c>
      <c r="N210" s="14">
        <f t="shared" si="66"/>
        <v>1.775072948</v>
      </c>
      <c r="O210" s="14">
        <f t="shared" si="67"/>
        <v>1.7556799999999999</v>
      </c>
      <c r="P210" s="14">
        <f t="shared" si="68"/>
        <v>1.9392948000000132E-2</v>
      </c>
      <c r="Q210" s="18">
        <f t="shared" si="69"/>
        <v>1.104583295361349E-2</v>
      </c>
      <c r="R210" s="15">
        <f t="shared" ca="1" si="70"/>
        <v>6.4747047725947517</v>
      </c>
      <c r="S210" s="15">
        <f t="shared" si="71"/>
        <v>6.4752498924731174</v>
      </c>
      <c r="T210" s="15">
        <f t="shared" ca="1" si="72"/>
        <v>5.4511987836569631E-4</v>
      </c>
      <c r="U210" s="18">
        <f t="shared" ca="1" si="73"/>
        <v>8.4185149209352997E-5</v>
      </c>
      <c r="V210" s="15">
        <f t="shared" si="74"/>
        <v>1.7333333333333334</v>
      </c>
      <c r="W210" s="15">
        <f t="shared" ca="1" si="75"/>
        <v>1.5252952274052483</v>
      </c>
      <c r="X210" s="15">
        <f t="shared" ca="1" si="76"/>
        <v>0.20803810592808514</v>
      </c>
      <c r="Y210" s="35">
        <f t="shared" ca="1" si="77"/>
        <v>0.12002198418927988</v>
      </c>
      <c r="Z210" s="36">
        <f t="shared" ca="1" si="78"/>
        <v>38.303542999999998</v>
      </c>
      <c r="AA210" s="18">
        <f t="shared" ca="1" si="79"/>
        <v>6.1187671568627443E-2</v>
      </c>
      <c r="AB210" s="2"/>
    </row>
    <row r="211" spans="6:28" x14ac:dyDescent="0.25">
      <c r="F211" s="14">
        <v>209</v>
      </c>
      <c r="G211" s="14">
        <f t="shared" si="60"/>
        <v>40.900000000000006</v>
      </c>
      <c r="H211" s="14">
        <f t="shared" si="61"/>
        <v>314.04999999999995</v>
      </c>
      <c r="I211" s="15">
        <f t="shared" si="62"/>
        <v>1.7416670000000001</v>
      </c>
      <c r="J211" s="15">
        <f t="shared" si="63"/>
        <v>5141.0977039999998</v>
      </c>
      <c r="K211" s="15">
        <f t="shared" si="64"/>
        <v>4.1610977040000003</v>
      </c>
      <c r="L211" s="15">
        <f t="shared" si="65"/>
        <v>1772.6485949999999</v>
      </c>
      <c r="M211" s="15">
        <v>1768.1</v>
      </c>
      <c r="N211" s="14">
        <f t="shared" si="66"/>
        <v>1.7726485949999999</v>
      </c>
      <c r="O211" s="14">
        <f t="shared" si="67"/>
        <v>1.7533899999999998</v>
      </c>
      <c r="P211" s="14">
        <f t="shared" si="68"/>
        <v>1.9258595000000156E-2</v>
      </c>
      <c r="Q211" s="18">
        <f t="shared" si="69"/>
        <v>1.0983634559339428E-2</v>
      </c>
      <c r="R211" s="15">
        <f t="shared" ca="1" si="70"/>
        <v>6.4662363644314871</v>
      </c>
      <c r="S211" s="15">
        <f t="shared" si="71"/>
        <v>6.4668039784946227</v>
      </c>
      <c r="T211" s="15">
        <f t="shared" ca="1" si="72"/>
        <v>5.6761406313565743E-4</v>
      </c>
      <c r="U211" s="18">
        <f t="shared" ca="1" si="73"/>
        <v>8.7773506823967426E-5</v>
      </c>
      <c r="V211" s="15">
        <f t="shared" si="74"/>
        <v>1.7416666666666671</v>
      </c>
      <c r="W211" s="15">
        <f t="shared" ca="1" si="75"/>
        <v>1.5337636355685129</v>
      </c>
      <c r="X211" s="15">
        <f t="shared" ca="1" si="76"/>
        <v>0.20790303109815422</v>
      </c>
      <c r="Y211" s="35">
        <f t="shared" ca="1" si="77"/>
        <v>0.11937016139606937</v>
      </c>
      <c r="Z211" s="36">
        <f t="shared" ca="1" si="78"/>
        <v>38.405163999999999</v>
      </c>
      <c r="AA211" s="18">
        <f t="shared" ca="1" si="79"/>
        <v>6.0998435207824109E-2</v>
      </c>
      <c r="AB211" s="2"/>
    </row>
    <row r="212" spans="6:28" x14ac:dyDescent="0.25">
      <c r="F212" s="14">
        <v>210</v>
      </c>
      <c r="G212" s="14">
        <f t="shared" si="60"/>
        <v>41</v>
      </c>
      <c r="H212" s="14">
        <f t="shared" si="61"/>
        <v>314.14999999999998</v>
      </c>
      <c r="I212" s="15">
        <f t="shared" si="62"/>
        <v>1.75</v>
      </c>
      <c r="J212" s="15">
        <f t="shared" si="63"/>
        <v>5120.586456</v>
      </c>
      <c r="K212" s="15">
        <f t="shared" si="64"/>
        <v>4.1405864560000003</v>
      </c>
      <c r="L212" s="15">
        <f t="shared" si="65"/>
        <v>1770.2226109999999</v>
      </c>
      <c r="M212" s="15">
        <v>1765.74</v>
      </c>
      <c r="N212" s="14">
        <f t="shared" si="66"/>
        <v>1.7702226109999999</v>
      </c>
      <c r="O212" s="14">
        <f t="shared" si="67"/>
        <v>1.7511000000000001</v>
      </c>
      <c r="P212" s="14">
        <f t="shared" si="68"/>
        <v>1.912261099999979E-2</v>
      </c>
      <c r="Q212" s="18">
        <f t="shared" si="69"/>
        <v>1.0920342070698297E-2</v>
      </c>
      <c r="R212" s="15">
        <f t="shared" ca="1" si="70"/>
        <v>6.4570137725947516</v>
      </c>
      <c r="S212" s="15">
        <f t="shared" si="71"/>
        <v>6.4583580645161289</v>
      </c>
      <c r="T212" s="15">
        <f t="shared" ca="1" si="72"/>
        <v>1.3442919213773052E-3</v>
      </c>
      <c r="U212" s="18">
        <f t="shared" ca="1" si="73"/>
        <v>2.081476294668747E-4</v>
      </c>
      <c r="V212" s="15">
        <f t="shared" si="74"/>
        <v>1.75</v>
      </c>
      <c r="W212" s="15">
        <f t="shared" ca="1" si="75"/>
        <v>1.5429862274052484</v>
      </c>
      <c r="X212" s="15">
        <f t="shared" ca="1" si="76"/>
        <v>0.20701377259475162</v>
      </c>
      <c r="Y212" s="35">
        <f t="shared" ca="1" si="77"/>
        <v>0.11829358433985807</v>
      </c>
      <c r="Z212" s="36">
        <f t="shared" ca="1" si="78"/>
        <v>38.515835000000003</v>
      </c>
      <c r="AA212" s="18">
        <f t="shared" ca="1" si="79"/>
        <v>6.058939024390237E-2</v>
      </c>
      <c r="AB212" s="2"/>
    </row>
    <row r="213" spans="6:28" x14ac:dyDescent="0.25">
      <c r="F213" s="14">
        <v>211</v>
      </c>
      <c r="G213" s="14">
        <f t="shared" si="60"/>
        <v>41.1</v>
      </c>
      <c r="H213" s="14">
        <f t="shared" si="61"/>
        <v>314.25</v>
      </c>
      <c r="I213" s="15">
        <f t="shared" si="62"/>
        <v>1.7583329999999999</v>
      </c>
      <c r="J213" s="15">
        <f t="shared" si="63"/>
        <v>5100.1684370000003</v>
      </c>
      <c r="K213" s="15">
        <f t="shared" si="64"/>
        <v>4.1201684370000002</v>
      </c>
      <c r="L213" s="15">
        <f t="shared" si="65"/>
        <v>1767.7950149999999</v>
      </c>
      <c r="M213" s="15">
        <v>1763.37</v>
      </c>
      <c r="N213" s="14">
        <f t="shared" si="66"/>
        <v>1.7677950150000001</v>
      </c>
      <c r="O213" s="14">
        <f t="shared" si="67"/>
        <v>1.7488099999999998</v>
      </c>
      <c r="P213" s="14">
        <f t="shared" si="68"/>
        <v>1.8985015000000383E-2</v>
      </c>
      <c r="Q213" s="18">
        <f t="shared" si="69"/>
        <v>1.0855962054197074E-2</v>
      </c>
      <c r="R213" s="15">
        <f t="shared" ca="1" si="70"/>
        <v>6.4489295014577257</v>
      </c>
      <c r="S213" s="15">
        <f t="shared" si="71"/>
        <v>6.4499121505376333</v>
      </c>
      <c r="T213" s="15">
        <f t="shared" ca="1" si="72"/>
        <v>9.8264907990763817E-4</v>
      </c>
      <c r="U213" s="18">
        <f t="shared" ca="1" si="73"/>
        <v>1.5235076958772676E-4</v>
      </c>
      <c r="V213" s="15">
        <f t="shared" si="74"/>
        <v>1.7583333333333337</v>
      </c>
      <c r="W213" s="15">
        <f t="shared" ca="1" si="75"/>
        <v>1.5510704985422743</v>
      </c>
      <c r="X213" s="15">
        <f t="shared" ca="1" si="76"/>
        <v>0.20726283479105945</v>
      </c>
      <c r="Y213" s="35">
        <f t="shared" ca="1" si="77"/>
        <v>0.11787459798543662</v>
      </c>
      <c r="Z213" s="36">
        <f t="shared" ca="1" si="78"/>
        <v>38.612845999999998</v>
      </c>
      <c r="AA213" s="18">
        <f t="shared" ca="1" si="79"/>
        <v>6.0514695863747053E-2</v>
      </c>
      <c r="AB213" s="2"/>
    </row>
    <row r="214" spans="6:28" x14ac:dyDescent="0.25">
      <c r="F214" s="14">
        <v>212</v>
      </c>
      <c r="G214" s="14">
        <f t="shared" si="60"/>
        <v>41.2</v>
      </c>
      <c r="H214" s="14">
        <f t="shared" si="61"/>
        <v>314.34999999999997</v>
      </c>
      <c r="I214" s="15">
        <f t="shared" si="62"/>
        <v>1.766667</v>
      </c>
      <c r="J214" s="15">
        <f t="shared" si="63"/>
        <v>5079.8431739999996</v>
      </c>
      <c r="K214" s="15">
        <f t="shared" si="64"/>
        <v>4.0998431740000001</v>
      </c>
      <c r="L214" s="15">
        <f t="shared" si="65"/>
        <v>1765.365824</v>
      </c>
      <c r="M214" s="15">
        <v>1760.99</v>
      </c>
      <c r="N214" s="14">
        <f t="shared" si="66"/>
        <v>1.7653658239999999</v>
      </c>
      <c r="O214" s="14">
        <f t="shared" si="67"/>
        <v>1.7465199999999999</v>
      </c>
      <c r="P214" s="14">
        <f t="shared" si="68"/>
        <v>1.8845824000000011E-2</v>
      </c>
      <c r="Q214" s="18">
        <f t="shared" si="69"/>
        <v>1.0790499965645977E-2</v>
      </c>
      <c r="R214" s="15">
        <f t="shared" ca="1" si="70"/>
        <v>6.4392762274052489</v>
      </c>
      <c r="S214" s="15">
        <f t="shared" si="71"/>
        <v>6.4414662365591386</v>
      </c>
      <c r="T214" s="15">
        <f t="shared" ca="1" si="72"/>
        <v>2.1900091538897826E-3</v>
      </c>
      <c r="U214" s="18">
        <f t="shared" ca="1" si="73"/>
        <v>3.3998612636672418E-4</v>
      </c>
      <c r="V214" s="15">
        <f t="shared" si="74"/>
        <v>1.7666666666666675</v>
      </c>
      <c r="W214" s="15">
        <f t="shared" ca="1" si="75"/>
        <v>1.5607237725947511</v>
      </c>
      <c r="X214" s="15">
        <f t="shared" ca="1" si="76"/>
        <v>0.20594289407191635</v>
      </c>
      <c r="Y214" s="35">
        <f t="shared" ca="1" si="77"/>
        <v>0.11657144947466958</v>
      </c>
      <c r="Z214" s="36">
        <f t="shared" ca="1" si="78"/>
        <v>38.728684999999999</v>
      </c>
      <c r="AA214" s="18">
        <f t="shared" ca="1" si="79"/>
        <v>5.9983373786407862E-2</v>
      </c>
      <c r="AB214" s="2"/>
    </row>
    <row r="215" spans="6:28" x14ac:dyDescent="0.25">
      <c r="F215" s="14">
        <v>213</v>
      </c>
      <c r="G215" s="14">
        <f t="shared" si="60"/>
        <v>41.3</v>
      </c>
      <c r="H215" s="14">
        <f t="shared" si="61"/>
        <v>314.45</v>
      </c>
      <c r="I215" s="15">
        <f t="shared" si="62"/>
        <v>1.7749999999999999</v>
      </c>
      <c r="J215" s="15">
        <f t="shared" si="63"/>
        <v>5059.6101989999997</v>
      </c>
      <c r="K215" s="15">
        <f t="shared" si="64"/>
        <v>4.0796101990000002</v>
      </c>
      <c r="L215" s="15">
        <f t="shared" si="65"/>
        <v>1762.9350549999999</v>
      </c>
      <c r="M215" s="15">
        <v>1758.61</v>
      </c>
      <c r="N215" s="14">
        <f t="shared" si="66"/>
        <v>1.7629350549999998</v>
      </c>
      <c r="O215" s="14">
        <f t="shared" si="67"/>
        <v>1.7442299999999999</v>
      </c>
      <c r="P215" s="14">
        <f t="shared" si="68"/>
        <v>1.8705054999999859E-2</v>
      </c>
      <c r="Q215" s="18">
        <f t="shared" si="69"/>
        <v>1.0723961289508758E-2</v>
      </c>
      <c r="R215" s="15">
        <f t="shared" ca="1" si="70"/>
        <v>6.429639498542274</v>
      </c>
      <c r="S215" s="15">
        <f t="shared" si="71"/>
        <v>6.4330203225806448</v>
      </c>
      <c r="T215" s="15">
        <f t="shared" ca="1" si="72"/>
        <v>3.380824038370811E-3</v>
      </c>
      <c r="U215" s="18">
        <f t="shared" ca="1" si="73"/>
        <v>5.2554225990919501E-4</v>
      </c>
      <c r="V215" s="15">
        <f t="shared" si="74"/>
        <v>1.7749999999999995</v>
      </c>
      <c r="W215" s="15">
        <f t="shared" ca="1" si="75"/>
        <v>1.570360501457726</v>
      </c>
      <c r="X215" s="15">
        <f t="shared" ca="1" si="76"/>
        <v>0.20463949854227348</v>
      </c>
      <c r="Y215" s="35">
        <f t="shared" ca="1" si="77"/>
        <v>0.11528985833367524</v>
      </c>
      <c r="Z215" s="36">
        <f t="shared" ca="1" si="78"/>
        <v>38.844326000000002</v>
      </c>
      <c r="AA215" s="18">
        <f t="shared" ca="1" si="79"/>
        <v>5.9459418886198427E-2</v>
      </c>
      <c r="AB215" s="2"/>
    </row>
    <row r="216" spans="6:28" x14ac:dyDescent="0.25">
      <c r="F216" s="14">
        <v>214</v>
      </c>
      <c r="G216" s="14">
        <f t="shared" si="60"/>
        <v>41.400000000000006</v>
      </c>
      <c r="H216" s="14">
        <f t="shared" si="61"/>
        <v>314.54999999999995</v>
      </c>
      <c r="I216" s="15">
        <f t="shared" si="62"/>
        <v>1.7833330000000001</v>
      </c>
      <c r="J216" s="15">
        <f t="shared" si="63"/>
        <v>5039.4690440000004</v>
      </c>
      <c r="K216" s="15">
        <f t="shared" si="64"/>
        <v>4.0594690440000001</v>
      </c>
      <c r="L216" s="15">
        <f t="shared" si="65"/>
        <v>1760.5027279999999</v>
      </c>
      <c r="M216" s="15">
        <v>1755.81</v>
      </c>
      <c r="N216" s="14">
        <f t="shared" si="66"/>
        <v>1.7605027280000001</v>
      </c>
      <c r="O216" s="14">
        <f t="shared" si="67"/>
        <v>1.7419399999999998</v>
      </c>
      <c r="P216" s="14">
        <f t="shared" si="68"/>
        <v>1.856272800000025E-2</v>
      </c>
      <c r="Q216" s="18">
        <f t="shared" si="69"/>
        <v>1.0656353261306505E-2</v>
      </c>
      <c r="R216" s="15">
        <f t="shared" ca="1" si="70"/>
        <v>6.4215382274052484</v>
      </c>
      <c r="S216" s="15">
        <f t="shared" si="71"/>
        <v>6.4245744086021492</v>
      </c>
      <c r="T216" s="15">
        <f t="shared" ca="1" si="72"/>
        <v>3.0361811969008556E-3</v>
      </c>
      <c r="U216" s="18">
        <f t="shared" ca="1" si="73"/>
        <v>4.7258868896211666E-4</v>
      </c>
      <c r="V216" s="15">
        <f t="shared" si="74"/>
        <v>1.7833333333333341</v>
      </c>
      <c r="W216" s="15">
        <f t="shared" ca="1" si="75"/>
        <v>1.5784617725947516</v>
      </c>
      <c r="X216" s="15">
        <f t="shared" ca="1" si="76"/>
        <v>0.20487156073858248</v>
      </c>
      <c r="Y216" s="35">
        <f t="shared" ca="1" si="77"/>
        <v>0.11488124901228919</v>
      </c>
      <c r="Z216" s="36">
        <f t="shared" ca="1" si="78"/>
        <v>38.941541000000001</v>
      </c>
      <c r="AA216" s="18">
        <f t="shared" ca="1" si="79"/>
        <v>5.9383067632850353E-2</v>
      </c>
      <c r="AB216" s="2"/>
    </row>
    <row r="217" spans="6:28" x14ac:dyDescent="0.25">
      <c r="F217" s="14">
        <v>215</v>
      </c>
      <c r="G217" s="14">
        <f t="shared" si="60"/>
        <v>41.5</v>
      </c>
      <c r="H217" s="14">
        <f t="shared" si="61"/>
        <v>314.64999999999998</v>
      </c>
      <c r="I217" s="15">
        <f t="shared" si="62"/>
        <v>1.7916669999999999</v>
      </c>
      <c r="J217" s="15">
        <f t="shared" si="63"/>
        <v>5019.419245</v>
      </c>
      <c r="K217" s="15">
        <f t="shared" si="64"/>
        <v>4.0394192450000004</v>
      </c>
      <c r="L217" s="15">
        <f t="shared" si="65"/>
        <v>1758.068859</v>
      </c>
      <c r="M217" s="15">
        <v>1753.41</v>
      </c>
      <c r="N217" s="14">
        <f t="shared" si="66"/>
        <v>1.758068859</v>
      </c>
      <c r="O217" s="14">
        <f t="shared" si="67"/>
        <v>1.7396499999999999</v>
      </c>
      <c r="P217" s="14">
        <f t="shared" si="68"/>
        <v>1.8418859000000065E-2</v>
      </c>
      <c r="Q217" s="18">
        <f t="shared" si="69"/>
        <v>1.0587680855344504E-2</v>
      </c>
      <c r="R217" s="15">
        <f t="shared" ca="1" si="70"/>
        <v>6.4130671370262382</v>
      </c>
      <c r="S217" s="15">
        <f t="shared" si="71"/>
        <v>6.4161284946236554</v>
      </c>
      <c r="T217" s="15">
        <f t="shared" ca="1" si="72"/>
        <v>3.0613575974172136E-3</v>
      </c>
      <c r="U217" s="18">
        <f t="shared" ca="1" si="73"/>
        <v>4.7713470825630348E-4</v>
      </c>
      <c r="V217" s="15">
        <f t="shared" si="74"/>
        <v>1.791666666666667</v>
      </c>
      <c r="W217" s="15">
        <f t="shared" ca="1" si="75"/>
        <v>1.5869328629737618</v>
      </c>
      <c r="X217" s="15">
        <f t="shared" ca="1" si="76"/>
        <v>0.20473380369290517</v>
      </c>
      <c r="Y217" s="35">
        <f t="shared" ca="1" si="77"/>
        <v>0.1142700299681331</v>
      </c>
      <c r="Z217" s="36">
        <f t="shared" ca="1" si="78"/>
        <v>39.043194</v>
      </c>
      <c r="AA217" s="18">
        <f t="shared" ca="1" si="79"/>
        <v>5.9200144578313262E-2</v>
      </c>
      <c r="AB217" s="2"/>
    </row>
    <row r="218" spans="6:28" x14ac:dyDescent="0.25">
      <c r="F218" s="14">
        <v>216</v>
      </c>
      <c r="G218" s="14">
        <f t="shared" si="60"/>
        <v>41.6</v>
      </c>
      <c r="H218" s="14">
        <f t="shared" si="61"/>
        <v>314.75</v>
      </c>
      <c r="I218" s="15">
        <f t="shared" si="62"/>
        <v>1.8</v>
      </c>
      <c r="J218" s="15">
        <f t="shared" si="63"/>
        <v>4999.460341</v>
      </c>
      <c r="K218" s="15">
        <f t="shared" si="64"/>
        <v>4.0194603410000003</v>
      </c>
      <c r="L218" s="15">
        <f t="shared" si="65"/>
        <v>1755.6334670000001</v>
      </c>
      <c r="M218" s="15">
        <v>1751.01</v>
      </c>
      <c r="N218" s="14">
        <f t="shared" si="66"/>
        <v>1.755633467</v>
      </c>
      <c r="O218" s="14">
        <f t="shared" si="67"/>
        <v>1.7373599999999998</v>
      </c>
      <c r="P218" s="14">
        <f t="shared" si="68"/>
        <v>1.827346700000021E-2</v>
      </c>
      <c r="Q218" s="18">
        <f t="shared" si="69"/>
        <v>1.0517950798913416E-2</v>
      </c>
      <c r="R218" s="15">
        <f t="shared" ca="1" si="70"/>
        <v>6.4045695014577255</v>
      </c>
      <c r="S218" s="15">
        <f t="shared" si="71"/>
        <v>6.4076825806451598</v>
      </c>
      <c r="T218" s="15">
        <f t="shared" ca="1" si="72"/>
        <v>3.1130791874343089E-3</v>
      </c>
      <c r="U218" s="18">
        <f t="shared" ca="1" si="73"/>
        <v>4.8583542462567918E-4</v>
      </c>
      <c r="V218" s="15">
        <f t="shared" si="74"/>
        <v>1.8000000000000007</v>
      </c>
      <c r="W218" s="15">
        <f t="shared" ca="1" si="75"/>
        <v>1.5954304985422745</v>
      </c>
      <c r="X218" s="15">
        <f t="shared" ca="1" si="76"/>
        <v>0.20456950145772623</v>
      </c>
      <c r="Y218" s="35">
        <f t="shared" ca="1" si="77"/>
        <v>0.11364972303207009</v>
      </c>
      <c r="Z218" s="36">
        <f t="shared" ca="1" si="78"/>
        <v>39.145166000000003</v>
      </c>
      <c r="AA218" s="18">
        <f t="shared" ca="1" si="79"/>
        <v>5.9010432692307643E-2</v>
      </c>
      <c r="AB218" s="2"/>
    </row>
    <row r="219" spans="6:28" x14ac:dyDescent="0.25">
      <c r="F219" s="14">
        <v>217</v>
      </c>
      <c r="G219" s="14">
        <f t="shared" si="60"/>
        <v>41.7</v>
      </c>
      <c r="H219" s="14">
        <f t="shared" si="61"/>
        <v>314.84999999999997</v>
      </c>
      <c r="I219" s="15">
        <f t="shared" si="62"/>
        <v>1.808333</v>
      </c>
      <c r="J219" s="15">
        <f t="shared" si="63"/>
        <v>4979.591872</v>
      </c>
      <c r="K219" s="15">
        <f t="shared" si="64"/>
        <v>3.9995918719999999</v>
      </c>
      <c r="L219" s="15">
        <f t="shared" si="65"/>
        <v>1753.196569</v>
      </c>
      <c r="M219" s="15">
        <v>1748.6</v>
      </c>
      <c r="N219" s="14">
        <f t="shared" si="66"/>
        <v>1.753196569</v>
      </c>
      <c r="O219" s="14">
        <f t="shared" si="67"/>
        <v>1.7350699999999999</v>
      </c>
      <c r="P219" s="14">
        <f t="shared" si="68"/>
        <v>1.8126569000000092E-2</v>
      </c>
      <c r="Q219" s="18">
        <f t="shared" si="69"/>
        <v>1.0447168702127346E-2</v>
      </c>
      <c r="R219" s="15">
        <f t="shared" ca="1" si="70"/>
        <v>6.394502862973761</v>
      </c>
      <c r="S219" s="15">
        <f t="shared" si="71"/>
        <v>6.399236666666666</v>
      </c>
      <c r="T219" s="15">
        <f t="shared" ca="1" si="72"/>
        <v>4.733803692904992E-3</v>
      </c>
      <c r="U219" s="18">
        <f t="shared" ca="1" si="73"/>
        <v>7.3974505702581071E-4</v>
      </c>
      <c r="V219" s="15">
        <f t="shared" si="74"/>
        <v>1.8083333333333336</v>
      </c>
      <c r="W219" s="15">
        <f t="shared" ca="1" si="75"/>
        <v>1.605497137026239</v>
      </c>
      <c r="X219" s="15">
        <f t="shared" ca="1" si="76"/>
        <v>0.2028361963070946</v>
      </c>
      <c r="Y219" s="35">
        <f t="shared" ca="1" si="77"/>
        <v>0.11216748182880806</v>
      </c>
      <c r="Z219" s="36">
        <f t="shared" ca="1" si="78"/>
        <v>39.265965999999999</v>
      </c>
      <c r="AA219" s="18">
        <f t="shared" ca="1" si="79"/>
        <v>5.8370119904076832E-2</v>
      </c>
      <c r="AB219" s="2"/>
    </row>
    <row r="220" spans="6:28" x14ac:dyDescent="0.25">
      <c r="F220" s="14">
        <v>218</v>
      </c>
      <c r="G220" s="14">
        <f t="shared" si="60"/>
        <v>41.8</v>
      </c>
      <c r="H220" s="14">
        <f t="shared" si="61"/>
        <v>314.95</v>
      </c>
      <c r="I220" s="15">
        <f t="shared" si="62"/>
        <v>1.816667</v>
      </c>
      <c r="J220" s="15">
        <f t="shared" si="63"/>
        <v>4959.8133820000003</v>
      </c>
      <c r="K220" s="15">
        <f t="shared" si="64"/>
        <v>3.9798133820000006</v>
      </c>
      <c r="L220" s="15">
        <f t="shared" si="65"/>
        <v>1750.758184</v>
      </c>
      <c r="M220" s="15">
        <v>1746.19</v>
      </c>
      <c r="N220" s="14">
        <f t="shared" si="66"/>
        <v>1.7507581840000002</v>
      </c>
      <c r="O220" s="14">
        <f t="shared" si="67"/>
        <v>1.73278</v>
      </c>
      <c r="P220" s="14">
        <f t="shared" si="68"/>
        <v>1.7978184000000175E-2</v>
      </c>
      <c r="Q220" s="18">
        <f t="shared" si="69"/>
        <v>1.0375341358972388E-2</v>
      </c>
      <c r="R220" s="15">
        <f t="shared" ca="1" si="70"/>
        <v>6.3860049999999999</v>
      </c>
      <c r="S220" s="15">
        <f t="shared" si="71"/>
        <v>6.3907907526881713</v>
      </c>
      <c r="T220" s="15">
        <f t="shared" ca="1" si="72"/>
        <v>4.7857526881713852E-3</v>
      </c>
      <c r="U220" s="18">
        <f t="shared" ca="1" si="73"/>
        <v>7.4885141344337462E-4</v>
      </c>
      <c r="V220" s="15">
        <f t="shared" si="74"/>
        <v>1.8166666666666673</v>
      </c>
      <c r="W220" s="15">
        <f t="shared" ca="1" si="75"/>
        <v>1.6139950000000001</v>
      </c>
      <c r="X220" s="15">
        <f t="shared" ca="1" si="76"/>
        <v>0.20267166666666725</v>
      </c>
      <c r="Y220" s="35">
        <f t="shared" ca="1" si="77"/>
        <v>0.1115623853211012</v>
      </c>
      <c r="Z220" s="36">
        <f t="shared" ca="1" si="78"/>
        <v>39.367939999999997</v>
      </c>
      <c r="AA220" s="18">
        <f t="shared" ca="1" si="79"/>
        <v>5.8183253588516747E-2</v>
      </c>
      <c r="AB220" s="2"/>
    </row>
    <row r="221" spans="6:28" x14ac:dyDescent="0.25">
      <c r="F221" s="14">
        <v>219</v>
      </c>
      <c r="G221" s="14">
        <f t="shared" si="60"/>
        <v>41.900000000000006</v>
      </c>
      <c r="H221" s="14">
        <f t="shared" si="61"/>
        <v>315.04999999999995</v>
      </c>
      <c r="I221" s="15">
        <f t="shared" si="62"/>
        <v>1.825</v>
      </c>
      <c r="J221" s="15">
        <f t="shared" si="63"/>
        <v>4940.124417</v>
      </c>
      <c r="K221" s="15">
        <f t="shared" si="64"/>
        <v>3.9601244170000003</v>
      </c>
      <c r="L221" s="15">
        <f t="shared" si="65"/>
        <v>1748.3183300000001</v>
      </c>
      <c r="M221" s="15">
        <v>1743.77</v>
      </c>
      <c r="N221" s="14">
        <f t="shared" si="66"/>
        <v>1.7483183300000003</v>
      </c>
      <c r="O221" s="14">
        <f t="shared" si="67"/>
        <v>1.7304899999999999</v>
      </c>
      <c r="P221" s="14">
        <f t="shared" si="68"/>
        <v>1.7828330000000392E-2</v>
      </c>
      <c r="Q221" s="18">
        <f t="shared" si="69"/>
        <v>1.0302475021525922E-2</v>
      </c>
      <c r="R221" s="15">
        <f t="shared" ca="1" si="70"/>
        <v>6.3767088629737616</v>
      </c>
      <c r="S221" s="15">
        <f t="shared" si="71"/>
        <v>6.3823448387096766</v>
      </c>
      <c r="T221" s="15">
        <f t="shared" ca="1" si="72"/>
        <v>5.6359757359150109E-3</v>
      </c>
      <c r="U221" s="18">
        <f t="shared" ca="1" si="73"/>
        <v>8.830572271388646E-4</v>
      </c>
      <c r="V221" s="15">
        <f t="shared" si="74"/>
        <v>1.8250000000000002</v>
      </c>
      <c r="W221" s="15">
        <f t="shared" ca="1" si="75"/>
        <v>1.6232911370262384</v>
      </c>
      <c r="X221" s="15">
        <f t="shared" ca="1" si="76"/>
        <v>0.20170886297376178</v>
      </c>
      <c r="Y221" s="35">
        <f t="shared" ca="1" si="77"/>
        <v>0.11052540436918452</v>
      </c>
      <c r="Z221" s="36">
        <f t="shared" ca="1" si="78"/>
        <v>39.479494000000003</v>
      </c>
      <c r="AA221" s="18">
        <f t="shared" ca="1" si="79"/>
        <v>5.7768639618138495E-2</v>
      </c>
      <c r="AB221" s="2"/>
    </row>
    <row r="222" spans="6:28" x14ac:dyDescent="0.25">
      <c r="F222" s="14">
        <v>220</v>
      </c>
      <c r="G222" s="14">
        <f t="shared" si="60"/>
        <v>42</v>
      </c>
      <c r="H222" s="14">
        <f t="shared" si="61"/>
        <v>315.14999999999998</v>
      </c>
      <c r="I222" s="15">
        <f t="shared" si="62"/>
        <v>1.8333330000000001</v>
      </c>
      <c r="J222" s="15">
        <f t="shared" si="63"/>
        <v>4920.5245249999998</v>
      </c>
      <c r="K222" s="15">
        <f t="shared" si="64"/>
        <v>3.9405245249999998</v>
      </c>
      <c r="L222" s="15">
        <f t="shared" si="65"/>
        <v>1745.8770239999999</v>
      </c>
      <c r="M222" s="15">
        <v>1741.34</v>
      </c>
      <c r="N222" s="14">
        <f t="shared" si="66"/>
        <v>1.7458770239999999</v>
      </c>
      <c r="O222" s="14">
        <f t="shared" si="67"/>
        <v>1.7282</v>
      </c>
      <c r="P222" s="14">
        <f t="shared" si="68"/>
        <v>1.767702399999993E-2</v>
      </c>
      <c r="Q222" s="18">
        <f t="shared" si="69"/>
        <v>1.0228575396366121E-2</v>
      </c>
      <c r="R222" s="15">
        <f t="shared" ca="1" si="70"/>
        <v>6.3685853644314872</v>
      </c>
      <c r="S222" s="15">
        <f t="shared" si="71"/>
        <v>6.3738989247311819</v>
      </c>
      <c r="T222" s="15">
        <f t="shared" ca="1" si="72"/>
        <v>5.313560299694764E-3</v>
      </c>
      <c r="U222" s="18">
        <f t="shared" ca="1" si="73"/>
        <v>8.3364363985719502E-4</v>
      </c>
      <c r="V222" s="15">
        <f t="shared" si="74"/>
        <v>1.8333333333333339</v>
      </c>
      <c r="W222" s="15">
        <f t="shared" ca="1" si="75"/>
        <v>1.6314146355685128</v>
      </c>
      <c r="X222" s="15">
        <f t="shared" ca="1" si="76"/>
        <v>0.20191869776482108</v>
      </c>
      <c r="Y222" s="35">
        <f t="shared" ca="1" si="77"/>
        <v>0.11013747150808419</v>
      </c>
      <c r="Z222" s="36">
        <f t="shared" ca="1" si="78"/>
        <v>39.576976000000002</v>
      </c>
      <c r="AA222" s="18">
        <f t="shared" ca="1" si="79"/>
        <v>5.7691047619047572E-2</v>
      </c>
      <c r="AB222" s="2"/>
    </row>
    <row r="223" spans="6:28" x14ac:dyDescent="0.25">
      <c r="F223" s="14">
        <v>221</v>
      </c>
      <c r="G223" s="14">
        <f t="shared" si="60"/>
        <v>42.1</v>
      </c>
      <c r="H223" s="14">
        <f t="shared" si="61"/>
        <v>315.25</v>
      </c>
      <c r="I223" s="15">
        <f t="shared" si="62"/>
        <v>1.8416669999999999</v>
      </c>
      <c r="J223" s="15">
        <f t="shared" si="63"/>
        <v>4901.013258</v>
      </c>
      <c r="K223" s="15">
        <f t="shared" si="64"/>
        <v>3.9210132580000003</v>
      </c>
      <c r="L223" s="15">
        <f t="shared" si="65"/>
        <v>1743.4342839999999</v>
      </c>
      <c r="M223" s="15">
        <v>1738.91</v>
      </c>
      <c r="N223" s="14">
        <f t="shared" si="66"/>
        <v>1.7434342840000001</v>
      </c>
      <c r="O223" s="14">
        <f t="shared" si="67"/>
        <v>1.7259099999999998</v>
      </c>
      <c r="P223" s="14">
        <f t="shared" si="68"/>
        <v>1.7524284000000279E-2</v>
      </c>
      <c r="Q223" s="18">
        <f t="shared" si="69"/>
        <v>1.0153648799763765E-2</v>
      </c>
      <c r="R223" s="15">
        <f t="shared" ca="1" si="70"/>
        <v>6.3592792274052483</v>
      </c>
      <c r="S223" s="15">
        <f t="shared" si="71"/>
        <v>6.3654530107526872</v>
      </c>
      <c r="T223" s="15">
        <f t="shared" ca="1" si="72"/>
        <v>6.1737833474388992E-3</v>
      </c>
      <c r="U223" s="18">
        <f t="shared" ca="1" si="73"/>
        <v>9.6988907733824836E-4</v>
      </c>
      <c r="V223" s="15">
        <f t="shared" si="74"/>
        <v>1.8416666666666668</v>
      </c>
      <c r="W223" s="15">
        <f t="shared" ca="1" si="75"/>
        <v>1.6407207725947517</v>
      </c>
      <c r="X223" s="15">
        <f t="shared" ca="1" si="76"/>
        <v>0.2009458940719151</v>
      </c>
      <c r="Y223" s="35">
        <f t="shared" ca="1" si="77"/>
        <v>0.10911089270873217</v>
      </c>
      <c r="Z223" s="36">
        <f t="shared" ca="1" si="78"/>
        <v>39.688648999999998</v>
      </c>
      <c r="AA223" s="18">
        <f t="shared" ca="1" si="79"/>
        <v>5.7276745843230482E-2</v>
      </c>
      <c r="AB223" s="2"/>
    </row>
    <row r="224" spans="6:28" x14ac:dyDescent="0.25">
      <c r="F224" s="14">
        <v>222</v>
      </c>
      <c r="G224" s="14">
        <f t="shared" si="60"/>
        <v>42.2</v>
      </c>
      <c r="H224" s="14">
        <f t="shared" si="61"/>
        <v>315.34999999999997</v>
      </c>
      <c r="I224" s="15">
        <f t="shared" si="62"/>
        <v>1.85</v>
      </c>
      <c r="J224" s="15">
        <f t="shared" si="63"/>
        <v>4881.5901690000001</v>
      </c>
      <c r="K224" s="15">
        <f t="shared" si="64"/>
        <v>3.9015901690000003</v>
      </c>
      <c r="L224" s="15">
        <f t="shared" si="65"/>
        <v>1740.9901299999999</v>
      </c>
      <c r="M224" s="15">
        <v>1736.06</v>
      </c>
      <c r="N224" s="14">
        <f t="shared" si="66"/>
        <v>1.7409901299999997</v>
      </c>
      <c r="O224" s="14">
        <f t="shared" si="67"/>
        <v>1.7236199999999999</v>
      </c>
      <c r="P224" s="14">
        <f t="shared" si="68"/>
        <v>1.7370129999999762E-2</v>
      </c>
      <c r="Q224" s="18">
        <f t="shared" si="69"/>
        <v>1.0077702741903531E-2</v>
      </c>
      <c r="R224" s="15">
        <f t="shared" ca="1" si="70"/>
        <v>6.3507603644314869</v>
      </c>
      <c r="S224" s="15">
        <f t="shared" si="71"/>
        <v>6.3570070967741934</v>
      </c>
      <c r="T224" s="15">
        <f t="shared" ca="1" si="72"/>
        <v>6.2467323427064514E-3</v>
      </c>
      <c r="U224" s="18">
        <f t="shared" ca="1" si="73"/>
        <v>9.8265303901836124E-4</v>
      </c>
      <c r="V224" s="15">
        <f t="shared" si="74"/>
        <v>1.8499999999999996</v>
      </c>
      <c r="W224" s="15">
        <f t="shared" ca="1" si="75"/>
        <v>1.6492396355685131</v>
      </c>
      <c r="X224" s="15">
        <f t="shared" ca="1" si="76"/>
        <v>0.20076036443148659</v>
      </c>
      <c r="Y224" s="35">
        <f t="shared" ca="1" si="77"/>
        <v>0.1085191159089117</v>
      </c>
      <c r="Z224" s="36">
        <f t="shared" ca="1" si="78"/>
        <v>39.790875999999997</v>
      </c>
      <c r="AA224" s="18">
        <f t="shared" ca="1" si="79"/>
        <v>5.7088246445497759E-2</v>
      </c>
      <c r="AB224" s="2"/>
    </row>
    <row r="225" spans="6:28" x14ac:dyDescent="0.25">
      <c r="F225" s="14">
        <v>223</v>
      </c>
      <c r="G225" s="14">
        <f t="shared" si="60"/>
        <v>42.3</v>
      </c>
      <c r="H225" s="14">
        <f t="shared" si="61"/>
        <v>315.45</v>
      </c>
      <c r="I225" s="15">
        <f t="shared" si="62"/>
        <v>1.858333</v>
      </c>
      <c r="J225" s="15">
        <f t="shared" si="63"/>
        <v>4862.2548139999999</v>
      </c>
      <c r="K225" s="15">
        <f t="shared" si="64"/>
        <v>3.8822548140000004</v>
      </c>
      <c r="L225" s="15">
        <f t="shared" si="65"/>
        <v>1738.544578</v>
      </c>
      <c r="M225" s="15">
        <v>1733.82</v>
      </c>
      <c r="N225" s="14">
        <f t="shared" si="66"/>
        <v>1.738544578</v>
      </c>
      <c r="O225" s="14">
        <f t="shared" si="67"/>
        <v>1.72133</v>
      </c>
      <c r="P225" s="14">
        <f t="shared" si="68"/>
        <v>1.7214577999999925E-2</v>
      </c>
      <c r="Q225" s="18">
        <f t="shared" si="69"/>
        <v>1.0000742449152646E-2</v>
      </c>
      <c r="R225" s="15">
        <f t="shared" ca="1" si="70"/>
        <v>6.3414549999999998</v>
      </c>
      <c r="S225" s="15">
        <f t="shared" si="71"/>
        <v>6.3485611827956987</v>
      </c>
      <c r="T225" s="15">
        <f t="shared" ca="1" si="72"/>
        <v>7.1061827956988566E-3</v>
      </c>
      <c r="U225" s="18">
        <f t="shared" ca="1" si="73"/>
        <v>1.1193375303614112E-3</v>
      </c>
      <c r="V225" s="15">
        <f t="shared" si="74"/>
        <v>1.8583333333333334</v>
      </c>
      <c r="W225" s="15">
        <f t="shared" ca="1" si="75"/>
        <v>1.6585450000000002</v>
      </c>
      <c r="X225" s="15">
        <f t="shared" ca="1" si="76"/>
        <v>0.19978833333333323</v>
      </c>
      <c r="Y225" s="35">
        <f t="shared" ca="1" si="77"/>
        <v>0.10750941704035868</v>
      </c>
      <c r="Z225" s="36">
        <f t="shared" ca="1" si="78"/>
        <v>39.902540000000002</v>
      </c>
      <c r="AA225" s="18">
        <f t="shared" ca="1" si="79"/>
        <v>5.6677541371158283E-2</v>
      </c>
      <c r="AB225" s="2"/>
    </row>
    <row r="226" spans="6:28" x14ac:dyDescent="0.25">
      <c r="F226" s="14">
        <v>224</v>
      </c>
      <c r="G226" s="14">
        <f t="shared" si="60"/>
        <v>42.400000000000006</v>
      </c>
      <c r="H226" s="14">
        <f t="shared" si="61"/>
        <v>315.54999999999995</v>
      </c>
      <c r="I226" s="15">
        <f t="shared" si="62"/>
        <v>1.8666670000000001</v>
      </c>
      <c r="J226" s="15">
        <f t="shared" si="63"/>
        <v>4843.0067509999999</v>
      </c>
      <c r="K226" s="15">
        <f t="shared" si="64"/>
        <v>3.8630067510000003</v>
      </c>
      <c r="L226" s="15">
        <f t="shared" si="65"/>
        <v>1736.0976470000001</v>
      </c>
      <c r="M226" s="15">
        <v>1731.58</v>
      </c>
      <c r="N226" s="14">
        <f t="shared" si="66"/>
        <v>1.736097647</v>
      </c>
      <c r="O226" s="14">
        <f t="shared" si="67"/>
        <v>1.7190399999999997</v>
      </c>
      <c r="P226" s="14">
        <f t="shared" si="68"/>
        <v>1.7057647000000342E-2</v>
      </c>
      <c r="Q226" s="18">
        <f t="shared" si="69"/>
        <v>9.9227749208862775E-3</v>
      </c>
      <c r="R226" s="15">
        <f t="shared" ca="1" si="70"/>
        <v>6.3329143644314874</v>
      </c>
      <c r="S226" s="15">
        <f t="shared" si="71"/>
        <v>6.3401152688172031</v>
      </c>
      <c r="T226" s="15">
        <f t="shared" ca="1" si="72"/>
        <v>7.2009043857157451E-3</v>
      </c>
      <c r="U226" s="18">
        <f t="shared" ca="1" si="73"/>
        <v>1.135768685647119E-3</v>
      </c>
      <c r="V226" s="15">
        <f t="shared" si="74"/>
        <v>1.8666666666666671</v>
      </c>
      <c r="W226" s="15">
        <f t="shared" ca="1" si="75"/>
        <v>1.6670856355685126</v>
      </c>
      <c r="X226" s="15">
        <f t="shared" ca="1" si="76"/>
        <v>0.1995810310981545</v>
      </c>
      <c r="Y226" s="35">
        <f t="shared" ca="1" si="77"/>
        <v>0.10691840951686846</v>
      </c>
      <c r="Z226" s="36">
        <f t="shared" ca="1" si="78"/>
        <v>40.005028000000003</v>
      </c>
      <c r="AA226" s="18">
        <f t="shared" ca="1" si="79"/>
        <v>5.6485188679245339E-2</v>
      </c>
      <c r="AB226" s="2"/>
    </row>
    <row r="227" spans="6:28" x14ac:dyDescent="0.25">
      <c r="F227" s="14">
        <v>225</v>
      </c>
      <c r="G227" s="14">
        <f t="shared" si="60"/>
        <v>42.5</v>
      </c>
      <c r="H227" s="14">
        <f t="shared" si="61"/>
        <v>315.64999999999998</v>
      </c>
      <c r="I227" s="15">
        <f t="shared" si="62"/>
        <v>1.875</v>
      </c>
      <c r="J227" s="15">
        <f t="shared" si="63"/>
        <v>4823.845542</v>
      </c>
      <c r="K227" s="15">
        <f t="shared" si="64"/>
        <v>3.8438455420000004</v>
      </c>
      <c r="L227" s="15">
        <f t="shared" si="65"/>
        <v>1733.6493559999999</v>
      </c>
      <c r="M227" s="15">
        <v>1728.91</v>
      </c>
      <c r="N227" s="14">
        <f t="shared" si="66"/>
        <v>1.7336493560000001</v>
      </c>
      <c r="O227" s="14">
        <f t="shared" si="67"/>
        <v>1.7167499999999998</v>
      </c>
      <c r="P227" s="14">
        <f t="shared" si="68"/>
        <v>1.6899356000000365E-2</v>
      </c>
      <c r="Q227" s="18">
        <f t="shared" si="69"/>
        <v>9.8438071938257571E-3</v>
      </c>
      <c r="R227" s="15">
        <f t="shared" ca="1" si="70"/>
        <v>6.3239951370262384</v>
      </c>
      <c r="S227" s="15">
        <f t="shared" si="71"/>
        <v>6.3316693548387084</v>
      </c>
      <c r="T227" s="15">
        <f t="shared" ca="1" si="72"/>
        <v>7.6742178124700189E-3</v>
      </c>
      <c r="U227" s="18">
        <f t="shared" ca="1" si="73"/>
        <v>1.212037044638998E-3</v>
      </c>
      <c r="V227" s="15">
        <f t="shared" si="74"/>
        <v>1.8750000000000009</v>
      </c>
      <c r="W227" s="15">
        <f t="shared" ca="1" si="75"/>
        <v>1.6760048629737616</v>
      </c>
      <c r="X227" s="15">
        <f t="shared" ca="1" si="76"/>
        <v>0.19899513702623928</v>
      </c>
      <c r="Y227" s="35">
        <f t="shared" ca="1" si="77"/>
        <v>0.10613073974732756</v>
      </c>
      <c r="Z227" s="36">
        <f t="shared" ca="1" si="78"/>
        <v>40.112057999999998</v>
      </c>
      <c r="AA227" s="18">
        <f t="shared" ca="1" si="79"/>
        <v>5.6186870588235349E-2</v>
      </c>
      <c r="AB227" s="2"/>
    </row>
    <row r="228" spans="6:28" x14ac:dyDescent="0.25">
      <c r="F228" s="14">
        <v>226</v>
      </c>
      <c r="G228" s="14">
        <f t="shared" si="60"/>
        <v>42.6</v>
      </c>
      <c r="H228" s="14">
        <f t="shared" si="61"/>
        <v>315.75</v>
      </c>
      <c r="I228" s="15">
        <f t="shared" si="62"/>
        <v>1.8833329999999999</v>
      </c>
      <c r="J228" s="15">
        <f t="shared" si="63"/>
        <v>4804.7707490000003</v>
      </c>
      <c r="K228" s="15">
        <f t="shared" si="64"/>
        <v>3.8247707490000007</v>
      </c>
      <c r="L228" s="15">
        <f t="shared" si="65"/>
        <v>1731.199721</v>
      </c>
      <c r="M228" s="15">
        <v>1726.65</v>
      </c>
      <c r="N228" s="14">
        <f t="shared" si="66"/>
        <v>1.7311997209999999</v>
      </c>
      <c r="O228" s="14">
        <f t="shared" si="67"/>
        <v>1.7144599999999999</v>
      </c>
      <c r="P228" s="14">
        <f t="shared" si="68"/>
        <v>1.6739720999999985E-2</v>
      </c>
      <c r="Q228" s="18">
        <f t="shared" si="69"/>
        <v>9.7638445924664238E-3</v>
      </c>
      <c r="R228" s="15">
        <f t="shared" ca="1" si="70"/>
        <v>6.3150601370262383</v>
      </c>
      <c r="S228" s="15">
        <f t="shared" si="71"/>
        <v>6.3232234408602146</v>
      </c>
      <c r="T228" s="15">
        <f t="shared" ca="1" si="72"/>
        <v>8.1633038339763431E-3</v>
      </c>
      <c r="U228" s="18">
        <f t="shared" ca="1" si="73"/>
        <v>1.2910035380413194E-3</v>
      </c>
      <c r="V228" s="15">
        <f t="shared" si="74"/>
        <v>1.8833333333333337</v>
      </c>
      <c r="W228" s="15">
        <f t="shared" ca="1" si="75"/>
        <v>1.6849398629737617</v>
      </c>
      <c r="X228" s="15">
        <f t="shared" ca="1" si="76"/>
        <v>0.198393470359572</v>
      </c>
      <c r="Y228" s="35">
        <f t="shared" ca="1" si="77"/>
        <v>0.10534166567764883</v>
      </c>
      <c r="Z228" s="36">
        <f t="shared" ca="1" si="78"/>
        <v>40.219278000000003</v>
      </c>
      <c r="AA228" s="18">
        <f t="shared" ca="1" si="79"/>
        <v>5.5885492957746447E-2</v>
      </c>
      <c r="AB228" s="2"/>
    </row>
    <row r="229" spans="6:28" x14ac:dyDescent="0.25">
      <c r="F229" s="14">
        <v>227</v>
      </c>
      <c r="G229" s="14">
        <f t="shared" si="60"/>
        <v>42.7</v>
      </c>
      <c r="H229" s="14">
        <f t="shared" si="61"/>
        <v>315.84999999999997</v>
      </c>
      <c r="I229" s="15">
        <f t="shared" si="62"/>
        <v>1.891667</v>
      </c>
      <c r="J229" s="15">
        <f t="shared" si="63"/>
        <v>4785.7819380000001</v>
      </c>
      <c r="K229" s="15">
        <f t="shared" si="64"/>
        <v>3.805781938</v>
      </c>
      <c r="L229" s="15">
        <f t="shared" si="65"/>
        <v>1728.7487619999999</v>
      </c>
      <c r="M229" s="15">
        <v>1723.98</v>
      </c>
      <c r="N229" s="14">
        <f t="shared" si="66"/>
        <v>1.7287487620000002</v>
      </c>
      <c r="O229" s="14">
        <f t="shared" si="67"/>
        <v>1.71217</v>
      </c>
      <c r="P229" s="14">
        <f t="shared" si="68"/>
        <v>1.6578762000000191E-2</v>
      </c>
      <c r="Q229" s="18">
        <f t="shared" si="69"/>
        <v>9.6828948060065246E-3</v>
      </c>
      <c r="R229" s="15">
        <f t="shared" ca="1" si="70"/>
        <v>6.305327862973761</v>
      </c>
      <c r="S229" s="15">
        <f t="shared" si="71"/>
        <v>6.3147775268817199</v>
      </c>
      <c r="T229" s="15">
        <f t="shared" ca="1" si="72"/>
        <v>9.4496639079588718E-3</v>
      </c>
      <c r="U229" s="18">
        <f t="shared" ca="1" si="73"/>
        <v>1.4964365518392506E-3</v>
      </c>
      <c r="V229" s="15">
        <f t="shared" si="74"/>
        <v>1.8916666666666666</v>
      </c>
      <c r="W229" s="15">
        <f t="shared" ca="1" si="75"/>
        <v>1.694672137026239</v>
      </c>
      <c r="X229" s="15">
        <f t="shared" ca="1" si="76"/>
        <v>0.19699452964042763</v>
      </c>
      <c r="Y229" s="35">
        <f t="shared" ca="1" si="77"/>
        <v>0.10413807734295734</v>
      </c>
      <c r="Z229" s="36">
        <f t="shared" ca="1" si="78"/>
        <v>40.336066000000002</v>
      </c>
      <c r="AA229" s="18">
        <f t="shared" ca="1" si="79"/>
        <v>5.5361451990632325E-2</v>
      </c>
      <c r="AB229" s="2"/>
    </row>
    <row r="230" spans="6:28" x14ac:dyDescent="0.25">
      <c r="F230" s="14">
        <v>228</v>
      </c>
      <c r="G230" s="14">
        <f t="shared" si="60"/>
        <v>42.8</v>
      </c>
      <c r="H230" s="14">
        <f t="shared" si="61"/>
        <v>315.95</v>
      </c>
      <c r="I230" s="15">
        <f t="shared" si="62"/>
        <v>1.9</v>
      </c>
      <c r="J230" s="15">
        <f t="shared" si="63"/>
        <v>4766.878678</v>
      </c>
      <c r="K230" s="15">
        <f t="shared" si="64"/>
        <v>3.7868786779999999</v>
      </c>
      <c r="L230" s="15">
        <f t="shared" si="65"/>
        <v>1726.2964959999999</v>
      </c>
      <c r="M230" s="15">
        <v>1721.71</v>
      </c>
      <c r="N230" s="14">
        <f t="shared" si="66"/>
        <v>1.7262964959999998</v>
      </c>
      <c r="O230" s="14">
        <f t="shared" si="67"/>
        <v>1.7098800000000001</v>
      </c>
      <c r="P230" s="14">
        <f t="shared" si="68"/>
        <v>1.6416495999999725E-2</v>
      </c>
      <c r="Q230" s="18">
        <f t="shared" si="69"/>
        <v>9.6009638103257099E-3</v>
      </c>
      <c r="R230" s="15">
        <f t="shared" ca="1" si="70"/>
        <v>6.2967897725947513</v>
      </c>
      <c r="S230" s="15">
        <f t="shared" si="71"/>
        <v>6.3063316129032261</v>
      </c>
      <c r="T230" s="15">
        <f t="shared" ca="1" si="72"/>
        <v>9.5418403084748249E-3</v>
      </c>
      <c r="U230" s="18">
        <f t="shared" ca="1" si="73"/>
        <v>1.5130571771632664E-3</v>
      </c>
      <c r="V230" s="15">
        <f t="shared" si="74"/>
        <v>1.8999999999999995</v>
      </c>
      <c r="W230" s="15">
        <f t="shared" ca="1" si="75"/>
        <v>1.7032102274052487</v>
      </c>
      <c r="X230" s="15">
        <f t="shared" ca="1" si="76"/>
        <v>0.19678977259475072</v>
      </c>
      <c r="Y230" s="35">
        <f t="shared" ca="1" si="77"/>
        <v>0.10357356452355304</v>
      </c>
      <c r="Z230" s="36">
        <f t="shared" ca="1" si="78"/>
        <v>40.438523000000004</v>
      </c>
      <c r="AA230" s="18">
        <f t="shared" ca="1" si="79"/>
        <v>5.5174696261682095E-2</v>
      </c>
      <c r="AB230" s="2"/>
    </row>
    <row r="231" spans="6:28" x14ac:dyDescent="0.25">
      <c r="F231" s="14">
        <v>229</v>
      </c>
      <c r="G231" s="14">
        <f t="shared" si="60"/>
        <v>42.900000000000006</v>
      </c>
      <c r="H231" s="14">
        <f t="shared" si="61"/>
        <v>316.04999999999995</v>
      </c>
      <c r="I231" s="15">
        <f t="shared" si="62"/>
        <v>1.9083330000000001</v>
      </c>
      <c r="J231" s="15">
        <f t="shared" si="63"/>
        <v>4748.0605390000001</v>
      </c>
      <c r="K231" s="15">
        <f t="shared" si="64"/>
        <v>3.7680605390000004</v>
      </c>
      <c r="L231" s="15">
        <f t="shared" si="65"/>
        <v>1723.8429430000001</v>
      </c>
      <c r="M231" s="15">
        <v>1719.02</v>
      </c>
      <c r="N231" s="14">
        <f t="shared" si="66"/>
        <v>1.723842943</v>
      </c>
      <c r="O231" s="14">
        <f t="shared" si="67"/>
        <v>1.7075899999999997</v>
      </c>
      <c r="P231" s="14">
        <f t="shared" si="68"/>
        <v>1.6252943000000242E-2</v>
      </c>
      <c r="Q231" s="18">
        <f t="shared" si="69"/>
        <v>9.5180593702236752E-3</v>
      </c>
      <c r="R231" s="15">
        <f t="shared" ca="1" si="70"/>
        <v>6.2870484985422737</v>
      </c>
      <c r="S231" s="15">
        <f t="shared" si="71"/>
        <v>6.2978856989247296</v>
      </c>
      <c r="T231" s="15">
        <f t="shared" ca="1" si="72"/>
        <v>1.0837200382455947E-2</v>
      </c>
      <c r="U231" s="18">
        <f t="shared" ca="1" si="73"/>
        <v>1.7207680324058975E-3</v>
      </c>
      <c r="V231" s="15">
        <f t="shared" si="74"/>
        <v>1.9083333333333341</v>
      </c>
      <c r="W231" s="15">
        <f t="shared" ca="1" si="75"/>
        <v>1.7129515014577263</v>
      </c>
      <c r="X231" s="15">
        <f t="shared" ca="1" si="76"/>
        <v>0.19538183187560776</v>
      </c>
      <c r="Y231" s="35">
        <f t="shared" ca="1" si="77"/>
        <v>0.10238349268590795</v>
      </c>
      <c r="Z231" s="36">
        <f t="shared" ca="1" si="78"/>
        <v>40.555418000000003</v>
      </c>
      <c r="AA231" s="18">
        <f t="shared" ca="1" si="79"/>
        <v>5.4652261072261128E-2</v>
      </c>
      <c r="AB231" s="2"/>
    </row>
    <row r="232" spans="6:28" x14ac:dyDescent="0.25">
      <c r="F232" s="14">
        <v>230</v>
      </c>
      <c r="G232" s="14">
        <f t="shared" si="60"/>
        <v>43</v>
      </c>
      <c r="H232" s="14">
        <f t="shared" si="61"/>
        <v>316.14999999999998</v>
      </c>
      <c r="I232" s="15">
        <f t="shared" si="62"/>
        <v>1.9166669999999999</v>
      </c>
      <c r="J232" s="15">
        <f t="shared" si="63"/>
        <v>4729.3270929999999</v>
      </c>
      <c r="K232" s="15">
        <f t="shared" si="64"/>
        <v>3.7493270929999998</v>
      </c>
      <c r="L232" s="15">
        <f t="shared" si="65"/>
        <v>1721.388119</v>
      </c>
      <c r="M232" s="15">
        <v>1716.74</v>
      </c>
      <c r="N232" s="14">
        <f t="shared" si="66"/>
        <v>1.721388119</v>
      </c>
      <c r="O232" s="14">
        <f t="shared" si="67"/>
        <v>1.7052999999999998</v>
      </c>
      <c r="P232" s="14">
        <f t="shared" si="68"/>
        <v>1.6088119000000178E-2</v>
      </c>
      <c r="Q232" s="18">
        <f t="shared" si="69"/>
        <v>9.4341869465784205E-3</v>
      </c>
      <c r="R232" s="15">
        <f t="shared" ca="1" si="70"/>
        <v>6.2784798629737617</v>
      </c>
      <c r="S232" s="15">
        <f t="shared" si="71"/>
        <v>6.2894397849462358</v>
      </c>
      <c r="T232" s="15">
        <f t="shared" ca="1" si="72"/>
        <v>1.0959921972474085E-2</v>
      </c>
      <c r="U232" s="18">
        <f t="shared" ca="1" si="73"/>
        <v>1.7425911284987005E-3</v>
      </c>
      <c r="V232" s="15">
        <f t="shared" si="74"/>
        <v>1.916666666666667</v>
      </c>
      <c r="W232" s="15">
        <f t="shared" ca="1" si="75"/>
        <v>1.7215201370262383</v>
      </c>
      <c r="X232" s="15">
        <f t="shared" ca="1" si="76"/>
        <v>0.19514652964042867</v>
      </c>
      <c r="Y232" s="35">
        <f t="shared" ca="1" si="77"/>
        <v>0.10181558068196277</v>
      </c>
      <c r="Z232" s="36">
        <f t="shared" ca="1" si="78"/>
        <v>40.658242000000001</v>
      </c>
      <c r="AA232" s="18">
        <f t="shared" ca="1" si="79"/>
        <v>5.4459488372092996E-2</v>
      </c>
      <c r="AB232" s="2"/>
    </row>
    <row r="233" spans="6:28" x14ac:dyDescent="0.25">
      <c r="F233" s="14">
        <v>231</v>
      </c>
      <c r="G233" s="14">
        <f t="shared" si="60"/>
        <v>43.1</v>
      </c>
      <c r="H233" s="14">
        <f t="shared" si="61"/>
        <v>316.25</v>
      </c>
      <c r="I233" s="15">
        <f t="shared" si="62"/>
        <v>1.925</v>
      </c>
      <c r="J233" s="15">
        <f t="shared" si="63"/>
        <v>4710.6779159999996</v>
      </c>
      <c r="K233" s="15">
        <f t="shared" si="64"/>
        <v>3.7306779159999994</v>
      </c>
      <c r="L233" s="15">
        <f t="shared" si="65"/>
        <v>1718.932043</v>
      </c>
      <c r="M233" s="15">
        <v>1714.04</v>
      </c>
      <c r="N233" s="14">
        <f t="shared" si="66"/>
        <v>1.7189320429999999</v>
      </c>
      <c r="O233" s="14">
        <f t="shared" si="67"/>
        <v>1.7030099999999999</v>
      </c>
      <c r="P233" s="14">
        <f t="shared" si="68"/>
        <v>1.5922042999999997E-2</v>
      </c>
      <c r="Q233" s="18">
        <f t="shared" si="69"/>
        <v>9.3493537912284711E-3</v>
      </c>
      <c r="R233" s="15">
        <f t="shared" ca="1" si="70"/>
        <v>6.2703023644314877</v>
      </c>
      <c r="S233" s="15">
        <f t="shared" si="71"/>
        <v>6.2809938709677411</v>
      </c>
      <c r="T233" s="15">
        <f t="shared" ca="1" si="72"/>
        <v>1.0691506536253392E-2</v>
      </c>
      <c r="U233" s="18">
        <f t="shared" ca="1" si="73"/>
        <v>1.7021998040265725E-3</v>
      </c>
      <c r="V233" s="15">
        <f t="shared" si="74"/>
        <v>1.9250000000000007</v>
      </c>
      <c r="W233" s="15">
        <f t="shared" ca="1" si="75"/>
        <v>1.7296976355685123</v>
      </c>
      <c r="X233" s="15">
        <f t="shared" ca="1" si="76"/>
        <v>0.19530236443148841</v>
      </c>
      <c r="Y233" s="35">
        <f t="shared" ca="1" si="77"/>
        <v>0.10145577373064329</v>
      </c>
      <c r="Z233" s="36">
        <f t="shared" ca="1" si="78"/>
        <v>40.756371999999999</v>
      </c>
      <c r="AA233" s="18">
        <f t="shared" ca="1" si="79"/>
        <v>5.4376519721577782E-2</v>
      </c>
      <c r="AB233" s="2"/>
    </row>
    <row r="234" spans="6:28" x14ac:dyDescent="0.25">
      <c r="F234" s="14">
        <v>232</v>
      </c>
      <c r="G234" s="14">
        <f t="shared" si="60"/>
        <v>43.2</v>
      </c>
      <c r="H234" s="14">
        <f t="shared" si="61"/>
        <v>316.34999999999997</v>
      </c>
      <c r="I234" s="15">
        <f t="shared" si="62"/>
        <v>1.933333</v>
      </c>
      <c r="J234" s="15">
        <f t="shared" si="63"/>
        <v>4692.1125849999999</v>
      </c>
      <c r="K234" s="15">
        <f t="shared" si="64"/>
        <v>3.7121125849999999</v>
      </c>
      <c r="L234" s="15">
        <f t="shared" si="65"/>
        <v>1716.4747339999999</v>
      </c>
      <c r="M234" s="15">
        <v>1711.74</v>
      </c>
      <c r="N234" s="14">
        <f t="shared" si="66"/>
        <v>1.7164747340000002</v>
      </c>
      <c r="O234" s="14">
        <f t="shared" si="67"/>
        <v>1.70072</v>
      </c>
      <c r="P234" s="14">
        <f t="shared" si="68"/>
        <v>1.5754734000000159E-2</v>
      </c>
      <c r="Q234" s="18">
        <f t="shared" si="69"/>
        <v>9.2635671950704167E-3</v>
      </c>
      <c r="R234" s="15">
        <f t="shared" ca="1" si="70"/>
        <v>6.2605686355685126</v>
      </c>
      <c r="S234" s="15">
        <f t="shared" si="71"/>
        <v>6.2725479569892473</v>
      </c>
      <c r="T234" s="15">
        <f t="shared" ca="1" si="72"/>
        <v>1.1979321420734657E-2</v>
      </c>
      <c r="U234" s="18">
        <f t="shared" ca="1" si="73"/>
        <v>1.9098014878286553E-3</v>
      </c>
      <c r="V234" s="15">
        <f t="shared" si="74"/>
        <v>1.9333333333333327</v>
      </c>
      <c r="W234" s="15">
        <f t="shared" ca="1" si="75"/>
        <v>1.7394313644314874</v>
      </c>
      <c r="X234" s="15">
        <f t="shared" ca="1" si="76"/>
        <v>0.1939019689018453</v>
      </c>
      <c r="Y234" s="35">
        <f t="shared" ca="1" si="77"/>
        <v>0.10029412184578208</v>
      </c>
      <c r="Z234" s="36">
        <f t="shared" ca="1" si="78"/>
        <v>40.873176000000001</v>
      </c>
      <c r="AA234" s="18">
        <f t="shared" ca="1" si="79"/>
        <v>5.386166666666671E-2</v>
      </c>
      <c r="AB234" s="2"/>
    </row>
    <row r="235" spans="6:28" x14ac:dyDescent="0.25">
      <c r="F235" s="14">
        <v>233</v>
      </c>
      <c r="G235" s="14">
        <f t="shared" si="60"/>
        <v>43.3</v>
      </c>
      <c r="H235" s="14">
        <f t="shared" si="61"/>
        <v>316.45</v>
      </c>
      <c r="I235" s="15">
        <f t="shared" si="62"/>
        <v>1.941667</v>
      </c>
      <c r="J235" s="15">
        <f t="shared" si="63"/>
        <v>4673.6306809999996</v>
      </c>
      <c r="K235" s="15">
        <f t="shared" si="64"/>
        <v>3.6936306810000001</v>
      </c>
      <c r="L235" s="15">
        <f t="shared" si="65"/>
        <v>1714.01621</v>
      </c>
      <c r="M235" s="15">
        <v>1709.03</v>
      </c>
      <c r="N235" s="14">
        <f t="shared" si="66"/>
        <v>1.7140162100000003</v>
      </c>
      <c r="O235" s="14">
        <f t="shared" si="67"/>
        <v>1.6984300000000001</v>
      </c>
      <c r="P235" s="14">
        <f t="shared" si="68"/>
        <v>1.5586210000000156E-2</v>
      </c>
      <c r="Q235" s="18">
        <f t="shared" si="69"/>
        <v>9.1768338995426094E-3</v>
      </c>
      <c r="R235" s="15">
        <f t="shared" ca="1" si="70"/>
        <v>6.251589862973761</v>
      </c>
      <c r="S235" s="15">
        <f t="shared" si="71"/>
        <v>6.2641020430107526</v>
      </c>
      <c r="T235" s="15">
        <f t="shared" ca="1" si="72"/>
        <v>1.2512180036991616E-2</v>
      </c>
      <c r="U235" s="18">
        <f t="shared" ca="1" si="73"/>
        <v>1.9974419240108374E-3</v>
      </c>
      <c r="V235" s="15">
        <f t="shared" si="74"/>
        <v>1.9416666666666664</v>
      </c>
      <c r="W235" s="15">
        <f t="shared" ca="1" si="75"/>
        <v>1.748410137026239</v>
      </c>
      <c r="X235" s="15">
        <f t="shared" ca="1" si="76"/>
        <v>0.19325652964042739</v>
      </c>
      <c r="Y235" s="35">
        <f t="shared" ca="1" si="77"/>
        <v>9.9531259900649316E-2</v>
      </c>
      <c r="Z235" s="36">
        <f t="shared" ca="1" si="78"/>
        <v>40.980922</v>
      </c>
      <c r="AA235" s="18">
        <f t="shared" ca="1" si="79"/>
        <v>5.3558383371824426E-2</v>
      </c>
      <c r="AB235" s="2"/>
    </row>
    <row r="236" spans="6:28" x14ac:dyDescent="0.25">
      <c r="F236" s="14">
        <v>234</v>
      </c>
      <c r="G236" s="14">
        <f t="shared" si="60"/>
        <v>43.400000000000006</v>
      </c>
      <c r="H236" s="14">
        <f t="shared" si="61"/>
        <v>316.54999999999995</v>
      </c>
      <c r="I236" s="15">
        <f t="shared" si="62"/>
        <v>1.95</v>
      </c>
      <c r="J236" s="15">
        <f t="shared" si="63"/>
        <v>4655.2317849999999</v>
      </c>
      <c r="K236" s="15">
        <f t="shared" si="64"/>
        <v>3.6752317850000003</v>
      </c>
      <c r="L236" s="15">
        <f t="shared" si="65"/>
        <v>1711.5564890000001</v>
      </c>
      <c r="M236" s="15">
        <v>1706.52</v>
      </c>
      <c r="N236" s="14">
        <f t="shared" si="66"/>
        <v>1.7115564890000001</v>
      </c>
      <c r="O236" s="14">
        <f t="shared" si="67"/>
        <v>1.6961399999999998</v>
      </c>
      <c r="P236" s="14">
        <f t="shared" si="68"/>
        <v>1.5416489000000366E-2</v>
      </c>
      <c r="Q236" s="18">
        <f t="shared" si="69"/>
        <v>9.0891606824910487E-3</v>
      </c>
      <c r="R236" s="15">
        <f t="shared" ca="1" si="70"/>
        <v>6.2430032274052483</v>
      </c>
      <c r="S236" s="15">
        <f t="shared" si="71"/>
        <v>6.255656129032257</v>
      </c>
      <c r="T236" s="15">
        <f t="shared" ca="1" si="72"/>
        <v>1.2652901627008717E-2</v>
      </c>
      <c r="U236" s="18">
        <f t="shared" ca="1" si="73"/>
        <v>2.0226338158657879E-3</v>
      </c>
      <c r="V236" s="15">
        <f t="shared" si="74"/>
        <v>1.9500000000000002</v>
      </c>
      <c r="W236" s="15">
        <f t="shared" ca="1" si="75"/>
        <v>1.7569967725947517</v>
      </c>
      <c r="X236" s="15">
        <f t="shared" ca="1" si="76"/>
        <v>0.19300322740524845</v>
      </c>
      <c r="Y236" s="35">
        <f t="shared" ca="1" si="77"/>
        <v>9.8976014053973549E-2</v>
      </c>
      <c r="Z236" s="36">
        <f t="shared" ca="1" si="78"/>
        <v>41.083961000000002</v>
      </c>
      <c r="AA236" s="18">
        <f t="shared" ca="1" si="79"/>
        <v>5.3364953917050768E-2</v>
      </c>
      <c r="AB236" s="2"/>
    </row>
    <row r="237" spans="6:28" x14ac:dyDescent="0.25">
      <c r="F237" s="14">
        <v>235</v>
      </c>
      <c r="G237" s="14">
        <f t="shared" si="60"/>
        <v>43.5</v>
      </c>
      <c r="H237" s="14">
        <f t="shared" si="61"/>
        <v>316.64999999999998</v>
      </c>
      <c r="I237" s="15">
        <f t="shared" si="62"/>
        <v>1.9583330000000001</v>
      </c>
      <c r="J237" s="15">
        <f t="shared" si="63"/>
        <v>4636.9154820000003</v>
      </c>
      <c r="K237" s="15">
        <f t="shared" si="64"/>
        <v>3.6569154820000005</v>
      </c>
      <c r="L237" s="15">
        <f t="shared" si="65"/>
        <v>1709.095589</v>
      </c>
      <c r="M237" s="15">
        <v>1704.4</v>
      </c>
      <c r="N237" s="14">
        <f t="shared" si="66"/>
        <v>1.7090955889999999</v>
      </c>
      <c r="O237" s="14">
        <f t="shared" si="67"/>
        <v>1.6938499999999999</v>
      </c>
      <c r="P237" s="14">
        <f t="shared" si="68"/>
        <v>1.5245589000000059E-2</v>
      </c>
      <c r="Q237" s="18">
        <f t="shared" si="69"/>
        <v>9.0005543584142991E-3</v>
      </c>
      <c r="R237" s="15">
        <f t="shared" ca="1" si="70"/>
        <v>6.2336526355685127</v>
      </c>
      <c r="S237" s="15">
        <f t="shared" si="71"/>
        <v>6.2472102150537623</v>
      </c>
      <c r="T237" s="15">
        <f t="shared" ca="1" si="72"/>
        <v>1.3557579485249605E-2</v>
      </c>
      <c r="U237" s="18">
        <f t="shared" ca="1" si="73"/>
        <v>2.1701814119493225E-3</v>
      </c>
      <c r="V237" s="15">
        <f t="shared" si="74"/>
        <v>1.9583333333333339</v>
      </c>
      <c r="W237" s="15">
        <f t="shared" ca="1" si="75"/>
        <v>1.7663473644314873</v>
      </c>
      <c r="X237" s="15">
        <f t="shared" ca="1" si="76"/>
        <v>0.1919859689018466</v>
      </c>
      <c r="Y237" s="35">
        <f t="shared" ca="1" si="77"/>
        <v>9.8035388375411009E-2</v>
      </c>
      <c r="Z237" s="36">
        <f t="shared" ca="1" si="78"/>
        <v>41.196168</v>
      </c>
      <c r="AA237" s="18">
        <f t="shared" ca="1" si="79"/>
        <v>5.2961655172413788E-2</v>
      </c>
      <c r="AB237" s="2"/>
    </row>
    <row r="238" spans="6:28" x14ac:dyDescent="0.25">
      <c r="F238" s="14">
        <v>236</v>
      </c>
      <c r="G238" s="14">
        <f t="shared" si="60"/>
        <v>43.6</v>
      </c>
      <c r="H238" s="14">
        <f t="shared" si="61"/>
        <v>316.75</v>
      </c>
      <c r="I238" s="15">
        <f t="shared" si="62"/>
        <v>1.9666669999999999</v>
      </c>
      <c r="J238" s="15">
        <f t="shared" si="63"/>
        <v>4618.6813579999998</v>
      </c>
      <c r="K238" s="15">
        <f t="shared" si="64"/>
        <v>3.6386813579999995</v>
      </c>
      <c r="L238" s="15">
        <f t="shared" si="65"/>
        <v>1706.633529</v>
      </c>
      <c r="M238" s="15">
        <v>1701.88</v>
      </c>
      <c r="N238" s="14">
        <f t="shared" si="66"/>
        <v>1.7066335289999999</v>
      </c>
      <c r="O238" s="14">
        <f t="shared" si="67"/>
        <v>1.69156</v>
      </c>
      <c r="P238" s="14">
        <f t="shared" si="68"/>
        <v>1.5073528999999919E-2</v>
      </c>
      <c r="Q238" s="18">
        <f t="shared" si="69"/>
        <v>8.9110223698833733E-3</v>
      </c>
      <c r="R238" s="15">
        <f t="shared" ca="1" si="70"/>
        <v>6.2246716355685123</v>
      </c>
      <c r="S238" s="15">
        <f t="shared" si="71"/>
        <v>6.2387643010752685</v>
      </c>
      <c r="T238" s="15">
        <f t="shared" ca="1" si="72"/>
        <v>1.4092665506756141E-2</v>
      </c>
      <c r="U238" s="18">
        <f t="shared" ca="1" si="73"/>
        <v>2.2588873095153203E-3</v>
      </c>
      <c r="V238" s="15">
        <f t="shared" si="74"/>
        <v>1.9666666666666668</v>
      </c>
      <c r="W238" s="15">
        <f t="shared" ca="1" si="75"/>
        <v>1.7753283644314877</v>
      </c>
      <c r="X238" s="15">
        <f t="shared" ca="1" si="76"/>
        <v>0.19133830223517911</v>
      </c>
      <c r="Y238" s="35">
        <f t="shared" ca="1" si="77"/>
        <v>9.7290662153480895E-2</v>
      </c>
      <c r="Z238" s="36">
        <f t="shared" ca="1" si="78"/>
        <v>41.303939999999997</v>
      </c>
      <c r="AA238" s="18">
        <f t="shared" ca="1" si="79"/>
        <v>5.2661926605504679E-2</v>
      </c>
      <c r="AB238" s="2"/>
    </row>
    <row r="239" spans="6:28" x14ac:dyDescent="0.25">
      <c r="F239" s="14">
        <v>237</v>
      </c>
      <c r="G239" s="14">
        <f t="shared" si="60"/>
        <v>43.7</v>
      </c>
      <c r="H239" s="14">
        <f t="shared" si="61"/>
        <v>316.84999999999997</v>
      </c>
      <c r="I239" s="15">
        <f t="shared" si="62"/>
        <v>1.9750000000000001</v>
      </c>
      <c r="J239" s="15">
        <f t="shared" si="63"/>
        <v>4600.5290029999996</v>
      </c>
      <c r="K239" s="15">
        <f t="shared" si="64"/>
        <v>3.6205290029999997</v>
      </c>
      <c r="L239" s="15">
        <f t="shared" si="65"/>
        <v>1704.170327</v>
      </c>
      <c r="M239" s="15">
        <v>1699.35</v>
      </c>
      <c r="N239" s="14">
        <f t="shared" si="66"/>
        <v>1.7041703269999999</v>
      </c>
      <c r="O239" s="14">
        <f t="shared" si="67"/>
        <v>1.6892699999999998</v>
      </c>
      <c r="P239" s="14">
        <f t="shared" si="68"/>
        <v>1.4900327000000102E-2</v>
      </c>
      <c r="Q239" s="18">
        <f t="shared" si="69"/>
        <v>8.8205716078543408E-3</v>
      </c>
      <c r="R239" s="15">
        <f t="shared" ca="1" si="70"/>
        <v>6.2160719999999996</v>
      </c>
      <c r="S239" s="15">
        <f t="shared" si="71"/>
        <v>6.2303183870967729</v>
      </c>
      <c r="T239" s="15">
        <f t="shared" ca="1" si="72"/>
        <v>1.4246387096773283E-2</v>
      </c>
      <c r="U239" s="18">
        <f t="shared" ca="1" si="73"/>
        <v>2.2866226429580378E-3</v>
      </c>
      <c r="V239" s="15">
        <f t="shared" si="74"/>
        <v>1.9750000000000005</v>
      </c>
      <c r="W239" s="15">
        <f t="shared" ca="1" si="75"/>
        <v>1.7839280000000004</v>
      </c>
      <c r="X239" s="15">
        <f t="shared" ca="1" si="76"/>
        <v>0.19107200000000013</v>
      </c>
      <c r="Y239" s="35">
        <f t="shared" ca="1" si="77"/>
        <v>9.6745316455696242E-2</v>
      </c>
      <c r="Z239" s="36">
        <f t="shared" ca="1" si="78"/>
        <v>41.407136000000001</v>
      </c>
      <c r="AA239" s="18">
        <f t="shared" ca="1" si="79"/>
        <v>5.2468283752860445E-2</v>
      </c>
      <c r="AB239" s="2"/>
    </row>
    <row r="240" spans="6:28" x14ac:dyDescent="0.25">
      <c r="F240" s="14">
        <v>238</v>
      </c>
      <c r="G240" s="14">
        <f t="shared" si="60"/>
        <v>43.8</v>
      </c>
      <c r="H240" s="14">
        <f t="shared" si="61"/>
        <v>316.95</v>
      </c>
      <c r="I240" s="15">
        <f t="shared" si="62"/>
        <v>1.983333</v>
      </c>
      <c r="J240" s="15">
        <f t="shared" si="63"/>
        <v>4582.4580079999996</v>
      </c>
      <c r="K240" s="15">
        <f t="shared" si="64"/>
        <v>3.6024580079999993</v>
      </c>
      <c r="L240" s="15">
        <f t="shared" si="65"/>
        <v>1701.7060019999999</v>
      </c>
      <c r="M240" s="15">
        <v>1696.81</v>
      </c>
      <c r="N240" s="14">
        <f t="shared" si="66"/>
        <v>1.7017060019999999</v>
      </c>
      <c r="O240" s="14">
        <f t="shared" si="67"/>
        <v>1.6869799999999999</v>
      </c>
      <c r="P240" s="14">
        <f t="shared" si="68"/>
        <v>1.472600199999996E-2</v>
      </c>
      <c r="Q240" s="18">
        <f t="shared" si="69"/>
        <v>8.7292095934747068E-3</v>
      </c>
      <c r="R240" s="15">
        <f t="shared" ca="1" si="70"/>
        <v>6.207865501457726</v>
      </c>
      <c r="S240" s="15">
        <f t="shared" si="71"/>
        <v>6.2218724731182791</v>
      </c>
      <c r="T240" s="15">
        <f t="shared" ca="1" si="72"/>
        <v>1.4006971660553091E-2</v>
      </c>
      <c r="U240" s="18">
        <f t="shared" ca="1" si="73"/>
        <v>2.2512469873129811E-3</v>
      </c>
      <c r="V240" s="15">
        <f t="shared" si="74"/>
        <v>1.9833333333333334</v>
      </c>
      <c r="W240" s="15">
        <f t="shared" ca="1" si="75"/>
        <v>1.792134498542274</v>
      </c>
      <c r="X240" s="15">
        <f t="shared" ca="1" si="76"/>
        <v>0.19119883479105937</v>
      </c>
      <c r="Y240" s="35">
        <f t="shared" ca="1" si="77"/>
        <v>9.6402773844231612E-2</v>
      </c>
      <c r="Z240" s="36">
        <f t="shared" ca="1" si="78"/>
        <v>41.505614000000001</v>
      </c>
      <c r="AA240" s="18">
        <f t="shared" ca="1" si="79"/>
        <v>5.238324200913233E-2</v>
      </c>
      <c r="AB240" s="2"/>
    </row>
    <row r="241" spans="6:28" x14ac:dyDescent="0.25">
      <c r="F241" s="14">
        <v>239</v>
      </c>
      <c r="G241" s="14">
        <f t="shared" si="60"/>
        <v>43.900000000000006</v>
      </c>
      <c r="H241" s="14">
        <f t="shared" si="61"/>
        <v>317.04999999999995</v>
      </c>
      <c r="I241" s="15">
        <f t="shared" si="62"/>
        <v>1.9916670000000001</v>
      </c>
      <c r="J241" s="15">
        <f t="shared" si="63"/>
        <v>4564.4679660000002</v>
      </c>
      <c r="K241" s="15">
        <f t="shared" si="64"/>
        <v>3.5844679660000001</v>
      </c>
      <c r="L241" s="15">
        <f t="shared" si="65"/>
        <v>1699.240571</v>
      </c>
      <c r="M241" s="15">
        <v>1694.27</v>
      </c>
      <c r="N241" s="14">
        <f t="shared" si="66"/>
        <v>1.699240571</v>
      </c>
      <c r="O241" s="14">
        <f t="shared" si="67"/>
        <v>1.6846899999999998</v>
      </c>
      <c r="P241" s="14">
        <f t="shared" si="68"/>
        <v>1.4550571000000234E-2</v>
      </c>
      <c r="Q241" s="18">
        <f t="shared" si="69"/>
        <v>8.6369427016247721E-3</v>
      </c>
      <c r="R241" s="15">
        <f t="shared" ca="1" si="70"/>
        <v>6.1980802274052484</v>
      </c>
      <c r="S241" s="15">
        <f t="shared" si="71"/>
        <v>6.2134265591397835</v>
      </c>
      <c r="T241" s="15">
        <f t="shared" ca="1" si="72"/>
        <v>1.5346331734535035E-2</v>
      </c>
      <c r="U241" s="18">
        <f t="shared" ca="1" si="73"/>
        <v>2.469866117908965E-3</v>
      </c>
      <c r="V241" s="15">
        <f t="shared" si="74"/>
        <v>1.991666666666668</v>
      </c>
      <c r="W241" s="15">
        <f t="shared" ca="1" si="75"/>
        <v>1.8019197725947516</v>
      </c>
      <c r="X241" s="15">
        <f t="shared" ca="1" si="76"/>
        <v>0.18974689407191647</v>
      </c>
      <c r="Y241" s="35">
        <f t="shared" ca="1" si="77"/>
        <v>9.5270407065397328E-2</v>
      </c>
      <c r="Z241" s="36">
        <f t="shared" ca="1" si="78"/>
        <v>41.623036999999997</v>
      </c>
      <c r="AA241" s="18">
        <f t="shared" ca="1" si="79"/>
        <v>5.186703872437378E-2</v>
      </c>
      <c r="AB241" s="2"/>
    </row>
    <row r="242" spans="6:28" x14ac:dyDescent="0.25">
      <c r="F242" s="14">
        <v>240</v>
      </c>
      <c r="G242" s="14">
        <f t="shared" si="60"/>
        <v>44</v>
      </c>
      <c r="H242" s="14">
        <f t="shared" si="61"/>
        <v>317.14999999999998</v>
      </c>
      <c r="I242" s="15">
        <f t="shared" si="62"/>
        <v>2</v>
      </c>
      <c r="J242" s="15">
        <f t="shared" si="63"/>
        <v>4546.5584740000004</v>
      </c>
      <c r="K242" s="15">
        <f t="shared" si="64"/>
        <v>3.5665584740000007</v>
      </c>
      <c r="L242" s="15">
        <f t="shared" si="65"/>
        <v>1696.774054</v>
      </c>
      <c r="M242" s="15">
        <v>1691.92</v>
      </c>
      <c r="N242" s="14">
        <f t="shared" si="66"/>
        <v>1.696774054</v>
      </c>
      <c r="O242" s="14">
        <f t="shared" si="67"/>
        <v>1.6823999999999999</v>
      </c>
      <c r="P242" s="14">
        <f t="shared" si="68"/>
        <v>1.4374054000000136E-2</v>
      </c>
      <c r="Q242" s="18">
        <f t="shared" si="69"/>
        <v>8.5437791250595196E-3</v>
      </c>
      <c r="R242" s="15">
        <f t="shared" ca="1" si="70"/>
        <v>6.1894793644314872</v>
      </c>
      <c r="S242" s="15">
        <f t="shared" si="71"/>
        <v>6.2049806451612897</v>
      </c>
      <c r="T242" s="15">
        <f t="shared" ca="1" si="72"/>
        <v>1.5501280729802502E-2</v>
      </c>
      <c r="U242" s="18">
        <f t="shared" ca="1" si="73"/>
        <v>2.498199690903237E-3</v>
      </c>
      <c r="V242" s="15">
        <f t="shared" si="74"/>
        <v>2</v>
      </c>
      <c r="W242" s="15">
        <f t="shared" ca="1" si="75"/>
        <v>1.8105206355685128</v>
      </c>
      <c r="X242" s="15">
        <f t="shared" ca="1" si="76"/>
        <v>0.18947936443148716</v>
      </c>
      <c r="Y242" s="35">
        <f t="shared" ca="1" si="77"/>
        <v>9.4739682215743581E-2</v>
      </c>
      <c r="Z242" s="36">
        <f t="shared" ca="1" si="78"/>
        <v>41.726247999999998</v>
      </c>
      <c r="AA242" s="18">
        <f t="shared" ca="1" si="79"/>
        <v>5.1676181818181857E-2</v>
      </c>
      <c r="AB242" s="2"/>
    </row>
    <row r="243" spans="6:28" x14ac:dyDescent="0.25">
      <c r="F243" s="14">
        <v>241</v>
      </c>
      <c r="G243" s="14">
        <f t="shared" si="60"/>
        <v>44.1</v>
      </c>
      <c r="H243" s="14">
        <f t="shared" si="61"/>
        <v>317.25</v>
      </c>
      <c r="I243" s="15">
        <f t="shared" si="62"/>
        <v>2.0083329999999999</v>
      </c>
      <c r="J243" s="15">
        <f t="shared" si="63"/>
        <v>4528.7291279999999</v>
      </c>
      <c r="K243" s="15">
        <f t="shared" si="64"/>
        <v>3.5487291279999997</v>
      </c>
      <c r="L243" s="15">
        <f t="shared" si="65"/>
        <v>1694.306468</v>
      </c>
      <c r="M243" s="15">
        <v>1689.37</v>
      </c>
      <c r="N243" s="14">
        <f t="shared" si="66"/>
        <v>1.694306468</v>
      </c>
      <c r="O243" s="14">
        <f t="shared" si="67"/>
        <v>1.68011</v>
      </c>
      <c r="P243" s="14">
        <f t="shared" si="68"/>
        <v>1.4196467999999962E-2</v>
      </c>
      <c r="Q243" s="18">
        <f t="shared" si="69"/>
        <v>8.4497253156043135E-3</v>
      </c>
      <c r="R243" s="15">
        <f t="shared" ca="1" si="70"/>
        <v>6.1804783644314876</v>
      </c>
      <c r="S243" s="15">
        <f t="shared" si="71"/>
        <v>6.196534731182795</v>
      </c>
      <c r="T243" s="15">
        <f t="shared" ca="1" si="72"/>
        <v>1.6056366751307394E-2</v>
      </c>
      <c r="U243" s="18">
        <f t="shared" ca="1" si="73"/>
        <v>2.5911848231087949E-3</v>
      </c>
      <c r="V243" s="15">
        <f t="shared" si="74"/>
        <v>2.0083333333333337</v>
      </c>
      <c r="W243" s="15">
        <f t="shared" ca="1" si="75"/>
        <v>1.8195216355685124</v>
      </c>
      <c r="X243" s="15">
        <f t="shared" ca="1" si="76"/>
        <v>0.18881169776482132</v>
      </c>
      <c r="Y243" s="35">
        <f t="shared" ca="1" si="77"/>
        <v>9.4014123368375738E-2</v>
      </c>
      <c r="Z243" s="36">
        <f t="shared" ca="1" si="78"/>
        <v>41.83426</v>
      </c>
      <c r="AA243" s="18">
        <f t="shared" ca="1" si="79"/>
        <v>5.1377324263038572E-2</v>
      </c>
      <c r="AB243" s="2"/>
    </row>
    <row r="244" spans="6:28" x14ac:dyDescent="0.25">
      <c r="F244" s="14">
        <v>242</v>
      </c>
      <c r="G244" s="14">
        <f t="shared" si="60"/>
        <v>44.2</v>
      </c>
      <c r="H244" s="14">
        <f t="shared" si="61"/>
        <v>317.34999999999997</v>
      </c>
      <c r="I244" s="15">
        <f t="shared" si="62"/>
        <v>2.016667</v>
      </c>
      <c r="J244" s="15">
        <f t="shared" si="63"/>
        <v>4510.9795299999996</v>
      </c>
      <c r="K244" s="15">
        <f t="shared" si="64"/>
        <v>3.5309795299999998</v>
      </c>
      <c r="L244" s="15">
        <f t="shared" si="65"/>
        <v>1691.8378319999999</v>
      </c>
      <c r="M244" s="15">
        <v>1686.81</v>
      </c>
      <c r="N244" s="14">
        <f t="shared" si="66"/>
        <v>1.6918378319999998</v>
      </c>
      <c r="O244" s="14">
        <f t="shared" si="67"/>
        <v>1.6778199999999999</v>
      </c>
      <c r="P244" s="14">
        <f t="shared" si="68"/>
        <v>1.4017831999999952E-2</v>
      </c>
      <c r="Q244" s="18">
        <f t="shared" si="69"/>
        <v>8.3547889523309729E-3</v>
      </c>
      <c r="R244" s="15">
        <f t="shared" ca="1" si="70"/>
        <v>6.1718705014577262</v>
      </c>
      <c r="S244" s="15">
        <f t="shared" si="71"/>
        <v>6.1880888172043003</v>
      </c>
      <c r="T244" s="15">
        <f t="shared" ca="1" si="72"/>
        <v>1.6218315746574063E-2</v>
      </c>
      <c r="U244" s="18">
        <f t="shared" ca="1" si="73"/>
        <v>2.6208925284788159E-3</v>
      </c>
      <c r="V244" s="15">
        <f t="shared" si="74"/>
        <v>2.0166666666666666</v>
      </c>
      <c r="W244" s="15">
        <f t="shared" ca="1" si="75"/>
        <v>1.8281294985422738</v>
      </c>
      <c r="X244" s="15">
        <f t="shared" ca="1" si="76"/>
        <v>0.18853716812439281</v>
      </c>
      <c r="Y244" s="35">
        <f t="shared" ca="1" si="77"/>
        <v>9.3489504855070821E-2</v>
      </c>
      <c r="Z244" s="36">
        <f t="shared" ca="1" si="78"/>
        <v>41.937553999999999</v>
      </c>
      <c r="AA244" s="18">
        <f t="shared" ca="1" si="79"/>
        <v>5.1186561085972943E-2</v>
      </c>
      <c r="AB244" s="2"/>
    </row>
    <row r="245" spans="6:28" x14ac:dyDescent="0.25">
      <c r="F245" s="14">
        <v>243</v>
      </c>
      <c r="G245" s="14">
        <f t="shared" si="60"/>
        <v>44.3</v>
      </c>
      <c r="H245" s="14">
        <f t="shared" si="61"/>
        <v>317.45</v>
      </c>
      <c r="I245" s="15">
        <f t="shared" si="62"/>
        <v>2.0249999999999999</v>
      </c>
      <c r="J245" s="15">
        <f t="shared" si="63"/>
        <v>4493.3092820000002</v>
      </c>
      <c r="K245" s="15">
        <f t="shared" si="64"/>
        <v>3.5133092820000007</v>
      </c>
      <c r="L245" s="15">
        <f t="shared" si="65"/>
        <v>1689.368164</v>
      </c>
      <c r="M245" s="15">
        <v>1684.64</v>
      </c>
      <c r="N245" s="14">
        <f t="shared" si="66"/>
        <v>1.6893681640000002</v>
      </c>
      <c r="O245" s="14">
        <f t="shared" si="67"/>
        <v>1.67553</v>
      </c>
      <c r="P245" s="14">
        <f t="shared" si="68"/>
        <v>1.3838164000000264E-2</v>
      </c>
      <c r="Q245" s="18">
        <f t="shared" si="69"/>
        <v>8.2589771594661181E-3</v>
      </c>
      <c r="R245" s="15">
        <f t="shared" ca="1" si="70"/>
        <v>6.1624771370262383</v>
      </c>
      <c r="S245" s="15">
        <f t="shared" si="71"/>
        <v>6.1796429032258064</v>
      </c>
      <c r="T245" s="15">
        <f t="shared" ca="1" si="72"/>
        <v>1.7165766199568111E-2</v>
      </c>
      <c r="U245" s="18">
        <f t="shared" ca="1" si="73"/>
        <v>2.7777925793426492E-3</v>
      </c>
      <c r="V245" s="15">
        <f t="shared" si="74"/>
        <v>2.0249999999999995</v>
      </c>
      <c r="W245" s="15">
        <f t="shared" ca="1" si="75"/>
        <v>1.8375228629737617</v>
      </c>
      <c r="X245" s="15">
        <f t="shared" ca="1" si="76"/>
        <v>0.18747713702623781</v>
      </c>
      <c r="Y245" s="35">
        <f t="shared" ca="1" si="77"/>
        <v>9.2581302235179186E-2</v>
      </c>
      <c r="Z245" s="36">
        <f t="shared" ca="1" si="78"/>
        <v>42.050274000000002</v>
      </c>
      <c r="AA245" s="18">
        <f t="shared" ca="1" si="79"/>
        <v>5.0783882618510058E-2</v>
      </c>
      <c r="AB245" s="2"/>
    </row>
    <row r="246" spans="6:28" x14ac:dyDescent="0.25">
      <c r="F246" s="14">
        <v>244</v>
      </c>
      <c r="G246" s="14">
        <f t="shared" si="60"/>
        <v>44.400000000000006</v>
      </c>
      <c r="H246" s="14">
        <f t="shared" si="61"/>
        <v>317.54999999999995</v>
      </c>
      <c r="I246" s="15">
        <f t="shared" si="62"/>
        <v>2.0333329999999998</v>
      </c>
      <c r="J246" s="15">
        <f t="shared" si="63"/>
        <v>4475.717987</v>
      </c>
      <c r="K246" s="15">
        <f t="shared" si="64"/>
        <v>3.4957179869999999</v>
      </c>
      <c r="L246" s="15">
        <f t="shared" si="65"/>
        <v>1686.8974840000001</v>
      </c>
      <c r="M246" s="15">
        <v>1682.07</v>
      </c>
      <c r="N246" s="14">
        <f t="shared" si="66"/>
        <v>1.6868974840000002</v>
      </c>
      <c r="O246" s="14">
        <f t="shared" si="67"/>
        <v>1.6732399999999998</v>
      </c>
      <c r="P246" s="14">
        <f t="shared" si="68"/>
        <v>1.3657484000000331E-2</v>
      </c>
      <c r="Q246" s="18">
        <f t="shared" si="69"/>
        <v>8.1622982955226586E-3</v>
      </c>
      <c r="R246" s="15">
        <f t="shared" ca="1" si="70"/>
        <v>6.1526836355685131</v>
      </c>
      <c r="S246" s="15">
        <f t="shared" si="71"/>
        <v>6.1711969892473109</v>
      </c>
      <c r="T246" s="15">
        <f t="shared" ca="1" si="72"/>
        <v>1.8513353678797806E-2</v>
      </c>
      <c r="U246" s="18">
        <f t="shared" ca="1" si="73"/>
        <v>2.9999615489597008E-3</v>
      </c>
      <c r="V246" s="15">
        <f t="shared" si="74"/>
        <v>2.0333333333333341</v>
      </c>
      <c r="W246" s="15">
        <f t="shared" ca="1" si="75"/>
        <v>1.8473163644314869</v>
      </c>
      <c r="X246" s="15">
        <f t="shared" ca="1" si="76"/>
        <v>0.18601696890184716</v>
      </c>
      <c r="Y246" s="35">
        <f t="shared" ca="1" si="77"/>
        <v>9.1483755197629718E-2</v>
      </c>
      <c r="Z246" s="36">
        <f t="shared" ca="1" si="78"/>
        <v>42.167796000000003</v>
      </c>
      <c r="AA246" s="18">
        <f t="shared" ca="1" si="79"/>
        <v>5.0274864864864925E-2</v>
      </c>
      <c r="AB246" s="2"/>
    </row>
    <row r="247" spans="6:28" x14ac:dyDescent="0.25">
      <c r="F247" s="14">
        <v>245</v>
      </c>
      <c r="G247" s="14">
        <f t="shared" si="60"/>
        <v>44.5</v>
      </c>
      <c r="H247" s="14">
        <f t="shared" si="61"/>
        <v>317.64999999999998</v>
      </c>
      <c r="I247" s="15">
        <f t="shared" si="62"/>
        <v>2.0416669999999999</v>
      </c>
      <c r="J247" s="15">
        <f t="shared" si="63"/>
        <v>4458.2052540000004</v>
      </c>
      <c r="K247" s="15">
        <f t="shared" si="64"/>
        <v>3.4782052540000006</v>
      </c>
      <c r="L247" s="15">
        <f t="shared" si="65"/>
        <v>1684.425808</v>
      </c>
      <c r="M247" s="15">
        <v>1679.49</v>
      </c>
      <c r="N247" s="14">
        <f t="shared" si="66"/>
        <v>1.6844258079999999</v>
      </c>
      <c r="O247" s="14">
        <f t="shared" si="67"/>
        <v>1.6709499999999999</v>
      </c>
      <c r="P247" s="14">
        <f t="shared" si="68"/>
        <v>1.3475807999999923E-2</v>
      </c>
      <c r="Q247" s="18">
        <f t="shared" si="69"/>
        <v>8.0647583709865193E-3</v>
      </c>
      <c r="R247" s="15">
        <f t="shared" ca="1" si="70"/>
        <v>6.1436676355685131</v>
      </c>
      <c r="S247" s="15">
        <f t="shared" si="71"/>
        <v>6.162751075268817</v>
      </c>
      <c r="T247" s="15">
        <f t="shared" ca="1" si="72"/>
        <v>1.9083439700303906E-2</v>
      </c>
      <c r="U247" s="18">
        <f t="shared" ca="1" si="73"/>
        <v>3.0965780488661863E-3</v>
      </c>
      <c r="V247" s="15">
        <f t="shared" si="74"/>
        <v>2.0416666666666661</v>
      </c>
      <c r="W247" s="15">
        <f t="shared" ca="1" si="75"/>
        <v>1.8563323644314869</v>
      </c>
      <c r="X247" s="15">
        <f t="shared" ca="1" si="76"/>
        <v>0.18533430223517922</v>
      </c>
      <c r="Y247" s="35">
        <f t="shared" ca="1" si="77"/>
        <v>9.0775984768251064E-2</v>
      </c>
      <c r="Z247" s="36">
        <f t="shared" ca="1" si="78"/>
        <v>42.275987999999998</v>
      </c>
      <c r="AA247" s="18">
        <f t="shared" ca="1" si="79"/>
        <v>4.9977797752809028E-2</v>
      </c>
      <c r="AB247" s="2"/>
    </row>
    <row r="248" spans="6:28" x14ac:dyDescent="0.25">
      <c r="F248" s="14">
        <v>246</v>
      </c>
      <c r="G248" s="14">
        <f t="shared" si="60"/>
        <v>44.6</v>
      </c>
      <c r="H248" s="14">
        <f t="shared" si="61"/>
        <v>317.75</v>
      </c>
      <c r="I248" s="15">
        <f t="shared" si="62"/>
        <v>2.0499999999999998</v>
      </c>
      <c r="J248" s="15">
        <f t="shared" si="63"/>
        <v>4440.7706900000003</v>
      </c>
      <c r="K248" s="15">
        <f t="shared" si="64"/>
        <v>3.4607706900000004</v>
      </c>
      <c r="L248" s="15">
        <f t="shared" si="65"/>
        <v>1681.953156</v>
      </c>
      <c r="M248" s="15">
        <v>1677.1</v>
      </c>
      <c r="N248" s="14">
        <f t="shared" si="66"/>
        <v>1.6819531560000001</v>
      </c>
      <c r="O248" s="14">
        <f t="shared" si="67"/>
        <v>1.6686599999999998</v>
      </c>
      <c r="P248" s="14">
        <f t="shared" si="68"/>
        <v>1.329315600000025E-2</v>
      </c>
      <c r="Q248" s="18">
        <f t="shared" si="69"/>
        <v>7.966365826471691E-3</v>
      </c>
      <c r="R248" s="15">
        <f t="shared" ca="1" si="70"/>
        <v>6.1342524985422742</v>
      </c>
      <c r="S248" s="15">
        <f t="shared" si="71"/>
        <v>6.1543051612903215</v>
      </c>
      <c r="T248" s="15">
        <f t="shared" ca="1" si="72"/>
        <v>2.005266274804729E-2</v>
      </c>
      <c r="U248" s="18">
        <f t="shared" ca="1" si="73"/>
        <v>3.2583146630712437E-3</v>
      </c>
      <c r="V248" s="15">
        <f t="shared" si="74"/>
        <v>2.0500000000000007</v>
      </c>
      <c r="W248" s="15">
        <f t="shared" ca="1" si="75"/>
        <v>1.8657475014577258</v>
      </c>
      <c r="X248" s="15">
        <f t="shared" ca="1" si="76"/>
        <v>0.18425249854227488</v>
      </c>
      <c r="Y248" s="35">
        <f t="shared" ca="1" si="77"/>
        <v>8.9879267581597477E-2</v>
      </c>
      <c r="Z248" s="36">
        <f t="shared" ca="1" si="78"/>
        <v>42.38897</v>
      </c>
      <c r="AA248" s="18">
        <f t="shared" ca="1" si="79"/>
        <v>4.9574663677130065E-2</v>
      </c>
      <c r="AB248" s="2"/>
    </row>
    <row r="249" spans="6:28" x14ac:dyDescent="0.25">
      <c r="F249" s="14">
        <v>247</v>
      </c>
      <c r="G249" s="14">
        <f t="shared" si="60"/>
        <v>44.7</v>
      </c>
      <c r="H249" s="14">
        <f t="shared" si="61"/>
        <v>317.84999999999997</v>
      </c>
      <c r="I249" s="15">
        <f t="shared" si="62"/>
        <v>2.0583330000000002</v>
      </c>
      <c r="J249" s="15">
        <f t="shared" si="63"/>
        <v>4423.4139059999998</v>
      </c>
      <c r="K249" s="15">
        <f t="shared" si="64"/>
        <v>3.443413906</v>
      </c>
      <c r="L249" s="15">
        <f t="shared" si="65"/>
        <v>1679.479546</v>
      </c>
      <c r="M249" s="15">
        <v>1674.71</v>
      </c>
      <c r="N249" s="14">
        <f t="shared" si="66"/>
        <v>1.6794795459999998</v>
      </c>
      <c r="O249" s="14">
        <f t="shared" si="67"/>
        <v>1.6663699999999999</v>
      </c>
      <c r="P249" s="14">
        <f t="shared" si="68"/>
        <v>1.3109545999999916E-2</v>
      </c>
      <c r="Q249" s="18">
        <f t="shared" si="69"/>
        <v>7.8671279487748328E-3</v>
      </c>
      <c r="R249" s="15">
        <f t="shared" ca="1" si="70"/>
        <v>6.1252294985422742</v>
      </c>
      <c r="S249" s="15">
        <f t="shared" si="71"/>
        <v>6.1458592473118276</v>
      </c>
      <c r="T249" s="15">
        <f t="shared" ca="1" si="72"/>
        <v>2.062974876955348E-2</v>
      </c>
      <c r="U249" s="18">
        <f t="shared" ca="1" si="73"/>
        <v>3.3566907310115901E-3</v>
      </c>
      <c r="V249" s="15">
        <f t="shared" si="74"/>
        <v>2.0583333333333336</v>
      </c>
      <c r="W249" s="15">
        <f t="shared" ca="1" si="75"/>
        <v>1.8747705014577258</v>
      </c>
      <c r="X249" s="15">
        <f t="shared" ca="1" si="76"/>
        <v>0.18356283187560773</v>
      </c>
      <c r="Y249" s="35">
        <f t="shared" ca="1" si="77"/>
        <v>8.9180323178432899E-2</v>
      </c>
      <c r="Z249" s="36">
        <f t="shared" ca="1" si="78"/>
        <v>42.497245999999997</v>
      </c>
      <c r="AA249" s="18">
        <f t="shared" ca="1" si="79"/>
        <v>4.9278612975391628E-2</v>
      </c>
      <c r="AB249" s="2"/>
    </row>
    <row r="250" spans="6:28" x14ac:dyDescent="0.25">
      <c r="F250" s="14">
        <v>248</v>
      </c>
      <c r="G250" s="14">
        <f t="shared" si="60"/>
        <v>44.8</v>
      </c>
      <c r="H250" s="14">
        <f t="shared" si="61"/>
        <v>317.95</v>
      </c>
      <c r="I250" s="15">
        <f t="shared" si="62"/>
        <v>2.0666669999999998</v>
      </c>
      <c r="J250" s="15">
        <f t="shared" si="63"/>
        <v>4406.1345170000004</v>
      </c>
      <c r="K250" s="15">
        <f t="shared" si="64"/>
        <v>3.4261345170000004</v>
      </c>
      <c r="L250" s="15">
        <f t="shared" si="65"/>
        <v>1677.004997</v>
      </c>
      <c r="M250" s="15">
        <v>1671.92</v>
      </c>
      <c r="N250" s="14">
        <f t="shared" si="66"/>
        <v>1.6770049970000003</v>
      </c>
      <c r="O250" s="14">
        <f t="shared" si="67"/>
        <v>1.66408</v>
      </c>
      <c r="P250" s="14">
        <f t="shared" si="68"/>
        <v>1.2924997000000271E-2</v>
      </c>
      <c r="Q250" s="18">
        <f t="shared" si="69"/>
        <v>7.7670526657373871E-3</v>
      </c>
      <c r="R250" s="15">
        <f t="shared" ca="1" si="70"/>
        <v>6.117370364431487</v>
      </c>
      <c r="S250" s="15">
        <f t="shared" si="71"/>
        <v>6.1374133333333329</v>
      </c>
      <c r="T250" s="15">
        <f t="shared" ca="1" si="72"/>
        <v>2.0042968901845981E-2</v>
      </c>
      <c r="U250" s="18">
        <f t="shared" ca="1" si="73"/>
        <v>3.2657029620262361E-3</v>
      </c>
      <c r="V250" s="15">
        <f t="shared" si="74"/>
        <v>2.0666666666666664</v>
      </c>
      <c r="W250" s="15">
        <f t="shared" ca="1" si="75"/>
        <v>1.882629635568513</v>
      </c>
      <c r="X250" s="15">
        <f t="shared" ca="1" si="76"/>
        <v>0.18403703109815339</v>
      </c>
      <c r="Y250" s="35">
        <f t="shared" ca="1" si="77"/>
        <v>8.9050176337816173E-2</v>
      </c>
      <c r="Z250" s="36">
        <f t="shared" ca="1" si="78"/>
        <v>42.591555999999997</v>
      </c>
      <c r="AA250" s="18">
        <f t="shared" ca="1" si="79"/>
        <v>4.9295625000000003E-2</v>
      </c>
      <c r="AB250" s="2"/>
    </row>
    <row r="251" spans="6:28" x14ac:dyDescent="0.25">
      <c r="F251" s="14">
        <v>249</v>
      </c>
      <c r="G251" s="14">
        <f t="shared" si="60"/>
        <v>44.900000000000006</v>
      </c>
      <c r="H251" s="14">
        <f t="shared" si="61"/>
        <v>318.04999999999995</v>
      </c>
      <c r="I251" s="15">
        <f t="shared" si="62"/>
        <v>2.0750000000000002</v>
      </c>
      <c r="J251" s="15">
        <f t="shared" si="63"/>
        <v>4388.9321360000004</v>
      </c>
      <c r="K251" s="15">
        <f t="shared" si="64"/>
        <v>3.4089321360000007</v>
      </c>
      <c r="L251" s="15">
        <f t="shared" si="65"/>
        <v>1674.5295269999999</v>
      </c>
      <c r="M251" s="15">
        <v>1669.51</v>
      </c>
      <c r="N251" s="14">
        <f t="shared" si="66"/>
        <v>1.674529527</v>
      </c>
      <c r="O251" s="14">
        <f t="shared" si="67"/>
        <v>1.6617899999999999</v>
      </c>
      <c r="P251" s="14">
        <f t="shared" si="68"/>
        <v>1.2739527000000139E-2</v>
      </c>
      <c r="Q251" s="18">
        <f t="shared" si="69"/>
        <v>7.6661473471378097E-3</v>
      </c>
      <c r="R251" s="15">
        <f t="shared" ca="1" si="70"/>
        <v>6.1075598629737611</v>
      </c>
      <c r="S251" s="15">
        <f t="shared" si="71"/>
        <v>6.1289674193548382</v>
      </c>
      <c r="T251" s="15">
        <f t="shared" ca="1" si="72"/>
        <v>2.1407556381077164E-2</v>
      </c>
      <c r="U251" s="18">
        <f t="shared" ca="1" si="73"/>
        <v>3.4928487812602234E-3</v>
      </c>
      <c r="V251" s="15">
        <f t="shared" si="74"/>
        <v>2.0750000000000002</v>
      </c>
      <c r="W251" s="15">
        <f t="shared" ca="1" si="75"/>
        <v>1.8924401370262389</v>
      </c>
      <c r="X251" s="15">
        <f t="shared" ca="1" si="76"/>
        <v>0.18255986297376126</v>
      </c>
      <c r="Y251" s="35">
        <f t="shared" ca="1" si="77"/>
        <v>8.7980656854824688E-2</v>
      </c>
      <c r="Z251" s="36">
        <f t="shared" ca="1" si="78"/>
        <v>42.709282000000002</v>
      </c>
      <c r="AA251" s="18">
        <f t="shared" ca="1" si="79"/>
        <v>4.8791046770601421E-2</v>
      </c>
      <c r="AB251" s="2"/>
    </row>
    <row r="252" spans="6:28" x14ac:dyDescent="0.25">
      <c r="F252" s="14">
        <v>250</v>
      </c>
      <c r="G252" s="14">
        <f t="shared" si="60"/>
        <v>45</v>
      </c>
      <c r="H252" s="14">
        <f t="shared" si="61"/>
        <v>318.14999999999998</v>
      </c>
      <c r="I252" s="15">
        <f t="shared" si="62"/>
        <v>2.0833330000000001</v>
      </c>
      <c r="J252" s="15">
        <f t="shared" si="63"/>
        <v>4371.8063819999998</v>
      </c>
      <c r="K252" s="15">
        <f t="shared" si="64"/>
        <v>3.3918063819999995</v>
      </c>
      <c r="L252" s="15">
        <f t="shared" si="65"/>
        <v>1672.0531539999999</v>
      </c>
      <c r="M252" s="15">
        <v>1667.1</v>
      </c>
      <c r="N252" s="14">
        <f t="shared" si="66"/>
        <v>1.6720531540000001</v>
      </c>
      <c r="O252" s="14">
        <f t="shared" si="67"/>
        <v>1.6595</v>
      </c>
      <c r="P252" s="14">
        <f t="shared" si="68"/>
        <v>1.2553154000000122E-2</v>
      </c>
      <c r="Q252" s="18">
        <f t="shared" si="69"/>
        <v>7.564419403434843E-3</v>
      </c>
      <c r="R252" s="15">
        <f t="shared" ca="1" si="70"/>
        <v>6.099704501457726</v>
      </c>
      <c r="S252" s="15">
        <f t="shared" si="71"/>
        <v>6.1205215053763435</v>
      </c>
      <c r="T252" s="15">
        <f t="shared" ca="1" si="72"/>
        <v>2.0817003918617516E-2</v>
      </c>
      <c r="U252" s="18">
        <f t="shared" ca="1" si="73"/>
        <v>3.4011814026519791E-3</v>
      </c>
      <c r="V252" s="15">
        <f t="shared" si="74"/>
        <v>2.083333333333333</v>
      </c>
      <c r="W252" s="15">
        <f t="shared" ca="1" si="75"/>
        <v>1.900295498542274</v>
      </c>
      <c r="X252" s="15">
        <f t="shared" ca="1" si="76"/>
        <v>0.18303783479105906</v>
      </c>
      <c r="Y252" s="35">
        <f t="shared" ca="1" si="77"/>
        <v>8.7858160699708365E-2</v>
      </c>
      <c r="Z252" s="36">
        <f t="shared" ca="1" si="78"/>
        <v>42.803545999999997</v>
      </c>
      <c r="AA252" s="18">
        <f t="shared" ca="1" si="79"/>
        <v>4.881008888888895E-2</v>
      </c>
      <c r="AB252" s="2"/>
    </row>
    <row r="253" spans="6:28" x14ac:dyDescent="0.25">
      <c r="F253" s="14">
        <v>251</v>
      </c>
      <c r="G253" s="14">
        <f t="shared" si="60"/>
        <v>45.1</v>
      </c>
      <c r="H253" s="14">
        <f t="shared" si="61"/>
        <v>318.25</v>
      </c>
      <c r="I253" s="15">
        <f t="shared" si="62"/>
        <v>2.0916670000000002</v>
      </c>
      <c r="J253" s="15">
        <f t="shared" si="63"/>
        <v>4354.7568730000003</v>
      </c>
      <c r="K253" s="15">
        <f t="shared" si="64"/>
        <v>3.3747568729999999</v>
      </c>
      <c r="L253" s="15">
        <f t="shared" si="65"/>
        <v>1669.5758980000001</v>
      </c>
      <c r="M253" s="15">
        <v>1664.29</v>
      </c>
      <c r="N253" s="14">
        <f t="shared" si="66"/>
        <v>1.6695758980000002</v>
      </c>
      <c r="O253" s="14">
        <f t="shared" si="67"/>
        <v>1.6572099999999998</v>
      </c>
      <c r="P253" s="14">
        <f t="shared" si="68"/>
        <v>1.2365898000000319E-2</v>
      </c>
      <c r="Q253" s="18">
        <f t="shared" si="69"/>
        <v>7.4618774928948781E-3</v>
      </c>
      <c r="R253" s="15">
        <f t="shared" ca="1" si="70"/>
        <v>6.0902831370262387</v>
      </c>
      <c r="S253" s="15">
        <f t="shared" si="71"/>
        <v>6.1120755913978488</v>
      </c>
      <c r="T253" s="15">
        <f t="shared" ca="1" si="72"/>
        <v>2.1792454371610148E-2</v>
      </c>
      <c r="U253" s="18">
        <f t="shared" ca="1" si="73"/>
        <v>3.5654752703452989E-3</v>
      </c>
      <c r="V253" s="15">
        <f t="shared" si="74"/>
        <v>2.0916666666666668</v>
      </c>
      <c r="W253" s="15">
        <f t="shared" ca="1" si="75"/>
        <v>1.9097168629737613</v>
      </c>
      <c r="X253" s="15">
        <f t="shared" ca="1" si="76"/>
        <v>0.18194980369290548</v>
      </c>
      <c r="Y253" s="35">
        <f t="shared" ca="1" si="77"/>
        <v>8.6987953956767547E-2</v>
      </c>
      <c r="Z253" s="36">
        <f t="shared" ca="1" si="78"/>
        <v>42.916601999999997</v>
      </c>
      <c r="AA253" s="18">
        <f t="shared" ca="1" si="79"/>
        <v>4.8412372505543325E-2</v>
      </c>
      <c r="AB253" s="2"/>
    </row>
    <row r="254" spans="6:28" x14ac:dyDescent="0.25">
      <c r="F254" s="14">
        <v>252</v>
      </c>
      <c r="G254" s="14">
        <f t="shared" si="60"/>
        <v>45.2</v>
      </c>
      <c r="H254" s="14">
        <f t="shared" si="61"/>
        <v>318.34999999999997</v>
      </c>
      <c r="I254" s="15">
        <f t="shared" si="62"/>
        <v>2.1</v>
      </c>
      <c r="J254" s="15">
        <f t="shared" si="63"/>
        <v>4337.7832319999998</v>
      </c>
      <c r="K254" s="15">
        <f t="shared" si="64"/>
        <v>3.3577832320000001</v>
      </c>
      <c r="L254" s="15">
        <f t="shared" si="65"/>
        <v>1667.0977760000001</v>
      </c>
      <c r="M254" s="15">
        <v>1662.27</v>
      </c>
      <c r="N254" s="14">
        <f t="shared" si="66"/>
        <v>1.6670977760000001</v>
      </c>
      <c r="O254" s="14">
        <f t="shared" si="67"/>
        <v>1.6549199999999999</v>
      </c>
      <c r="P254" s="14">
        <f t="shared" si="68"/>
        <v>1.217777600000014E-2</v>
      </c>
      <c r="Q254" s="18">
        <f t="shared" si="69"/>
        <v>7.3585285089310306E-3</v>
      </c>
      <c r="R254" s="15">
        <f t="shared" ca="1" si="70"/>
        <v>6.0808372274052482</v>
      </c>
      <c r="S254" s="15">
        <f t="shared" si="71"/>
        <v>6.1036296774193541</v>
      </c>
      <c r="T254" s="15">
        <f t="shared" ca="1" si="72"/>
        <v>2.2792450014105903E-2</v>
      </c>
      <c r="U254" s="18">
        <f t="shared" ca="1" si="73"/>
        <v>3.7342452309037642E-3</v>
      </c>
      <c r="V254" s="15">
        <f t="shared" si="74"/>
        <v>2.1000000000000005</v>
      </c>
      <c r="W254" s="15">
        <f t="shared" ca="1" si="75"/>
        <v>1.9191627725947518</v>
      </c>
      <c r="X254" s="15">
        <f t="shared" ca="1" si="76"/>
        <v>0.18083722740524877</v>
      </c>
      <c r="Y254" s="35">
        <f t="shared" ca="1" si="77"/>
        <v>8.6112965431070818E-2</v>
      </c>
      <c r="Z254" s="36">
        <f t="shared" ca="1" si="78"/>
        <v>43.029952999999999</v>
      </c>
      <c r="AA254" s="18">
        <f t="shared" ca="1" si="79"/>
        <v>4.8009889380531058E-2</v>
      </c>
      <c r="AB254" s="2"/>
    </row>
    <row r="255" spans="6:28" x14ac:dyDescent="0.25">
      <c r="F255" s="14">
        <v>253</v>
      </c>
      <c r="G255" s="14">
        <f t="shared" si="60"/>
        <v>45.3</v>
      </c>
      <c r="H255" s="14">
        <f t="shared" si="61"/>
        <v>318.45</v>
      </c>
      <c r="I255" s="15">
        <f t="shared" si="62"/>
        <v>2.108333</v>
      </c>
      <c r="J255" s="15">
        <f t="shared" si="63"/>
        <v>4320.8850810000004</v>
      </c>
      <c r="K255" s="15">
        <f t="shared" si="64"/>
        <v>3.3408850810000006</v>
      </c>
      <c r="L255" s="15">
        <f t="shared" si="65"/>
        <v>1664.6188059999999</v>
      </c>
      <c r="M255" s="15">
        <v>1659.44</v>
      </c>
      <c r="N255" s="14">
        <f t="shared" si="66"/>
        <v>1.664618806</v>
      </c>
      <c r="O255" s="14">
        <f t="shared" si="67"/>
        <v>1.65263</v>
      </c>
      <c r="P255" s="14">
        <f t="shared" si="68"/>
        <v>1.1988805999999963E-2</v>
      </c>
      <c r="Q255" s="18">
        <f t="shared" si="69"/>
        <v>7.2543799882611127E-3</v>
      </c>
      <c r="R255" s="15">
        <f t="shared" ca="1" si="70"/>
        <v>6.071409862973761</v>
      </c>
      <c r="S255" s="15">
        <f t="shared" si="71"/>
        <v>6.0951837634408603</v>
      </c>
      <c r="T255" s="15">
        <f t="shared" ca="1" si="72"/>
        <v>2.3773900467099374E-2</v>
      </c>
      <c r="U255" s="18">
        <f t="shared" ca="1" si="73"/>
        <v>3.900440313169246E-3</v>
      </c>
      <c r="V255" s="15">
        <f t="shared" si="74"/>
        <v>2.1083333333333325</v>
      </c>
      <c r="W255" s="15">
        <f t="shared" ca="1" si="75"/>
        <v>1.928590137026239</v>
      </c>
      <c r="X255" s="15">
        <f t="shared" ca="1" si="76"/>
        <v>0.17974319630709346</v>
      </c>
      <c r="Y255" s="35">
        <f t="shared" ca="1" si="77"/>
        <v>8.5253689948028552E-2</v>
      </c>
      <c r="Z255" s="36">
        <f t="shared" ca="1" si="78"/>
        <v>43.143082</v>
      </c>
      <c r="AA255" s="18">
        <f t="shared" ca="1" si="79"/>
        <v>4.7614083885209657E-2</v>
      </c>
      <c r="AB255" s="2"/>
    </row>
    <row r="256" spans="6:28" x14ac:dyDescent="0.25">
      <c r="F256" s="14">
        <v>254</v>
      </c>
      <c r="G256" s="14">
        <f t="shared" si="60"/>
        <v>45.400000000000006</v>
      </c>
      <c r="H256" s="14">
        <f t="shared" si="61"/>
        <v>318.54999999999995</v>
      </c>
      <c r="I256" s="15">
        <f t="shared" si="62"/>
        <v>2.1166670000000001</v>
      </c>
      <c r="J256" s="15">
        <f t="shared" si="63"/>
        <v>4304.0620470000003</v>
      </c>
      <c r="K256" s="15">
        <f t="shared" si="64"/>
        <v>3.3240620470000009</v>
      </c>
      <c r="L256" s="15">
        <f t="shared" si="65"/>
        <v>1662.139009</v>
      </c>
      <c r="M256" s="15">
        <v>1657.01</v>
      </c>
      <c r="N256" s="14">
        <f t="shared" si="66"/>
        <v>1.6621390090000001</v>
      </c>
      <c r="O256" s="14">
        <f t="shared" si="67"/>
        <v>1.6503399999999997</v>
      </c>
      <c r="P256" s="14">
        <f t="shared" si="68"/>
        <v>1.1799009000000416E-2</v>
      </c>
      <c r="Q256" s="18">
        <f t="shared" si="69"/>
        <v>7.1494413272419127E-3</v>
      </c>
      <c r="R256" s="15">
        <f t="shared" ca="1" si="70"/>
        <v>6.0619794985422741</v>
      </c>
      <c r="S256" s="15">
        <f t="shared" si="71"/>
        <v>6.0867378494623638</v>
      </c>
      <c r="T256" s="15">
        <f t="shared" ca="1" si="72"/>
        <v>2.4758350920089711E-2</v>
      </c>
      <c r="U256" s="18">
        <f t="shared" ca="1" si="73"/>
        <v>4.0675894925023912E-3</v>
      </c>
      <c r="V256" s="15">
        <f t="shared" si="74"/>
        <v>2.116666666666668</v>
      </c>
      <c r="W256" s="15">
        <f t="shared" ca="1" si="75"/>
        <v>1.9380205014577259</v>
      </c>
      <c r="X256" s="15">
        <f t="shared" ca="1" si="76"/>
        <v>0.17864616520894216</v>
      </c>
      <c r="Y256" s="35">
        <f t="shared" ca="1" si="77"/>
        <v>8.439976309083877E-2</v>
      </c>
      <c r="Z256" s="36">
        <f t="shared" ca="1" si="78"/>
        <v>43.256245999999997</v>
      </c>
      <c r="AA256" s="18">
        <f t="shared" ca="1" si="79"/>
        <v>4.7219251101321767E-2</v>
      </c>
      <c r="AB256" s="2"/>
    </row>
    <row r="257" spans="6:28" x14ac:dyDescent="0.25">
      <c r="F257" s="14">
        <v>255</v>
      </c>
      <c r="G257" s="14">
        <f t="shared" si="60"/>
        <v>45.5</v>
      </c>
      <c r="H257" s="14">
        <f t="shared" si="61"/>
        <v>318.64999999999998</v>
      </c>
      <c r="I257" s="15">
        <f t="shared" si="62"/>
        <v>2.125</v>
      </c>
      <c r="J257" s="15">
        <f t="shared" si="63"/>
        <v>4287.3137559999996</v>
      </c>
      <c r="K257" s="15">
        <f t="shared" si="64"/>
        <v>3.3073137559999992</v>
      </c>
      <c r="L257" s="15">
        <f t="shared" si="65"/>
        <v>1659.6584009999999</v>
      </c>
      <c r="M257" s="15">
        <v>1654.57</v>
      </c>
      <c r="N257" s="14">
        <f t="shared" si="66"/>
        <v>1.6596584009999999</v>
      </c>
      <c r="O257" s="14">
        <f t="shared" si="67"/>
        <v>1.64805</v>
      </c>
      <c r="P257" s="14">
        <f t="shared" si="68"/>
        <v>1.1608400999999935E-2</v>
      </c>
      <c r="Q257" s="18">
        <f t="shared" si="69"/>
        <v>7.0437189405660842E-3</v>
      </c>
      <c r="R257" s="15">
        <f t="shared" ca="1" si="70"/>
        <v>6.0540973644314873</v>
      </c>
      <c r="S257" s="15">
        <f t="shared" si="71"/>
        <v>6.0782919354838709</v>
      </c>
      <c r="T257" s="15">
        <f t="shared" ca="1" si="72"/>
        <v>2.4194571052383651E-2</v>
      </c>
      <c r="U257" s="18">
        <f t="shared" ca="1" si="73"/>
        <v>3.980488484131621E-3</v>
      </c>
      <c r="V257" s="15">
        <f t="shared" si="74"/>
        <v>2.125</v>
      </c>
      <c r="W257" s="15">
        <f t="shared" ca="1" si="75"/>
        <v>1.9459026355685127</v>
      </c>
      <c r="X257" s="15">
        <f t="shared" ca="1" si="76"/>
        <v>0.17909736443148727</v>
      </c>
      <c r="Y257" s="35">
        <f t="shared" ca="1" si="77"/>
        <v>8.4281112673641065E-2</v>
      </c>
      <c r="Z257" s="36">
        <f t="shared" ca="1" si="78"/>
        <v>43.350831999999997</v>
      </c>
      <c r="AA257" s="18">
        <f t="shared" ca="1" si="79"/>
        <v>4.7234461538461607E-2</v>
      </c>
      <c r="AB257" s="2"/>
    </row>
    <row r="258" spans="6:28" x14ac:dyDescent="0.25">
      <c r="F258" s="14">
        <v>256</v>
      </c>
      <c r="G258" s="14">
        <f t="shared" si="60"/>
        <v>45.6</v>
      </c>
      <c r="H258" s="14">
        <f t="shared" si="61"/>
        <v>318.75</v>
      </c>
      <c r="I258" s="15">
        <f t="shared" si="62"/>
        <v>2.1333329999999999</v>
      </c>
      <c r="J258" s="15">
        <f t="shared" si="63"/>
        <v>4270.6398390000004</v>
      </c>
      <c r="K258" s="15">
        <f t="shared" si="64"/>
        <v>3.2906398390000007</v>
      </c>
      <c r="L258" s="15">
        <f t="shared" si="65"/>
        <v>1657.177001</v>
      </c>
      <c r="M258" s="15">
        <v>1651.93</v>
      </c>
      <c r="N258" s="14">
        <f t="shared" si="66"/>
        <v>1.657177001</v>
      </c>
      <c r="O258" s="14">
        <f t="shared" si="67"/>
        <v>1.6457599999999999</v>
      </c>
      <c r="P258" s="14">
        <f t="shared" si="68"/>
        <v>1.1417001000000093E-2</v>
      </c>
      <c r="Q258" s="18">
        <f t="shared" si="69"/>
        <v>6.9372211014972381E-3</v>
      </c>
      <c r="R258" s="15">
        <f t="shared" ca="1" si="70"/>
        <v>6.0450463644314869</v>
      </c>
      <c r="S258" s="15">
        <f t="shared" si="71"/>
        <v>6.0698460215053753</v>
      </c>
      <c r="T258" s="15">
        <f t="shared" ca="1" si="72"/>
        <v>2.4799657073888426E-2</v>
      </c>
      <c r="U258" s="18">
        <f t="shared" ca="1" si="73"/>
        <v>4.0857143634325495E-3</v>
      </c>
      <c r="V258" s="15">
        <f t="shared" si="74"/>
        <v>2.1333333333333337</v>
      </c>
      <c r="W258" s="15">
        <f t="shared" ca="1" si="75"/>
        <v>1.9549536355685131</v>
      </c>
      <c r="X258" s="15">
        <f t="shared" ca="1" si="76"/>
        <v>0.17837969776482065</v>
      </c>
      <c r="Y258" s="35">
        <f t="shared" ca="1" si="77"/>
        <v>8.3615483327259668E-2</v>
      </c>
      <c r="Z258" s="36">
        <f t="shared" ca="1" si="78"/>
        <v>43.459443999999998</v>
      </c>
      <c r="AA258" s="18">
        <f t="shared" ca="1" si="79"/>
        <v>4.6942017543859731E-2</v>
      </c>
      <c r="AB258" s="2"/>
    </row>
    <row r="259" spans="6:28" x14ac:dyDescent="0.25">
      <c r="F259" s="14">
        <v>257</v>
      </c>
      <c r="G259" s="14">
        <f t="shared" ref="G259:G322" si="80">F259*0.1+20</f>
        <v>45.7</v>
      </c>
      <c r="H259" s="14">
        <f t="shared" ref="H259:H322" si="81">G259+273.15</f>
        <v>318.84999999999997</v>
      </c>
      <c r="I259" s="15">
        <f t="shared" ref="I259:I322" si="82">ROUND(1/12*G259-5/3,6)</f>
        <v>2.141667</v>
      </c>
      <c r="J259" s="15">
        <f t="shared" ref="J259:J322" si="83">ROUND(10000*EXP(($B$3)+($B$4/H259)+($B$5/(H259^2))+($B$6/(H259^3))),6)</f>
        <v>4254.0399280000001</v>
      </c>
      <c r="K259" s="15">
        <f t="shared" ref="K259:K322" si="84">$B$9*(2*$B$8+J259)-$B$9*$B$10</f>
        <v>3.2740399280000005</v>
      </c>
      <c r="L259" s="15">
        <f t="shared" ref="L259:L322" si="85">ROUND(1/(1/(J259+2*$B$8)+1/($B$7)),6)</f>
        <v>1654.694829</v>
      </c>
      <c r="M259" s="15">
        <v>1649.67</v>
      </c>
      <c r="N259" s="14">
        <f t="shared" ref="N259:N322" si="86">$B$9*(L259+$B$10)*(L259/(L259+$B$10))</f>
        <v>1.6546948289999999</v>
      </c>
      <c r="O259" s="14">
        <f t="shared" ref="O259:O322" si="87">$B$11*G259+$B$12</f>
        <v>1.6434699999999998</v>
      </c>
      <c r="P259" s="14">
        <f t="shared" ref="P259:P322" si="88">ABS(N259-O259)</f>
        <v>1.1224829000000103E-2</v>
      </c>
      <c r="Q259" s="18">
        <f t="shared" ref="Q259:Q322" si="89">ABS(O259-N259)/O259</f>
        <v>6.8299567378778464E-3</v>
      </c>
      <c r="R259" s="15">
        <f t="shared" ref="R259:R322" ca="1" si="90">ROUND(N259*$B$29,6)+RANDBETWEEN(-1,1)*$B$24+RANDBETWEEN(-1,1)*$B$25</f>
        <v>6.0352216355685124</v>
      </c>
      <c r="S259" s="15">
        <f t="shared" ref="S259:S322" si="91">O259*$B$23</f>
        <v>6.0614001075268806</v>
      </c>
      <c r="T259" s="15">
        <f t="shared" ref="T259:T322" ca="1" si="92">ABS(R259-S259)</f>
        <v>2.6178471958368199E-2</v>
      </c>
      <c r="U259" s="18">
        <f t="shared" ref="U259:U322" ca="1" si="93">ABS(S259-R259)/S259</f>
        <v>4.3188820229604196E-3</v>
      </c>
      <c r="V259" s="15">
        <f t="shared" ref="V259:V322" si="94">$B$44*S259+$B$45</f>
        <v>2.1416666666666675</v>
      </c>
      <c r="W259" s="15">
        <f t="shared" ref="W259:W322" ca="1" si="95">$B$46*R259+$B$47</f>
        <v>1.9647783644314876</v>
      </c>
      <c r="X259" s="15">
        <f t="shared" ref="X259:X322" ca="1" si="96">ABS(V259-W259)</f>
        <v>0.17688830223517993</v>
      </c>
      <c r="Y259" s="35">
        <f t="shared" ref="Y259:Y322" ca="1" si="97">IF(V259 = 0, ABS(V259-W259)/(V259+0.0001), ABS(V259-W259)/V259)</f>
        <v>8.2593759798527566E-2</v>
      </c>
      <c r="Z259" s="36">
        <f t="shared" ref="Z259:Z322" ca="1" si="98">ROUND((W259+5/3)/(1/12),6)</f>
        <v>43.57734</v>
      </c>
      <c r="AA259" s="18">
        <f t="shared" ref="AA259:AA322" ca="1" si="99">ABS(G259-Z259)/G259</f>
        <v>4.6447702407002259E-2</v>
      </c>
      <c r="AB259" s="2"/>
    </row>
    <row r="260" spans="6:28" x14ac:dyDescent="0.25">
      <c r="F260" s="14">
        <v>258</v>
      </c>
      <c r="G260" s="14">
        <f t="shared" si="80"/>
        <v>45.8</v>
      </c>
      <c r="H260" s="14">
        <f t="shared" si="81"/>
        <v>318.95</v>
      </c>
      <c r="I260" s="15">
        <f t="shared" si="82"/>
        <v>2.15</v>
      </c>
      <c r="J260" s="15">
        <f t="shared" si="83"/>
        <v>4237.5136549999997</v>
      </c>
      <c r="K260" s="15">
        <f t="shared" si="84"/>
        <v>3.2575136549999995</v>
      </c>
      <c r="L260" s="15">
        <f t="shared" si="85"/>
        <v>1652.211902</v>
      </c>
      <c r="M260" s="15">
        <v>1646.83</v>
      </c>
      <c r="N260" s="14">
        <f t="shared" si="86"/>
        <v>1.6522119019999999</v>
      </c>
      <c r="O260" s="14">
        <f t="shared" si="87"/>
        <v>1.6411800000000001</v>
      </c>
      <c r="P260" s="14">
        <f t="shared" si="88"/>
        <v>1.1031901999999816E-2</v>
      </c>
      <c r="Q260" s="18">
        <f t="shared" si="89"/>
        <v>6.7219329994271286E-3</v>
      </c>
      <c r="R260" s="15">
        <f t="shared" ca="1" si="90"/>
        <v>6.0265402274052491</v>
      </c>
      <c r="S260" s="15">
        <f t="shared" si="91"/>
        <v>6.0529541935483868</v>
      </c>
      <c r="T260" s="15">
        <f t="shared" ca="1" si="92"/>
        <v>2.6413966143137735E-2</v>
      </c>
      <c r="U260" s="18">
        <f t="shared" ca="1" si="93"/>
        <v>4.3638139821529417E-3</v>
      </c>
      <c r="V260" s="15">
        <f t="shared" si="94"/>
        <v>2.1499999999999995</v>
      </c>
      <c r="W260" s="15">
        <f t="shared" ca="1" si="95"/>
        <v>1.9734597725947509</v>
      </c>
      <c r="X260" s="15">
        <f t="shared" ca="1" si="96"/>
        <v>0.17654022740524855</v>
      </c>
      <c r="Y260" s="35">
        <f t="shared" ca="1" si="97"/>
        <v>8.2111733676859811E-2</v>
      </c>
      <c r="Z260" s="36">
        <f t="shared" ca="1" si="98"/>
        <v>43.681516999999999</v>
      </c>
      <c r="AA260" s="18">
        <f t="shared" ca="1" si="99"/>
        <v>4.6255087336244491E-2</v>
      </c>
      <c r="AB260" s="2"/>
    </row>
    <row r="261" spans="6:28" x14ac:dyDescent="0.25">
      <c r="F261" s="14">
        <v>259</v>
      </c>
      <c r="G261" s="14">
        <f t="shared" si="80"/>
        <v>45.900000000000006</v>
      </c>
      <c r="H261" s="14">
        <f t="shared" si="81"/>
        <v>319.04999999999995</v>
      </c>
      <c r="I261" s="15">
        <f t="shared" si="82"/>
        <v>2.1583329999999998</v>
      </c>
      <c r="J261" s="15">
        <f t="shared" si="83"/>
        <v>4221.060657</v>
      </c>
      <c r="K261" s="15">
        <f t="shared" si="84"/>
        <v>3.2410606570000002</v>
      </c>
      <c r="L261" s="15">
        <f t="shared" si="85"/>
        <v>1649.728239</v>
      </c>
      <c r="M261" s="15">
        <v>1644.36</v>
      </c>
      <c r="N261" s="14">
        <f t="shared" si="86"/>
        <v>1.6497282390000001</v>
      </c>
      <c r="O261" s="14">
        <f t="shared" si="87"/>
        <v>1.6388899999999997</v>
      </c>
      <c r="P261" s="14">
        <f t="shared" si="88"/>
        <v>1.083823900000036E-2</v>
      </c>
      <c r="Q261" s="18">
        <f t="shared" si="89"/>
        <v>6.6131582961640881E-3</v>
      </c>
      <c r="R261" s="15">
        <f t="shared" ca="1" si="90"/>
        <v>6.0170948629737611</v>
      </c>
      <c r="S261" s="15">
        <f t="shared" si="91"/>
        <v>6.0445082795698912</v>
      </c>
      <c r="T261" s="15">
        <f t="shared" ca="1" si="92"/>
        <v>2.7413416596130169E-2</v>
      </c>
      <c r="U261" s="18">
        <f t="shared" ca="1" si="93"/>
        <v>4.5352599960506342E-3</v>
      </c>
      <c r="V261" s="15">
        <f t="shared" si="94"/>
        <v>2.1583333333333341</v>
      </c>
      <c r="W261" s="15">
        <f t="shared" ca="1" si="95"/>
        <v>1.9829051370262389</v>
      </c>
      <c r="X261" s="15">
        <f t="shared" ca="1" si="96"/>
        <v>0.17542819630709516</v>
      </c>
      <c r="Y261" s="35">
        <f t="shared" ca="1" si="97"/>
        <v>8.1279473192476498E-2</v>
      </c>
      <c r="Z261" s="36">
        <f t="shared" ca="1" si="98"/>
        <v>43.794862000000002</v>
      </c>
      <c r="AA261" s="18">
        <f t="shared" ca="1" si="99"/>
        <v>4.586357298474953E-2</v>
      </c>
      <c r="AB261" s="2"/>
    </row>
    <row r="262" spans="6:28" x14ac:dyDescent="0.25">
      <c r="F262" s="14">
        <v>260</v>
      </c>
      <c r="G262" s="14">
        <f t="shared" si="80"/>
        <v>46</v>
      </c>
      <c r="H262" s="14">
        <f t="shared" si="81"/>
        <v>319.14999999999998</v>
      </c>
      <c r="I262" s="15">
        <f t="shared" si="82"/>
        <v>2.1666669999999999</v>
      </c>
      <c r="J262" s="15">
        <f t="shared" si="83"/>
        <v>4204.6805709999999</v>
      </c>
      <c r="K262" s="15">
        <f t="shared" si="84"/>
        <v>3.2246805710000004</v>
      </c>
      <c r="L262" s="15">
        <f t="shared" si="85"/>
        <v>1647.243858</v>
      </c>
      <c r="M262" s="15">
        <v>1641.9</v>
      </c>
      <c r="N262" s="14">
        <f t="shared" si="86"/>
        <v>1.6472438580000002</v>
      </c>
      <c r="O262" s="14">
        <f t="shared" si="87"/>
        <v>1.6365999999999998</v>
      </c>
      <c r="P262" s="14">
        <f t="shared" si="88"/>
        <v>1.0643858000000339E-2</v>
      </c>
      <c r="Q262" s="18">
        <f t="shared" si="89"/>
        <v>6.5036404741539416E-3</v>
      </c>
      <c r="R262" s="15">
        <f t="shared" ca="1" si="90"/>
        <v>6.0084397725947509</v>
      </c>
      <c r="S262" s="15">
        <f t="shared" si="91"/>
        <v>6.0360623655913965</v>
      </c>
      <c r="T262" s="15">
        <f t="shared" ca="1" si="92"/>
        <v>2.7622592996645601E-2</v>
      </c>
      <c r="U262" s="18">
        <f t="shared" ca="1" si="93"/>
        <v>4.5762603703547412E-3</v>
      </c>
      <c r="V262" s="15">
        <f t="shared" si="94"/>
        <v>2.1666666666666679</v>
      </c>
      <c r="W262" s="15">
        <f t="shared" ca="1" si="95"/>
        <v>1.9915602274052491</v>
      </c>
      <c r="X262" s="15">
        <f t="shared" ca="1" si="96"/>
        <v>0.17510643926141878</v>
      </c>
      <c r="Y262" s="35">
        <f t="shared" ca="1" si="97"/>
        <v>8.0818356582193232E-2</v>
      </c>
      <c r="Z262" s="36">
        <f t="shared" ca="1" si="98"/>
        <v>43.898722999999997</v>
      </c>
      <c r="AA262" s="18">
        <f t="shared" ca="1" si="99"/>
        <v>4.5679934782608768E-2</v>
      </c>
      <c r="AB262" s="2"/>
    </row>
    <row r="263" spans="6:28" x14ac:dyDescent="0.25">
      <c r="F263" s="14">
        <v>261</v>
      </c>
      <c r="G263" s="14">
        <f t="shared" si="80"/>
        <v>46.1</v>
      </c>
      <c r="H263" s="14">
        <f t="shared" si="81"/>
        <v>319.25</v>
      </c>
      <c r="I263" s="15">
        <f t="shared" si="82"/>
        <v>2.1749999999999998</v>
      </c>
      <c r="J263" s="15">
        <f t="shared" si="83"/>
        <v>4188.3730370000003</v>
      </c>
      <c r="K263" s="15">
        <f t="shared" si="84"/>
        <v>3.2083730370000003</v>
      </c>
      <c r="L263" s="15">
        <f t="shared" si="85"/>
        <v>1644.758779</v>
      </c>
      <c r="M263" s="15">
        <v>1639.23</v>
      </c>
      <c r="N263" s="14">
        <f t="shared" si="86"/>
        <v>1.644758779</v>
      </c>
      <c r="O263" s="14">
        <f t="shared" si="87"/>
        <v>1.6343099999999999</v>
      </c>
      <c r="P263" s="14">
        <f t="shared" si="88"/>
        <v>1.0448779000000075E-2</v>
      </c>
      <c r="Q263" s="18">
        <f t="shared" si="89"/>
        <v>6.3933886471967223E-3</v>
      </c>
      <c r="R263" s="15">
        <f t="shared" ca="1" si="90"/>
        <v>5.9997611370262387</v>
      </c>
      <c r="S263" s="15">
        <f t="shared" si="91"/>
        <v>6.0276164516129027</v>
      </c>
      <c r="T263" s="15">
        <f t="shared" ca="1" si="92"/>
        <v>2.7855314586664015E-2</v>
      </c>
      <c r="U263" s="18">
        <f t="shared" ca="1" si="93"/>
        <v>4.6212818632828468E-3</v>
      </c>
      <c r="V263" s="15">
        <f t="shared" si="94"/>
        <v>2.1749999999999998</v>
      </c>
      <c r="W263" s="15">
        <f t="shared" ca="1" si="95"/>
        <v>2.0002388629737613</v>
      </c>
      <c r="X263" s="15">
        <f t="shared" ca="1" si="96"/>
        <v>0.17476113702623852</v>
      </c>
      <c r="Y263" s="35">
        <f t="shared" ca="1" si="97"/>
        <v>8.0349948058040702E-2</v>
      </c>
      <c r="Z263" s="36">
        <f t="shared" ca="1" si="98"/>
        <v>44.002865999999997</v>
      </c>
      <c r="AA263" s="18">
        <f t="shared" ca="1" si="99"/>
        <v>4.5490976138828722E-2</v>
      </c>
      <c r="AB263" s="2"/>
    </row>
    <row r="264" spans="6:28" x14ac:dyDescent="0.25">
      <c r="F264" s="14">
        <v>262</v>
      </c>
      <c r="G264" s="14">
        <f t="shared" si="80"/>
        <v>46.2</v>
      </c>
      <c r="H264" s="14">
        <f t="shared" si="81"/>
        <v>319.34999999999997</v>
      </c>
      <c r="I264" s="15">
        <f t="shared" si="82"/>
        <v>2.1833330000000002</v>
      </c>
      <c r="J264" s="15">
        <f t="shared" si="83"/>
        <v>4172.1376970000001</v>
      </c>
      <c r="K264" s="15">
        <f t="shared" si="84"/>
        <v>3.1921376970000006</v>
      </c>
      <c r="L264" s="15">
        <f t="shared" si="85"/>
        <v>1642.273019</v>
      </c>
      <c r="M264" s="15">
        <v>1636.94</v>
      </c>
      <c r="N264" s="14">
        <f t="shared" si="86"/>
        <v>1.6422730190000001</v>
      </c>
      <c r="O264" s="14">
        <f t="shared" si="87"/>
        <v>1.6320199999999998</v>
      </c>
      <c r="P264" s="14">
        <f t="shared" si="88"/>
        <v>1.0253019000000307E-2</v>
      </c>
      <c r="Q264" s="18">
        <f t="shared" si="89"/>
        <v>6.2824101420327618E-3</v>
      </c>
      <c r="R264" s="15">
        <f t="shared" ca="1" si="90"/>
        <v>5.9899126355685128</v>
      </c>
      <c r="S264" s="15">
        <f t="shared" si="91"/>
        <v>6.019170537634408</v>
      </c>
      <c r="T264" s="15">
        <f t="shared" ca="1" si="92"/>
        <v>2.925790206589518E-2</v>
      </c>
      <c r="U264" s="18">
        <f t="shared" ca="1" si="93"/>
        <v>4.8607863629984167E-3</v>
      </c>
      <c r="V264" s="15">
        <f t="shared" si="94"/>
        <v>2.1833333333333336</v>
      </c>
      <c r="W264" s="15">
        <f t="shared" ca="1" si="95"/>
        <v>2.0100873644314872</v>
      </c>
      <c r="X264" s="15">
        <f t="shared" ca="1" si="96"/>
        <v>0.1732459689018464</v>
      </c>
      <c r="Y264" s="35">
        <f t="shared" ca="1" si="97"/>
        <v>7.9349298733670096E-2</v>
      </c>
      <c r="Z264" s="36">
        <f t="shared" ca="1" si="98"/>
        <v>44.121048000000002</v>
      </c>
      <c r="AA264" s="18">
        <f t="shared" ca="1" si="99"/>
        <v>4.4998961038961061E-2</v>
      </c>
      <c r="AB264" s="2"/>
    </row>
    <row r="265" spans="6:28" x14ac:dyDescent="0.25">
      <c r="F265" s="14">
        <v>263</v>
      </c>
      <c r="G265" s="14">
        <f t="shared" si="80"/>
        <v>46.3</v>
      </c>
      <c r="H265" s="14">
        <f t="shared" si="81"/>
        <v>319.45</v>
      </c>
      <c r="I265" s="15">
        <f t="shared" si="82"/>
        <v>2.1916669999999998</v>
      </c>
      <c r="J265" s="15">
        <f t="shared" si="83"/>
        <v>4155.9741940000004</v>
      </c>
      <c r="K265" s="15">
        <f t="shared" si="84"/>
        <v>3.1759741940000001</v>
      </c>
      <c r="L265" s="15">
        <f t="shared" si="85"/>
        <v>1639.786597</v>
      </c>
      <c r="M265" s="15">
        <v>1634.65</v>
      </c>
      <c r="N265" s="14">
        <f t="shared" si="86"/>
        <v>1.6397865970000003</v>
      </c>
      <c r="O265" s="14">
        <f t="shared" si="87"/>
        <v>1.6297299999999999</v>
      </c>
      <c r="P265" s="14">
        <f t="shared" si="88"/>
        <v>1.0056597000000389E-2</v>
      </c>
      <c r="Q265" s="18">
        <f t="shared" si="89"/>
        <v>6.1707135537790855E-3</v>
      </c>
      <c r="R265" s="15">
        <f t="shared" ca="1" si="90"/>
        <v>5.9808328629737613</v>
      </c>
      <c r="S265" s="15">
        <f t="shared" si="91"/>
        <v>6.0107246236559133</v>
      </c>
      <c r="T265" s="15">
        <f t="shared" ca="1" si="92"/>
        <v>2.9891760682152047E-2</v>
      </c>
      <c r="U265" s="18">
        <f t="shared" ca="1" si="93"/>
        <v>4.9730710611012707E-3</v>
      </c>
      <c r="V265" s="15">
        <f t="shared" si="94"/>
        <v>2.1916666666666664</v>
      </c>
      <c r="W265" s="15">
        <f t="shared" ca="1" si="95"/>
        <v>2.0191671370262387</v>
      </c>
      <c r="X265" s="15">
        <f t="shared" ca="1" si="96"/>
        <v>0.1724995296404277</v>
      </c>
      <c r="Y265" s="35">
        <f t="shared" ca="1" si="97"/>
        <v>7.8707009721868157E-2</v>
      </c>
      <c r="Z265" s="36">
        <f t="shared" ca="1" si="98"/>
        <v>44.230006000000003</v>
      </c>
      <c r="AA265" s="18">
        <f t="shared" ca="1" si="99"/>
        <v>4.4708293736500954E-2</v>
      </c>
      <c r="AB265" s="2"/>
    </row>
    <row r="266" spans="6:28" x14ac:dyDescent="0.25">
      <c r="F266" s="14">
        <v>264</v>
      </c>
      <c r="G266" s="14">
        <f t="shared" si="80"/>
        <v>46.400000000000006</v>
      </c>
      <c r="H266" s="14">
        <f t="shared" si="81"/>
        <v>319.54999999999995</v>
      </c>
      <c r="I266" s="15">
        <f t="shared" si="82"/>
        <v>2.2000000000000002</v>
      </c>
      <c r="J266" s="15">
        <f t="shared" si="83"/>
        <v>4139.882173</v>
      </c>
      <c r="K266" s="15">
        <f t="shared" si="84"/>
        <v>3.1598821729999997</v>
      </c>
      <c r="L266" s="15">
        <f t="shared" si="85"/>
        <v>1637.2995309999999</v>
      </c>
      <c r="M266" s="15">
        <v>1632.16</v>
      </c>
      <c r="N266" s="14">
        <f t="shared" si="86"/>
        <v>1.6372995309999998</v>
      </c>
      <c r="O266" s="14">
        <f t="shared" si="87"/>
        <v>1.6274399999999998</v>
      </c>
      <c r="P266" s="14">
        <f t="shared" si="88"/>
        <v>9.8595310000000325E-3</v>
      </c>
      <c r="Q266" s="18">
        <f t="shared" si="89"/>
        <v>6.0583069114683395E-3</v>
      </c>
      <c r="R266" s="15">
        <f t="shared" ca="1" si="90"/>
        <v>5.9717608629737615</v>
      </c>
      <c r="S266" s="15">
        <f t="shared" si="91"/>
        <v>6.0022787096774186</v>
      </c>
      <c r="T266" s="15">
        <f t="shared" ca="1" si="92"/>
        <v>3.0517846703657092E-2</v>
      </c>
      <c r="U266" s="18">
        <f t="shared" ca="1" si="93"/>
        <v>5.0843768141678345E-3</v>
      </c>
      <c r="V266" s="15">
        <f t="shared" si="94"/>
        <v>2.2000000000000002</v>
      </c>
      <c r="W266" s="15">
        <f t="shared" ca="1" si="95"/>
        <v>2.0282391370262385</v>
      </c>
      <c r="X266" s="15">
        <f t="shared" ca="1" si="96"/>
        <v>0.1717608629737617</v>
      </c>
      <c r="Y266" s="35">
        <f t="shared" ca="1" si="97"/>
        <v>7.8073119533528038E-2</v>
      </c>
      <c r="Z266" s="36">
        <f t="shared" ca="1" si="98"/>
        <v>44.33887</v>
      </c>
      <c r="AA266" s="18">
        <f t="shared" ca="1" si="99"/>
        <v>4.4420905172413913E-2</v>
      </c>
      <c r="AB266" s="2"/>
    </row>
    <row r="267" spans="6:28" x14ac:dyDescent="0.25">
      <c r="F267" s="14">
        <v>265</v>
      </c>
      <c r="G267" s="14">
        <f t="shared" si="80"/>
        <v>46.5</v>
      </c>
      <c r="H267" s="14">
        <f t="shared" si="81"/>
        <v>319.64999999999998</v>
      </c>
      <c r="I267" s="15">
        <f t="shared" si="82"/>
        <v>2.2083330000000001</v>
      </c>
      <c r="J267" s="15">
        <f t="shared" si="83"/>
        <v>4123.8612810000004</v>
      </c>
      <c r="K267" s="15">
        <f t="shared" si="84"/>
        <v>3.1438612810000004</v>
      </c>
      <c r="L267" s="15">
        <f t="shared" si="85"/>
        <v>1634.811841</v>
      </c>
      <c r="M267" s="15">
        <v>1629.47</v>
      </c>
      <c r="N267" s="14">
        <f t="shared" si="86"/>
        <v>1.6348118410000001</v>
      </c>
      <c r="O267" s="14">
        <f t="shared" si="87"/>
        <v>1.6251499999999999</v>
      </c>
      <c r="P267" s="14">
        <f t="shared" si="88"/>
        <v>9.6618410000002264E-3</v>
      </c>
      <c r="Q267" s="18">
        <f t="shared" si="89"/>
        <v>5.9451995200444432E-3</v>
      </c>
      <c r="R267" s="15">
        <f t="shared" ca="1" si="90"/>
        <v>5.9634683644314874</v>
      </c>
      <c r="S267" s="15">
        <f t="shared" si="91"/>
        <v>5.9938327956989239</v>
      </c>
      <c r="T267" s="15">
        <f t="shared" ca="1" si="92"/>
        <v>3.0364431267436487E-2</v>
      </c>
      <c r="U267" s="18">
        <f t="shared" ca="1" si="93"/>
        <v>5.0659456648883341E-3</v>
      </c>
      <c r="V267" s="15">
        <f t="shared" si="94"/>
        <v>2.2083333333333339</v>
      </c>
      <c r="W267" s="15">
        <f t="shared" ca="1" si="95"/>
        <v>2.0365316355685126</v>
      </c>
      <c r="X267" s="15">
        <f t="shared" ca="1" si="96"/>
        <v>0.17180169776482135</v>
      </c>
      <c r="Y267" s="35">
        <f t="shared" ca="1" si="97"/>
        <v>7.7796995214258702E-2</v>
      </c>
      <c r="Z267" s="36">
        <f t="shared" ca="1" si="98"/>
        <v>44.438380000000002</v>
      </c>
      <c r="AA267" s="18">
        <f t="shared" ca="1" si="99"/>
        <v>4.4335913978494575E-2</v>
      </c>
      <c r="AB267" s="2"/>
    </row>
    <row r="268" spans="6:28" x14ac:dyDescent="0.25">
      <c r="F268" s="14">
        <v>266</v>
      </c>
      <c r="G268" s="14">
        <f t="shared" si="80"/>
        <v>46.6</v>
      </c>
      <c r="H268" s="14">
        <f t="shared" si="81"/>
        <v>319.75</v>
      </c>
      <c r="I268" s="15">
        <f t="shared" si="82"/>
        <v>2.2166670000000002</v>
      </c>
      <c r="J268" s="15">
        <f t="shared" si="83"/>
        <v>4107.911169</v>
      </c>
      <c r="K268" s="15">
        <f t="shared" si="84"/>
        <v>3.1279111689999999</v>
      </c>
      <c r="L268" s="15">
        <f t="shared" si="85"/>
        <v>1632.3235440000001</v>
      </c>
      <c r="M268" s="15">
        <v>1627.15</v>
      </c>
      <c r="N268" s="14">
        <f t="shared" si="86"/>
        <v>1.6323235440000003</v>
      </c>
      <c r="O268" s="14">
        <f t="shared" si="87"/>
        <v>1.62286</v>
      </c>
      <c r="P268" s="14">
        <f t="shared" si="88"/>
        <v>9.463544000000379E-3</v>
      </c>
      <c r="Q268" s="18">
        <f t="shared" si="89"/>
        <v>5.8313988883824724E-3</v>
      </c>
      <c r="R268" s="15">
        <f t="shared" ca="1" si="90"/>
        <v>5.9547885014577258</v>
      </c>
      <c r="S268" s="15">
        <f t="shared" si="91"/>
        <v>5.9853868817204301</v>
      </c>
      <c r="T268" s="15">
        <f t="shared" ca="1" si="92"/>
        <v>3.0598380262704339E-2</v>
      </c>
      <c r="U268" s="18">
        <f t="shared" ca="1" si="93"/>
        <v>5.1121808610488997E-3</v>
      </c>
      <c r="V268" s="15">
        <f t="shared" si="94"/>
        <v>2.2166666666666659</v>
      </c>
      <c r="W268" s="15">
        <f t="shared" ca="1" si="95"/>
        <v>2.0452114985422742</v>
      </c>
      <c r="X268" s="15">
        <f t="shared" ca="1" si="96"/>
        <v>0.17145516812439165</v>
      </c>
      <c r="Y268" s="35">
        <f t="shared" ca="1" si="97"/>
        <v>7.7348196146342127E-2</v>
      </c>
      <c r="Z268" s="36">
        <f t="shared" ca="1" si="98"/>
        <v>44.542538</v>
      </c>
      <c r="AA268" s="18">
        <f t="shared" ca="1" si="99"/>
        <v>4.4151545064377705E-2</v>
      </c>
      <c r="AB268" s="2"/>
    </row>
    <row r="269" spans="6:28" x14ac:dyDescent="0.25">
      <c r="F269" s="14">
        <v>267</v>
      </c>
      <c r="G269" s="14">
        <f t="shared" si="80"/>
        <v>46.7</v>
      </c>
      <c r="H269" s="14">
        <f t="shared" si="81"/>
        <v>319.84999999999997</v>
      </c>
      <c r="I269" s="15">
        <f t="shared" si="82"/>
        <v>2.2250000000000001</v>
      </c>
      <c r="J269" s="15">
        <f t="shared" si="83"/>
        <v>4092.0314880000001</v>
      </c>
      <c r="K269" s="15">
        <f t="shared" si="84"/>
        <v>3.1120314880000004</v>
      </c>
      <c r="L269" s="15">
        <f t="shared" si="85"/>
        <v>1629.8346590000001</v>
      </c>
      <c r="M269" s="15">
        <v>1624.45</v>
      </c>
      <c r="N269" s="14">
        <f t="shared" si="86"/>
        <v>1.6298346590000001</v>
      </c>
      <c r="O269" s="14">
        <f t="shared" si="87"/>
        <v>1.6205699999999998</v>
      </c>
      <c r="P269" s="14">
        <f t="shared" si="88"/>
        <v>9.264659000000286E-3</v>
      </c>
      <c r="Q269" s="18">
        <f t="shared" si="89"/>
        <v>5.7169138019340648E-3</v>
      </c>
      <c r="R269" s="15">
        <f t="shared" ca="1" si="90"/>
        <v>5.9449387725947513</v>
      </c>
      <c r="S269" s="15">
        <f t="shared" si="91"/>
        <v>5.9769409677419345</v>
      </c>
      <c r="T269" s="15">
        <f t="shared" ca="1" si="92"/>
        <v>3.2002195147183166E-2</v>
      </c>
      <c r="U269" s="18">
        <f t="shared" ca="1" si="93"/>
        <v>5.3542765973265873E-3</v>
      </c>
      <c r="V269" s="15">
        <f t="shared" si="94"/>
        <v>2.2250000000000005</v>
      </c>
      <c r="W269" s="15">
        <f t="shared" ca="1" si="95"/>
        <v>2.0550612274052487</v>
      </c>
      <c r="X269" s="15">
        <f t="shared" ca="1" si="96"/>
        <v>0.16993877259475187</v>
      </c>
      <c r="Y269" s="35">
        <f t="shared" ca="1" si="97"/>
        <v>7.637697644707947E-2</v>
      </c>
      <c r="Z269" s="36">
        <f t="shared" ca="1" si="98"/>
        <v>44.660735000000003</v>
      </c>
      <c r="AA269" s="18">
        <f t="shared" ca="1" si="99"/>
        <v>4.3667344753747325E-2</v>
      </c>
      <c r="AB269" s="2"/>
    </row>
    <row r="270" spans="6:28" x14ac:dyDescent="0.25">
      <c r="F270" s="14">
        <v>268</v>
      </c>
      <c r="G270" s="14">
        <f t="shared" si="80"/>
        <v>46.8</v>
      </c>
      <c r="H270" s="14">
        <f t="shared" si="81"/>
        <v>319.95</v>
      </c>
      <c r="I270" s="15">
        <f t="shared" si="82"/>
        <v>2.233333</v>
      </c>
      <c r="J270" s="15">
        <f t="shared" si="83"/>
        <v>4076.2218889999999</v>
      </c>
      <c r="K270" s="15">
        <f t="shared" si="84"/>
        <v>3.0962218890000006</v>
      </c>
      <c r="L270" s="15">
        <f t="shared" si="85"/>
        <v>1627.3452050000001</v>
      </c>
      <c r="M270" s="15">
        <v>1622.13</v>
      </c>
      <c r="N270" s="14">
        <f t="shared" si="86"/>
        <v>1.6273452049999999</v>
      </c>
      <c r="O270" s="14">
        <f t="shared" si="87"/>
        <v>1.6182799999999999</v>
      </c>
      <c r="P270" s="14">
        <f t="shared" si="88"/>
        <v>9.0652049999999651E-3</v>
      </c>
      <c r="Q270" s="18">
        <f t="shared" si="89"/>
        <v>5.6017530958795544E-3</v>
      </c>
      <c r="R270" s="15">
        <f t="shared" ca="1" si="90"/>
        <v>5.9354518629737614</v>
      </c>
      <c r="S270" s="15">
        <f t="shared" si="91"/>
        <v>5.9684950537634407</v>
      </c>
      <c r="T270" s="15">
        <f t="shared" ca="1" si="92"/>
        <v>3.3043190789679322E-2</v>
      </c>
      <c r="U270" s="18">
        <f t="shared" ca="1" si="93"/>
        <v>5.5362684381959747E-3</v>
      </c>
      <c r="V270" s="15">
        <f t="shared" si="94"/>
        <v>2.2333333333333334</v>
      </c>
      <c r="W270" s="15">
        <f t="shared" ca="1" si="95"/>
        <v>2.0645481370262386</v>
      </c>
      <c r="X270" s="15">
        <f t="shared" ca="1" si="96"/>
        <v>0.16878519630709476</v>
      </c>
      <c r="Y270" s="35">
        <f t="shared" ca="1" si="97"/>
        <v>7.5575461033027508E-2</v>
      </c>
      <c r="Z270" s="36">
        <f t="shared" ca="1" si="98"/>
        <v>44.774577999999998</v>
      </c>
      <c r="AA270" s="18">
        <f t="shared" ca="1" si="99"/>
        <v>4.327824786324784E-2</v>
      </c>
      <c r="AB270" s="2"/>
    </row>
    <row r="271" spans="6:28" x14ac:dyDescent="0.25">
      <c r="F271" s="14">
        <v>269</v>
      </c>
      <c r="G271" s="14">
        <f t="shared" si="80"/>
        <v>46.900000000000006</v>
      </c>
      <c r="H271" s="14">
        <f t="shared" si="81"/>
        <v>320.04999999999995</v>
      </c>
      <c r="I271" s="15">
        <f t="shared" si="82"/>
        <v>2.2416670000000001</v>
      </c>
      <c r="J271" s="15">
        <f t="shared" si="83"/>
        <v>4060.4820289999998</v>
      </c>
      <c r="K271" s="15">
        <f t="shared" si="84"/>
        <v>3.0804820289999997</v>
      </c>
      <c r="L271" s="15">
        <f t="shared" si="85"/>
        <v>1624.8551990000001</v>
      </c>
      <c r="M271" s="15">
        <v>1619.23</v>
      </c>
      <c r="N271" s="14">
        <f t="shared" si="86"/>
        <v>1.6248551990000002</v>
      </c>
      <c r="O271" s="14">
        <f t="shared" si="87"/>
        <v>1.6159899999999998</v>
      </c>
      <c r="P271" s="14">
        <f t="shared" si="88"/>
        <v>8.8651990000003789E-3</v>
      </c>
      <c r="Q271" s="18">
        <f t="shared" si="89"/>
        <v>5.4859244178493555E-3</v>
      </c>
      <c r="R271" s="15">
        <f t="shared" ca="1" si="90"/>
        <v>5.926775772594751</v>
      </c>
      <c r="S271" s="15">
        <f t="shared" si="91"/>
        <v>5.9600491397849451</v>
      </c>
      <c r="T271" s="15">
        <f t="shared" ca="1" si="92"/>
        <v>3.3273367190194136E-2</v>
      </c>
      <c r="U271" s="18">
        <f t="shared" ca="1" si="93"/>
        <v>5.5827337006477649E-3</v>
      </c>
      <c r="V271" s="15">
        <f t="shared" si="94"/>
        <v>2.2416666666666671</v>
      </c>
      <c r="W271" s="15">
        <f t="shared" ca="1" si="95"/>
        <v>2.073224227405249</v>
      </c>
      <c r="X271" s="15">
        <f t="shared" ca="1" si="96"/>
        <v>0.16844243926141811</v>
      </c>
      <c r="Y271" s="35">
        <f t="shared" ca="1" si="97"/>
        <v>7.5141608592454154E-2</v>
      </c>
      <c r="Z271" s="36">
        <f t="shared" ca="1" si="98"/>
        <v>44.878691000000003</v>
      </c>
      <c r="AA271" s="18">
        <f t="shared" ca="1" si="99"/>
        <v>4.3098272921108786E-2</v>
      </c>
      <c r="AB271" s="2"/>
    </row>
    <row r="272" spans="6:28" x14ac:dyDescent="0.25">
      <c r="F272" s="14">
        <v>270</v>
      </c>
      <c r="G272" s="14">
        <f t="shared" si="80"/>
        <v>47</v>
      </c>
      <c r="H272" s="14">
        <f t="shared" si="81"/>
        <v>320.14999999999998</v>
      </c>
      <c r="I272" s="15">
        <f t="shared" si="82"/>
        <v>2.25</v>
      </c>
      <c r="J272" s="15">
        <f t="shared" si="83"/>
        <v>4044.8115640000001</v>
      </c>
      <c r="K272" s="15">
        <f t="shared" si="84"/>
        <v>3.0648115640000002</v>
      </c>
      <c r="L272" s="15">
        <f t="shared" si="85"/>
        <v>1622.3646610000001</v>
      </c>
      <c r="M272" s="15">
        <v>1616.89</v>
      </c>
      <c r="N272" s="14">
        <f t="shared" si="86"/>
        <v>1.622364661</v>
      </c>
      <c r="O272" s="14">
        <f t="shared" si="87"/>
        <v>1.6136999999999999</v>
      </c>
      <c r="P272" s="14">
        <f t="shared" si="88"/>
        <v>8.6646610000000734E-3</v>
      </c>
      <c r="Q272" s="18">
        <f t="shared" si="89"/>
        <v>5.3694373179649715E-3</v>
      </c>
      <c r="R272" s="15">
        <f t="shared" ca="1" si="90"/>
        <v>5.9172956355685127</v>
      </c>
      <c r="S272" s="15">
        <f t="shared" si="91"/>
        <v>5.9516032258064513</v>
      </c>
      <c r="T272" s="15">
        <f t="shared" ca="1" si="92"/>
        <v>3.4307590237938612E-2</v>
      </c>
      <c r="U272" s="18">
        <f t="shared" ca="1" si="93"/>
        <v>5.7644283290221995E-3</v>
      </c>
      <c r="V272" s="15">
        <f t="shared" si="94"/>
        <v>2.25</v>
      </c>
      <c r="W272" s="15">
        <f t="shared" ca="1" si="95"/>
        <v>2.0827043644314873</v>
      </c>
      <c r="X272" s="15">
        <f t="shared" ca="1" si="96"/>
        <v>0.16729563556851268</v>
      </c>
      <c r="Y272" s="35">
        <f t="shared" ca="1" si="97"/>
        <v>7.4353615808227858E-2</v>
      </c>
      <c r="Z272" s="36">
        <f t="shared" ca="1" si="98"/>
        <v>44.992452</v>
      </c>
      <c r="AA272" s="18">
        <f t="shared" ca="1" si="99"/>
        <v>4.2713787234042552E-2</v>
      </c>
      <c r="AB272" s="2"/>
    </row>
    <row r="273" spans="6:28" x14ac:dyDescent="0.25">
      <c r="F273" s="14">
        <v>271</v>
      </c>
      <c r="G273" s="14">
        <f t="shared" si="80"/>
        <v>47.1</v>
      </c>
      <c r="H273" s="14">
        <f t="shared" si="81"/>
        <v>320.25</v>
      </c>
      <c r="I273" s="15">
        <f t="shared" si="82"/>
        <v>2.2583329999999999</v>
      </c>
      <c r="J273" s="15">
        <f t="shared" si="83"/>
        <v>4029.2101520000001</v>
      </c>
      <c r="K273" s="15">
        <f t="shared" si="84"/>
        <v>3.0492101520000006</v>
      </c>
      <c r="L273" s="15">
        <f t="shared" si="85"/>
        <v>1619.8736100000001</v>
      </c>
      <c r="M273" s="15">
        <v>1614.55</v>
      </c>
      <c r="N273" s="14">
        <f t="shared" si="86"/>
        <v>1.61987361</v>
      </c>
      <c r="O273" s="14">
        <f t="shared" si="87"/>
        <v>1.61141</v>
      </c>
      <c r="P273" s="14">
        <f t="shared" si="88"/>
        <v>8.4636099999999548E-3</v>
      </c>
      <c r="Q273" s="18">
        <f t="shared" si="89"/>
        <v>5.2523007800621534E-3</v>
      </c>
      <c r="R273" s="15">
        <f t="shared" ca="1" si="90"/>
        <v>5.9081988629737614</v>
      </c>
      <c r="S273" s="15">
        <f t="shared" si="91"/>
        <v>5.9431573118279566</v>
      </c>
      <c r="T273" s="15">
        <f t="shared" ca="1" si="92"/>
        <v>3.495844885419519E-2</v>
      </c>
      <c r="U273" s="18">
        <f t="shared" ca="1" si="93"/>
        <v>5.8821341956777021E-3</v>
      </c>
      <c r="V273" s="15">
        <f t="shared" si="94"/>
        <v>2.2583333333333329</v>
      </c>
      <c r="W273" s="15">
        <f t="shared" ca="1" si="95"/>
        <v>2.0918011370262386</v>
      </c>
      <c r="X273" s="15">
        <f t="shared" ca="1" si="96"/>
        <v>0.16653219630709426</v>
      </c>
      <c r="Y273" s="35">
        <f t="shared" ca="1" si="97"/>
        <v>7.3741193936720725E-2</v>
      </c>
      <c r="Z273" s="36">
        <f t="shared" ca="1" si="98"/>
        <v>45.101613999999998</v>
      </c>
      <c r="AA273" s="18">
        <f t="shared" ca="1" si="99"/>
        <v>4.242857749469222E-2</v>
      </c>
      <c r="AB273" s="2"/>
    </row>
    <row r="274" spans="6:28" x14ac:dyDescent="0.25">
      <c r="F274" s="14">
        <v>272</v>
      </c>
      <c r="G274" s="14">
        <f t="shared" si="80"/>
        <v>47.2</v>
      </c>
      <c r="H274" s="14">
        <f t="shared" si="81"/>
        <v>320.34999999999997</v>
      </c>
      <c r="I274" s="15">
        <f t="shared" si="82"/>
        <v>2.266667</v>
      </c>
      <c r="J274" s="15">
        <f t="shared" si="83"/>
        <v>4013.677455</v>
      </c>
      <c r="K274" s="15">
        <f t="shared" si="84"/>
        <v>3.0336774550000003</v>
      </c>
      <c r="L274" s="15">
        <f t="shared" si="85"/>
        <v>1617.3820619999999</v>
      </c>
      <c r="M274" s="15">
        <v>1612.01</v>
      </c>
      <c r="N274" s="14">
        <f t="shared" si="86"/>
        <v>1.6173820620000001</v>
      </c>
      <c r="O274" s="14">
        <f t="shared" si="87"/>
        <v>1.6091199999999999</v>
      </c>
      <c r="P274" s="14">
        <f t="shared" si="88"/>
        <v>8.2620620000002365E-3</v>
      </c>
      <c r="Q274" s="18">
        <f t="shared" si="89"/>
        <v>5.134521974744107E-3</v>
      </c>
      <c r="R274" s="15">
        <f t="shared" ca="1" si="90"/>
        <v>5.8994962274052485</v>
      </c>
      <c r="S274" s="15">
        <f t="shared" si="91"/>
        <v>5.9347113978494619</v>
      </c>
      <c r="T274" s="15">
        <f t="shared" ca="1" si="92"/>
        <v>3.5215170444213406E-2</v>
      </c>
      <c r="U274" s="18">
        <f t="shared" ca="1" si="93"/>
        <v>5.933762921811866E-3</v>
      </c>
      <c r="V274" s="15">
        <f t="shared" si="94"/>
        <v>2.2666666666666666</v>
      </c>
      <c r="W274" s="15">
        <f t="shared" ca="1" si="95"/>
        <v>2.1005037725947515</v>
      </c>
      <c r="X274" s="15">
        <f t="shared" ca="1" si="96"/>
        <v>0.16616289407191509</v>
      </c>
      <c r="Y274" s="35">
        <f t="shared" ca="1" si="97"/>
        <v>7.3307159149374301E-2</v>
      </c>
      <c r="Z274" s="36">
        <f t="shared" ca="1" si="98"/>
        <v>45.206045000000003</v>
      </c>
      <c r="AA274" s="18">
        <f t="shared" ca="1" si="99"/>
        <v>4.2244809322033887E-2</v>
      </c>
      <c r="AB274" s="2"/>
    </row>
    <row r="275" spans="6:28" x14ac:dyDescent="0.25">
      <c r="F275" s="14">
        <v>273</v>
      </c>
      <c r="G275" s="14">
        <f t="shared" si="80"/>
        <v>47.3</v>
      </c>
      <c r="H275" s="14">
        <f t="shared" si="81"/>
        <v>320.45</v>
      </c>
      <c r="I275" s="15">
        <f t="shared" si="82"/>
        <v>2.2749999999999999</v>
      </c>
      <c r="J275" s="15">
        <f t="shared" si="83"/>
        <v>3998.213135</v>
      </c>
      <c r="K275" s="15">
        <f t="shared" si="84"/>
        <v>3.0182131349999999</v>
      </c>
      <c r="L275" s="15">
        <f t="shared" si="85"/>
        <v>1614.890038</v>
      </c>
      <c r="M275" s="15">
        <v>1609.47</v>
      </c>
      <c r="N275" s="14">
        <f t="shared" si="86"/>
        <v>1.6148900380000002</v>
      </c>
      <c r="O275" s="14">
        <f t="shared" si="87"/>
        <v>1.60683</v>
      </c>
      <c r="P275" s="14">
        <f t="shared" si="88"/>
        <v>8.0600380000002136E-3</v>
      </c>
      <c r="Q275" s="18">
        <f t="shared" si="89"/>
        <v>5.016111225207529E-3</v>
      </c>
      <c r="R275" s="15">
        <f t="shared" ca="1" si="90"/>
        <v>5.8896354985422743</v>
      </c>
      <c r="S275" s="15">
        <f t="shared" si="91"/>
        <v>5.9262654838709672</v>
      </c>
      <c r="T275" s="15">
        <f t="shared" ca="1" si="92"/>
        <v>3.6629985328692882E-2</v>
      </c>
      <c r="U275" s="18">
        <f t="shared" ca="1" si="93"/>
        <v>6.1809558529542291E-3</v>
      </c>
      <c r="V275" s="15">
        <f t="shared" si="94"/>
        <v>2.2750000000000004</v>
      </c>
      <c r="W275" s="15">
        <f t="shared" ca="1" si="95"/>
        <v>2.1103645014577257</v>
      </c>
      <c r="X275" s="15">
        <f t="shared" ca="1" si="96"/>
        <v>0.16463549854227466</v>
      </c>
      <c r="Y275" s="35">
        <f t="shared" ca="1" si="97"/>
        <v>7.2367252106494348E-2</v>
      </c>
      <c r="Z275" s="36">
        <f t="shared" ca="1" si="98"/>
        <v>45.324373999999999</v>
      </c>
      <c r="AA275" s="18">
        <f t="shared" ca="1" si="99"/>
        <v>4.1767991543340349E-2</v>
      </c>
      <c r="AB275" s="2"/>
    </row>
    <row r="276" spans="6:28" x14ac:dyDescent="0.25">
      <c r="F276" s="14">
        <v>274</v>
      </c>
      <c r="G276" s="14">
        <f t="shared" si="80"/>
        <v>47.400000000000006</v>
      </c>
      <c r="H276" s="14">
        <f t="shared" si="81"/>
        <v>320.54999999999995</v>
      </c>
      <c r="I276" s="15">
        <f t="shared" si="82"/>
        <v>2.2833329999999998</v>
      </c>
      <c r="J276" s="15">
        <f t="shared" si="83"/>
        <v>3982.816855</v>
      </c>
      <c r="K276" s="15">
        <f t="shared" si="84"/>
        <v>3.0028168549999998</v>
      </c>
      <c r="L276" s="15">
        <f t="shared" si="85"/>
        <v>1612.397555</v>
      </c>
      <c r="M276" s="15">
        <v>1606.92</v>
      </c>
      <c r="N276" s="14">
        <f t="shared" si="86"/>
        <v>1.612397555</v>
      </c>
      <c r="O276" s="14">
        <f t="shared" si="87"/>
        <v>1.6045399999999999</v>
      </c>
      <c r="P276" s="14">
        <f t="shared" si="88"/>
        <v>7.8575550000001826E-3</v>
      </c>
      <c r="Q276" s="18">
        <f t="shared" si="89"/>
        <v>4.897076420656502E-3</v>
      </c>
      <c r="R276" s="15">
        <f t="shared" ca="1" si="90"/>
        <v>5.8817103644314876</v>
      </c>
      <c r="S276" s="15">
        <f t="shared" si="91"/>
        <v>5.9178195698924725</v>
      </c>
      <c r="T276" s="15">
        <f t="shared" ca="1" si="92"/>
        <v>3.6109205460984839E-2</v>
      </c>
      <c r="U276" s="18">
        <f t="shared" ca="1" si="93"/>
        <v>6.1017753303419736E-3</v>
      </c>
      <c r="V276" s="15">
        <f t="shared" si="94"/>
        <v>2.2833333333333332</v>
      </c>
      <c r="W276" s="15">
        <f t="shared" ca="1" si="95"/>
        <v>2.1182896355685124</v>
      </c>
      <c r="X276" s="15">
        <f t="shared" ca="1" si="96"/>
        <v>0.16504369776482086</v>
      </c>
      <c r="Y276" s="35">
        <f t="shared" ca="1" si="97"/>
        <v>7.228191142984855E-2</v>
      </c>
      <c r="Z276" s="36">
        <f t="shared" ca="1" si="98"/>
        <v>45.419476000000003</v>
      </c>
      <c r="AA276" s="18">
        <f t="shared" ca="1" si="99"/>
        <v>4.1783206751054902E-2</v>
      </c>
      <c r="AB276" s="2"/>
    </row>
    <row r="277" spans="6:28" x14ac:dyDescent="0.25">
      <c r="F277" s="14">
        <v>275</v>
      </c>
      <c r="G277" s="14">
        <f t="shared" si="80"/>
        <v>47.5</v>
      </c>
      <c r="H277" s="14">
        <f t="shared" si="81"/>
        <v>320.64999999999998</v>
      </c>
      <c r="I277" s="15">
        <f t="shared" si="82"/>
        <v>2.2916669999999999</v>
      </c>
      <c r="J277" s="15">
        <f t="shared" si="83"/>
        <v>3967.4882819999998</v>
      </c>
      <c r="K277" s="15">
        <f t="shared" si="84"/>
        <v>2.9874882819999997</v>
      </c>
      <c r="L277" s="15">
        <f t="shared" si="85"/>
        <v>1609.904632</v>
      </c>
      <c r="M277" s="15">
        <v>1604.37</v>
      </c>
      <c r="N277" s="14">
        <f t="shared" si="86"/>
        <v>1.6099046320000001</v>
      </c>
      <c r="O277" s="14">
        <f t="shared" si="87"/>
        <v>1.60225</v>
      </c>
      <c r="P277" s="14">
        <f t="shared" si="88"/>
        <v>7.6546320000001611E-3</v>
      </c>
      <c r="Q277" s="18">
        <f t="shared" si="89"/>
        <v>4.7774267436418542E-3</v>
      </c>
      <c r="R277" s="15">
        <f t="shared" ca="1" si="90"/>
        <v>5.872628137026239</v>
      </c>
      <c r="S277" s="15">
        <f t="shared" si="91"/>
        <v>5.9093736559139778</v>
      </c>
      <c r="T277" s="15">
        <f t="shared" ca="1" si="92"/>
        <v>3.6745518887738804E-2</v>
      </c>
      <c r="U277" s="18">
        <f t="shared" ca="1" si="93"/>
        <v>6.2181748908303773E-3</v>
      </c>
      <c r="V277" s="15">
        <f t="shared" si="94"/>
        <v>2.291666666666667</v>
      </c>
      <c r="W277" s="15">
        <f t="shared" ca="1" si="95"/>
        <v>2.127371862973761</v>
      </c>
      <c r="X277" s="15">
        <f t="shared" ca="1" si="96"/>
        <v>0.16429480369290594</v>
      </c>
      <c r="Y277" s="35">
        <f t="shared" ca="1" si="97"/>
        <v>7.1692277975086219E-2</v>
      </c>
      <c r="Z277" s="36">
        <f t="shared" ca="1" si="98"/>
        <v>45.528461999999998</v>
      </c>
      <c r="AA277" s="18">
        <f t="shared" ca="1" si="99"/>
        <v>4.150606315789479E-2</v>
      </c>
      <c r="AB277" s="2"/>
    </row>
    <row r="278" spans="6:28" x14ac:dyDescent="0.25">
      <c r="F278" s="14">
        <v>276</v>
      </c>
      <c r="G278" s="14">
        <f t="shared" si="80"/>
        <v>47.6</v>
      </c>
      <c r="H278" s="14">
        <f t="shared" si="81"/>
        <v>320.75</v>
      </c>
      <c r="I278" s="15">
        <f t="shared" si="82"/>
        <v>2.2999999999999998</v>
      </c>
      <c r="J278" s="15">
        <f t="shared" si="83"/>
        <v>3952.2270840000001</v>
      </c>
      <c r="K278" s="15">
        <f t="shared" si="84"/>
        <v>2.972227084</v>
      </c>
      <c r="L278" s="15">
        <f t="shared" si="85"/>
        <v>1607.4112869999999</v>
      </c>
      <c r="M278" s="15">
        <v>1601.81</v>
      </c>
      <c r="N278" s="14">
        <f t="shared" si="86"/>
        <v>1.6074112869999999</v>
      </c>
      <c r="O278" s="14">
        <f t="shared" si="87"/>
        <v>1.5999599999999998</v>
      </c>
      <c r="P278" s="14">
        <f t="shared" si="88"/>
        <v>7.4512870000000841E-3</v>
      </c>
      <c r="Q278" s="18">
        <f t="shared" si="89"/>
        <v>4.6571708042701596E-3</v>
      </c>
      <c r="R278" s="15">
        <f t="shared" ca="1" si="90"/>
        <v>5.8639195014577261</v>
      </c>
      <c r="S278" s="15">
        <f t="shared" si="91"/>
        <v>5.9009277419354831</v>
      </c>
      <c r="T278" s="15">
        <f t="shared" ca="1" si="92"/>
        <v>3.7008240477756971E-2</v>
      </c>
      <c r="U278" s="18">
        <f t="shared" ca="1" si="93"/>
        <v>6.2715969583485194E-3</v>
      </c>
      <c r="V278" s="15">
        <f t="shared" si="94"/>
        <v>2.3000000000000007</v>
      </c>
      <c r="W278" s="15">
        <f t="shared" ca="1" si="95"/>
        <v>2.1360804985422739</v>
      </c>
      <c r="X278" s="15">
        <f t="shared" ca="1" si="96"/>
        <v>0.16391950145772682</v>
      </c>
      <c r="Y278" s="35">
        <f t="shared" ca="1" si="97"/>
        <v>7.1269348459881213E-2</v>
      </c>
      <c r="Z278" s="36">
        <f t="shared" ca="1" si="98"/>
        <v>45.632966000000003</v>
      </c>
      <c r="AA278" s="18">
        <f t="shared" ca="1" si="99"/>
        <v>4.1324243697478953E-2</v>
      </c>
      <c r="AB278" s="2"/>
    </row>
    <row r="279" spans="6:28" x14ac:dyDescent="0.25">
      <c r="F279" s="14">
        <v>277</v>
      </c>
      <c r="G279" s="14">
        <f t="shared" si="80"/>
        <v>47.7</v>
      </c>
      <c r="H279" s="14">
        <f t="shared" si="81"/>
        <v>320.84999999999997</v>
      </c>
      <c r="I279" s="15">
        <f t="shared" si="82"/>
        <v>2.3083330000000002</v>
      </c>
      <c r="J279" s="15">
        <f t="shared" si="83"/>
        <v>3937.032929</v>
      </c>
      <c r="K279" s="15">
        <f t="shared" si="84"/>
        <v>2.9570329289999999</v>
      </c>
      <c r="L279" s="15">
        <f t="shared" si="85"/>
        <v>1604.917539</v>
      </c>
      <c r="M279" s="15">
        <v>1599.25</v>
      </c>
      <c r="N279" s="14">
        <f t="shared" si="86"/>
        <v>1.6049175390000001</v>
      </c>
      <c r="O279" s="14">
        <f t="shared" si="87"/>
        <v>1.5976699999999999</v>
      </c>
      <c r="P279" s="14">
        <f t="shared" si="88"/>
        <v>7.2475390000001916E-3</v>
      </c>
      <c r="Q279" s="18">
        <f t="shared" si="89"/>
        <v>4.53631788792441E-3</v>
      </c>
      <c r="R279" s="15">
        <f t="shared" ca="1" si="90"/>
        <v>5.8544371370262382</v>
      </c>
      <c r="S279" s="15">
        <f t="shared" si="91"/>
        <v>5.8924818279569884</v>
      </c>
      <c r="T279" s="15">
        <f t="shared" ca="1" si="92"/>
        <v>3.8044690930750136E-2</v>
      </c>
      <c r="U279" s="18">
        <f t="shared" ca="1" si="93"/>
        <v>6.4564799759324496E-3</v>
      </c>
      <c r="V279" s="15">
        <f t="shared" si="94"/>
        <v>2.3083333333333336</v>
      </c>
      <c r="W279" s="15">
        <f t="shared" ca="1" si="95"/>
        <v>2.1455628629737618</v>
      </c>
      <c r="X279" s="15">
        <f t="shared" ca="1" si="96"/>
        <v>0.16277047035957182</v>
      </c>
      <c r="Y279" s="35">
        <f t="shared" ca="1" si="97"/>
        <v>7.0514283188262153E-2</v>
      </c>
      <c r="Z279" s="36">
        <f t="shared" ca="1" si="98"/>
        <v>45.746754000000003</v>
      </c>
      <c r="AA279" s="18">
        <f t="shared" ca="1" si="99"/>
        <v>4.0948553459119498E-2</v>
      </c>
      <c r="AB279" s="2"/>
    </row>
    <row r="280" spans="6:28" x14ac:dyDescent="0.25">
      <c r="F280" s="14">
        <v>278</v>
      </c>
      <c r="G280" s="14">
        <f t="shared" si="80"/>
        <v>47.8</v>
      </c>
      <c r="H280" s="14">
        <f t="shared" si="81"/>
        <v>320.95</v>
      </c>
      <c r="I280" s="15">
        <f t="shared" si="82"/>
        <v>2.3166669999999998</v>
      </c>
      <c r="J280" s="15">
        <f t="shared" si="83"/>
        <v>3921.9054900000001</v>
      </c>
      <c r="K280" s="15">
        <f t="shared" si="84"/>
        <v>2.9419054900000003</v>
      </c>
      <c r="L280" s="15">
        <f t="shared" si="85"/>
        <v>1602.423407</v>
      </c>
      <c r="M280" s="15">
        <v>1596.87</v>
      </c>
      <c r="N280" s="14">
        <f t="shared" si="86"/>
        <v>1.6024234070000001</v>
      </c>
      <c r="O280" s="14">
        <f t="shared" si="87"/>
        <v>1.59538</v>
      </c>
      <c r="P280" s="14">
        <f t="shared" si="88"/>
        <v>7.043407000000057E-3</v>
      </c>
      <c r="Q280" s="18">
        <f t="shared" si="89"/>
        <v>4.4148773332999391E-3</v>
      </c>
      <c r="R280" s="15">
        <f t="shared" ca="1" si="90"/>
        <v>5.8453401370262386</v>
      </c>
      <c r="S280" s="15">
        <f t="shared" si="91"/>
        <v>5.8840359139784946</v>
      </c>
      <c r="T280" s="15">
        <f t="shared" ca="1" si="92"/>
        <v>3.8695776952256011E-2</v>
      </c>
      <c r="U280" s="18">
        <f t="shared" ca="1" si="93"/>
        <v>6.5764005383325127E-3</v>
      </c>
      <c r="V280" s="15">
        <f t="shared" si="94"/>
        <v>2.3166666666666664</v>
      </c>
      <c r="W280" s="15">
        <f t="shared" ca="1" si="95"/>
        <v>2.1546598629737614</v>
      </c>
      <c r="X280" s="15">
        <f t="shared" ca="1" si="96"/>
        <v>0.16200680369290499</v>
      </c>
      <c r="Y280" s="35">
        <f t="shared" ca="1" si="97"/>
        <v>6.9930994399815108E-2</v>
      </c>
      <c r="Z280" s="36">
        <f t="shared" ca="1" si="98"/>
        <v>45.855918000000003</v>
      </c>
      <c r="AA280" s="18">
        <f t="shared" ca="1" si="99"/>
        <v>4.0671171548117044E-2</v>
      </c>
      <c r="AB280" s="2"/>
    </row>
    <row r="281" spans="6:28" x14ac:dyDescent="0.25">
      <c r="F281" s="14">
        <v>279</v>
      </c>
      <c r="G281" s="14">
        <f t="shared" si="80"/>
        <v>47.900000000000006</v>
      </c>
      <c r="H281" s="14">
        <f t="shared" si="81"/>
        <v>321.04999999999995</v>
      </c>
      <c r="I281" s="15">
        <f t="shared" si="82"/>
        <v>2.3250000000000002</v>
      </c>
      <c r="J281" s="15">
        <f t="shared" si="83"/>
        <v>3906.8444399999998</v>
      </c>
      <c r="K281" s="15">
        <f t="shared" si="84"/>
        <v>2.92684444</v>
      </c>
      <c r="L281" s="15">
        <f t="shared" si="85"/>
        <v>1599.9289080000001</v>
      </c>
      <c r="M281" s="15">
        <v>1594.48</v>
      </c>
      <c r="N281" s="14">
        <f t="shared" si="86"/>
        <v>1.5999289080000001</v>
      </c>
      <c r="O281" s="14">
        <f t="shared" si="87"/>
        <v>1.5930899999999999</v>
      </c>
      <c r="P281" s="14">
        <f t="shared" si="88"/>
        <v>6.8389080000001989E-3</v>
      </c>
      <c r="Q281" s="18">
        <f t="shared" si="89"/>
        <v>4.2928572773667526E-3</v>
      </c>
      <c r="R281" s="15">
        <f t="shared" ca="1" si="90"/>
        <v>5.8354596355685127</v>
      </c>
      <c r="S281" s="15">
        <f t="shared" si="91"/>
        <v>5.875589999999999</v>
      </c>
      <c r="T281" s="15">
        <f t="shared" ca="1" si="92"/>
        <v>4.0130364431486321E-2</v>
      </c>
      <c r="U281" s="18">
        <f t="shared" ca="1" si="93"/>
        <v>6.8300144209324214E-3</v>
      </c>
      <c r="V281" s="15">
        <f t="shared" si="94"/>
        <v>2.3250000000000002</v>
      </c>
      <c r="W281" s="15">
        <f t="shared" ca="1" si="95"/>
        <v>2.1645403644314873</v>
      </c>
      <c r="X281" s="15">
        <f t="shared" ca="1" si="96"/>
        <v>0.16045963556851284</v>
      </c>
      <c r="Y281" s="35">
        <f t="shared" ca="1" si="97"/>
        <v>6.9014897018715188E-2</v>
      </c>
      <c r="Z281" s="36">
        <f t="shared" ca="1" si="98"/>
        <v>45.974483999999997</v>
      </c>
      <c r="AA281" s="18">
        <f t="shared" ca="1" si="99"/>
        <v>4.0198663883089951E-2</v>
      </c>
      <c r="AB281" s="2"/>
    </row>
    <row r="282" spans="6:28" x14ac:dyDescent="0.25">
      <c r="F282" s="14">
        <v>280</v>
      </c>
      <c r="G282" s="14">
        <f t="shared" si="80"/>
        <v>48</v>
      </c>
      <c r="H282" s="14">
        <f t="shared" si="81"/>
        <v>321.14999999999998</v>
      </c>
      <c r="I282" s="15">
        <f t="shared" si="82"/>
        <v>2.3333330000000001</v>
      </c>
      <c r="J282" s="15">
        <f t="shared" si="83"/>
        <v>3891.8494529999998</v>
      </c>
      <c r="K282" s="15">
        <f t="shared" si="84"/>
        <v>2.9118494529999999</v>
      </c>
      <c r="L282" s="15">
        <f t="shared" si="85"/>
        <v>1597.4340609999999</v>
      </c>
      <c r="M282" s="15">
        <v>1591.9</v>
      </c>
      <c r="N282" s="14">
        <f t="shared" si="86"/>
        <v>1.597434061</v>
      </c>
      <c r="O282" s="14">
        <f t="shared" si="87"/>
        <v>1.5908</v>
      </c>
      <c r="P282" s="14">
        <f t="shared" si="88"/>
        <v>6.6340609999999689E-3</v>
      </c>
      <c r="Q282" s="18">
        <f t="shared" si="89"/>
        <v>4.1702671611767465E-3</v>
      </c>
      <c r="R282" s="15">
        <f t="shared" ca="1" si="90"/>
        <v>5.8267342274052485</v>
      </c>
      <c r="S282" s="15">
        <f t="shared" si="91"/>
        <v>5.8671440860215052</v>
      </c>
      <c r="T282" s="15">
        <f t="shared" ca="1" si="92"/>
        <v>4.0409858616256678E-2</v>
      </c>
      <c r="U282" s="18">
        <f t="shared" ca="1" si="93"/>
        <v>6.8874835906166561E-3</v>
      </c>
      <c r="V282" s="15">
        <f t="shared" si="94"/>
        <v>2.333333333333333</v>
      </c>
      <c r="W282" s="15">
        <f t="shared" ca="1" si="95"/>
        <v>2.1732657725947515</v>
      </c>
      <c r="X282" s="15">
        <f t="shared" ca="1" si="96"/>
        <v>0.16006756073858153</v>
      </c>
      <c r="Y282" s="35">
        <f t="shared" ca="1" si="97"/>
        <v>6.8600383173677809E-2</v>
      </c>
      <c r="Z282" s="36">
        <f t="shared" ca="1" si="98"/>
        <v>46.079189</v>
      </c>
      <c r="AA282" s="18">
        <f t="shared" ca="1" si="99"/>
        <v>4.0016895833333344E-2</v>
      </c>
      <c r="AB282" s="2"/>
    </row>
    <row r="283" spans="6:28" x14ac:dyDescent="0.25">
      <c r="F283" s="14">
        <v>281</v>
      </c>
      <c r="G283" s="14">
        <f t="shared" si="80"/>
        <v>48.1</v>
      </c>
      <c r="H283" s="14">
        <f t="shared" si="81"/>
        <v>321.25</v>
      </c>
      <c r="I283" s="15">
        <f t="shared" si="82"/>
        <v>2.3416670000000002</v>
      </c>
      <c r="J283" s="15">
        <f t="shared" si="83"/>
        <v>3876.9202059999998</v>
      </c>
      <c r="K283" s="15">
        <f t="shared" si="84"/>
        <v>2.8969202059999999</v>
      </c>
      <c r="L283" s="15">
        <f t="shared" si="85"/>
        <v>1594.938885</v>
      </c>
      <c r="M283" s="15">
        <v>1589.5</v>
      </c>
      <c r="N283" s="14">
        <f t="shared" si="86"/>
        <v>1.5949388849999999</v>
      </c>
      <c r="O283" s="14">
        <f t="shared" si="87"/>
        <v>1.5885099999999999</v>
      </c>
      <c r="P283" s="14">
        <f t="shared" si="88"/>
        <v>6.4288850000000508E-3</v>
      </c>
      <c r="Q283" s="18">
        <f t="shared" si="89"/>
        <v>4.0471164802236377E-3</v>
      </c>
      <c r="R283" s="15">
        <f t="shared" ca="1" si="90"/>
        <v>5.8180293644314869</v>
      </c>
      <c r="S283" s="15">
        <f t="shared" si="91"/>
        <v>5.8586981720430096</v>
      </c>
      <c r="T283" s="15">
        <f t="shared" ca="1" si="92"/>
        <v>4.0668807611522695E-2</v>
      </c>
      <c r="U283" s="18">
        <f t="shared" ca="1" si="93"/>
        <v>6.9416116716149107E-3</v>
      </c>
      <c r="V283" s="15">
        <f t="shared" si="94"/>
        <v>2.3416666666666677</v>
      </c>
      <c r="W283" s="15">
        <f t="shared" ca="1" si="95"/>
        <v>2.1819706355685131</v>
      </c>
      <c r="X283" s="15">
        <f t="shared" ca="1" si="96"/>
        <v>0.15969603109815456</v>
      </c>
      <c r="Y283" s="35">
        <f t="shared" ca="1" si="97"/>
        <v>6.8197593351525046E-2</v>
      </c>
      <c r="Z283" s="36">
        <f t="shared" ca="1" si="98"/>
        <v>46.183647999999998</v>
      </c>
      <c r="AA283" s="18">
        <f t="shared" ca="1" si="99"/>
        <v>3.9840997920997989E-2</v>
      </c>
      <c r="AB283" s="2"/>
    </row>
    <row r="284" spans="6:28" x14ac:dyDescent="0.25">
      <c r="F284" s="14">
        <v>282</v>
      </c>
      <c r="G284" s="14">
        <f t="shared" si="80"/>
        <v>48.2</v>
      </c>
      <c r="H284" s="14">
        <f t="shared" si="81"/>
        <v>321.34999999999997</v>
      </c>
      <c r="I284" s="15">
        <f t="shared" si="82"/>
        <v>2.35</v>
      </c>
      <c r="J284" s="15">
        <f t="shared" si="83"/>
        <v>3862.0563780000002</v>
      </c>
      <c r="K284" s="15">
        <f t="shared" si="84"/>
        <v>2.8820563780000001</v>
      </c>
      <c r="L284" s="15">
        <f t="shared" si="85"/>
        <v>1592.443397</v>
      </c>
      <c r="M284" s="15">
        <v>1587.09</v>
      </c>
      <c r="N284" s="14">
        <f t="shared" si="86"/>
        <v>1.592443397</v>
      </c>
      <c r="O284" s="14">
        <f t="shared" si="87"/>
        <v>1.58622</v>
      </c>
      <c r="P284" s="14">
        <f t="shared" si="88"/>
        <v>6.2233970000000749E-3</v>
      </c>
      <c r="Q284" s="18">
        <f t="shared" si="89"/>
        <v>3.9234135239752839E-3</v>
      </c>
      <c r="R284" s="15">
        <f t="shared" ca="1" si="90"/>
        <v>5.8089371370262386</v>
      </c>
      <c r="S284" s="15">
        <f t="shared" si="91"/>
        <v>5.8502522580645158</v>
      </c>
      <c r="T284" s="15">
        <f t="shared" ca="1" si="92"/>
        <v>4.1315121038277169E-2</v>
      </c>
      <c r="U284" s="18">
        <f t="shared" ca="1" si="93"/>
        <v>7.0621093272216903E-3</v>
      </c>
      <c r="V284" s="15">
        <f t="shared" si="94"/>
        <v>2.3499999999999996</v>
      </c>
      <c r="W284" s="15">
        <f t="shared" ca="1" si="95"/>
        <v>2.1910628629737614</v>
      </c>
      <c r="X284" s="15">
        <f t="shared" ca="1" si="96"/>
        <v>0.15893713702623824</v>
      </c>
      <c r="Y284" s="35">
        <f t="shared" ca="1" si="97"/>
        <v>6.763282426648437E-2</v>
      </c>
      <c r="Z284" s="36">
        <f t="shared" ca="1" si="98"/>
        <v>46.292754000000002</v>
      </c>
      <c r="AA284" s="18">
        <f t="shared" ca="1" si="99"/>
        <v>3.9569419087136938E-2</v>
      </c>
      <c r="AB284" s="2"/>
    </row>
    <row r="285" spans="6:28" x14ac:dyDescent="0.25">
      <c r="F285" s="14">
        <v>283</v>
      </c>
      <c r="G285" s="14">
        <f t="shared" si="80"/>
        <v>48.3</v>
      </c>
      <c r="H285" s="14">
        <f t="shared" si="81"/>
        <v>321.45</v>
      </c>
      <c r="I285" s="15">
        <f t="shared" si="82"/>
        <v>2.358333</v>
      </c>
      <c r="J285" s="15">
        <f t="shared" si="83"/>
        <v>3847.2576479999998</v>
      </c>
      <c r="K285" s="15">
        <f t="shared" si="84"/>
        <v>2.8672576479999998</v>
      </c>
      <c r="L285" s="15">
        <f t="shared" si="85"/>
        <v>1589.947617</v>
      </c>
      <c r="M285" s="15">
        <v>1584.31</v>
      </c>
      <c r="N285" s="14">
        <f t="shared" si="86"/>
        <v>1.5899476170000002</v>
      </c>
      <c r="O285" s="14">
        <f t="shared" si="87"/>
        <v>1.5839300000000001</v>
      </c>
      <c r="P285" s="14">
        <f t="shared" si="88"/>
        <v>6.0176170000001417E-3</v>
      </c>
      <c r="Q285" s="18">
        <f t="shared" si="89"/>
        <v>3.7991685238616237E-3</v>
      </c>
      <c r="R285" s="15">
        <f t="shared" ca="1" si="90"/>
        <v>5.7986564985422744</v>
      </c>
      <c r="S285" s="15">
        <f t="shared" si="91"/>
        <v>5.8418063440860211</v>
      </c>
      <c r="T285" s="15">
        <f t="shared" ca="1" si="92"/>
        <v>4.3149845543746679E-2</v>
      </c>
      <c r="U285" s="18">
        <f t="shared" ca="1" si="93"/>
        <v>7.3863875319026316E-3</v>
      </c>
      <c r="V285" s="15">
        <f t="shared" si="94"/>
        <v>2.3583333333333334</v>
      </c>
      <c r="W285" s="15">
        <f t="shared" ca="1" si="95"/>
        <v>2.2013435014577256</v>
      </c>
      <c r="X285" s="15">
        <f t="shared" ca="1" si="96"/>
        <v>0.15698983187560778</v>
      </c>
      <c r="Y285" s="35">
        <f t="shared" ca="1" si="97"/>
        <v>6.6568126590363721E-2</v>
      </c>
      <c r="Z285" s="36">
        <f t="shared" ca="1" si="98"/>
        <v>46.416122000000001</v>
      </c>
      <c r="AA285" s="18">
        <f t="shared" ca="1" si="99"/>
        <v>3.9003685300206953E-2</v>
      </c>
      <c r="AB285" s="2"/>
    </row>
    <row r="286" spans="6:28" x14ac:dyDescent="0.25">
      <c r="F286" s="14">
        <v>284</v>
      </c>
      <c r="G286" s="14">
        <f t="shared" si="80"/>
        <v>48.400000000000006</v>
      </c>
      <c r="H286" s="14">
        <f t="shared" si="81"/>
        <v>321.54999999999995</v>
      </c>
      <c r="I286" s="15">
        <f t="shared" si="82"/>
        <v>2.3666670000000001</v>
      </c>
      <c r="J286" s="15">
        <f t="shared" si="83"/>
        <v>3832.5236989999999</v>
      </c>
      <c r="K286" s="15">
        <f t="shared" si="84"/>
        <v>2.8525236989999998</v>
      </c>
      <c r="L286" s="15">
        <f t="shared" si="85"/>
        <v>1587.4515630000001</v>
      </c>
      <c r="M286" s="15">
        <v>1581.71</v>
      </c>
      <c r="N286" s="14">
        <f t="shared" si="86"/>
        <v>1.5874515629999999</v>
      </c>
      <c r="O286" s="14">
        <f t="shared" si="87"/>
        <v>1.5816399999999997</v>
      </c>
      <c r="P286" s="14">
        <f t="shared" si="88"/>
        <v>5.8115630000001861E-3</v>
      </c>
      <c r="Q286" s="18">
        <f t="shared" si="89"/>
        <v>3.6743905060571225E-3</v>
      </c>
      <c r="R286" s="15">
        <f t="shared" ca="1" si="90"/>
        <v>5.7899368629737618</v>
      </c>
      <c r="S286" s="15">
        <f t="shared" si="91"/>
        <v>5.8333604301075255</v>
      </c>
      <c r="T286" s="15">
        <f t="shared" ca="1" si="92"/>
        <v>4.3423567133763719E-2</v>
      </c>
      <c r="U286" s="18">
        <f t="shared" ca="1" si="93"/>
        <v>7.4440055014675819E-3</v>
      </c>
      <c r="V286" s="15">
        <f t="shared" si="94"/>
        <v>2.3666666666666671</v>
      </c>
      <c r="W286" s="15">
        <f t="shared" ca="1" si="95"/>
        <v>2.2100631370262382</v>
      </c>
      <c r="X286" s="15">
        <f t="shared" ca="1" si="96"/>
        <v>0.1566035296404289</v>
      </c>
      <c r="Y286" s="35">
        <f t="shared" ca="1" si="97"/>
        <v>6.6170505481871353E-2</v>
      </c>
      <c r="Z286" s="36">
        <f t="shared" ca="1" si="98"/>
        <v>46.520758000000001</v>
      </c>
      <c r="AA286" s="18">
        <f t="shared" ca="1" si="99"/>
        <v>3.8827314049586878E-2</v>
      </c>
      <c r="AB286" s="2"/>
    </row>
    <row r="287" spans="6:28" x14ac:dyDescent="0.25">
      <c r="F287" s="14">
        <v>285</v>
      </c>
      <c r="G287" s="14">
        <f t="shared" si="80"/>
        <v>48.5</v>
      </c>
      <c r="H287" s="14">
        <f t="shared" si="81"/>
        <v>321.64999999999998</v>
      </c>
      <c r="I287" s="15">
        <f t="shared" si="82"/>
        <v>2.375</v>
      </c>
      <c r="J287" s="15">
        <f t="shared" si="83"/>
        <v>3817.8542130000001</v>
      </c>
      <c r="K287" s="15">
        <f t="shared" si="84"/>
        <v>2.837854213</v>
      </c>
      <c r="L287" s="15">
        <f t="shared" si="85"/>
        <v>1584.9552530000001</v>
      </c>
      <c r="M287" s="15">
        <v>1579.29</v>
      </c>
      <c r="N287" s="14">
        <f t="shared" si="86"/>
        <v>1.584955253</v>
      </c>
      <c r="O287" s="14">
        <f t="shared" si="87"/>
        <v>1.57935</v>
      </c>
      <c r="P287" s="14">
        <f t="shared" si="88"/>
        <v>5.6052529999999212E-3</v>
      </c>
      <c r="Q287" s="18">
        <f t="shared" si="89"/>
        <v>3.5490885490865997E-3</v>
      </c>
      <c r="R287" s="15">
        <f t="shared" ca="1" si="90"/>
        <v>5.7812387725947509</v>
      </c>
      <c r="S287" s="15">
        <f t="shared" si="91"/>
        <v>5.8249145161290325</v>
      </c>
      <c r="T287" s="15">
        <f t="shared" ca="1" si="92"/>
        <v>4.3675743534281608E-2</v>
      </c>
      <c r="U287" s="18">
        <f t="shared" ca="1" si="93"/>
        <v>7.4980917596892864E-3</v>
      </c>
      <c r="V287" s="15">
        <f t="shared" si="94"/>
        <v>2.3749999999999991</v>
      </c>
      <c r="W287" s="15">
        <f t="shared" ca="1" si="95"/>
        <v>2.2187612274052491</v>
      </c>
      <c r="X287" s="15">
        <f t="shared" ca="1" si="96"/>
        <v>0.15623877259475005</v>
      </c>
      <c r="Y287" s="35">
        <f t="shared" ca="1" si="97"/>
        <v>6.5784746355684251E-2</v>
      </c>
      <c r="Z287" s="36">
        <f t="shared" ca="1" si="98"/>
        <v>46.625135</v>
      </c>
      <c r="AA287" s="18">
        <f t="shared" ca="1" si="99"/>
        <v>3.8657010309278345E-2</v>
      </c>
      <c r="AB287" s="2"/>
    </row>
    <row r="288" spans="6:28" x14ac:dyDescent="0.25">
      <c r="F288" s="14">
        <v>286</v>
      </c>
      <c r="G288" s="14">
        <f t="shared" si="80"/>
        <v>48.6</v>
      </c>
      <c r="H288" s="14">
        <f t="shared" si="81"/>
        <v>321.75</v>
      </c>
      <c r="I288" s="15">
        <f t="shared" si="82"/>
        <v>2.3833329999999999</v>
      </c>
      <c r="J288" s="15">
        <f t="shared" si="83"/>
        <v>3803.248877</v>
      </c>
      <c r="K288" s="15">
        <f t="shared" si="84"/>
        <v>2.8232488770000002</v>
      </c>
      <c r="L288" s="15">
        <f t="shared" si="85"/>
        <v>1582.458705</v>
      </c>
      <c r="M288" s="15">
        <v>1576.86</v>
      </c>
      <c r="N288" s="14">
        <f t="shared" si="86"/>
        <v>1.5824587049999999</v>
      </c>
      <c r="O288" s="14">
        <f t="shared" si="87"/>
        <v>1.5770599999999999</v>
      </c>
      <c r="P288" s="14">
        <f t="shared" si="88"/>
        <v>5.3987049999999481E-3</v>
      </c>
      <c r="Q288" s="18">
        <f t="shared" si="89"/>
        <v>3.4232717842060216E-3</v>
      </c>
      <c r="R288" s="15">
        <f t="shared" ca="1" si="90"/>
        <v>5.7713394985422743</v>
      </c>
      <c r="S288" s="15">
        <f t="shared" si="91"/>
        <v>5.816468602150537</v>
      </c>
      <c r="T288" s="15">
        <f t="shared" ca="1" si="92"/>
        <v>4.5129103608262611E-2</v>
      </c>
      <c r="U288" s="18">
        <f t="shared" ca="1" si="93"/>
        <v>7.7588493457313463E-3</v>
      </c>
      <c r="V288" s="15">
        <f t="shared" si="94"/>
        <v>2.3833333333333337</v>
      </c>
      <c r="W288" s="15">
        <f t="shared" ca="1" si="95"/>
        <v>2.2286605014577257</v>
      </c>
      <c r="X288" s="15">
        <f t="shared" ca="1" si="96"/>
        <v>0.1546728318756081</v>
      </c>
      <c r="Y288" s="35">
        <f t="shared" ca="1" si="97"/>
        <v>6.4897691696059329E-2</v>
      </c>
      <c r="Z288" s="36">
        <f t="shared" ca="1" si="98"/>
        <v>46.743926000000002</v>
      </c>
      <c r="AA288" s="18">
        <f t="shared" ca="1" si="99"/>
        <v>3.8190823045267483E-2</v>
      </c>
      <c r="AB288" s="2"/>
    </row>
    <row r="289" spans="6:28" x14ac:dyDescent="0.25">
      <c r="F289" s="14">
        <v>287</v>
      </c>
      <c r="G289" s="14">
        <f t="shared" si="80"/>
        <v>48.7</v>
      </c>
      <c r="H289" s="14">
        <f t="shared" si="81"/>
        <v>321.84999999999997</v>
      </c>
      <c r="I289" s="15">
        <f t="shared" si="82"/>
        <v>2.391667</v>
      </c>
      <c r="J289" s="15">
        <f t="shared" si="83"/>
        <v>3788.7073759999998</v>
      </c>
      <c r="K289" s="15">
        <f t="shared" si="84"/>
        <v>2.8087073760000001</v>
      </c>
      <c r="L289" s="15">
        <f t="shared" si="85"/>
        <v>1579.961937</v>
      </c>
      <c r="M289" s="15">
        <v>1574.24</v>
      </c>
      <c r="N289" s="14">
        <f t="shared" si="86"/>
        <v>1.579961937</v>
      </c>
      <c r="O289" s="14">
        <f t="shared" si="87"/>
        <v>1.5747699999999998</v>
      </c>
      <c r="P289" s="14">
        <f t="shared" si="88"/>
        <v>5.1919370000002019E-3</v>
      </c>
      <c r="Q289" s="18">
        <f t="shared" si="89"/>
        <v>3.29694939578491E-3</v>
      </c>
      <c r="R289" s="15">
        <f t="shared" ca="1" si="90"/>
        <v>5.7622324985422742</v>
      </c>
      <c r="S289" s="15">
        <f t="shared" si="91"/>
        <v>5.8080226881720423</v>
      </c>
      <c r="T289" s="15">
        <f t="shared" ca="1" si="92"/>
        <v>4.5790189629768108E-2</v>
      </c>
      <c r="U289" s="18">
        <f t="shared" ca="1" si="93"/>
        <v>7.8839550201859915E-3</v>
      </c>
      <c r="V289" s="15">
        <f t="shared" si="94"/>
        <v>2.3916666666666666</v>
      </c>
      <c r="W289" s="15">
        <f t="shared" ca="1" si="95"/>
        <v>2.2377675014577258</v>
      </c>
      <c r="X289" s="15">
        <f t="shared" ca="1" si="96"/>
        <v>0.15389916520894076</v>
      </c>
      <c r="Y289" s="35">
        <f t="shared" ca="1" si="97"/>
        <v>6.434808301419126E-2</v>
      </c>
      <c r="Z289" s="36">
        <f t="shared" ca="1" si="98"/>
        <v>46.853209999999997</v>
      </c>
      <c r="AA289" s="18">
        <f t="shared" ca="1" si="99"/>
        <v>3.7921765913757816E-2</v>
      </c>
      <c r="AB289" s="2"/>
    </row>
    <row r="290" spans="6:28" x14ac:dyDescent="0.25">
      <c r="F290" s="14">
        <v>288</v>
      </c>
      <c r="G290" s="14">
        <f t="shared" si="80"/>
        <v>48.8</v>
      </c>
      <c r="H290" s="14">
        <f t="shared" si="81"/>
        <v>321.95</v>
      </c>
      <c r="I290" s="15">
        <f t="shared" si="82"/>
        <v>2.4</v>
      </c>
      <c r="J290" s="15">
        <f t="shared" si="83"/>
        <v>3774.2294000000002</v>
      </c>
      <c r="K290" s="15">
        <f t="shared" si="84"/>
        <v>2.7942294000000003</v>
      </c>
      <c r="L290" s="15">
        <f t="shared" si="85"/>
        <v>1577.4649690000001</v>
      </c>
      <c r="M290" s="15">
        <v>1571.8</v>
      </c>
      <c r="N290" s="14">
        <f t="shared" si="86"/>
        <v>1.577464969</v>
      </c>
      <c r="O290" s="14">
        <f t="shared" si="87"/>
        <v>1.5724800000000001</v>
      </c>
      <c r="P290" s="14">
        <f t="shared" si="88"/>
        <v>4.9849689999998947E-3</v>
      </c>
      <c r="Q290" s="18">
        <f t="shared" si="89"/>
        <v>3.1701318935693262E-3</v>
      </c>
      <c r="R290" s="15">
        <f t="shared" ca="1" si="90"/>
        <v>5.7531244985422738</v>
      </c>
      <c r="S290" s="15">
        <f t="shared" si="91"/>
        <v>5.7995767741935484</v>
      </c>
      <c r="T290" s="15">
        <f t="shared" ca="1" si="92"/>
        <v>4.6452275651274633E-2</v>
      </c>
      <c r="U290" s="18">
        <f t="shared" ca="1" si="93"/>
        <v>8.0095975033857517E-3</v>
      </c>
      <c r="V290" s="15">
        <f t="shared" si="94"/>
        <v>2.3999999999999995</v>
      </c>
      <c r="W290" s="15">
        <f t="shared" ca="1" si="95"/>
        <v>2.2468755014577262</v>
      </c>
      <c r="X290" s="15">
        <f t="shared" ca="1" si="96"/>
        <v>0.15312449854227328</v>
      </c>
      <c r="Y290" s="35">
        <f t="shared" ca="1" si="97"/>
        <v>6.380187439261388E-2</v>
      </c>
      <c r="Z290" s="36">
        <f t="shared" ca="1" si="98"/>
        <v>46.962505999999998</v>
      </c>
      <c r="AA290" s="18">
        <f t="shared" ca="1" si="99"/>
        <v>3.7653565573770482E-2</v>
      </c>
      <c r="AB290" s="2"/>
    </row>
    <row r="291" spans="6:28" x14ac:dyDescent="0.25">
      <c r="F291" s="14">
        <v>289</v>
      </c>
      <c r="G291" s="14">
        <f t="shared" si="80"/>
        <v>48.900000000000006</v>
      </c>
      <c r="H291" s="14">
        <f t="shared" si="81"/>
        <v>322.04999999999995</v>
      </c>
      <c r="I291" s="15">
        <f t="shared" si="82"/>
        <v>2.4083329999999998</v>
      </c>
      <c r="J291" s="15">
        <f t="shared" si="83"/>
        <v>3759.8146390000002</v>
      </c>
      <c r="K291" s="15">
        <f t="shared" si="84"/>
        <v>2.779814639</v>
      </c>
      <c r="L291" s="15">
        <f t="shared" si="85"/>
        <v>1574.9678180000001</v>
      </c>
      <c r="M291" s="15">
        <v>1569.36</v>
      </c>
      <c r="N291" s="14">
        <f t="shared" si="86"/>
        <v>1.5749678180000002</v>
      </c>
      <c r="O291" s="14">
        <f t="shared" si="87"/>
        <v>1.5701899999999998</v>
      </c>
      <c r="P291" s="14">
        <f t="shared" si="88"/>
        <v>4.7778180000004333E-3</v>
      </c>
      <c r="Q291" s="18">
        <f t="shared" si="89"/>
        <v>3.042827938020516E-3</v>
      </c>
      <c r="R291" s="15">
        <f t="shared" ca="1" si="90"/>
        <v>5.7448087725947516</v>
      </c>
      <c r="S291" s="15">
        <f t="shared" si="91"/>
        <v>5.7911308602150529</v>
      </c>
      <c r="T291" s="15">
        <f t="shared" ca="1" si="92"/>
        <v>4.6322087620301211E-2</v>
      </c>
      <c r="U291" s="18">
        <f t="shared" ca="1" si="93"/>
        <v>7.998798289731799E-3</v>
      </c>
      <c r="V291" s="15">
        <f t="shared" si="94"/>
        <v>2.4083333333333341</v>
      </c>
      <c r="W291" s="15">
        <f t="shared" ca="1" si="95"/>
        <v>2.2551912274052484</v>
      </c>
      <c r="X291" s="15">
        <f t="shared" ca="1" si="96"/>
        <v>0.15314210592808575</v>
      </c>
      <c r="Y291" s="35">
        <f t="shared" ca="1" si="97"/>
        <v>6.358841768640236E-2</v>
      </c>
      <c r="Z291" s="36">
        <f t="shared" ca="1" si="98"/>
        <v>47.062294999999999</v>
      </c>
      <c r="AA291" s="18">
        <f t="shared" ca="1" si="99"/>
        <v>3.7580879345603405E-2</v>
      </c>
      <c r="AB291" s="2"/>
    </row>
    <row r="292" spans="6:28" x14ac:dyDescent="0.25">
      <c r="F292" s="14">
        <v>290</v>
      </c>
      <c r="G292" s="14">
        <f t="shared" si="80"/>
        <v>49</v>
      </c>
      <c r="H292" s="14">
        <f t="shared" si="81"/>
        <v>322.14999999999998</v>
      </c>
      <c r="I292" s="15">
        <f t="shared" si="82"/>
        <v>2.4166669999999999</v>
      </c>
      <c r="J292" s="15">
        <f t="shared" si="83"/>
        <v>3745.4627850000002</v>
      </c>
      <c r="K292" s="15">
        <f t="shared" si="84"/>
        <v>2.7654627850000004</v>
      </c>
      <c r="L292" s="15">
        <f t="shared" si="85"/>
        <v>1572.470503</v>
      </c>
      <c r="M292" s="15">
        <v>1566.73</v>
      </c>
      <c r="N292" s="14">
        <f t="shared" si="86"/>
        <v>1.5724705029999999</v>
      </c>
      <c r="O292" s="14">
        <f t="shared" si="87"/>
        <v>1.5678999999999998</v>
      </c>
      <c r="P292" s="14">
        <f t="shared" si="88"/>
        <v>4.570503000000059E-3</v>
      </c>
      <c r="Q292" s="18">
        <f t="shared" si="89"/>
        <v>2.9150475157854834E-3</v>
      </c>
      <c r="R292" s="15">
        <f t="shared" ca="1" si="90"/>
        <v>5.7349074985422739</v>
      </c>
      <c r="S292" s="15">
        <f t="shared" si="91"/>
        <v>5.7826849462365582</v>
      </c>
      <c r="T292" s="15">
        <f t="shared" ca="1" si="92"/>
        <v>4.777744769428427E-2</v>
      </c>
      <c r="U292" s="18">
        <f t="shared" ca="1" si="93"/>
        <v>8.2621564443655909E-3</v>
      </c>
      <c r="V292" s="15">
        <f t="shared" si="94"/>
        <v>2.416666666666667</v>
      </c>
      <c r="W292" s="15">
        <f t="shared" ca="1" si="95"/>
        <v>2.2650925014577261</v>
      </c>
      <c r="X292" s="15">
        <f t="shared" ca="1" si="96"/>
        <v>0.15157416520894085</v>
      </c>
      <c r="Y292" s="35">
        <f t="shared" ca="1" si="97"/>
        <v>6.272034422438931E-2</v>
      </c>
      <c r="Z292" s="36">
        <f t="shared" ca="1" si="98"/>
        <v>47.181109999999997</v>
      </c>
      <c r="AA292" s="18">
        <f t="shared" ca="1" si="99"/>
        <v>3.7120204081632718E-2</v>
      </c>
      <c r="AB292" s="2"/>
    </row>
    <row r="293" spans="6:28" x14ac:dyDescent="0.25">
      <c r="F293" s="14">
        <v>291</v>
      </c>
      <c r="G293" s="14">
        <f t="shared" si="80"/>
        <v>49.1</v>
      </c>
      <c r="H293" s="14">
        <f t="shared" si="81"/>
        <v>322.25</v>
      </c>
      <c r="I293" s="15">
        <f t="shared" si="82"/>
        <v>2.4249999999999998</v>
      </c>
      <c r="J293" s="15">
        <f t="shared" si="83"/>
        <v>3731.1735309999999</v>
      </c>
      <c r="K293" s="15">
        <f t="shared" si="84"/>
        <v>2.7511735310000001</v>
      </c>
      <c r="L293" s="15">
        <f t="shared" si="85"/>
        <v>1569.9730420000001</v>
      </c>
      <c r="M293" s="15">
        <v>1563.9</v>
      </c>
      <c r="N293" s="14">
        <f t="shared" si="86"/>
        <v>1.569973042</v>
      </c>
      <c r="O293" s="14">
        <f t="shared" si="87"/>
        <v>1.5656099999999999</v>
      </c>
      <c r="P293" s="14">
        <f t="shared" si="88"/>
        <v>4.3630420000000392E-3</v>
      </c>
      <c r="Q293" s="18">
        <f t="shared" si="89"/>
        <v>2.7868000332139163E-3</v>
      </c>
      <c r="R293" s="15">
        <f t="shared" ca="1" si="90"/>
        <v>5.7261936355685128</v>
      </c>
      <c r="S293" s="15">
        <f t="shared" si="91"/>
        <v>5.7742390322580643</v>
      </c>
      <c r="T293" s="15">
        <f t="shared" ca="1" si="92"/>
        <v>4.8045396689551545E-2</v>
      </c>
      <c r="U293" s="18">
        <f t="shared" ca="1" si="93"/>
        <v>8.3206456160099408E-3</v>
      </c>
      <c r="V293" s="15">
        <f t="shared" si="94"/>
        <v>2.4249999999999998</v>
      </c>
      <c r="W293" s="15">
        <f t="shared" ca="1" si="95"/>
        <v>2.2738063644314872</v>
      </c>
      <c r="X293" s="15">
        <f t="shared" ca="1" si="96"/>
        <v>0.15119363556851262</v>
      </c>
      <c r="Y293" s="35">
        <f t="shared" ca="1" si="97"/>
        <v>6.2347890956087684E-2</v>
      </c>
      <c r="Z293" s="36">
        <f t="shared" ca="1" si="98"/>
        <v>47.285676000000002</v>
      </c>
      <c r="AA293" s="18">
        <f t="shared" ca="1" si="99"/>
        <v>3.6951608961303443E-2</v>
      </c>
      <c r="AB293" s="2"/>
    </row>
    <row r="294" spans="6:28" x14ac:dyDescent="0.25">
      <c r="F294" s="14">
        <v>292</v>
      </c>
      <c r="G294" s="14">
        <f t="shared" si="80"/>
        <v>49.2</v>
      </c>
      <c r="H294" s="14">
        <f t="shared" si="81"/>
        <v>322.34999999999997</v>
      </c>
      <c r="I294" s="15">
        <f t="shared" si="82"/>
        <v>2.4333330000000002</v>
      </c>
      <c r="J294" s="15">
        <f t="shared" si="83"/>
        <v>3716.9465730000002</v>
      </c>
      <c r="K294" s="15">
        <f t="shared" si="84"/>
        <v>2.7369465730000004</v>
      </c>
      <c r="L294" s="15">
        <f t="shared" si="85"/>
        <v>1567.475453</v>
      </c>
      <c r="M294" s="15">
        <v>1561.81</v>
      </c>
      <c r="N294" s="14">
        <f t="shared" si="86"/>
        <v>1.5674754530000001</v>
      </c>
      <c r="O294" s="14">
        <f t="shared" si="87"/>
        <v>1.5633199999999998</v>
      </c>
      <c r="P294" s="14">
        <f t="shared" si="88"/>
        <v>4.1554530000003087E-3</v>
      </c>
      <c r="Q294" s="18">
        <f t="shared" si="89"/>
        <v>2.6580949517695093E-3</v>
      </c>
      <c r="R294" s="15">
        <f t="shared" ca="1" si="90"/>
        <v>5.717865137026239</v>
      </c>
      <c r="S294" s="15">
        <f t="shared" si="91"/>
        <v>5.7657931182795688</v>
      </c>
      <c r="T294" s="15">
        <f t="shared" ca="1" si="92"/>
        <v>4.7927981253329754E-2</v>
      </c>
      <c r="U294" s="18">
        <f t="shared" ca="1" si="93"/>
        <v>8.3124698146697963E-3</v>
      </c>
      <c r="V294" s="15">
        <f t="shared" si="94"/>
        <v>2.4333333333333336</v>
      </c>
      <c r="W294" s="15">
        <f t="shared" ca="1" si="95"/>
        <v>2.282134862973761</v>
      </c>
      <c r="X294" s="15">
        <f t="shared" ca="1" si="96"/>
        <v>0.15119847035957257</v>
      </c>
      <c r="Y294" s="35">
        <f t="shared" ca="1" si="97"/>
        <v>6.213635768201612E-2</v>
      </c>
      <c r="Z294" s="36">
        <f t="shared" ca="1" si="98"/>
        <v>47.385618000000001</v>
      </c>
      <c r="AA294" s="18">
        <f t="shared" ca="1" si="99"/>
        <v>3.6877682926829303E-2</v>
      </c>
      <c r="AB294" s="2"/>
    </row>
    <row r="295" spans="6:28" x14ac:dyDescent="0.25">
      <c r="F295" s="14">
        <v>293</v>
      </c>
      <c r="G295" s="14">
        <f t="shared" si="80"/>
        <v>49.3</v>
      </c>
      <c r="H295" s="14">
        <f t="shared" si="81"/>
        <v>322.45</v>
      </c>
      <c r="I295" s="15">
        <f t="shared" si="82"/>
        <v>2.4416669999999998</v>
      </c>
      <c r="J295" s="15">
        <f t="shared" si="83"/>
        <v>3702.7816069999999</v>
      </c>
      <c r="K295" s="15">
        <f t="shared" si="84"/>
        <v>2.7227816069999999</v>
      </c>
      <c r="L295" s="15">
        <f t="shared" si="85"/>
        <v>1564.9777549999999</v>
      </c>
      <c r="M295" s="15">
        <v>1559.16</v>
      </c>
      <c r="N295" s="14">
        <f t="shared" si="86"/>
        <v>1.5649777550000001</v>
      </c>
      <c r="O295" s="14">
        <f t="shared" si="87"/>
        <v>1.5610299999999999</v>
      </c>
      <c r="P295" s="14">
        <f t="shared" si="88"/>
        <v>3.9477550000002193E-3</v>
      </c>
      <c r="Q295" s="18">
        <f t="shared" si="89"/>
        <v>2.5289424290373787E-3</v>
      </c>
      <c r="R295" s="15">
        <f t="shared" ca="1" si="90"/>
        <v>5.7083697725947511</v>
      </c>
      <c r="S295" s="15">
        <f t="shared" si="91"/>
        <v>5.7573472043010749</v>
      </c>
      <c r="T295" s="15">
        <f t="shared" ca="1" si="92"/>
        <v>4.8977431706323848E-2</v>
      </c>
      <c r="U295" s="18">
        <f t="shared" ca="1" si="93"/>
        <v>8.5069442519872425E-3</v>
      </c>
      <c r="V295" s="15">
        <f t="shared" si="94"/>
        <v>2.4416666666666664</v>
      </c>
      <c r="W295" s="15">
        <f t="shared" ca="1" si="95"/>
        <v>2.2916302274052489</v>
      </c>
      <c r="X295" s="15">
        <f t="shared" ca="1" si="96"/>
        <v>0.15003643926141752</v>
      </c>
      <c r="Y295" s="35">
        <f t="shared" ca="1" si="97"/>
        <v>6.1448371028566907E-2</v>
      </c>
      <c r="Z295" s="36">
        <f t="shared" ca="1" si="98"/>
        <v>47.499563000000002</v>
      </c>
      <c r="AA295" s="18">
        <f t="shared" ca="1" si="99"/>
        <v>3.6520020283975566E-2</v>
      </c>
      <c r="AB295" s="2"/>
    </row>
    <row r="296" spans="6:28" x14ac:dyDescent="0.25">
      <c r="F296" s="14">
        <v>294</v>
      </c>
      <c r="G296" s="14">
        <f t="shared" si="80"/>
        <v>49.400000000000006</v>
      </c>
      <c r="H296" s="14">
        <f t="shared" si="81"/>
        <v>322.54999999999995</v>
      </c>
      <c r="I296" s="15">
        <f t="shared" si="82"/>
        <v>2.4500000000000002</v>
      </c>
      <c r="J296" s="15">
        <f t="shared" si="83"/>
        <v>3688.6783310000001</v>
      </c>
      <c r="K296" s="15">
        <f t="shared" si="84"/>
        <v>2.7086783310000002</v>
      </c>
      <c r="L296" s="15">
        <f t="shared" si="85"/>
        <v>1562.479965</v>
      </c>
      <c r="M296" s="15">
        <v>1556.51</v>
      </c>
      <c r="N296" s="14">
        <f t="shared" si="86"/>
        <v>1.5624799650000001</v>
      </c>
      <c r="O296" s="14">
        <f t="shared" si="87"/>
        <v>1.5587399999999998</v>
      </c>
      <c r="P296" s="14">
        <f t="shared" si="88"/>
        <v>3.7399650000002893E-3</v>
      </c>
      <c r="Q296" s="18">
        <f t="shared" si="89"/>
        <v>2.3993513992072377E-3</v>
      </c>
      <c r="R296" s="15">
        <f t="shared" ca="1" si="90"/>
        <v>5.6992479999999999</v>
      </c>
      <c r="S296" s="15">
        <f t="shared" si="91"/>
        <v>5.7489012903225793</v>
      </c>
      <c r="T296" s="15">
        <f t="shared" ca="1" si="92"/>
        <v>4.965329032257948E-2</v>
      </c>
      <c r="U296" s="18">
        <f t="shared" ca="1" si="93"/>
        <v>8.6370051971780097E-3</v>
      </c>
      <c r="V296" s="15">
        <f t="shared" si="94"/>
        <v>2.4500000000000011</v>
      </c>
      <c r="W296" s="15">
        <f t="shared" ca="1" si="95"/>
        <v>2.3007520000000001</v>
      </c>
      <c r="X296" s="15">
        <f t="shared" ca="1" si="96"/>
        <v>0.14924800000000094</v>
      </c>
      <c r="Y296" s="35">
        <f t="shared" ca="1" si="97"/>
        <v>6.0917551020408515E-2</v>
      </c>
      <c r="Z296" s="36">
        <f t="shared" ca="1" si="98"/>
        <v>47.609023999999998</v>
      </c>
      <c r="AA296" s="18">
        <f t="shared" ca="1" si="99"/>
        <v>3.6254574898785578E-2</v>
      </c>
      <c r="AB296" s="2"/>
    </row>
    <row r="297" spans="6:28" x14ac:dyDescent="0.25">
      <c r="F297" s="14">
        <v>295</v>
      </c>
      <c r="G297" s="14">
        <f t="shared" si="80"/>
        <v>49.5</v>
      </c>
      <c r="H297" s="14">
        <f t="shared" si="81"/>
        <v>322.64999999999998</v>
      </c>
      <c r="I297" s="15">
        <f t="shared" si="82"/>
        <v>2.4583330000000001</v>
      </c>
      <c r="J297" s="15">
        <f t="shared" si="83"/>
        <v>3674.6364469999999</v>
      </c>
      <c r="K297" s="15">
        <f t="shared" si="84"/>
        <v>2.6946364470000002</v>
      </c>
      <c r="L297" s="15">
        <f t="shared" si="85"/>
        <v>1559.9821019999999</v>
      </c>
      <c r="M297" s="15">
        <v>1554.22</v>
      </c>
      <c r="N297" s="14">
        <f t="shared" si="86"/>
        <v>1.5599821020000002</v>
      </c>
      <c r="O297" s="14">
        <f t="shared" si="87"/>
        <v>1.5564499999999999</v>
      </c>
      <c r="P297" s="14">
        <f t="shared" si="88"/>
        <v>3.5321020000003145E-3</v>
      </c>
      <c r="Q297" s="18">
        <f t="shared" si="89"/>
        <v>2.2693321340231391E-3</v>
      </c>
      <c r="R297" s="15">
        <f t="shared" ca="1" si="90"/>
        <v>5.6909185014577259</v>
      </c>
      <c r="S297" s="15">
        <f t="shared" si="91"/>
        <v>5.7404553763440855</v>
      </c>
      <c r="T297" s="15">
        <f t="shared" ca="1" si="92"/>
        <v>4.9536874886359605E-2</v>
      </c>
      <c r="U297" s="18">
        <f t="shared" ca="1" si="93"/>
        <v>8.6294329698122438E-3</v>
      </c>
      <c r="V297" s="15">
        <f t="shared" si="94"/>
        <v>2.458333333333333</v>
      </c>
      <c r="W297" s="15">
        <f t="shared" ca="1" si="95"/>
        <v>2.3090814985422741</v>
      </c>
      <c r="X297" s="15">
        <f t="shared" ca="1" si="96"/>
        <v>0.14925183479105897</v>
      </c>
      <c r="Y297" s="35">
        <f t="shared" ca="1" si="97"/>
        <v>6.0712610762464675E-2</v>
      </c>
      <c r="Z297" s="36">
        <f t="shared" ca="1" si="98"/>
        <v>47.708978000000002</v>
      </c>
      <c r="AA297" s="18">
        <f t="shared" ca="1" si="99"/>
        <v>3.618226262626259E-2</v>
      </c>
      <c r="AB297" s="2"/>
    </row>
    <row r="298" spans="6:28" x14ac:dyDescent="0.25">
      <c r="F298" s="14">
        <v>296</v>
      </c>
      <c r="G298" s="14">
        <f t="shared" si="80"/>
        <v>49.6</v>
      </c>
      <c r="H298" s="14">
        <f t="shared" si="81"/>
        <v>322.75</v>
      </c>
      <c r="I298" s="15">
        <f t="shared" si="82"/>
        <v>2.4666670000000002</v>
      </c>
      <c r="J298" s="15">
        <f t="shared" si="83"/>
        <v>3660.655655</v>
      </c>
      <c r="K298" s="15">
        <f t="shared" si="84"/>
        <v>2.6806556550000002</v>
      </c>
      <c r="L298" s="15">
        <f t="shared" si="85"/>
        <v>1557.4841839999999</v>
      </c>
      <c r="M298" s="15">
        <v>1551.55</v>
      </c>
      <c r="N298" s="14">
        <f t="shared" si="86"/>
        <v>1.557484184</v>
      </c>
      <c r="O298" s="14">
        <f t="shared" si="87"/>
        <v>1.55416</v>
      </c>
      <c r="P298" s="14">
        <f t="shared" si="88"/>
        <v>3.3241840000000078E-3</v>
      </c>
      <c r="Q298" s="18">
        <f t="shared" si="89"/>
        <v>2.1388943223348998E-3</v>
      </c>
      <c r="R298" s="15">
        <f t="shared" ca="1" si="90"/>
        <v>5.6818065014577259</v>
      </c>
      <c r="S298" s="15">
        <f t="shared" si="91"/>
        <v>5.7320094623655908</v>
      </c>
      <c r="T298" s="15">
        <f t="shared" ca="1" si="92"/>
        <v>5.0202960907864913E-2</v>
      </c>
      <c r="U298" s="18">
        <f t="shared" ca="1" si="93"/>
        <v>8.7583527622346648E-3</v>
      </c>
      <c r="V298" s="15">
        <f t="shared" si="94"/>
        <v>2.4666666666666668</v>
      </c>
      <c r="W298" s="15">
        <f t="shared" ca="1" si="95"/>
        <v>2.3181934985422741</v>
      </c>
      <c r="X298" s="15">
        <f t="shared" ca="1" si="96"/>
        <v>0.14847316812439271</v>
      </c>
      <c r="Y298" s="35">
        <f t="shared" ca="1" si="97"/>
        <v>6.0191824915294338E-2</v>
      </c>
      <c r="Z298" s="36">
        <f t="shared" ca="1" si="98"/>
        <v>47.818322000000002</v>
      </c>
      <c r="AA298" s="18">
        <f t="shared" ca="1" si="99"/>
        <v>3.5920927419354827E-2</v>
      </c>
      <c r="AB298" s="2"/>
    </row>
    <row r="299" spans="6:28" x14ac:dyDescent="0.25">
      <c r="F299" s="14">
        <v>297</v>
      </c>
      <c r="G299" s="14">
        <f t="shared" si="80"/>
        <v>49.7</v>
      </c>
      <c r="H299" s="14">
        <f t="shared" si="81"/>
        <v>322.84999999999997</v>
      </c>
      <c r="I299" s="15">
        <f t="shared" si="82"/>
        <v>2.4750000000000001</v>
      </c>
      <c r="J299" s="15">
        <f t="shared" si="83"/>
        <v>3646.7356589999999</v>
      </c>
      <c r="K299" s="15">
        <f t="shared" si="84"/>
        <v>2.666735659</v>
      </c>
      <c r="L299" s="15">
        <f t="shared" si="85"/>
        <v>1554.98623</v>
      </c>
      <c r="M299" s="15">
        <v>1549.25</v>
      </c>
      <c r="N299" s="14">
        <f t="shared" si="86"/>
        <v>1.5549862299999999</v>
      </c>
      <c r="O299" s="14">
        <f t="shared" si="87"/>
        <v>1.5518699999999999</v>
      </c>
      <c r="P299" s="14">
        <f t="shared" si="88"/>
        <v>3.1162300000000531E-3</v>
      </c>
      <c r="Q299" s="18">
        <f t="shared" si="89"/>
        <v>2.0080483545658165E-3</v>
      </c>
      <c r="R299" s="15">
        <f t="shared" ca="1" si="90"/>
        <v>5.6715286355685128</v>
      </c>
      <c r="S299" s="15">
        <f t="shared" si="91"/>
        <v>5.7235635483870961</v>
      </c>
      <c r="T299" s="15">
        <f t="shared" ca="1" si="92"/>
        <v>5.2034912818583301E-2</v>
      </c>
      <c r="U299" s="18">
        <f t="shared" ca="1" si="93"/>
        <v>9.0913488386525857E-3</v>
      </c>
      <c r="V299" s="15">
        <f t="shared" si="94"/>
        <v>2.4750000000000005</v>
      </c>
      <c r="W299" s="15">
        <f t="shared" ca="1" si="95"/>
        <v>2.3284713644314872</v>
      </c>
      <c r="X299" s="15">
        <f t="shared" ca="1" si="96"/>
        <v>0.14652863556851337</v>
      </c>
      <c r="Y299" s="35">
        <f t="shared" ca="1" si="97"/>
        <v>5.9203489118591246E-2</v>
      </c>
      <c r="Z299" s="36">
        <f t="shared" ca="1" si="98"/>
        <v>47.941656000000002</v>
      </c>
      <c r="AA299" s="18">
        <f t="shared" ca="1" si="99"/>
        <v>3.537915492957748E-2</v>
      </c>
      <c r="AB299" s="2"/>
    </row>
    <row r="300" spans="6:28" x14ac:dyDescent="0.25">
      <c r="F300" s="14">
        <v>298</v>
      </c>
      <c r="G300" s="14">
        <f t="shared" si="80"/>
        <v>49.8</v>
      </c>
      <c r="H300" s="14">
        <f t="shared" si="81"/>
        <v>322.95</v>
      </c>
      <c r="I300" s="15">
        <f t="shared" si="82"/>
        <v>2.483333</v>
      </c>
      <c r="J300" s="15">
        <f t="shared" si="83"/>
        <v>3632.8761639999998</v>
      </c>
      <c r="K300" s="15">
        <f t="shared" si="84"/>
        <v>2.6528761639999998</v>
      </c>
      <c r="L300" s="15">
        <f t="shared" si="85"/>
        <v>1552.488257</v>
      </c>
      <c r="M300" s="15">
        <v>1546.58</v>
      </c>
      <c r="N300" s="14">
        <f t="shared" si="86"/>
        <v>1.552488257</v>
      </c>
      <c r="O300" s="14">
        <f t="shared" si="87"/>
        <v>1.54958</v>
      </c>
      <c r="P300" s="14">
        <f t="shared" si="88"/>
        <v>2.9082570000000807E-3</v>
      </c>
      <c r="Q300" s="18">
        <f t="shared" si="89"/>
        <v>1.876803391886886E-3</v>
      </c>
      <c r="R300" s="15">
        <f t="shared" ca="1" si="90"/>
        <v>5.6627912274052488</v>
      </c>
      <c r="S300" s="15">
        <f t="shared" si="91"/>
        <v>5.7151176344086014</v>
      </c>
      <c r="T300" s="15">
        <f t="shared" ca="1" si="92"/>
        <v>5.2326407003352671E-2</v>
      </c>
      <c r="U300" s="18">
        <f t="shared" ca="1" si="93"/>
        <v>9.1557882707986281E-3</v>
      </c>
      <c r="V300" s="15">
        <f t="shared" si="94"/>
        <v>2.4833333333333334</v>
      </c>
      <c r="W300" s="15">
        <f t="shared" ca="1" si="95"/>
        <v>2.3372087725947512</v>
      </c>
      <c r="X300" s="15">
        <f t="shared" ca="1" si="96"/>
        <v>0.14612456073858215</v>
      </c>
      <c r="Y300" s="35">
        <f t="shared" ca="1" si="97"/>
        <v>5.8842104995402211E-2</v>
      </c>
      <c r="Z300" s="36">
        <f t="shared" ca="1" si="98"/>
        <v>48.046505000000003</v>
      </c>
      <c r="AA300" s="18">
        <f t="shared" ca="1" si="99"/>
        <v>3.5210742971887428E-2</v>
      </c>
      <c r="AB300" s="2"/>
    </row>
    <row r="301" spans="6:28" x14ac:dyDescent="0.25">
      <c r="F301" s="14">
        <v>299</v>
      </c>
      <c r="G301" s="14">
        <f t="shared" si="80"/>
        <v>49.900000000000006</v>
      </c>
      <c r="H301" s="14">
        <f t="shared" si="81"/>
        <v>323.04999999999995</v>
      </c>
      <c r="I301" s="15">
        <f t="shared" si="82"/>
        <v>2.4916670000000001</v>
      </c>
      <c r="J301" s="15">
        <f t="shared" si="83"/>
        <v>3619.0768760000001</v>
      </c>
      <c r="K301" s="15">
        <f t="shared" si="84"/>
        <v>2.6390768760000003</v>
      </c>
      <c r="L301" s="15">
        <f t="shared" si="85"/>
        <v>1549.990284</v>
      </c>
      <c r="M301" s="15">
        <v>1543.9</v>
      </c>
      <c r="N301" s="14">
        <f t="shared" si="86"/>
        <v>1.5499902839999999</v>
      </c>
      <c r="O301" s="14">
        <f t="shared" si="87"/>
        <v>1.5472899999999998</v>
      </c>
      <c r="P301" s="14">
        <f t="shared" si="88"/>
        <v>2.7002840000001083E-3</v>
      </c>
      <c r="Q301" s="18">
        <f t="shared" si="89"/>
        <v>1.7451699422862609E-3</v>
      </c>
      <c r="R301" s="15">
        <f t="shared" ca="1" si="90"/>
        <v>5.6532948629737616</v>
      </c>
      <c r="S301" s="15">
        <f t="shared" si="91"/>
        <v>5.7066717204301067</v>
      </c>
      <c r="T301" s="15">
        <f t="shared" ca="1" si="92"/>
        <v>5.3376857456345128E-2</v>
      </c>
      <c r="U301" s="18">
        <f t="shared" ca="1" si="93"/>
        <v>9.3534129999547546E-3</v>
      </c>
      <c r="V301" s="15">
        <f t="shared" si="94"/>
        <v>2.4916666666666671</v>
      </c>
      <c r="W301" s="15">
        <f t="shared" ca="1" si="95"/>
        <v>2.3467051370262384</v>
      </c>
      <c r="X301" s="15">
        <f t="shared" ca="1" si="96"/>
        <v>0.14496152964042874</v>
      </c>
      <c r="Y301" s="35">
        <f t="shared" ca="1" si="97"/>
        <v>5.8178540323917879E-2</v>
      </c>
      <c r="Z301" s="36">
        <f t="shared" ca="1" si="98"/>
        <v>48.160462000000003</v>
      </c>
      <c r="AA301" s="18">
        <f t="shared" ca="1" si="99"/>
        <v>3.4860480961923908E-2</v>
      </c>
      <c r="AB301" s="2"/>
    </row>
    <row r="302" spans="6:28" x14ac:dyDescent="0.25">
      <c r="F302" s="14">
        <v>300</v>
      </c>
      <c r="G302" s="14">
        <f t="shared" si="80"/>
        <v>50</v>
      </c>
      <c r="H302" s="14">
        <f t="shared" si="81"/>
        <v>323.14999999999998</v>
      </c>
      <c r="I302" s="15">
        <f t="shared" si="82"/>
        <v>2.5</v>
      </c>
      <c r="J302" s="15">
        <f t="shared" si="83"/>
        <v>3605.3375030000002</v>
      </c>
      <c r="K302" s="15">
        <f t="shared" si="84"/>
        <v>2.6253375030000003</v>
      </c>
      <c r="L302" s="15">
        <f t="shared" si="85"/>
        <v>1547.492328</v>
      </c>
      <c r="M302" s="15">
        <v>1541.76</v>
      </c>
      <c r="N302" s="14">
        <f t="shared" si="86"/>
        <v>1.5474923280000001</v>
      </c>
      <c r="O302" s="14">
        <f t="shared" si="87"/>
        <v>1.5449999999999999</v>
      </c>
      <c r="P302" s="14">
        <f t="shared" si="88"/>
        <v>2.4923280000002102E-3</v>
      </c>
      <c r="Q302" s="18">
        <f t="shared" si="89"/>
        <v>1.6131572815535342E-3</v>
      </c>
      <c r="R302" s="15">
        <f t="shared" ca="1" si="90"/>
        <v>5.6437974985422743</v>
      </c>
      <c r="S302" s="15">
        <f t="shared" si="91"/>
        <v>5.698225806451612</v>
      </c>
      <c r="T302" s="15">
        <f t="shared" ca="1" si="92"/>
        <v>5.4428307909337725E-2</v>
      </c>
      <c r="U302" s="18">
        <f t="shared" ca="1" si="93"/>
        <v>9.5517990613347096E-3</v>
      </c>
      <c r="V302" s="15">
        <f t="shared" si="94"/>
        <v>2.5</v>
      </c>
      <c r="W302" s="15">
        <f t="shared" ca="1" si="95"/>
        <v>2.3562025014577257</v>
      </c>
      <c r="X302" s="15">
        <f t="shared" ca="1" si="96"/>
        <v>0.1437974985422743</v>
      </c>
      <c r="Y302" s="35">
        <f t="shared" ca="1" si="97"/>
        <v>5.7518999416909723E-2</v>
      </c>
      <c r="Z302" s="36">
        <f t="shared" ca="1" si="98"/>
        <v>48.274430000000002</v>
      </c>
      <c r="AA302" s="18">
        <f t="shared" ca="1" si="99"/>
        <v>3.4511399999999949E-2</v>
      </c>
      <c r="AB302" s="2"/>
    </row>
    <row r="303" spans="6:28" x14ac:dyDescent="0.25">
      <c r="F303" s="14">
        <v>301</v>
      </c>
      <c r="G303" s="14">
        <f t="shared" si="80"/>
        <v>50.1</v>
      </c>
      <c r="H303" s="14">
        <f t="shared" si="81"/>
        <v>323.25</v>
      </c>
      <c r="I303" s="15">
        <f t="shared" si="82"/>
        <v>2.5083329999999999</v>
      </c>
      <c r="J303" s="15">
        <f t="shared" si="83"/>
        <v>3591.6577550000002</v>
      </c>
      <c r="K303" s="15">
        <f t="shared" si="84"/>
        <v>2.6116577550000004</v>
      </c>
      <c r="L303" s="15">
        <f t="shared" si="85"/>
        <v>1544.994408</v>
      </c>
      <c r="M303" s="15">
        <v>1539.25</v>
      </c>
      <c r="N303" s="14">
        <f t="shared" si="86"/>
        <v>1.544994408</v>
      </c>
      <c r="O303" s="14">
        <f t="shared" si="87"/>
        <v>1.5427099999999998</v>
      </c>
      <c r="P303" s="14">
        <f t="shared" si="88"/>
        <v>2.2844080000001821E-3</v>
      </c>
      <c r="Q303" s="18">
        <f t="shared" si="89"/>
        <v>1.4807760369740148E-3</v>
      </c>
      <c r="R303" s="15">
        <f t="shared" ca="1" si="90"/>
        <v>5.6354680000000004</v>
      </c>
      <c r="S303" s="15">
        <f t="shared" si="91"/>
        <v>5.6897798924731173</v>
      </c>
      <c r="T303" s="15">
        <f t="shared" ca="1" si="92"/>
        <v>5.4311892473116963E-2</v>
      </c>
      <c r="U303" s="18">
        <f t="shared" ca="1" si="93"/>
        <v>9.545517313413996E-3</v>
      </c>
      <c r="V303" s="15">
        <f t="shared" si="94"/>
        <v>2.5083333333333337</v>
      </c>
      <c r="W303" s="15">
        <f t="shared" ca="1" si="95"/>
        <v>2.3645319999999996</v>
      </c>
      <c r="X303" s="15">
        <f t="shared" ca="1" si="96"/>
        <v>0.14380133333333411</v>
      </c>
      <c r="Y303" s="35">
        <f t="shared" ca="1" si="97"/>
        <v>5.7329435215947147E-2</v>
      </c>
      <c r="Z303" s="36">
        <f t="shared" ca="1" si="98"/>
        <v>48.374383999999999</v>
      </c>
      <c r="AA303" s="18">
        <f t="shared" ca="1" si="99"/>
        <v>3.4443433133732576E-2</v>
      </c>
      <c r="AB303" s="2"/>
    </row>
    <row r="304" spans="6:28" x14ac:dyDescent="0.25">
      <c r="F304" s="14">
        <v>302</v>
      </c>
      <c r="G304" s="14">
        <f t="shared" si="80"/>
        <v>50.2</v>
      </c>
      <c r="H304" s="14">
        <f t="shared" si="81"/>
        <v>323.34999999999997</v>
      </c>
      <c r="I304" s="15">
        <f t="shared" si="82"/>
        <v>2.516667</v>
      </c>
      <c r="J304" s="15">
        <f t="shared" si="83"/>
        <v>3578.0373420000001</v>
      </c>
      <c r="K304" s="15">
        <f t="shared" si="84"/>
        <v>2.598037342</v>
      </c>
      <c r="L304" s="15">
        <f t="shared" si="85"/>
        <v>1542.4965420000001</v>
      </c>
      <c r="M304" s="15">
        <v>1536.56</v>
      </c>
      <c r="N304" s="14">
        <f t="shared" si="86"/>
        <v>1.5424965420000001</v>
      </c>
      <c r="O304" s="14">
        <f t="shared" si="87"/>
        <v>1.5404199999999999</v>
      </c>
      <c r="P304" s="14">
        <f t="shared" si="88"/>
        <v>2.0765420000001811E-3</v>
      </c>
      <c r="Q304" s="18">
        <f t="shared" si="89"/>
        <v>1.3480362498540536E-3</v>
      </c>
      <c r="R304" s="15">
        <f t="shared" ca="1" si="90"/>
        <v>5.6259716355685123</v>
      </c>
      <c r="S304" s="15">
        <f t="shared" si="91"/>
        <v>5.6813339784946226</v>
      </c>
      <c r="T304" s="15">
        <f t="shared" ca="1" si="92"/>
        <v>5.5362342926110308E-2</v>
      </c>
      <c r="U304" s="18">
        <f t="shared" ca="1" si="93"/>
        <v>9.7446027879493913E-3</v>
      </c>
      <c r="V304" s="15">
        <f t="shared" si="94"/>
        <v>2.5166666666666675</v>
      </c>
      <c r="W304" s="15">
        <f t="shared" ca="1" si="95"/>
        <v>2.3740283644314877</v>
      </c>
      <c r="X304" s="15">
        <f t="shared" ca="1" si="96"/>
        <v>0.14263830223517981</v>
      </c>
      <c r="Y304" s="35">
        <f t="shared" ca="1" si="97"/>
        <v>5.66774710868264E-2</v>
      </c>
      <c r="Z304" s="36">
        <f t="shared" ca="1" si="98"/>
        <v>48.488340000000001</v>
      </c>
      <c r="AA304" s="18">
        <f t="shared" ca="1" si="99"/>
        <v>3.4096812749004023E-2</v>
      </c>
      <c r="AB304" s="2"/>
    </row>
    <row r="305" spans="6:28" x14ac:dyDescent="0.25">
      <c r="F305" s="14">
        <v>303</v>
      </c>
      <c r="G305" s="14">
        <f t="shared" si="80"/>
        <v>50.3</v>
      </c>
      <c r="H305" s="14">
        <f t="shared" si="81"/>
        <v>323.45</v>
      </c>
      <c r="I305" s="15">
        <f t="shared" si="82"/>
        <v>2.5249999999999999</v>
      </c>
      <c r="J305" s="15">
        <f t="shared" si="83"/>
        <v>3564.4759779999999</v>
      </c>
      <c r="K305" s="15">
        <f t="shared" si="84"/>
        <v>2.584475978</v>
      </c>
      <c r="L305" s="15">
        <f t="shared" si="85"/>
        <v>1539.998748</v>
      </c>
      <c r="M305" s="15">
        <v>1534.04</v>
      </c>
      <c r="N305" s="14">
        <f t="shared" si="86"/>
        <v>1.5399987479999999</v>
      </c>
      <c r="O305" s="14">
        <f t="shared" si="87"/>
        <v>1.53813</v>
      </c>
      <c r="P305" s="14">
        <f t="shared" si="88"/>
        <v>1.8687479999999201E-3</v>
      </c>
      <c r="Q305" s="18">
        <f t="shared" si="89"/>
        <v>1.214948021298538E-3</v>
      </c>
      <c r="R305" s="15">
        <f t="shared" ca="1" si="90"/>
        <v>5.6172352274052484</v>
      </c>
      <c r="S305" s="15">
        <f t="shared" si="91"/>
        <v>5.6728880645161288</v>
      </c>
      <c r="T305" s="15">
        <f t="shared" ca="1" si="92"/>
        <v>5.5652837110880427E-2</v>
      </c>
      <c r="U305" s="18">
        <f t="shared" ca="1" si="93"/>
        <v>9.8103182149826811E-3</v>
      </c>
      <c r="V305" s="15">
        <f t="shared" si="94"/>
        <v>2.5249999999999995</v>
      </c>
      <c r="W305" s="15">
        <f t="shared" ca="1" si="95"/>
        <v>2.3827647725947516</v>
      </c>
      <c r="X305" s="15">
        <f t="shared" ca="1" si="96"/>
        <v>0.14223522740524785</v>
      </c>
      <c r="Y305" s="35">
        <f t="shared" ca="1" si="97"/>
        <v>5.6330783130791241E-2</v>
      </c>
      <c r="Z305" s="36">
        <f t="shared" ca="1" si="98"/>
        <v>48.593176999999997</v>
      </c>
      <c r="AA305" s="18">
        <f t="shared" ca="1" si="99"/>
        <v>3.3932862823061634E-2</v>
      </c>
      <c r="AB305" s="2"/>
    </row>
    <row r="306" spans="6:28" x14ac:dyDescent="0.25">
      <c r="F306" s="14">
        <v>304</v>
      </c>
      <c r="G306" s="14">
        <f t="shared" si="80"/>
        <v>50.400000000000006</v>
      </c>
      <c r="H306" s="14">
        <f t="shared" si="81"/>
        <v>323.54999999999995</v>
      </c>
      <c r="I306" s="15">
        <f t="shared" si="82"/>
        <v>2.5333329999999998</v>
      </c>
      <c r="J306" s="15">
        <f t="shared" si="83"/>
        <v>3550.9733769999998</v>
      </c>
      <c r="K306" s="15">
        <f t="shared" si="84"/>
        <v>2.5709733770000001</v>
      </c>
      <c r="L306" s="15">
        <f t="shared" si="85"/>
        <v>1537.501045</v>
      </c>
      <c r="M306" s="15">
        <v>1531.51</v>
      </c>
      <c r="N306" s="14">
        <f t="shared" si="86"/>
        <v>1.5375010449999997</v>
      </c>
      <c r="O306" s="14">
        <f t="shared" si="87"/>
        <v>1.5358399999999999</v>
      </c>
      <c r="P306" s="14">
        <f t="shared" si="88"/>
        <v>1.6610449999998611E-3</v>
      </c>
      <c r="Q306" s="18">
        <f t="shared" si="89"/>
        <v>1.0815221637669686E-3</v>
      </c>
      <c r="R306" s="15">
        <f t="shared" ca="1" si="90"/>
        <v>5.6089165014577258</v>
      </c>
      <c r="S306" s="15">
        <f t="shared" si="91"/>
        <v>5.6644421505376341</v>
      </c>
      <c r="T306" s="15">
        <f t="shared" ca="1" si="92"/>
        <v>5.5525649079908312E-2</v>
      </c>
      <c r="U306" s="18">
        <f t="shared" ca="1" si="93"/>
        <v>9.8024920379208326E-3</v>
      </c>
      <c r="V306" s="15">
        <f t="shared" si="94"/>
        <v>2.5333333333333332</v>
      </c>
      <c r="W306" s="15">
        <f t="shared" ca="1" si="95"/>
        <v>2.3910834985422742</v>
      </c>
      <c r="X306" s="15">
        <f t="shared" ca="1" si="96"/>
        <v>0.14224983479105902</v>
      </c>
      <c r="Y306" s="35">
        <f t="shared" ca="1" si="97"/>
        <v>5.6151250575418032E-2</v>
      </c>
      <c r="Z306" s="36">
        <f t="shared" ca="1" si="98"/>
        <v>48.693002</v>
      </c>
      <c r="AA306" s="18">
        <f t="shared" ca="1" si="99"/>
        <v>3.3869007936508044E-2</v>
      </c>
      <c r="AB306" s="2"/>
    </row>
    <row r="307" spans="6:28" x14ac:dyDescent="0.25">
      <c r="F307" s="14">
        <v>305</v>
      </c>
      <c r="G307" s="14">
        <f t="shared" si="80"/>
        <v>50.5</v>
      </c>
      <c r="H307" s="14">
        <f t="shared" si="81"/>
        <v>323.64999999999998</v>
      </c>
      <c r="I307" s="15">
        <f t="shared" si="82"/>
        <v>2.5416669999999999</v>
      </c>
      <c r="J307" s="15">
        <f t="shared" si="83"/>
        <v>3537.5292530000002</v>
      </c>
      <c r="K307" s="15">
        <f t="shared" si="84"/>
        <v>2.5575292530000002</v>
      </c>
      <c r="L307" s="15">
        <f t="shared" si="85"/>
        <v>1535.003449</v>
      </c>
      <c r="M307" s="15">
        <v>1529.17</v>
      </c>
      <c r="N307" s="14">
        <f t="shared" si="86"/>
        <v>1.535003449</v>
      </c>
      <c r="O307" s="14">
        <f t="shared" si="87"/>
        <v>1.53355</v>
      </c>
      <c r="P307" s="14">
        <f t="shared" si="88"/>
        <v>1.4534489999999956E-3</v>
      </c>
      <c r="Q307" s="18">
        <f t="shared" si="89"/>
        <v>9.477675980567934E-4</v>
      </c>
      <c r="R307" s="15">
        <f t="shared" ca="1" si="90"/>
        <v>5.5990142274052488</v>
      </c>
      <c r="S307" s="15">
        <f t="shared" si="91"/>
        <v>5.6559962365591394</v>
      </c>
      <c r="T307" s="15">
        <f t="shared" ca="1" si="92"/>
        <v>5.6982009153890623E-2</v>
      </c>
      <c r="U307" s="18">
        <f t="shared" ca="1" si="93"/>
        <v>1.0074619354512863E-2</v>
      </c>
      <c r="V307" s="15">
        <f t="shared" si="94"/>
        <v>2.5416666666666661</v>
      </c>
      <c r="W307" s="15">
        <f t="shared" ca="1" si="95"/>
        <v>2.4009857725947512</v>
      </c>
      <c r="X307" s="15">
        <f t="shared" ca="1" si="96"/>
        <v>0.14068089407191486</v>
      </c>
      <c r="Y307" s="35">
        <f t="shared" ca="1" si="97"/>
        <v>5.5349859962720613E-2</v>
      </c>
      <c r="Z307" s="36">
        <f t="shared" ca="1" si="98"/>
        <v>48.811829000000003</v>
      </c>
      <c r="AA307" s="18">
        <f t="shared" ca="1" si="99"/>
        <v>3.342912871287123E-2</v>
      </c>
      <c r="AB307" s="2"/>
    </row>
    <row r="308" spans="6:28" x14ac:dyDescent="0.25">
      <c r="F308" s="14">
        <v>306</v>
      </c>
      <c r="G308" s="14">
        <f t="shared" si="80"/>
        <v>50.6</v>
      </c>
      <c r="H308" s="14">
        <f t="shared" si="81"/>
        <v>323.75</v>
      </c>
      <c r="I308" s="15">
        <f t="shared" si="82"/>
        <v>2.5499999999999998</v>
      </c>
      <c r="J308" s="15">
        <f t="shared" si="83"/>
        <v>3524.143325</v>
      </c>
      <c r="K308" s="15">
        <f t="shared" si="84"/>
        <v>2.5441433250000003</v>
      </c>
      <c r="L308" s="15">
        <f t="shared" si="85"/>
        <v>1532.505979</v>
      </c>
      <c r="M308" s="15">
        <v>1526.63</v>
      </c>
      <c r="N308" s="14">
        <f t="shared" si="86"/>
        <v>1.532505979</v>
      </c>
      <c r="O308" s="14">
        <f t="shared" si="87"/>
        <v>1.5312599999999998</v>
      </c>
      <c r="P308" s="14">
        <f t="shared" si="88"/>
        <v>1.2459790000001192E-3</v>
      </c>
      <c r="Q308" s="18">
        <f t="shared" si="89"/>
        <v>8.1369525750043712E-4</v>
      </c>
      <c r="R308" s="15">
        <f t="shared" ca="1" si="90"/>
        <v>5.5899052274052483</v>
      </c>
      <c r="S308" s="15">
        <f t="shared" si="91"/>
        <v>5.6475503225806447</v>
      </c>
      <c r="T308" s="15">
        <f t="shared" ca="1" si="92"/>
        <v>5.7645095175396399E-2</v>
      </c>
      <c r="U308" s="18">
        <f t="shared" ca="1" si="93"/>
        <v>1.0207097216099796E-2</v>
      </c>
      <c r="V308" s="15">
        <f t="shared" si="94"/>
        <v>2.5499999999999998</v>
      </c>
      <c r="W308" s="15">
        <f t="shared" ca="1" si="95"/>
        <v>2.4100947725947517</v>
      </c>
      <c r="X308" s="15">
        <f t="shared" ca="1" si="96"/>
        <v>0.13990522740524813</v>
      </c>
      <c r="Y308" s="35">
        <f t="shared" ca="1" si="97"/>
        <v>5.4864795060881627E-2</v>
      </c>
      <c r="Z308" s="36">
        <f t="shared" ca="1" si="98"/>
        <v>48.921137000000002</v>
      </c>
      <c r="AA308" s="18">
        <f t="shared" ca="1" si="99"/>
        <v>3.3179110671936754E-2</v>
      </c>
      <c r="AB308" s="2"/>
    </row>
    <row r="309" spans="6:28" x14ac:dyDescent="0.25">
      <c r="F309" s="14">
        <v>307</v>
      </c>
      <c r="G309" s="14">
        <f t="shared" si="80"/>
        <v>50.7</v>
      </c>
      <c r="H309" s="14">
        <f t="shared" si="81"/>
        <v>323.84999999999997</v>
      </c>
      <c r="I309" s="15">
        <f t="shared" si="82"/>
        <v>2.5583330000000002</v>
      </c>
      <c r="J309" s="15">
        <f t="shared" si="83"/>
        <v>3510.8153109999998</v>
      </c>
      <c r="K309" s="15">
        <f t="shared" si="84"/>
        <v>2.530815311</v>
      </c>
      <c r="L309" s="15">
        <f t="shared" si="85"/>
        <v>1530.0086530000001</v>
      </c>
      <c r="M309" s="15">
        <v>1523.91</v>
      </c>
      <c r="N309" s="14">
        <f t="shared" si="86"/>
        <v>1.5300086530000001</v>
      </c>
      <c r="O309" s="14">
        <f t="shared" si="87"/>
        <v>1.5289699999999999</v>
      </c>
      <c r="P309" s="14">
        <f t="shared" si="88"/>
        <v>1.038653000000167E-3</v>
      </c>
      <c r="Q309" s="18">
        <f t="shared" si="89"/>
        <v>6.793154868965167E-4</v>
      </c>
      <c r="R309" s="15">
        <f t="shared" ca="1" si="90"/>
        <v>5.5815875014577259</v>
      </c>
      <c r="S309" s="15">
        <f t="shared" si="91"/>
        <v>5.63910440860215</v>
      </c>
      <c r="T309" s="15">
        <f t="shared" ca="1" si="92"/>
        <v>5.7516907144424145E-2</v>
      </c>
      <c r="U309" s="18">
        <f t="shared" ca="1" si="93"/>
        <v>1.0199652813075282E-2</v>
      </c>
      <c r="V309" s="15">
        <f t="shared" si="94"/>
        <v>2.5583333333333336</v>
      </c>
      <c r="W309" s="15">
        <f t="shared" ca="1" si="95"/>
        <v>2.4184124985422741</v>
      </c>
      <c r="X309" s="15">
        <f t="shared" ca="1" si="96"/>
        <v>0.13992083479105943</v>
      </c>
      <c r="Y309" s="35">
        <f t="shared" ca="1" si="97"/>
        <v>5.4692182980218669E-2</v>
      </c>
      <c r="Z309" s="36">
        <f t="shared" ca="1" si="98"/>
        <v>49.020949999999999</v>
      </c>
      <c r="AA309" s="18">
        <f t="shared" ca="1" si="99"/>
        <v>3.3117357001972457E-2</v>
      </c>
      <c r="AB309" s="2"/>
    </row>
    <row r="310" spans="6:28" x14ac:dyDescent="0.25">
      <c r="F310" s="14">
        <v>308</v>
      </c>
      <c r="G310" s="14">
        <f t="shared" si="80"/>
        <v>50.8</v>
      </c>
      <c r="H310" s="14">
        <f t="shared" si="81"/>
        <v>323.95</v>
      </c>
      <c r="I310" s="15">
        <f t="shared" si="82"/>
        <v>2.5666669999999998</v>
      </c>
      <c r="J310" s="15">
        <f t="shared" si="83"/>
        <v>3497.5449319999998</v>
      </c>
      <c r="K310" s="15">
        <f t="shared" si="84"/>
        <v>2.5175449319999998</v>
      </c>
      <c r="L310" s="15">
        <f t="shared" si="85"/>
        <v>1527.511489</v>
      </c>
      <c r="M310" s="15">
        <v>1521.37</v>
      </c>
      <c r="N310" s="14">
        <f t="shared" si="86"/>
        <v>1.5275114889999999</v>
      </c>
      <c r="O310" s="14">
        <f t="shared" si="87"/>
        <v>1.52668</v>
      </c>
      <c r="P310" s="14">
        <f t="shared" si="88"/>
        <v>8.3148899999985204E-4</v>
      </c>
      <c r="Q310" s="18">
        <f t="shared" si="89"/>
        <v>5.446386931117536E-4</v>
      </c>
      <c r="R310" s="15">
        <f t="shared" ca="1" si="90"/>
        <v>5.5716979999999996</v>
      </c>
      <c r="S310" s="15">
        <f t="shared" si="91"/>
        <v>5.6306584946236562</v>
      </c>
      <c r="T310" s="15">
        <f t="shared" ca="1" si="92"/>
        <v>5.8960494623656601E-2</v>
      </c>
      <c r="U310" s="18">
        <f t="shared" ca="1" si="93"/>
        <v>1.0471332026254847E-2</v>
      </c>
      <c r="V310" s="15">
        <f t="shared" si="94"/>
        <v>2.5666666666666655</v>
      </c>
      <c r="W310" s="15">
        <f t="shared" ca="1" si="95"/>
        <v>2.4283020000000004</v>
      </c>
      <c r="X310" s="15">
        <f t="shared" ca="1" si="96"/>
        <v>0.13836466666666514</v>
      </c>
      <c r="Y310" s="35">
        <f t="shared" ca="1" si="97"/>
        <v>5.3908311688311117E-2</v>
      </c>
      <c r="Z310" s="36">
        <f t="shared" ca="1" si="98"/>
        <v>49.139623999999998</v>
      </c>
      <c r="AA310" s="18">
        <f t="shared" ca="1" si="99"/>
        <v>3.2684566929133851E-2</v>
      </c>
      <c r="AB310" s="2"/>
    </row>
    <row r="311" spans="6:28" x14ac:dyDescent="0.25">
      <c r="F311" s="14">
        <v>309</v>
      </c>
      <c r="G311" s="14">
        <f t="shared" si="80"/>
        <v>50.900000000000006</v>
      </c>
      <c r="H311" s="14">
        <f t="shared" si="81"/>
        <v>324.04999999999995</v>
      </c>
      <c r="I311" s="15">
        <f t="shared" si="82"/>
        <v>2.5750000000000002</v>
      </c>
      <c r="J311" s="15">
        <f t="shared" si="83"/>
        <v>3484.3319080000001</v>
      </c>
      <c r="K311" s="15">
        <f t="shared" si="84"/>
        <v>2.5043319080000002</v>
      </c>
      <c r="L311" s="15">
        <f t="shared" si="85"/>
        <v>1525.0145050000001</v>
      </c>
      <c r="M311" s="15">
        <v>1518.82</v>
      </c>
      <c r="N311" s="14">
        <f t="shared" si="86"/>
        <v>1.5250145050000001</v>
      </c>
      <c r="O311" s="14">
        <f t="shared" si="87"/>
        <v>1.5243899999999999</v>
      </c>
      <c r="P311" s="14">
        <f t="shared" si="88"/>
        <v>6.2450500000021947E-4</v>
      </c>
      <c r="Q311" s="18">
        <f t="shared" si="89"/>
        <v>4.0967534554819929E-4</v>
      </c>
      <c r="R311" s="15">
        <f t="shared" ca="1" si="90"/>
        <v>5.5622046355685129</v>
      </c>
      <c r="S311" s="15">
        <f t="shared" si="91"/>
        <v>5.6222125806451606</v>
      </c>
      <c r="T311" s="15">
        <f t="shared" ca="1" si="92"/>
        <v>6.0007945076647751E-2</v>
      </c>
      <c r="U311" s="18">
        <f t="shared" ca="1" si="93"/>
        <v>1.0673368218631412E-2</v>
      </c>
      <c r="V311" s="15">
        <f t="shared" si="94"/>
        <v>2.5750000000000002</v>
      </c>
      <c r="W311" s="15">
        <f t="shared" ca="1" si="95"/>
        <v>2.4377953644314871</v>
      </c>
      <c r="X311" s="15">
        <f t="shared" ca="1" si="96"/>
        <v>0.13720463556851303</v>
      </c>
      <c r="Y311" s="35">
        <f t="shared" ca="1" si="97"/>
        <v>5.3283353618840013E-2</v>
      </c>
      <c r="Z311" s="36">
        <f t="shared" ca="1" si="98"/>
        <v>49.253543999999998</v>
      </c>
      <c r="AA311" s="18">
        <f t="shared" ca="1" si="99"/>
        <v>3.2346876227897989E-2</v>
      </c>
      <c r="AB311" s="2"/>
    </row>
    <row r="312" spans="6:28" x14ac:dyDescent="0.25">
      <c r="F312" s="14">
        <v>310</v>
      </c>
      <c r="G312" s="14">
        <f t="shared" si="80"/>
        <v>51</v>
      </c>
      <c r="H312" s="14">
        <f t="shared" si="81"/>
        <v>324.14999999999998</v>
      </c>
      <c r="I312" s="15">
        <f t="shared" si="82"/>
        <v>2.5833330000000001</v>
      </c>
      <c r="J312" s="15">
        <f t="shared" si="83"/>
        <v>3471.175964</v>
      </c>
      <c r="K312" s="15">
        <f t="shared" si="84"/>
        <v>2.491175964</v>
      </c>
      <c r="L312" s="15">
        <f t="shared" si="85"/>
        <v>1522.5177180000001</v>
      </c>
      <c r="M312" s="15">
        <v>1516.09</v>
      </c>
      <c r="N312" s="14">
        <f t="shared" si="86"/>
        <v>1.522517718</v>
      </c>
      <c r="O312" s="14">
        <f t="shared" si="87"/>
        <v>1.5221</v>
      </c>
      <c r="P312" s="14">
        <f t="shared" si="88"/>
        <v>4.1771800000001136E-4</v>
      </c>
      <c r="Q312" s="18">
        <f t="shared" si="89"/>
        <v>2.7443531962421084E-4</v>
      </c>
      <c r="R312" s="15">
        <f t="shared" ca="1" si="90"/>
        <v>5.5530868629737613</v>
      </c>
      <c r="S312" s="15">
        <f t="shared" si="91"/>
        <v>5.6137666666666668</v>
      </c>
      <c r="T312" s="15">
        <f t="shared" ca="1" si="92"/>
        <v>6.0679803692905487E-2</v>
      </c>
      <c r="U312" s="18">
        <f t="shared" ca="1" si="93"/>
        <v>1.0809106843219731E-2</v>
      </c>
      <c r="V312" s="15">
        <f t="shared" si="94"/>
        <v>2.583333333333333</v>
      </c>
      <c r="W312" s="15">
        <f t="shared" ca="1" si="95"/>
        <v>2.4469131370262387</v>
      </c>
      <c r="X312" s="15">
        <f t="shared" ca="1" si="96"/>
        <v>0.13642019630709434</v>
      </c>
      <c r="Y312" s="35">
        <f t="shared" ca="1" si="97"/>
        <v>5.280781792532685E-2</v>
      </c>
      <c r="Z312" s="36">
        <f t="shared" ca="1" si="98"/>
        <v>49.362957999999999</v>
      </c>
      <c r="AA312" s="18">
        <f t="shared" ca="1" si="99"/>
        <v>3.2098862745098058E-2</v>
      </c>
      <c r="AB312" s="2"/>
    </row>
    <row r="313" spans="6:28" x14ac:dyDescent="0.25">
      <c r="F313" s="14">
        <v>311</v>
      </c>
      <c r="G313" s="14">
        <f t="shared" si="80"/>
        <v>51.1</v>
      </c>
      <c r="H313" s="14">
        <f t="shared" si="81"/>
        <v>324.25</v>
      </c>
      <c r="I313" s="15">
        <f t="shared" si="82"/>
        <v>2.5916670000000002</v>
      </c>
      <c r="J313" s="15">
        <f t="shared" si="83"/>
        <v>3458.0768229999999</v>
      </c>
      <c r="K313" s="15">
        <f t="shared" si="84"/>
        <v>2.4780768229999999</v>
      </c>
      <c r="L313" s="15">
        <f t="shared" si="85"/>
        <v>1520.021148</v>
      </c>
      <c r="M313" s="15">
        <v>1514.07</v>
      </c>
      <c r="N313" s="14">
        <f t="shared" si="86"/>
        <v>1.5200211479999999</v>
      </c>
      <c r="O313" s="14">
        <f t="shared" si="87"/>
        <v>1.5198099999999999</v>
      </c>
      <c r="P313" s="14">
        <f t="shared" si="88"/>
        <v>2.1114799999999434E-4</v>
      </c>
      <c r="Q313" s="18">
        <f t="shared" si="89"/>
        <v>1.389305242102594E-4</v>
      </c>
      <c r="R313" s="15">
        <f t="shared" ca="1" si="90"/>
        <v>5.5439798629737611</v>
      </c>
      <c r="S313" s="15">
        <f t="shared" si="91"/>
        <v>5.6053207526881712</v>
      </c>
      <c r="T313" s="15">
        <f t="shared" ca="1" si="92"/>
        <v>6.1340889714410096E-2</v>
      </c>
      <c r="U313" s="18">
        <f t="shared" ca="1" si="93"/>
        <v>1.0943332669230846E-2</v>
      </c>
      <c r="V313" s="15">
        <f t="shared" si="94"/>
        <v>2.5916666666666668</v>
      </c>
      <c r="W313" s="15">
        <f t="shared" ca="1" si="95"/>
        <v>2.4560201370262389</v>
      </c>
      <c r="X313" s="15">
        <f t="shared" ca="1" si="96"/>
        <v>0.13564652964042789</v>
      </c>
      <c r="Y313" s="35">
        <f t="shared" ca="1" si="97"/>
        <v>5.2339496967367671E-2</v>
      </c>
      <c r="Z313" s="36">
        <f t="shared" ca="1" si="98"/>
        <v>49.472242000000001</v>
      </c>
      <c r="AA313" s="18">
        <f t="shared" ca="1" si="99"/>
        <v>3.1854363992172209E-2</v>
      </c>
      <c r="AB313" s="2"/>
    </row>
    <row r="314" spans="6:28" x14ac:dyDescent="0.25">
      <c r="F314" s="14">
        <v>312</v>
      </c>
      <c r="G314" s="14">
        <f t="shared" si="80"/>
        <v>51.2</v>
      </c>
      <c r="H314" s="14">
        <f t="shared" si="81"/>
        <v>324.34999999999997</v>
      </c>
      <c r="I314" s="15">
        <f t="shared" si="82"/>
        <v>2.6</v>
      </c>
      <c r="J314" s="15">
        <f t="shared" si="83"/>
        <v>3445.034212</v>
      </c>
      <c r="K314" s="15">
        <f t="shared" si="84"/>
        <v>2.4650342119999999</v>
      </c>
      <c r="L314" s="15">
        <f t="shared" si="85"/>
        <v>1517.5248099999999</v>
      </c>
      <c r="M314" s="15">
        <v>1511.5</v>
      </c>
      <c r="N314" s="14">
        <f t="shared" si="86"/>
        <v>1.5175248100000001</v>
      </c>
      <c r="O314" s="14">
        <f t="shared" si="87"/>
        <v>1.51752</v>
      </c>
      <c r="P314" s="14">
        <f t="shared" si="88"/>
        <v>4.8100000000772525E-6</v>
      </c>
      <c r="Q314" s="18">
        <f t="shared" si="89"/>
        <v>3.1696452106576868E-6</v>
      </c>
      <c r="R314" s="15">
        <f t="shared" ca="1" si="90"/>
        <v>5.5344894985422739</v>
      </c>
      <c r="S314" s="15">
        <f t="shared" si="91"/>
        <v>5.5968748387096774</v>
      </c>
      <c r="T314" s="15">
        <f t="shared" ca="1" si="92"/>
        <v>6.2385340167403491E-2</v>
      </c>
      <c r="U314" s="18">
        <f t="shared" ca="1" si="93"/>
        <v>1.1146459759279881E-2</v>
      </c>
      <c r="V314" s="15">
        <f t="shared" si="94"/>
        <v>2.5999999999999996</v>
      </c>
      <c r="W314" s="15">
        <f t="shared" ca="1" si="95"/>
        <v>2.4655105014577261</v>
      </c>
      <c r="X314" s="15">
        <f t="shared" ca="1" si="96"/>
        <v>0.13448949854227354</v>
      </c>
      <c r="Y314" s="35">
        <f t="shared" ca="1" si="97"/>
        <v>5.1726730208566753E-2</v>
      </c>
      <c r="Z314" s="36">
        <f t="shared" ca="1" si="98"/>
        <v>49.586126</v>
      </c>
      <c r="AA314" s="18">
        <f t="shared" ca="1" si="99"/>
        <v>3.1520976562500053E-2</v>
      </c>
      <c r="AB314" s="2"/>
    </row>
    <row r="315" spans="6:28" x14ac:dyDescent="0.25">
      <c r="F315" s="14">
        <v>313</v>
      </c>
      <c r="G315" s="14">
        <f t="shared" si="80"/>
        <v>51.3</v>
      </c>
      <c r="H315" s="14">
        <f t="shared" si="81"/>
        <v>324.45</v>
      </c>
      <c r="I315" s="15">
        <f t="shared" si="82"/>
        <v>2.608333</v>
      </c>
      <c r="J315" s="15">
        <f t="shared" si="83"/>
        <v>3432.0478589999998</v>
      </c>
      <c r="K315" s="15">
        <f t="shared" si="84"/>
        <v>2.4520478589999999</v>
      </c>
      <c r="L315" s="15">
        <f t="shared" si="85"/>
        <v>1515.028724</v>
      </c>
      <c r="M315" s="15">
        <v>1508.93</v>
      </c>
      <c r="N315" s="14">
        <f t="shared" si="86"/>
        <v>1.515028724</v>
      </c>
      <c r="O315" s="14">
        <f t="shared" si="87"/>
        <v>1.5152300000000001</v>
      </c>
      <c r="P315" s="14">
        <f t="shared" si="88"/>
        <v>2.012760000000835E-4</v>
      </c>
      <c r="Q315" s="18">
        <f t="shared" si="89"/>
        <v>1.3283527913259604E-4</v>
      </c>
      <c r="R315" s="15">
        <f t="shared" ca="1" si="90"/>
        <v>5.5257806355685126</v>
      </c>
      <c r="S315" s="15">
        <f t="shared" si="91"/>
        <v>5.5884289247311827</v>
      </c>
      <c r="T315" s="15">
        <f t="shared" ca="1" si="92"/>
        <v>6.2648289162670068E-2</v>
      </c>
      <c r="U315" s="18">
        <f t="shared" ca="1" si="93"/>
        <v>1.1210358046324014E-2</v>
      </c>
      <c r="V315" s="15">
        <f t="shared" si="94"/>
        <v>2.6083333333333325</v>
      </c>
      <c r="W315" s="15">
        <f t="shared" ca="1" si="95"/>
        <v>2.4742193644314874</v>
      </c>
      <c r="X315" s="15">
        <f t="shared" ca="1" si="96"/>
        <v>0.13411396890184513</v>
      </c>
      <c r="Y315" s="35">
        <f t="shared" ca="1" si="97"/>
        <v>5.1417496064605175E-2</v>
      </c>
      <c r="Z315" s="36">
        <f t="shared" ca="1" si="98"/>
        <v>49.690632000000001</v>
      </c>
      <c r="AA315" s="18">
        <f t="shared" ca="1" si="99"/>
        <v>3.1371695906432677E-2</v>
      </c>
      <c r="AB315" s="2"/>
    </row>
    <row r="316" spans="6:28" x14ac:dyDescent="0.25">
      <c r="F316" s="14">
        <v>314</v>
      </c>
      <c r="G316" s="14">
        <f t="shared" si="80"/>
        <v>51.400000000000006</v>
      </c>
      <c r="H316" s="14">
        <f t="shared" si="81"/>
        <v>324.54999999999995</v>
      </c>
      <c r="I316" s="15">
        <f t="shared" si="82"/>
        <v>2.6166670000000001</v>
      </c>
      <c r="J316" s="15">
        <f t="shared" si="83"/>
        <v>3419.1174919999999</v>
      </c>
      <c r="K316" s="15">
        <f t="shared" si="84"/>
        <v>2.4391174919999998</v>
      </c>
      <c r="L316" s="15">
        <f t="shared" si="85"/>
        <v>1512.532907</v>
      </c>
      <c r="M316" s="15">
        <v>1506.18</v>
      </c>
      <c r="N316" s="14">
        <f t="shared" si="86"/>
        <v>1.512532907</v>
      </c>
      <c r="O316" s="14">
        <f t="shared" si="87"/>
        <v>1.5129399999999997</v>
      </c>
      <c r="P316" s="14">
        <f t="shared" si="88"/>
        <v>4.0709299999974746E-4</v>
      </c>
      <c r="Q316" s="18">
        <f t="shared" si="89"/>
        <v>2.6907412058624103E-4</v>
      </c>
      <c r="R316" s="15">
        <f t="shared" ca="1" si="90"/>
        <v>5.5162804985422742</v>
      </c>
      <c r="S316" s="15">
        <f t="shared" si="91"/>
        <v>5.5799830107526871</v>
      </c>
      <c r="T316" s="15">
        <f t="shared" ca="1" si="92"/>
        <v>6.3702512210412898E-2</v>
      </c>
      <c r="U316" s="18">
        <f t="shared" ca="1" si="93"/>
        <v>1.1416255584946669E-2</v>
      </c>
      <c r="V316" s="15">
        <f t="shared" si="94"/>
        <v>2.6166666666666671</v>
      </c>
      <c r="W316" s="15">
        <f t="shared" ca="1" si="95"/>
        <v>2.4837195014577258</v>
      </c>
      <c r="X316" s="15">
        <f t="shared" ca="1" si="96"/>
        <v>0.13294716520894134</v>
      </c>
      <c r="Y316" s="35">
        <f t="shared" ca="1" si="97"/>
        <v>5.0807833837811969E-2</v>
      </c>
      <c r="Z316" s="36">
        <f t="shared" ca="1" si="98"/>
        <v>49.804634</v>
      </c>
      <c r="AA316" s="18">
        <f t="shared" ca="1" si="99"/>
        <v>3.1038249027237459E-2</v>
      </c>
      <c r="AB316" s="2"/>
    </row>
    <row r="317" spans="6:28" x14ac:dyDescent="0.25">
      <c r="F317" s="14">
        <v>315</v>
      </c>
      <c r="G317" s="14">
        <f t="shared" si="80"/>
        <v>51.5</v>
      </c>
      <c r="H317" s="14">
        <f t="shared" si="81"/>
        <v>324.64999999999998</v>
      </c>
      <c r="I317" s="15">
        <f t="shared" si="82"/>
        <v>2.625</v>
      </c>
      <c r="J317" s="15">
        <f t="shared" si="83"/>
        <v>3406.2428410000002</v>
      </c>
      <c r="K317" s="15">
        <f t="shared" si="84"/>
        <v>2.4262428410000001</v>
      </c>
      <c r="L317" s="15">
        <f t="shared" si="85"/>
        <v>1510.0373770000001</v>
      </c>
      <c r="M317" s="15">
        <v>1503.78</v>
      </c>
      <c r="N317" s="14">
        <f t="shared" si="86"/>
        <v>1.510037377</v>
      </c>
      <c r="O317" s="14">
        <f t="shared" si="87"/>
        <v>1.5106499999999998</v>
      </c>
      <c r="P317" s="14">
        <f t="shared" si="88"/>
        <v>6.126229999998678E-4</v>
      </c>
      <c r="Q317" s="18">
        <f t="shared" si="89"/>
        <v>4.0553602753772738E-4</v>
      </c>
      <c r="R317" s="15">
        <f t="shared" ca="1" si="90"/>
        <v>5.508345364431487</v>
      </c>
      <c r="S317" s="15">
        <f t="shared" si="91"/>
        <v>5.5715370967741924</v>
      </c>
      <c r="T317" s="15">
        <f t="shared" ca="1" si="92"/>
        <v>6.3191732342705365E-2</v>
      </c>
      <c r="U317" s="18">
        <f t="shared" ca="1" si="93"/>
        <v>1.134188487756675E-2</v>
      </c>
      <c r="V317" s="15">
        <f t="shared" si="94"/>
        <v>2.6250000000000009</v>
      </c>
      <c r="W317" s="15">
        <f t="shared" ca="1" si="95"/>
        <v>2.491654635568513</v>
      </c>
      <c r="X317" s="15">
        <f t="shared" ca="1" si="96"/>
        <v>0.13334536443148792</v>
      </c>
      <c r="Y317" s="35">
        <f t="shared" ca="1" si="97"/>
        <v>5.0798234069138241E-2</v>
      </c>
      <c r="Z317" s="36">
        <f t="shared" ca="1" si="98"/>
        <v>49.899856</v>
      </c>
      <c r="AA317" s="18">
        <f t="shared" ca="1" si="99"/>
        <v>3.1070757281553403E-2</v>
      </c>
      <c r="AB317" s="2"/>
    </row>
    <row r="318" spans="6:28" x14ac:dyDescent="0.25">
      <c r="F318" s="14">
        <v>316</v>
      </c>
      <c r="G318" s="14">
        <f t="shared" si="80"/>
        <v>51.6</v>
      </c>
      <c r="H318" s="14">
        <f t="shared" si="81"/>
        <v>324.75</v>
      </c>
      <c r="I318" s="15">
        <f t="shared" si="82"/>
        <v>2.6333329999999999</v>
      </c>
      <c r="J318" s="15">
        <f t="shared" si="83"/>
        <v>3393.42364</v>
      </c>
      <c r="K318" s="15">
        <f t="shared" si="84"/>
        <v>2.41342364</v>
      </c>
      <c r="L318" s="15">
        <f t="shared" si="85"/>
        <v>1507.542152</v>
      </c>
      <c r="M318" s="15">
        <v>1501.38</v>
      </c>
      <c r="N318" s="14">
        <f t="shared" si="86"/>
        <v>1.5075421520000001</v>
      </c>
      <c r="O318" s="14">
        <f t="shared" si="87"/>
        <v>1.5083599999999999</v>
      </c>
      <c r="P318" s="14">
        <f t="shared" si="88"/>
        <v>8.1784799999984337E-4</v>
      </c>
      <c r="Q318" s="18">
        <f t="shared" si="89"/>
        <v>5.4221008247357625E-4</v>
      </c>
      <c r="R318" s="15">
        <f t="shared" ca="1" si="90"/>
        <v>5.498472635568513</v>
      </c>
      <c r="S318" s="15">
        <f t="shared" si="91"/>
        <v>5.5630911827956986</v>
      </c>
      <c r="T318" s="15">
        <f t="shared" ca="1" si="92"/>
        <v>6.461854722718563E-2</v>
      </c>
      <c r="U318" s="18">
        <f t="shared" ca="1" si="93"/>
        <v>1.1615582974268627E-2</v>
      </c>
      <c r="V318" s="15">
        <f t="shared" si="94"/>
        <v>2.6333333333333329</v>
      </c>
      <c r="W318" s="15">
        <f t="shared" ca="1" si="95"/>
        <v>2.501527364431487</v>
      </c>
      <c r="X318" s="15">
        <f t="shared" ca="1" si="96"/>
        <v>0.13180596890184582</v>
      </c>
      <c r="Y318" s="35">
        <f t="shared" ca="1" si="97"/>
        <v>5.0052899582979433E-2</v>
      </c>
      <c r="Z318" s="36">
        <f t="shared" ca="1" si="98"/>
        <v>50.018327999999997</v>
      </c>
      <c r="AA318" s="18">
        <f t="shared" ca="1" si="99"/>
        <v>3.0652558139534974E-2</v>
      </c>
      <c r="AB318" s="2"/>
    </row>
    <row r="319" spans="6:28" x14ac:dyDescent="0.25">
      <c r="F319" s="14">
        <v>317</v>
      </c>
      <c r="G319" s="14">
        <f t="shared" si="80"/>
        <v>51.7</v>
      </c>
      <c r="H319" s="14">
        <f t="shared" si="81"/>
        <v>324.84999999999997</v>
      </c>
      <c r="I319" s="15">
        <f t="shared" si="82"/>
        <v>2.641667</v>
      </c>
      <c r="J319" s="15">
        <f t="shared" si="83"/>
        <v>3380.6596199999999</v>
      </c>
      <c r="K319" s="15">
        <f t="shared" si="84"/>
        <v>2.4006596199999999</v>
      </c>
      <c r="L319" s="15">
        <f t="shared" si="85"/>
        <v>1505.0472480000001</v>
      </c>
      <c r="M319" s="15">
        <v>1498.61</v>
      </c>
      <c r="N319" s="14">
        <f t="shared" si="86"/>
        <v>1.5050472479999999</v>
      </c>
      <c r="O319" s="14">
        <f t="shared" si="87"/>
        <v>1.5060699999999998</v>
      </c>
      <c r="P319" s="14">
        <f t="shared" si="88"/>
        <v>1.0227519999999046E-3</v>
      </c>
      <c r="Q319" s="18">
        <f t="shared" si="89"/>
        <v>6.7908662943947143E-4</v>
      </c>
      <c r="R319" s="15">
        <f t="shared" ca="1" si="90"/>
        <v>5.4897687725947515</v>
      </c>
      <c r="S319" s="15">
        <f t="shared" si="91"/>
        <v>5.554645268817203</v>
      </c>
      <c r="T319" s="15">
        <f t="shared" ca="1" si="92"/>
        <v>6.4876496222451507E-2</v>
      </c>
      <c r="U319" s="18">
        <f t="shared" ca="1" si="93"/>
        <v>1.1679683054948025E-2</v>
      </c>
      <c r="V319" s="15">
        <f t="shared" si="94"/>
        <v>2.6416666666666675</v>
      </c>
      <c r="W319" s="15">
        <f t="shared" ca="1" si="95"/>
        <v>2.5102312274052485</v>
      </c>
      <c r="X319" s="15">
        <f t="shared" ca="1" si="96"/>
        <v>0.13143543926141898</v>
      </c>
      <c r="Y319" s="35">
        <f t="shared" ca="1" si="97"/>
        <v>4.9754740414417263E-2</v>
      </c>
      <c r="Z319" s="36">
        <f t="shared" ca="1" si="98"/>
        <v>50.122774999999997</v>
      </c>
      <c r="AA319" s="18">
        <f t="shared" ca="1" si="99"/>
        <v>3.0507253384913068E-2</v>
      </c>
      <c r="AB319" s="2"/>
    </row>
    <row r="320" spans="6:28" x14ac:dyDescent="0.25">
      <c r="F320" s="14">
        <v>318</v>
      </c>
      <c r="G320" s="14">
        <f t="shared" si="80"/>
        <v>51.8</v>
      </c>
      <c r="H320" s="14">
        <f t="shared" si="81"/>
        <v>324.95</v>
      </c>
      <c r="I320" s="15">
        <f t="shared" si="82"/>
        <v>2.65</v>
      </c>
      <c r="J320" s="15">
        <f t="shared" si="83"/>
        <v>3367.9505170000002</v>
      </c>
      <c r="K320" s="15">
        <f t="shared" si="84"/>
        <v>2.3879505170000002</v>
      </c>
      <c r="L320" s="15">
        <f t="shared" si="85"/>
        <v>1502.5526850000001</v>
      </c>
      <c r="M320" s="15">
        <v>1496.19</v>
      </c>
      <c r="N320" s="14">
        <f t="shared" si="86"/>
        <v>1.5025526849999999</v>
      </c>
      <c r="O320" s="14">
        <f t="shared" si="87"/>
        <v>1.5037799999999999</v>
      </c>
      <c r="P320" s="14">
        <f t="shared" si="88"/>
        <v>1.2273149999999511E-3</v>
      </c>
      <c r="Q320" s="18">
        <f t="shared" si="89"/>
        <v>8.1615329369984387E-4</v>
      </c>
      <c r="R320" s="15">
        <f t="shared" ca="1" si="90"/>
        <v>5.4806482274052488</v>
      </c>
      <c r="S320" s="15">
        <f t="shared" si="91"/>
        <v>5.5461993548387092</v>
      </c>
      <c r="T320" s="15">
        <f t="shared" ca="1" si="92"/>
        <v>6.5551127433460366E-2</v>
      </c>
      <c r="U320" s="18">
        <f t="shared" ca="1" si="93"/>
        <v>1.1819107687910847E-2</v>
      </c>
      <c r="V320" s="15">
        <f t="shared" si="94"/>
        <v>2.6500000000000004</v>
      </c>
      <c r="W320" s="15">
        <f t="shared" ca="1" si="95"/>
        <v>2.5193517725947512</v>
      </c>
      <c r="X320" s="15">
        <f t="shared" ca="1" si="96"/>
        <v>0.13064822740524917</v>
      </c>
      <c r="Y320" s="35">
        <f t="shared" ca="1" si="97"/>
        <v>4.9301217888773265E-2</v>
      </c>
      <c r="Z320" s="36">
        <f t="shared" ca="1" si="98"/>
        <v>50.232221000000003</v>
      </c>
      <c r="AA320" s="18">
        <f t="shared" ca="1" si="99"/>
        <v>3.0266003861003758E-2</v>
      </c>
      <c r="AB320" s="2"/>
    </row>
    <row r="321" spans="6:28" x14ac:dyDescent="0.25">
      <c r="F321" s="14">
        <v>319</v>
      </c>
      <c r="G321" s="14">
        <f t="shared" si="80"/>
        <v>51.900000000000006</v>
      </c>
      <c r="H321" s="14">
        <f t="shared" si="81"/>
        <v>325.04999999999995</v>
      </c>
      <c r="I321" s="15">
        <f t="shared" si="82"/>
        <v>2.6583329999999998</v>
      </c>
      <c r="J321" s="15">
        <f t="shared" si="83"/>
        <v>3355.2960659999999</v>
      </c>
      <c r="K321" s="15">
        <f t="shared" si="84"/>
        <v>2.3752960659999998</v>
      </c>
      <c r="L321" s="15">
        <f t="shared" si="85"/>
        <v>1500.058479</v>
      </c>
      <c r="M321" s="15">
        <v>1493.77</v>
      </c>
      <c r="N321" s="14">
        <f t="shared" si="86"/>
        <v>1.500058479</v>
      </c>
      <c r="O321" s="14">
        <f t="shared" si="87"/>
        <v>1.5014899999999998</v>
      </c>
      <c r="P321" s="14">
        <f t="shared" si="88"/>
        <v>1.4315209999997691E-3</v>
      </c>
      <c r="Q321" s="18">
        <f t="shared" si="89"/>
        <v>9.534002890460605E-4</v>
      </c>
      <c r="R321" s="15">
        <f t="shared" ca="1" si="90"/>
        <v>5.4707794985422744</v>
      </c>
      <c r="S321" s="15">
        <f t="shared" si="91"/>
        <v>5.5377534408602136</v>
      </c>
      <c r="T321" s="15">
        <f t="shared" ca="1" si="92"/>
        <v>6.6973942317939184E-2</v>
      </c>
      <c r="U321" s="18">
        <f t="shared" ca="1" si="93"/>
        <v>1.2094063600552015E-2</v>
      </c>
      <c r="V321" s="15">
        <f t="shared" si="94"/>
        <v>2.6583333333333341</v>
      </c>
      <c r="W321" s="15">
        <f t="shared" ca="1" si="95"/>
        <v>2.5292205014577256</v>
      </c>
      <c r="X321" s="15">
        <f t="shared" ca="1" si="96"/>
        <v>0.12911283187560851</v>
      </c>
      <c r="Y321" s="35">
        <f t="shared" ca="1" si="97"/>
        <v>4.8569090360730462E-2</v>
      </c>
      <c r="Z321" s="36">
        <f t="shared" ca="1" si="98"/>
        <v>50.350645999999998</v>
      </c>
      <c r="AA321" s="18">
        <f t="shared" ca="1" si="99"/>
        <v>2.9852678227360461E-2</v>
      </c>
      <c r="AB321" s="2"/>
    </row>
    <row r="322" spans="6:28" x14ac:dyDescent="0.25">
      <c r="F322" s="14">
        <v>320</v>
      </c>
      <c r="G322" s="14">
        <f t="shared" si="80"/>
        <v>52</v>
      </c>
      <c r="H322" s="14">
        <f t="shared" si="81"/>
        <v>325.14999999999998</v>
      </c>
      <c r="I322" s="15">
        <f t="shared" si="82"/>
        <v>2.6666669999999999</v>
      </c>
      <c r="J322" s="15">
        <f t="shared" si="83"/>
        <v>3342.6960049999998</v>
      </c>
      <c r="K322" s="15">
        <f t="shared" si="84"/>
        <v>2.3626960049999997</v>
      </c>
      <c r="L322" s="15">
        <f t="shared" si="85"/>
        <v>1497.5646489999999</v>
      </c>
      <c r="M322" s="15">
        <v>1491.35</v>
      </c>
      <c r="N322" s="14">
        <f t="shared" si="86"/>
        <v>1.4975646489999999</v>
      </c>
      <c r="O322" s="14">
        <f t="shared" si="87"/>
        <v>1.4991999999999999</v>
      </c>
      <c r="P322" s="14">
        <f t="shared" si="88"/>
        <v>1.6353510000000071E-3</v>
      </c>
      <c r="Q322" s="18">
        <f t="shared" si="89"/>
        <v>1.0908157684098234E-3</v>
      </c>
      <c r="R322" s="15">
        <f t="shared" ca="1" si="90"/>
        <v>5.4620688629737613</v>
      </c>
      <c r="S322" s="15">
        <f t="shared" si="91"/>
        <v>5.5293075268817198</v>
      </c>
      <c r="T322" s="15">
        <f t="shared" ca="1" si="92"/>
        <v>6.7238663907958518E-2</v>
      </c>
      <c r="U322" s="18">
        <f t="shared" ca="1" si="93"/>
        <v>1.216041314053626E-2</v>
      </c>
      <c r="V322" s="15">
        <f t="shared" si="94"/>
        <v>2.666666666666667</v>
      </c>
      <c r="W322" s="15">
        <f t="shared" ca="1" si="95"/>
        <v>2.5379311370262387</v>
      </c>
      <c r="X322" s="15">
        <f t="shared" ca="1" si="96"/>
        <v>0.12873552964042823</v>
      </c>
      <c r="Y322" s="35">
        <f t="shared" ca="1" si="97"/>
        <v>4.8275823615160578E-2</v>
      </c>
      <c r="Z322" s="36">
        <f t="shared" ca="1" si="98"/>
        <v>50.455174</v>
      </c>
      <c r="AA322" s="18">
        <f t="shared" ca="1" si="99"/>
        <v>2.9708192307692317E-2</v>
      </c>
      <c r="AB322" s="2"/>
    </row>
    <row r="323" spans="6:28" x14ac:dyDescent="0.25">
      <c r="F323" s="14">
        <v>321</v>
      </c>
      <c r="G323" s="14">
        <f t="shared" ref="G323:G386" si="100">F323*0.1+20</f>
        <v>52.1</v>
      </c>
      <c r="H323" s="14">
        <f t="shared" ref="H323:H386" si="101">G323+273.15</f>
        <v>325.25</v>
      </c>
      <c r="I323" s="15">
        <f t="shared" ref="I323:I386" si="102">ROUND(1/12*G323-5/3,6)</f>
        <v>2.6749999999999998</v>
      </c>
      <c r="J323" s="15">
        <f t="shared" ref="J323:J386" si="103">ROUND(10000*EXP(($B$3)+($B$4/H323)+($B$5/(H323^2))+($B$6/(H323^3))),6)</f>
        <v>3330.1500740000001</v>
      </c>
      <c r="K323" s="15">
        <f t="shared" ref="K323:K386" si="104">$B$9*(2*$B$8+J323)-$B$9*$B$10</f>
        <v>2.3501500740000001</v>
      </c>
      <c r="L323" s="15">
        <f t="shared" ref="L323:L386" si="105">ROUND(1/(1/(J323+2*$B$8)+1/($B$7)),6)</f>
        <v>1495.0712109999999</v>
      </c>
      <c r="M323" s="15">
        <v>1488.56</v>
      </c>
      <c r="N323" s="14">
        <f t="shared" ref="N323:N386" si="106">$B$9*(L323+$B$10)*(L323/(L323+$B$10))</f>
        <v>1.495071211</v>
      </c>
      <c r="O323" s="14">
        <f t="shared" ref="O323:O386" si="107">$B$11*G323+$B$12</f>
        <v>1.49691</v>
      </c>
      <c r="P323" s="14">
        <f t="shared" ref="P323:P386" si="108">ABS(N323-O323)</f>
        <v>1.8387890000000073E-3</v>
      </c>
      <c r="Q323" s="18">
        <f t="shared" ref="Q323:Q386" si="109">ABS(O323-N323)/O323</f>
        <v>1.2283898163550297E-3</v>
      </c>
      <c r="R323" s="15">
        <f t="shared" ref="R323:R386" ca="1" si="110">ROUND(N323*$B$29,6)+RANDBETWEEN(-1,1)*$B$24+RANDBETWEEN(-1,1)*$B$25</f>
        <v>5.4537553644314869</v>
      </c>
      <c r="S323" s="15">
        <f t="shared" ref="S323:S386" si="111">O323*$B$23</f>
        <v>5.5208616129032251</v>
      </c>
      <c r="T323" s="15">
        <f t="shared" ref="T323:T386" ca="1" si="112">ABS(R323-S323)</f>
        <v>6.7106248471738184E-2</v>
      </c>
      <c r="U323" s="18">
        <f t="shared" ref="U323:U386" ca="1" si="113">ABS(S323-R323)/S323</f>
        <v>1.2155031800633993E-2</v>
      </c>
      <c r="V323" s="15">
        <f t="shared" ref="V323:V386" si="114">$B$44*S323+$B$45</f>
        <v>2.6749999999999998</v>
      </c>
      <c r="W323" s="15">
        <f t="shared" ref="W323:W386" ca="1" si="115">$B$46*R323+$B$47</f>
        <v>2.5462446355685131</v>
      </c>
      <c r="X323" s="15">
        <f t="shared" ref="X323:X386" ca="1" si="116">ABS(V323-W323)</f>
        <v>0.12875536443148672</v>
      </c>
      <c r="Y323" s="35">
        <f t="shared" ref="Y323:Y386" ca="1" si="117">IF(V323 = 0, ABS(V323-W323)/(V323+0.0001), ABS(V323-W323)/V323)</f>
        <v>4.8132846516443638E-2</v>
      </c>
      <c r="Z323" s="36">
        <f t="shared" ref="Z323:Z386" ca="1" si="118">ROUND((W323+5/3)/(1/12),6)</f>
        <v>50.554935999999998</v>
      </c>
      <c r="AA323" s="18">
        <f t="shared" ref="AA323:AA386" ca="1" si="119">ABS(G323-Z323)/G323</f>
        <v>2.9655738963531738E-2</v>
      </c>
      <c r="AB323" s="2"/>
    </row>
    <row r="324" spans="6:28" x14ac:dyDescent="0.25">
      <c r="F324" s="14">
        <v>322</v>
      </c>
      <c r="G324" s="14">
        <f t="shared" si="100"/>
        <v>52.2</v>
      </c>
      <c r="H324" s="14">
        <f t="shared" si="101"/>
        <v>325.34999999999997</v>
      </c>
      <c r="I324" s="15">
        <f t="shared" si="102"/>
        <v>2.6833330000000002</v>
      </c>
      <c r="J324" s="15">
        <f t="shared" si="103"/>
        <v>3317.658011</v>
      </c>
      <c r="K324" s="15">
        <f t="shared" si="104"/>
        <v>2.3376580110000003</v>
      </c>
      <c r="L324" s="15">
        <f t="shared" si="105"/>
        <v>1492.578184</v>
      </c>
      <c r="M324" s="15">
        <v>1486.3</v>
      </c>
      <c r="N324" s="14">
        <f t="shared" si="106"/>
        <v>1.4925781840000001</v>
      </c>
      <c r="O324" s="14">
        <f t="shared" si="107"/>
        <v>1.4946199999999998</v>
      </c>
      <c r="P324" s="14">
        <f t="shared" si="108"/>
        <v>2.0418159999997521E-3</v>
      </c>
      <c r="Q324" s="18">
        <f t="shared" si="109"/>
        <v>1.3661104494786316E-3</v>
      </c>
      <c r="R324" s="15">
        <f t="shared" ca="1" si="110"/>
        <v>5.4450575014577263</v>
      </c>
      <c r="S324" s="15">
        <f t="shared" si="111"/>
        <v>5.5124156989247304</v>
      </c>
      <c r="T324" s="15">
        <f t="shared" ca="1" si="112"/>
        <v>6.7358197467004111E-2</v>
      </c>
      <c r="U324" s="18">
        <f t="shared" ca="1" si="113"/>
        <v>1.2219361010843798E-2</v>
      </c>
      <c r="V324" s="15">
        <f t="shared" si="114"/>
        <v>2.6833333333333336</v>
      </c>
      <c r="W324" s="15">
        <f t="shared" ca="1" si="115"/>
        <v>2.5549424985422737</v>
      </c>
      <c r="X324" s="15">
        <f t="shared" ca="1" si="116"/>
        <v>0.12839083479105984</v>
      </c>
      <c r="Y324" s="35">
        <f t="shared" ca="1" si="117"/>
        <v>4.7847516071202419E-2</v>
      </c>
      <c r="Z324" s="36">
        <f t="shared" ca="1" si="118"/>
        <v>50.659309999999998</v>
      </c>
      <c r="AA324" s="18">
        <f t="shared" ca="1" si="119"/>
        <v>2.9515134099616952E-2</v>
      </c>
      <c r="AB324" s="2"/>
    </row>
    <row r="325" spans="6:28" x14ac:dyDescent="0.25">
      <c r="F325" s="14">
        <v>323</v>
      </c>
      <c r="G325" s="14">
        <f t="shared" si="100"/>
        <v>52.300000000000004</v>
      </c>
      <c r="H325" s="14">
        <f t="shared" si="101"/>
        <v>325.45</v>
      </c>
      <c r="I325" s="15">
        <f t="shared" si="102"/>
        <v>2.6916669999999998</v>
      </c>
      <c r="J325" s="15">
        <f t="shared" si="103"/>
        <v>3305.2195590000001</v>
      </c>
      <c r="K325" s="15">
        <f t="shared" si="104"/>
        <v>2.3252195590000002</v>
      </c>
      <c r="L325" s="15">
        <f t="shared" si="105"/>
        <v>1490.085585</v>
      </c>
      <c r="M325" s="15">
        <v>1483.68</v>
      </c>
      <c r="N325" s="14">
        <f t="shared" si="106"/>
        <v>1.4900855849999999</v>
      </c>
      <c r="O325" s="14">
        <f t="shared" si="107"/>
        <v>1.4923299999999999</v>
      </c>
      <c r="P325" s="14">
        <f t="shared" si="108"/>
        <v>2.2444150000000551E-3</v>
      </c>
      <c r="Q325" s="18">
        <f t="shared" si="109"/>
        <v>1.5039669510095322E-3</v>
      </c>
      <c r="R325" s="15">
        <f t="shared" ca="1" si="110"/>
        <v>5.4351839999999996</v>
      </c>
      <c r="S325" s="15">
        <f t="shared" si="111"/>
        <v>5.5039697849462357</v>
      </c>
      <c r="T325" s="15">
        <f t="shared" ca="1" si="112"/>
        <v>6.8785784946236106E-2</v>
      </c>
      <c r="U325" s="18">
        <f t="shared" ca="1" si="113"/>
        <v>1.2497485929950109E-2</v>
      </c>
      <c r="V325" s="15">
        <f t="shared" si="114"/>
        <v>2.6916666666666673</v>
      </c>
      <c r="W325" s="15">
        <f t="shared" ca="1" si="115"/>
        <v>2.5648160000000004</v>
      </c>
      <c r="X325" s="15">
        <f t="shared" ca="1" si="116"/>
        <v>0.12685066666666689</v>
      </c>
      <c r="Y325" s="35">
        <f t="shared" ca="1" si="117"/>
        <v>4.712718266253877E-2</v>
      </c>
      <c r="Z325" s="36">
        <f t="shared" ca="1" si="118"/>
        <v>50.777791999999998</v>
      </c>
      <c r="AA325" s="18">
        <f t="shared" ca="1" si="119"/>
        <v>2.9105315487571819E-2</v>
      </c>
      <c r="AB325" s="2"/>
    </row>
    <row r="326" spans="6:28" x14ac:dyDescent="0.25">
      <c r="F326" s="14">
        <v>324</v>
      </c>
      <c r="G326" s="14">
        <f t="shared" si="100"/>
        <v>52.4</v>
      </c>
      <c r="H326" s="14">
        <f t="shared" si="101"/>
        <v>325.54999999999995</v>
      </c>
      <c r="I326" s="15">
        <f t="shared" si="102"/>
        <v>2.7</v>
      </c>
      <c r="J326" s="15">
        <f t="shared" si="103"/>
        <v>3292.8344619999998</v>
      </c>
      <c r="K326" s="15">
        <f t="shared" si="104"/>
        <v>2.3128344620000001</v>
      </c>
      <c r="L326" s="15">
        <f t="shared" si="105"/>
        <v>1487.593431</v>
      </c>
      <c r="M326" s="15">
        <v>1481.24</v>
      </c>
      <c r="N326" s="14">
        <f t="shared" si="106"/>
        <v>1.4875934309999999</v>
      </c>
      <c r="O326" s="14">
        <f t="shared" si="107"/>
        <v>1.49004</v>
      </c>
      <c r="P326" s="14">
        <f t="shared" si="108"/>
        <v>2.4465690000001761E-3</v>
      </c>
      <c r="Q326" s="18">
        <f t="shared" si="109"/>
        <v>1.6419485382943922E-3</v>
      </c>
      <c r="R326" s="15">
        <f t="shared" ca="1" si="110"/>
        <v>5.4257086355685127</v>
      </c>
      <c r="S326" s="15">
        <f t="shared" si="111"/>
        <v>5.4955238709677419</v>
      </c>
      <c r="T326" s="15">
        <f t="shared" ca="1" si="112"/>
        <v>6.9815235399229181E-2</v>
      </c>
      <c r="U326" s="18">
        <f t="shared" ca="1" si="113"/>
        <v>1.2704018222549358E-2</v>
      </c>
      <c r="V326" s="15">
        <f t="shared" si="114"/>
        <v>2.6999999999999993</v>
      </c>
      <c r="W326" s="15">
        <f t="shared" ca="1" si="115"/>
        <v>2.5742913644314873</v>
      </c>
      <c r="X326" s="15">
        <f t="shared" ca="1" si="116"/>
        <v>0.12570863556851197</v>
      </c>
      <c r="Y326" s="35">
        <f t="shared" ca="1" si="117"/>
        <v>4.6558753914263708E-2</v>
      </c>
      <c r="Z326" s="36">
        <f t="shared" ca="1" si="118"/>
        <v>50.891495999999997</v>
      </c>
      <c r="AA326" s="18">
        <f t="shared" ca="1" si="119"/>
        <v>2.8788244274809201E-2</v>
      </c>
      <c r="AB326" s="2"/>
    </row>
    <row r="327" spans="6:28" x14ac:dyDescent="0.25">
      <c r="F327" s="14">
        <v>325</v>
      </c>
      <c r="G327" s="14">
        <f t="shared" si="100"/>
        <v>52.5</v>
      </c>
      <c r="H327" s="14">
        <f t="shared" si="101"/>
        <v>325.64999999999998</v>
      </c>
      <c r="I327" s="15">
        <f t="shared" si="102"/>
        <v>2.7083330000000001</v>
      </c>
      <c r="J327" s="15">
        <f t="shared" si="103"/>
        <v>3280.5024619999999</v>
      </c>
      <c r="K327" s="15">
        <f t="shared" si="104"/>
        <v>2.3005024619999999</v>
      </c>
      <c r="L327" s="15">
        <f t="shared" si="105"/>
        <v>1485.1017400000001</v>
      </c>
      <c r="M327" s="15">
        <v>1478.44</v>
      </c>
      <c r="N327" s="14">
        <f t="shared" si="106"/>
        <v>1.4851017399999999</v>
      </c>
      <c r="O327" s="14">
        <f t="shared" si="107"/>
        <v>1.4877499999999999</v>
      </c>
      <c r="P327" s="14">
        <f t="shared" si="108"/>
        <v>2.6482599999999579E-3</v>
      </c>
      <c r="Q327" s="18">
        <f t="shared" si="109"/>
        <v>1.7800436901360833E-3</v>
      </c>
      <c r="R327" s="15">
        <f t="shared" ca="1" si="110"/>
        <v>5.4173913644314871</v>
      </c>
      <c r="S327" s="15">
        <f t="shared" si="111"/>
        <v>5.4870779569892463</v>
      </c>
      <c r="T327" s="15">
        <f t="shared" ca="1" si="112"/>
        <v>6.9686592557759219E-2</v>
      </c>
      <c r="U327" s="18">
        <f t="shared" ca="1" si="113"/>
        <v>1.2700128028798078E-2</v>
      </c>
      <c r="V327" s="15">
        <f t="shared" si="114"/>
        <v>2.7083333333333339</v>
      </c>
      <c r="W327" s="15">
        <f t="shared" ca="1" si="115"/>
        <v>2.5826086355685129</v>
      </c>
      <c r="X327" s="15">
        <f t="shared" ca="1" si="116"/>
        <v>0.12572469776482098</v>
      </c>
      <c r="Y327" s="35">
        <f t="shared" ca="1" si="117"/>
        <v>4.6421426867010812E-2</v>
      </c>
      <c r="Z327" s="36">
        <f t="shared" ca="1" si="118"/>
        <v>50.991304</v>
      </c>
      <c r="AA327" s="18">
        <f t="shared" ca="1" si="119"/>
        <v>2.8737066666666675E-2</v>
      </c>
      <c r="AB327" s="2"/>
    </row>
    <row r="328" spans="6:28" x14ac:dyDescent="0.25">
      <c r="F328" s="14">
        <v>326</v>
      </c>
      <c r="G328" s="14">
        <f t="shared" si="100"/>
        <v>52.6</v>
      </c>
      <c r="H328" s="14">
        <f t="shared" si="101"/>
        <v>325.75</v>
      </c>
      <c r="I328" s="15">
        <f t="shared" si="102"/>
        <v>2.7166670000000002</v>
      </c>
      <c r="J328" s="15">
        <f t="shared" si="103"/>
        <v>3268.2233059999999</v>
      </c>
      <c r="K328" s="15">
        <f t="shared" si="104"/>
        <v>2.2882233059999999</v>
      </c>
      <c r="L328" s="15">
        <f t="shared" si="105"/>
        <v>1482.610529</v>
      </c>
      <c r="M328" s="15">
        <v>1476.5</v>
      </c>
      <c r="N328" s="14">
        <f t="shared" si="106"/>
        <v>1.4826105290000002</v>
      </c>
      <c r="O328" s="14">
        <f t="shared" si="107"/>
        <v>1.48546</v>
      </c>
      <c r="P328" s="14">
        <f t="shared" si="108"/>
        <v>2.8494709999997703E-3</v>
      </c>
      <c r="Q328" s="18">
        <f t="shared" si="109"/>
        <v>1.9182414874852035E-3</v>
      </c>
      <c r="R328" s="15">
        <f t="shared" ca="1" si="110"/>
        <v>5.4075336355685124</v>
      </c>
      <c r="S328" s="15">
        <f t="shared" si="111"/>
        <v>5.4786320430107525</v>
      </c>
      <c r="T328" s="15">
        <f t="shared" ca="1" si="112"/>
        <v>7.1098407442240052E-2</v>
      </c>
      <c r="U328" s="18">
        <f t="shared" ca="1" si="113"/>
        <v>1.2977401454244829E-2</v>
      </c>
      <c r="V328" s="15">
        <f t="shared" si="114"/>
        <v>2.7166666666666668</v>
      </c>
      <c r="W328" s="15">
        <f t="shared" ca="1" si="115"/>
        <v>2.5924663644314876</v>
      </c>
      <c r="X328" s="15">
        <f t="shared" ca="1" si="116"/>
        <v>0.12420030223517919</v>
      </c>
      <c r="Y328" s="35">
        <f t="shared" ca="1" si="117"/>
        <v>4.5717902663256142E-2</v>
      </c>
      <c r="Z328" s="36">
        <f t="shared" ca="1" si="118"/>
        <v>51.109596000000003</v>
      </c>
      <c r="AA328" s="18">
        <f t="shared" ca="1" si="119"/>
        <v>2.8334676806083613E-2</v>
      </c>
      <c r="AB328" s="2"/>
    </row>
    <row r="329" spans="6:28" x14ac:dyDescent="0.25">
      <c r="F329" s="14">
        <v>327</v>
      </c>
      <c r="G329" s="14">
        <f t="shared" si="100"/>
        <v>52.7</v>
      </c>
      <c r="H329" s="14">
        <f t="shared" si="101"/>
        <v>325.84999999999997</v>
      </c>
      <c r="I329" s="15">
        <f t="shared" si="102"/>
        <v>2.7250000000000001</v>
      </c>
      <c r="J329" s="15">
        <f t="shared" si="103"/>
        <v>3255.99674</v>
      </c>
      <c r="K329" s="15">
        <f t="shared" si="104"/>
        <v>2.2759967400000001</v>
      </c>
      <c r="L329" s="15">
        <f t="shared" si="105"/>
        <v>1480.1198159999999</v>
      </c>
      <c r="M329" s="15">
        <v>1473.69</v>
      </c>
      <c r="N329" s="14">
        <f t="shared" si="106"/>
        <v>1.480119816</v>
      </c>
      <c r="O329" s="14">
        <f t="shared" si="107"/>
        <v>1.4831699999999999</v>
      </c>
      <c r="P329" s="14">
        <f t="shared" si="108"/>
        <v>3.0501839999999003E-3</v>
      </c>
      <c r="Q329" s="18">
        <f t="shared" si="109"/>
        <v>2.0565302696251278E-3</v>
      </c>
      <c r="R329" s="15">
        <f t="shared" ca="1" si="110"/>
        <v>5.3992193644314872</v>
      </c>
      <c r="S329" s="15">
        <f t="shared" si="111"/>
        <v>5.4701861290322578</v>
      </c>
      <c r="T329" s="15">
        <f t="shared" ca="1" si="112"/>
        <v>7.096676460077056E-2</v>
      </c>
      <c r="U329" s="18">
        <f t="shared" ca="1" si="113"/>
        <v>1.2973372921284022E-2</v>
      </c>
      <c r="V329" s="15">
        <f t="shared" si="114"/>
        <v>2.7249999999999996</v>
      </c>
      <c r="W329" s="15">
        <f t="shared" ca="1" si="115"/>
        <v>2.6007806355685128</v>
      </c>
      <c r="X329" s="15">
        <f t="shared" ca="1" si="116"/>
        <v>0.12421936443148685</v>
      </c>
      <c r="Y329" s="35">
        <f t="shared" ca="1" si="117"/>
        <v>4.5585087864765818E-2</v>
      </c>
      <c r="Z329" s="36">
        <f t="shared" ca="1" si="118"/>
        <v>51.209367999999998</v>
      </c>
      <c r="AA329" s="18">
        <f t="shared" ca="1" si="119"/>
        <v>2.828523719165095E-2</v>
      </c>
      <c r="AB329" s="2"/>
    </row>
    <row r="330" spans="6:28" x14ac:dyDescent="0.25">
      <c r="F330" s="14">
        <v>328</v>
      </c>
      <c r="G330" s="14">
        <f t="shared" si="100"/>
        <v>52.800000000000004</v>
      </c>
      <c r="H330" s="14">
        <f t="shared" si="101"/>
        <v>325.95</v>
      </c>
      <c r="I330" s="15">
        <f t="shared" si="102"/>
        <v>2.733333</v>
      </c>
      <c r="J330" s="15">
        <f t="shared" si="103"/>
        <v>3243.822514</v>
      </c>
      <c r="K330" s="15">
        <f t="shared" si="104"/>
        <v>2.2638225140000001</v>
      </c>
      <c r="L330" s="15">
        <f t="shared" si="105"/>
        <v>1477.629619</v>
      </c>
      <c r="M330" s="15">
        <v>1471.4</v>
      </c>
      <c r="N330" s="14">
        <f t="shared" si="106"/>
        <v>1.4776296190000002</v>
      </c>
      <c r="O330" s="14">
        <f t="shared" si="107"/>
        <v>1.4808799999999998</v>
      </c>
      <c r="P330" s="14">
        <f t="shared" si="108"/>
        <v>3.2503809999995248E-3</v>
      </c>
      <c r="Q330" s="18">
        <f t="shared" si="109"/>
        <v>2.1948983037109863E-3</v>
      </c>
      <c r="R330" s="15">
        <f t="shared" ca="1" si="110"/>
        <v>5.3889684985422743</v>
      </c>
      <c r="S330" s="15">
        <f t="shared" si="111"/>
        <v>5.4617402150537622</v>
      </c>
      <c r="T330" s="15">
        <f t="shared" ca="1" si="112"/>
        <v>7.2771716511487838E-2</v>
      </c>
      <c r="U330" s="18">
        <f t="shared" ca="1" si="113"/>
        <v>1.3323906602315671E-2</v>
      </c>
      <c r="V330" s="15">
        <f t="shared" si="114"/>
        <v>2.7333333333333343</v>
      </c>
      <c r="W330" s="15">
        <f t="shared" ca="1" si="115"/>
        <v>2.6110315014577257</v>
      </c>
      <c r="X330" s="15">
        <f t="shared" ca="1" si="116"/>
        <v>0.12230183187560861</v>
      </c>
      <c r="Y330" s="35">
        <f t="shared" ca="1" si="117"/>
        <v>4.4744572637417768E-2</v>
      </c>
      <c r="Z330" s="36">
        <f t="shared" ca="1" si="118"/>
        <v>51.332377999999999</v>
      </c>
      <c r="AA330" s="18">
        <f t="shared" ca="1" si="119"/>
        <v>2.779587121212132E-2</v>
      </c>
      <c r="AB330" s="2"/>
    </row>
    <row r="331" spans="6:28" x14ac:dyDescent="0.25">
      <c r="F331" s="14">
        <v>329</v>
      </c>
      <c r="G331" s="14">
        <f t="shared" si="100"/>
        <v>52.9</v>
      </c>
      <c r="H331" s="14">
        <f t="shared" si="101"/>
        <v>326.04999999999995</v>
      </c>
      <c r="I331" s="15">
        <f t="shared" si="102"/>
        <v>2.7416670000000001</v>
      </c>
      <c r="J331" s="15">
        <f t="shared" si="103"/>
        <v>3231.7003759999998</v>
      </c>
      <c r="K331" s="15">
        <f t="shared" si="104"/>
        <v>2.2517003760000001</v>
      </c>
      <c r="L331" s="15">
        <f t="shared" si="105"/>
        <v>1475.1399530000001</v>
      </c>
      <c r="M331" s="15">
        <v>1468.75</v>
      </c>
      <c r="N331" s="14">
        <f t="shared" si="106"/>
        <v>1.475139953</v>
      </c>
      <c r="O331" s="14">
        <f t="shared" si="107"/>
        <v>1.4785900000000001</v>
      </c>
      <c r="P331" s="14">
        <f t="shared" si="108"/>
        <v>3.4500470000000671E-3</v>
      </c>
      <c r="Q331" s="18">
        <f t="shared" si="109"/>
        <v>2.3333358131734064E-3</v>
      </c>
      <c r="R331" s="15">
        <f t="shared" ca="1" si="110"/>
        <v>5.3814505014577261</v>
      </c>
      <c r="S331" s="15">
        <f t="shared" si="111"/>
        <v>5.4532943010752692</v>
      </c>
      <c r="T331" s="15">
        <f t="shared" ca="1" si="112"/>
        <v>7.1843799617543169E-2</v>
      </c>
      <c r="U331" s="18">
        <f t="shared" ca="1" si="113"/>
        <v>1.3174385179134227E-2</v>
      </c>
      <c r="V331" s="15">
        <f t="shared" si="114"/>
        <v>2.7416666666666654</v>
      </c>
      <c r="W331" s="15">
        <f t="shared" ca="1" si="115"/>
        <v>2.6185494985422739</v>
      </c>
      <c r="X331" s="15">
        <f t="shared" ca="1" si="116"/>
        <v>0.12311716812439144</v>
      </c>
      <c r="Y331" s="35">
        <f t="shared" ca="1" si="117"/>
        <v>4.4905957978501457E-2</v>
      </c>
      <c r="Z331" s="36">
        <f t="shared" ca="1" si="118"/>
        <v>51.422593999999997</v>
      </c>
      <c r="AA331" s="18">
        <f t="shared" ca="1" si="119"/>
        <v>2.7928279773156938E-2</v>
      </c>
      <c r="AB331" s="2"/>
    </row>
    <row r="332" spans="6:28" x14ac:dyDescent="0.25">
      <c r="F332" s="14">
        <v>330</v>
      </c>
      <c r="G332" s="14">
        <f t="shared" si="100"/>
        <v>53</v>
      </c>
      <c r="H332" s="14">
        <f t="shared" si="101"/>
        <v>326.14999999999998</v>
      </c>
      <c r="I332" s="15">
        <f t="shared" si="102"/>
        <v>2.75</v>
      </c>
      <c r="J332" s="15">
        <f t="shared" si="103"/>
        <v>3219.6300780000001</v>
      </c>
      <c r="K332" s="15">
        <f t="shared" si="104"/>
        <v>2.2396300780000002</v>
      </c>
      <c r="L332" s="15">
        <f t="shared" si="105"/>
        <v>1472.650838</v>
      </c>
      <c r="M332" s="15">
        <v>1466.27</v>
      </c>
      <c r="N332" s="14">
        <f t="shared" si="106"/>
        <v>1.4726508379999999</v>
      </c>
      <c r="O332" s="14">
        <f t="shared" si="107"/>
        <v>1.4762999999999999</v>
      </c>
      <c r="P332" s="14">
        <f t="shared" si="108"/>
        <v>3.6491620000000946E-3</v>
      </c>
      <c r="Q332" s="18">
        <f t="shared" si="109"/>
        <v>2.4718295739349014E-3</v>
      </c>
      <c r="R332" s="15">
        <f t="shared" ca="1" si="110"/>
        <v>5.3719753644314876</v>
      </c>
      <c r="S332" s="15">
        <f t="shared" si="111"/>
        <v>5.4448483870967737</v>
      </c>
      <c r="T332" s="15">
        <f t="shared" ca="1" si="112"/>
        <v>7.2873022665286058E-2</v>
      </c>
      <c r="U332" s="18">
        <f t="shared" ca="1" si="113"/>
        <v>1.3383847902538642E-2</v>
      </c>
      <c r="V332" s="15">
        <f t="shared" si="114"/>
        <v>2.75</v>
      </c>
      <c r="W332" s="15">
        <f t="shared" ca="1" si="115"/>
        <v>2.6280246355685124</v>
      </c>
      <c r="X332" s="15">
        <f t="shared" ca="1" si="116"/>
        <v>0.1219753644314876</v>
      </c>
      <c r="Y332" s="35">
        <f t="shared" ca="1" si="117"/>
        <v>4.4354677975086403E-2</v>
      </c>
      <c r="Z332" s="36">
        <f t="shared" ca="1" si="118"/>
        <v>51.536296</v>
      </c>
      <c r="AA332" s="18">
        <f t="shared" ca="1" si="119"/>
        <v>2.7617056603773584E-2</v>
      </c>
      <c r="AB332" s="2"/>
    </row>
    <row r="333" spans="6:28" x14ac:dyDescent="0.25">
      <c r="F333" s="14">
        <v>331</v>
      </c>
      <c r="G333" s="14">
        <f t="shared" si="100"/>
        <v>53.1</v>
      </c>
      <c r="H333" s="14">
        <f t="shared" si="101"/>
        <v>326.25</v>
      </c>
      <c r="I333" s="15">
        <f t="shared" si="102"/>
        <v>2.7583329999999999</v>
      </c>
      <c r="J333" s="15">
        <f t="shared" si="103"/>
        <v>3207.6113730000002</v>
      </c>
      <c r="K333" s="15">
        <f t="shared" si="104"/>
        <v>2.2276113730000002</v>
      </c>
      <c r="L333" s="15">
        <f t="shared" si="105"/>
        <v>1470.1622890000001</v>
      </c>
      <c r="M333" s="15">
        <v>1463.79</v>
      </c>
      <c r="N333" s="14">
        <f t="shared" si="106"/>
        <v>1.4701622890000001</v>
      </c>
      <c r="O333" s="14">
        <f t="shared" si="107"/>
        <v>1.4740099999999998</v>
      </c>
      <c r="P333" s="14">
        <f t="shared" si="108"/>
        <v>3.8477109999996983E-3</v>
      </c>
      <c r="Q333" s="18">
        <f t="shared" si="109"/>
        <v>2.6103696718473408E-3</v>
      </c>
      <c r="R333" s="15">
        <f t="shared" ca="1" si="110"/>
        <v>5.3629091370262385</v>
      </c>
      <c r="S333" s="15">
        <f t="shared" si="111"/>
        <v>5.436402473118279</v>
      </c>
      <c r="T333" s="15">
        <f t="shared" ca="1" si="112"/>
        <v>7.3493336092040451E-2</v>
      </c>
      <c r="U333" s="18">
        <f t="shared" ca="1" si="113"/>
        <v>1.351874451081346E-2</v>
      </c>
      <c r="V333" s="15">
        <f t="shared" si="114"/>
        <v>2.7583333333333337</v>
      </c>
      <c r="W333" s="15">
        <f t="shared" ca="1" si="115"/>
        <v>2.6370908629737615</v>
      </c>
      <c r="X333" s="15">
        <f t="shared" ca="1" si="116"/>
        <v>0.12124247035957225</v>
      </c>
      <c r="Y333" s="35">
        <f t="shared" ca="1" si="117"/>
        <v>4.3954974148485405E-2</v>
      </c>
      <c r="Z333" s="36">
        <f t="shared" ca="1" si="118"/>
        <v>51.645090000000003</v>
      </c>
      <c r="AA333" s="18">
        <f t="shared" ca="1" si="119"/>
        <v>2.7399435028248553E-2</v>
      </c>
      <c r="AB333" s="2"/>
    </row>
    <row r="334" spans="6:28" x14ac:dyDescent="0.25">
      <c r="F334" s="14">
        <v>332</v>
      </c>
      <c r="G334" s="14">
        <f t="shared" si="100"/>
        <v>53.2</v>
      </c>
      <c r="H334" s="14">
        <f t="shared" si="101"/>
        <v>326.34999999999997</v>
      </c>
      <c r="I334" s="15">
        <f t="shared" si="102"/>
        <v>2.766667</v>
      </c>
      <c r="J334" s="15">
        <f t="shared" si="103"/>
        <v>3195.6440120000002</v>
      </c>
      <c r="K334" s="15">
        <f t="shared" si="104"/>
        <v>2.2156440120000003</v>
      </c>
      <c r="L334" s="15">
        <f t="shared" si="105"/>
        <v>1467.674325</v>
      </c>
      <c r="M334" s="15">
        <v>1460.96</v>
      </c>
      <c r="N334" s="14">
        <f t="shared" si="106"/>
        <v>1.4676743249999999</v>
      </c>
      <c r="O334" s="14">
        <f t="shared" si="107"/>
        <v>1.4717199999999999</v>
      </c>
      <c r="P334" s="14">
        <f t="shared" si="108"/>
        <v>4.0456749999999708E-3</v>
      </c>
      <c r="Q334" s="18">
        <f t="shared" si="109"/>
        <v>2.7489434131492208E-3</v>
      </c>
      <c r="R334" s="15">
        <f t="shared" ca="1" si="110"/>
        <v>5.3538341370262383</v>
      </c>
      <c r="S334" s="15">
        <f t="shared" si="111"/>
        <v>5.4279565591397843</v>
      </c>
      <c r="T334" s="15">
        <f t="shared" ca="1" si="112"/>
        <v>7.4122422113545916E-2</v>
      </c>
      <c r="U334" s="18">
        <f t="shared" ca="1" si="113"/>
        <v>1.3655677105362233E-2</v>
      </c>
      <c r="V334" s="15">
        <f t="shared" si="114"/>
        <v>2.7666666666666666</v>
      </c>
      <c r="W334" s="15">
        <f t="shared" ca="1" si="115"/>
        <v>2.6461658629737617</v>
      </c>
      <c r="X334" s="15">
        <f t="shared" ca="1" si="116"/>
        <v>0.12050080369290495</v>
      </c>
      <c r="Y334" s="35">
        <f t="shared" ca="1" si="117"/>
        <v>4.3554507358881306E-2</v>
      </c>
      <c r="Z334" s="36">
        <f t="shared" ca="1" si="118"/>
        <v>51.753990000000002</v>
      </c>
      <c r="AA334" s="18">
        <f t="shared" ca="1" si="119"/>
        <v>2.7180639097744382E-2</v>
      </c>
      <c r="AB334" s="2"/>
    </row>
    <row r="335" spans="6:28" x14ac:dyDescent="0.25">
      <c r="F335" s="14">
        <v>333</v>
      </c>
      <c r="G335" s="14">
        <f t="shared" si="100"/>
        <v>53.300000000000004</v>
      </c>
      <c r="H335" s="14">
        <f t="shared" si="101"/>
        <v>326.45</v>
      </c>
      <c r="I335" s="15">
        <f t="shared" si="102"/>
        <v>2.7749999999999999</v>
      </c>
      <c r="J335" s="15">
        <f t="shared" si="103"/>
        <v>3183.7277530000001</v>
      </c>
      <c r="K335" s="15">
        <f t="shared" si="104"/>
        <v>2.2037277530000003</v>
      </c>
      <c r="L335" s="15">
        <f t="shared" si="105"/>
        <v>1465.186962</v>
      </c>
      <c r="M335" s="15">
        <v>1458.81</v>
      </c>
      <c r="N335" s="14">
        <f t="shared" si="106"/>
        <v>1.4651869620000002</v>
      </c>
      <c r="O335" s="14">
        <f t="shared" si="107"/>
        <v>1.4694299999999998</v>
      </c>
      <c r="P335" s="14">
        <f t="shared" si="108"/>
        <v>4.2430379999995882E-3</v>
      </c>
      <c r="Q335" s="18">
        <f t="shared" si="109"/>
        <v>2.88754006655614E-3</v>
      </c>
      <c r="R335" s="15">
        <f t="shared" ca="1" si="110"/>
        <v>5.3439688629737612</v>
      </c>
      <c r="S335" s="15">
        <f t="shared" si="111"/>
        <v>5.4195106451612896</v>
      </c>
      <c r="T335" s="15">
        <f t="shared" ca="1" si="112"/>
        <v>7.5541782187528383E-2</v>
      </c>
      <c r="U335" s="18">
        <f t="shared" ca="1" si="113"/>
        <v>1.3938856685330894E-2</v>
      </c>
      <c r="V335" s="15">
        <f t="shared" si="114"/>
        <v>2.7750000000000004</v>
      </c>
      <c r="W335" s="15">
        <f t="shared" ca="1" si="115"/>
        <v>2.6560311370262388</v>
      </c>
      <c r="X335" s="15">
        <f t="shared" ca="1" si="116"/>
        <v>0.11896886297376152</v>
      </c>
      <c r="Y335" s="35">
        <f t="shared" ca="1" si="117"/>
        <v>4.2871662332887028E-2</v>
      </c>
      <c r="Z335" s="36">
        <f t="shared" ca="1" si="118"/>
        <v>51.872374000000001</v>
      </c>
      <c r="AA335" s="18">
        <f t="shared" ca="1" si="119"/>
        <v>2.6784727954971922E-2</v>
      </c>
      <c r="AB335" s="2"/>
    </row>
    <row r="336" spans="6:28" x14ac:dyDescent="0.25">
      <c r="F336" s="14">
        <v>334</v>
      </c>
      <c r="G336" s="14">
        <f t="shared" si="100"/>
        <v>53.4</v>
      </c>
      <c r="H336" s="14">
        <f t="shared" si="101"/>
        <v>326.54999999999995</v>
      </c>
      <c r="I336" s="15">
        <f t="shared" si="102"/>
        <v>2.7833329999999998</v>
      </c>
      <c r="J336" s="15">
        <f t="shared" si="103"/>
        <v>3171.8623499999999</v>
      </c>
      <c r="K336" s="15">
        <f t="shared" si="104"/>
        <v>2.1918623500000001</v>
      </c>
      <c r="L336" s="15">
        <f t="shared" si="105"/>
        <v>1462.7002179999999</v>
      </c>
      <c r="M336" s="15">
        <v>1456.32</v>
      </c>
      <c r="N336" s="14">
        <f t="shared" si="106"/>
        <v>1.4627002180000002</v>
      </c>
      <c r="O336" s="14">
        <f t="shared" si="107"/>
        <v>1.4671399999999999</v>
      </c>
      <c r="P336" s="14">
        <f t="shared" si="108"/>
        <v>4.4397819999997257E-3</v>
      </c>
      <c r="Q336" s="18">
        <f t="shared" si="109"/>
        <v>3.0261474705888503E-3</v>
      </c>
      <c r="R336" s="15">
        <f t="shared" ca="1" si="110"/>
        <v>5.335284227405249</v>
      </c>
      <c r="S336" s="15">
        <f t="shared" si="111"/>
        <v>5.4110647311827949</v>
      </c>
      <c r="T336" s="15">
        <f t="shared" ca="1" si="112"/>
        <v>7.578050377754586E-2</v>
      </c>
      <c r="U336" s="18">
        <f t="shared" ca="1" si="113"/>
        <v>1.4004730592269433E-2</v>
      </c>
      <c r="V336" s="15">
        <f t="shared" si="114"/>
        <v>2.7833333333333332</v>
      </c>
      <c r="W336" s="15">
        <f t="shared" ca="1" si="115"/>
        <v>2.664715772594751</v>
      </c>
      <c r="X336" s="15">
        <f t="shared" ca="1" si="116"/>
        <v>0.11861756073858221</v>
      </c>
      <c r="Y336" s="35">
        <f t="shared" ca="1" si="117"/>
        <v>4.2617087690508579E-2</v>
      </c>
      <c r="Z336" s="36">
        <f t="shared" ca="1" si="118"/>
        <v>51.976588999999997</v>
      </c>
      <c r="AA336" s="18">
        <f t="shared" ca="1" si="119"/>
        <v>2.665563670411988E-2</v>
      </c>
      <c r="AB336" s="2"/>
    </row>
    <row r="337" spans="6:28" x14ac:dyDescent="0.25">
      <c r="F337" s="14">
        <v>335</v>
      </c>
      <c r="G337" s="14">
        <f t="shared" si="100"/>
        <v>53.5</v>
      </c>
      <c r="H337" s="14">
        <f t="shared" si="101"/>
        <v>326.64999999999998</v>
      </c>
      <c r="I337" s="15">
        <f t="shared" si="102"/>
        <v>2.7916669999999999</v>
      </c>
      <c r="J337" s="15">
        <f t="shared" si="103"/>
        <v>3160.0475609999999</v>
      </c>
      <c r="K337" s="15">
        <f t="shared" si="104"/>
        <v>2.1800475609999999</v>
      </c>
      <c r="L337" s="15">
        <f t="shared" si="105"/>
        <v>1460.2141099999999</v>
      </c>
      <c r="M337" s="15">
        <v>1453.47</v>
      </c>
      <c r="N337" s="14">
        <f t="shared" si="106"/>
        <v>1.4602141099999999</v>
      </c>
      <c r="O337" s="14">
        <f t="shared" si="107"/>
        <v>1.46485</v>
      </c>
      <c r="P337" s="14">
        <f t="shared" si="108"/>
        <v>4.6358900000000869E-3</v>
      </c>
      <c r="Q337" s="18">
        <f t="shared" si="109"/>
        <v>3.1647540703826924E-3</v>
      </c>
      <c r="R337" s="15">
        <f t="shared" ca="1" si="110"/>
        <v>5.3266221370262388</v>
      </c>
      <c r="S337" s="15">
        <f t="shared" si="111"/>
        <v>5.402618817204301</v>
      </c>
      <c r="T337" s="15">
        <f t="shared" ca="1" si="112"/>
        <v>7.599668017806227E-2</v>
      </c>
      <c r="U337" s="18">
        <f t="shared" ca="1" si="113"/>
        <v>1.4066637449241394E-2</v>
      </c>
      <c r="V337" s="15">
        <f t="shared" si="114"/>
        <v>2.7916666666666661</v>
      </c>
      <c r="W337" s="15">
        <f t="shared" ca="1" si="115"/>
        <v>2.6733778629737612</v>
      </c>
      <c r="X337" s="15">
        <f t="shared" ca="1" si="116"/>
        <v>0.11828880369290484</v>
      </c>
      <c r="Y337" s="35">
        <f t="shared" ca="1" si="117"/>
        <v>4.2372108785518163E-2</v>
      </c>
      <c r="Z337" s="36">
        <f t="shared" ca="1" si="118"/>
        <v>52.080534</v>
      </c>
      <c r="AA337" s="18">
        <f t="shared" ca="1" si="119"/>
        <v>2.6532074766355138E-2</v>
      </c>
      <c r="AB337" s="2"/>
    </row>
    <row r="338" spans="6:28" x14ac:dyDescent="0.25">
      <c r="F338" s="14">
        <v>336</v>
      </c>
      <c r="G338" s="14">
        <f t="shared" si="100"/>
        <v>53.6</v>
      </c>
      <c r="H338" s="14">
        <f t="shared" si="101"/>
        <v>326.75</v>
      </c>
      <c r="I338" s="15">
        <f t="shared" si="102"/>
        <v>2.8</v>
      </c>
      <c r="J338" s="15">
        <f t="shared" si="103"/>
        <v>3148.2831449999999</v>
      </c>
      <c r="K338" s="15">
        <f t="shared" si="104"/>
        <v>2.1682831449999997</v>
      </c>
      <c r="L338" s="15">
        <f t="shared" si="105"/>
        <v>1457.728654</v>
      </c>
      <c r="M338" s="15">
        <v>1450.97</v>
      </c>
      <c r="N338" s="14">
        <f t="shared" si="106"/>
        <v>1.4577286540000001</v>
      </c>
      <c r="O338" s="14">
        <f t="shared" si="107"/>
        <v>1.4625599999999999</v>
      </c>
      <c r="P338" s="14">
        <f t="shared" si="108"/>
        <v>4.8313459999997921E-3</v>
      </c>
      <c r="Q338" s="18">
        <f t="shared" si="109"/>
        <v>3.3033489224372284E-3</v>
      </c>
      <c r="R338" s="15">
        <f t="shared" ca="1" si="110"/>
        <v>5.316774635568513</v>
      </c>
      <c r="S338" s="15">
        <f t="shared" si="111"/>
        <v>5.3941729032258054</v>
      </c>
      <c r="T338" s="15">
        <f t="shared" ca="1" si="112"/>
        <v>7.7398267657292408E-2</v>
      </c>
      <c r="U338" s="18">
        <f t="shared" ca="1" si="113"/>
        <v>1.4348495876171666E-2</v>
      </c>
      <c r="V338" s="15">
        <f t="shared" si="114"/>
        <v>2.8000000000000007</v>
      </c>
      <c r="W338" s="15">
        <f t="shared" ca="1" si="115"/>
        <v>2.683225364431487</v>
      </c>
      <c r="X338" s="15">
        <f t="shared" ca="1" si="116"/>
        <v>0.11677463556851375</v>
      </c>
      <c r="Y338" s="35">
        <f t="shared" ca="1" si="117"/>
        <v>4.1705226988754902E-2</v>
      </c>
      <c r="Z338" s="36">
        <f t="shared" ca="1" si="118"/>
        <v>52.198703999999999</v>
      </c>
      <c r="AA338" s="18">
        <f t="shared" ca="1" si="119"/>
        <v>2.6143582089552277E-2</v>
      </c>
      <c r="AB338" s="2"/>
    </row>
    <row r="339" spans="6:28" x14ac:dyDescent="0.25">
      <c r="F339" s="14">
        <v>337</v>
      </c>
      <c r="G339" s="14">
        <f t="shared" si="100"/>
        <v>53.7</v>
      </c>
      <c r="H339" s="14">
        <f t="shared" si="101"/>
        <v>326.84999999999997</v>
      </c>
      <c r="I339" s="15">
        <f t="shared" si="102"/>
        <v>2.8083330000000002</v>
      </c>
      <c r="J339" s="15">
        <f t="shared" si="103"/>
        <v>3136.5688610000002</v>
      </c>
      <c r="K339" s="15">
        <f t="shared" si="104"/>
        <v>2.1565688610000002</v>
      </c>
      <c r="L339" s="15">
        <f t="shared" si="105"/>
        <v>1455.243868</v>
      </c>
      <c r="M339" s="15">
        <v>1448.8</v>
      </c>
      <c r="N339" s="14">
        <f t="shared" si="106"/>
        <v>1.4552438679999999</v>
      </c>
      <c r="O339" s="14">
        <f t="shared" si="107"/>
        <v>1.46027</v>
      </c>
      <c r="P339" s="14">
        <f t="shared" si="108"/>
        <v>5.0261320000000165E-3</v>
      </c>
      <c r="Q339" s="18">
        <f t="shared" si="109"/>
        <v>3.4419196449971693E-3</v>
      </c>
      <c r="R339" s="15">
        <f t="shared" ca="1" si="110"/>
        <v>5.3081077725947514</v>
      </c>
      <c r="S339" s="15">
        <f t="shared" si="111"/>
        <v>5.3857269892473116</v>
      </c>
      <c r="T339" s="15">
        <f t="shared" ca="1" si="112"/>
        <v>7.7619216652560219E-2</v>
      </c>
      <c r="U339" s="18">
        <f t="shared" ca="1" si="113"/>
        <v>1.4412022148082924E-2</v>
      </c>
      <c r="V339" s="15">
        <f t="shared" si="114"/>
        <v>2.8083333333333327</v>
      </c>
      <c r="W339" s="15">
        <f t="shared" ca="1" si="115"/>
        <v>2.6918922274052486</v>
      </c>
      <c r="X339" s="15">
        <f t="shared" ca="1" si="116"/>
        <v>0.1164411059280841</v>
      </c>
      <c r="Y339" s="35">
        <f t="shared" ca="1" si="117"/>
        <v>4.1462708342344494E-2</v>
      </c>
      <c r="Z339" s="36">
        <f t="shared" ca="1" si="118"/>
        <v>52.302706999999998</v>
      </c>
      <c r="AA339" s="18">
        <f t="shared" ca="1" si="119"/>
        <v>2.6020353817504744E-2</v>
      </c>
      <c r="AB339" s="2"/>
    </row>
    <row r="340" spans="6:28" x14ac:dyDescent="0.25">
      <c r="F340" s="14">
        <v>338</v>
      </c>
      <c r="G340" s="14">
        <f t="shared" si="100"/>
        <v>53.800000000000004</v>
      </c>
      <c r="H340" s="14">
        <f t="shared" si="101"/>
        <v>326.95</v>
      </c>
      <c r="I340" s="15">
        <f t="shared" si="102"/>
        <v>2.8166669999999998</v>
      </c>
      <c r="J340" s="15">
        <f t="shared" si="103"/>
        <v>3124.9044720000002</v>
      </c>
      <c r="K340" s="15">
        <f t="shared" si="104"/>
        <v>2.1449044720000003</v>
      </c>
      <c r="L340" s="15">
        <f t="shared" si="105"/>
        <v>1452.7597699999999</v>
      </c>
      <c r="M340" s="15">
        <v>1446.28</v>
      </c>
      <c r="N340" s="14">
        <f t="shared" si="106"/>
        <v>1.4527597699999999</v>
      </c>
      <c r="O340" s="14">
        <f t="shared" si="107"/>
        <v>1.4579799999999998</v>
      </c>
      <c r="P340" s="14">
        <f t="shared" si="108"/>
        <v>5.2202299999999369E-3</v>
      </c>
      <c r="Q340" s="18">
        <f t="shared" si="109"/>
        <v>3.5804537785154374E-3</v>
      </c>
      <c r="R340" s="15">
        <f t="shared" ca="1" si="110"/>
        <v>5.2986398629737614</v>
      </c>
      <c r="S340" s="15">
        <f t="shared" si="111"/>
        <v>5.377281075268816</v>
      </c>
      <c r="T340" s="15">
        <f t="shared" ca="1" si="112"/>
        <v>7.8641212295054608E-2</v>
      </c>
      <c r="U340" s="18">
        <f t="shared" ca="1" si="113"/>
        <v>1.4624716691255209E-2</v>
      </c>
      <c r="V340" s="15">
        <f t="shared" si="114"/>
        <v>2.8166666666666673</v>
      </c>
      <c r="W340" s="15">
        <f t="shared" ca="1" si="115"/>
        <v>2.7013601370262386</v>
      </c>
      <c r="X340" s="15">
        <f t="shared" ca="1" si="116"/>
        <v>0.11530652964042876</v>
      </c>
      <c r="Y340" s="35">
        <f t="shared" ca="1" si="117"/>
        <v>4.0937229458140378E-2</v>
      </c>
      <c r="Z340" s="36">
        <f t="shared" ca="1" si="118"/>
        <v>52.416322000000001</v>
      </c>
      <c r="AA340" s="18">
        <f t="shared" ca="1" si="119"/>
        <v>2.5718921933085562E-2</v>
      </c>
      <c r="AB340" s="2"/>
    </row>
    <row r="341" spans="6:28" x14ac:dyDescent="0.25">
      <c r="F341" s="14">
        <v>339</v>
      </c>
      <c r="G341" s="14">
        <f t="shared" si="100"/>
        <v>53.9</v>
      </c>
      <c r="H341" s="14">
        <f t="shared" si="101"/>
        <v>327.04999999999995</v>
      </c>
      <c r="I341" s="15">
        <f t="shared" si="102"/>
        <v>2.8250000000000002</v>
      </c>
      <c r="J341" s="15">
        <f t="shared" si="103"/>
        <v>3113.2897389999998</v>
      </c>
      <c r="K341" s="15">
        <f t="shared" si="104"/>
        <v>2.1332897389999999</v>
      </c>
      <c r="L341" s="15">
        <f t="shared" si="105"/>
        <v>1450.2763749999999</v>
      </c>
      <c r="M341" s="15">
        <v>1443.42</v>
      </c>
      <c r="N341" s="14">
        <f t="shared" si="106"/>
        <v>1.4502763750000001</v>
      </c>
      <c r="O341" s="14">
        <f t="shared" si="107"/>
        <v>1.4556899999999999</v>
      </c>
      <c r="P341" s="14">
        <f t="shared" si="108"/>
        <v>5.4136249999998665E-3</v>
      </c>
      <c r="Q341" s="18">
        <f t="shared" si="109"/>
        <v>3.7189408459217736E-3</v>
      </c>
      <c r="R341" s="15">
        <f t="shared" ca="1" si="110"/>
        <v>5.2903633644314869</v>
      </c>
      <c r="S341" s="15">
        <f t="shared" si="111"/>
        <v>5.3688351612903222</v>
      </c>
      <c r="T341" s="15">
        <f t="shared" ca="1" si="112"/>
        <v>7.8471796858835319E-2</v>
      </c>
      <c r="U341" s="18">
        <f t="shared" ca="1" si="113"/>
        <v>1.4616168032988324E-2</v>
      </c>
      <c r="V341" s="15">
        <f t="shared" si="114"/>
        <v>2.8250000000000002</v>
      </c>
      <c r="W341" s="15">
        <f t="shared" ca="1" si="115"/>
        <v>2.7096366355685131</v>
      </c>
      <c r="X341" s="15">
        <f t="shared" ca="1" si="116"/>
        <v>0.11536336443148709</v>
      </c>
      <c r="Y341" s="35">
        <f t="shared" ca="1" si="117"/>
        <v>4.0836589179287466E-2</v>
      </c>
      <c r="Z341" s="36">
        <f t="shared" ca="1" si="118"/>
        <v>52.515639999999998</v>
      </c>
      <c r="AA341" s="18">
        <f t="shared" ca="1" si="119"/>
        <v>2.568385899814473E-2</v>
      </c>
      <c r="AB341" s="2"/>
    </row>
    <row r="342" spans="6:28" x14ac:dyDescent="0.25">
      <c r="F342" s="14">
        <v>340</v>
      </c>
      <c r="G342" s="14">
        <f t="shared" si="100"/>
        <v>54</v>
      </c>
      <c r="H342" s="14">
        <f t="shared" si="101"/>
        <v>327.14999999999998</v>
      </c>
      <c r="I342" s="15">
        <f t="shared" si="102"/>
        <v>2.8333330000000001</v>
      </c>
      <c r="J342" s="15">
        <f t="shared" si="103"/>
        <v>3101.7244270000001</v>
      </c>
      <c r="K342" s="15">
        <f t="shared" si="104"/>
        <v>2.1217244270000002</v>
      </c>
      <c r="L342" s="15">
        <f t="shared" si="105"/>
        <v>1447.7937010000001</v>
      </c>
      <c r="M342" s="15">
        <v>1441.07</v>
      </c>
      <c r="N342" s="14">
        <f t="shared" si="106"/>
        <v>1.4477937010000002</v>
      </c>
      <c r="O342" s="14">
        <f t="shared" si="107"/>
        <v>1.4534</v>
      </c>
      <c r="P342" s="14">
        <f t="shared" si="108"/>
        <v>5.6062989999998702E-3</v>
      </c>
      <c r="Q342" s="18">
        <f t="shared" si="109"/>
        <v>3.8573682399889019E-3</v>
      </c>
      <c r="R342" s="15">
        <f t="shared" ca="1" si="110"/>
        <v>5.280911227405249</v>
      </c>
      <c r="S342" s="15">
        <f t="shared" si="111"/>
        <v>5.3603892473118275</v>
      </c>
      <c r="T342" s="15">
        <f t="shared" ca="1" si="112"/>
        <v>7.9478019906578545E-2</v>
      </c>
      <c r="U342" s="18">
        <f t="shared" ca="1" si="113"/>
        <v>1.4826912046813735E-2</v>
      </c>
      <c r="V342" s="15">
        <f t="shared" si="114"/>
        <v>2.833333333333333</v>
      </c>
      <c r="W342" s="15">
        <f t="shared" ca="1" si="115"/>
        <v>2.719088772594751</v>
      </c>
      <c r="X342" s="15">
        <f t="shared" ca="1" si="116"/>
        <v>0.11424456073858202</v>
      </c>
      <c r="Y342" s="35">
        <f t="shared" ca="1" si="117"/>
        <v>4.0321609672440716E-2</v>
      </c>
      <c r="Z342" s="36">
        <f t="shared" ca="1" si="118"/>
        <v>52.629064999999997</v>
      </c>
      <c r="AA342" s="18">
        <f t="shared" ca="1" si="119"/>
        <v>2.5387685185185239E-2</v>
      </c>
      <c r="AB342" s="2"/>
    </row>
    <row r="343" spans="6:28" x14ac:dyDescent="0.25">
      <c r="F343" s="14">
        <v>341</v>
      </c>
      <c r="G343" s="14">
        <f t="shared" si="100"/>
        <v>54.1</v>
      </c>
      <c r="H343" s="14">
        <f t="shared" si="101"/>
        <v>327.25</v>
      </c>
      <c r="I343" s="15">
        <f t="shared" si="102"/>
        <v>2.8416670000000002</v>
      </c>
      <c r="J343" s="15">
        <f t="shared" si="103"/>
        <v>3090.2082999999998</v>
      </c>
      <c r="K343" s="15">
        <f t="shared" si="104"/>
        <v>2.1102083</v>
      </c>
      <c r="L343" s="15">
        <f t="shared" si="105"/>
        <v>1445.311764</v>
      </c>
      <c r="M343" s="15">
        <v>1438.88</v>
      </c>
      <c r="N343" s="14">
        <f t="shared" si="106"/>
        <v>1.4453117639999999</v>
      </c>
      <c r="O343" s="14">
        <f t="shared" si="107"/>
        <v>1.4511099999999999</v>
      </c>
      <c r="P343" s="14">
        <f t="shared" si="108"/>
        <v>5.7982359999999566E-3</v>
      </c>
      <c r="Q343" s="18">
        <f t="shared" si="109"/>
        <v>3.9957246521627977E-3</v>
      </c>
      <c r="R343" s="15">
        <f t="shared" ca="1" si="110"/>
        <v>5.2714836355685124</v>
      </c>
      <c r="S343" s="15">
        <f t="shared" si="111"/>
        <v>5.3519433333333328</v>
      </c>
      <c r="T343" s="15">
        <f t="shared" ca="1" si="112"/>
        <v>8.0459697764820426E-2</v>
      </c>
      <c r="U343" s="18">
        <f t="shared" ca="1" si="113"/>
        <v>1.5033734991866587E-2</v>
      </c>
      <c r="V343" s="15">
        <f t="shared" si="114"/>
        <v>2.8416666666666668</v>
      </c>
      <c r="W343" s="15">
        <f t="shared" ca="1" si="115"/>
        <v>2.7285163644314876</v>
      </c>
      <c r="X343" s="15">
        <f t="shared" ca="1" si="116"/>
        <v>0.11315030223517919</v>
      </c>
      <c r="Y343" s="35">
        <f t="shared" ca="1" si="117"/>
        <v>3.9818288176602643E-2</v>
      </c>
      <c r="Z343" s="36">
        <f t="shared" ca="1" si="118"/>
        <v>52.742196</v>
      </c>
      <c r="AA343" s="18">
        <f t="shared" ca="1" si="119"/>
        <v>2.5098040665434408E-2</v>
      </c>
      <c r="AB343" s="2"/>
    </row>
    <row r="344" spans="6:28" x14ac:dyDescent="0.25">
      <c r="F344" s="14">
        <v>342</v>
      </c>
      <c r="G344" s="14">
        <f t="shared" si="100"/>
        <v>54.2</v>
      </c>
      <c r="H344" s="14">
        <f t="shared" si="101"/>
        <v>327.34999999999997</v>
      </c>
      <c r="I344" s="15">
        <f t="shared" si="102"/>
        <v>2.85</v>
      </c>
      <c r="J344" s="15">
        <f t="shared" si="103"/>
        <v>3078.741125</v>
      </c>
      <c r="K344" s="15">
        <f t="shared" si="104"/>
        <v>2.0987411250000001</v>
      </c>
      <c r="L344" s="15">
        <f t="shared" si="105"/>
        <v>1442.8305829999999</v>
      </c>
      <c r="M344" s="15">
        <v>1436.17</v>
      </c>
      <c r="N344" s="14">
        <f t="shared" si="106"/>
        <v>1.4428305830000001</v>
      </c>
      <c r="O344" s="14">
        <f t="shared" si="107"/>
        <v>1.4488199999999998</v>
      </c>
      <c r="P344" s="14">
        <f t="shared" si="108"/>
        <v>5.9894169999996638E-3</v>
      </c>
      <c r="Q344" s="18">
        <f t="shared" si="109"/>
        <v>4.1339966317414621E-3</v>
      </c>
      <c r="R344" s="15">
        <f t="shared" ca="1" si="110"/>
        <v>5.2624228629737617</v>
      </c>
      <c r="S344" s="15">
        <f t="shared" si="111"/>
        <v>5.3434974193548372</v>
      </c>
      <c r="T344" s="15">
        <f t="shared" ca="1" si="112"/>
        <v>8.1074556381075524E-2</v>
      </c>
      <c r="U344" s="18">
        <f t="shared" ca="1" si="113"/>
        <v>1.5172563962960479E-2</v>
      </c>
      <c r="V344" s="15">
        <f t="shared" si="114"/>
        <v>2.8500000000000005</v>
      </c>
      <c r="W344" s="15">
        <f t="shared" ca="1" si="115"/>
        <v>2.7375771370262383</v>
      </c>
      <c r="X344" s="15">
        <f t="shared" ca="1" si="116"/>
        <v>0.11242286297376225</v>
      </c>
      <c r="Y344" s="35">
        <f t="shared" ca="1" si="117"/>
        <v>3.9446618587284994E-2</v>
      </c>
      <c r="Z344" s="36">
        <f t="shared" ca="1" si="118"/>
        <v>52.850926000000001</v>
      </c>
      <c r="AA344" s="18">
        <f t="shared" ca="1" si="119"/>
        <v>2.4890664206642096E-2</v>
      </c>
      <c r="AB344" s="2"/>
    </row>
    <row r="345" spans="6:28" x14ac:dyDescent="0.25">
      <c r="F345" s="14">
        <v>343</v>
      </c>
      <c r="G345" s="14">
        <f t="shared" si="100"/>
        <v>54.300000000000004</v>
      </c>
      <c r="H345" s="14">
        <f t="shared" si="101"/>
        <v>327.45</v>
      </c>
      <c r="I345" s="15">
        <f t="shared" si="102"/>
        <v>2.858333</v>
      </c>
      <c r="J345" s="15">
        <f t="shared" si="103"/>
        <v>3067.3226679999998</v>
      </c>
      <c r="K345" s="15">
        <f t="shared" si="104"/>
        <v>2.0873226679999997</v>
      </c>
      <c r="L345" s="15">
        <f t="shared" si="105"/>
        <v>1440.350173</v>
      </c>
      <c r="M345" s="15">
        <v>1433.97</v>
      </c>
      <c r="N345" s="14">
        <f t="shared" si="106"/>
        <v>1.4403501729999999</v>
      </c>
      <c r="O345" s="14">
        <f t="shared" si="107"/>
        <v>1.4465299999999999</v>
      </c>
      <c r="P345" s="14">
        <f t="shared" si="108"/>
        <v>6.1798269999999711E-3</v>
      </c>
      <c r="Q345" s="18">
        <f t="shared" si="109"/>
        <v>4.2721734080869191E-3</v>
      </c>
      <c r="R345" s="15">
        <f t="shared" ca="1" si="110"/>
        <v>5.2541563644314877</v>
      </c>
      <c r="S345" s="15">
        <f t="shared" si="111"/>
        <v>5.3350515053763434</v>
      </c>
      <c r="T345" s="15">
        <f t="shared" ca="1" si="112"/>
        <v>8.0895140944855726E-2</v>
      </c>
      <c r="U345" s="18">
        <f t="shared" ca="1" si="113"/>
        <v>1.5162954071452633E-2</v>
      </c>
      <c r="V345" s="15">
        <f t="shared" si="114"/>
        <v>2.8583333333333334</v>
      </c>
      <c r="W345" s="15">
        <f t="shared" ca="1" si="115"/>
        <v>2.7458436355685123</v>
      </c>
      <c r="X345" s="15">
        <f t="shared" ca="1" si="116"/>
        <v>0.11248969776482109</v>
      </c>
      <c r="Y345" s="35">
        <f t="shared" ca="1" si="117"/>
        <v>3.9354996302561313E-2</v>
      </c>
      <c r="Z345" s="36">
        <f t="shared" ca="1" si="118"/>
        <v>52.950124000000002</v>
      </c>
      <c r="AA345" s="18">
        <f t="shared" ca="1" si="119"/>
        <v>2.4859594843462278E-2</v>
      </c>
      <c r="AB345" s="2"/>
    </row>
    <row r="346" spans="6:28" x14ac:dyDescent="0.25">
      <c r="F346" s="14">
        <v>344</v>
      </c>
      <c r="G346" s="14">
        <f t="shared" si="100"/>
        <v>54.4</v>
      </c>
      <c r="H346" s="14">
        <f t="shared" si="101"/>
        <v>327.54999999999995</v>
      </c>
      <c r="I346" s="15">
        <f t="shared" si="102"/>
        <v>2.8666670000000001</v>
      </c>
      <c r="J346" s="15">
        <f t="shared" si="103"/>
        <v>3055.9526989999999</v>
      </c>
      <c r="K346" s="15">
        <f t="shared" si="104"/>
        <v>2.0759526990000001</v>
      </c>
      <c r="L346" s="15">
        <f t="shared" si="105"/>
        <v>1437.870551</v>
      </c>
      <c r="M346" s="15">
        <v>1431.09</v>
      </c>
      <c r="N346" s="14">
        <f t="shared" si="106"/>
        <v>1.4378705510000001</v>
      </c>
      <c r="O346" s="14">
        <f t="shared" si="107"/>
        <v>1.44424</v>
      </c>
      <c r="P346" s="14">
        <f t="shared" si="108"/>
        <v>6.369448999999916E-3</v>
      </c>
      <c r="Q346" s="18">
        <f t="shared" si="109"/>
        <v>4.4102427574363792E-3</v>
      </c>
      <c r="R346" s="15">
        <f t="shared" ca="1" si="110"/>
        <v>5.2447270000000001</v>
      </c>
      <c r="S346" s="15">
        <f t="shared" si="111"/>
        <v>5.3266055913978487</v>
      </c>
      <c r="T346" s="15">
        <f t="shared" ca="1" si="112"/>
        <v>8.1878591397848588E-2</v>
      </c>
      <c r="U346" s="18">
        <f t="shared" ca="1" si="113"/>
        <v>1.5371626450075006E-2</v>
      </c>
      <c r="V346" s="15">
        <f t="shared" si="114"/>
        <v>2.8666666666666671</v>
      </c>
      <c r="W346" s="15">
        <f t="shared" ca="1" si="115"/>
        <v>2.7552729999999999</v>
      </c>
      <c r="X346" s="15">
        <f t="shared" ca="1" si="116"/>
        <v>0.11139366666666728</v>
      </c>
      <c r="Y346" s="35">
        <f t="shared" ca="1" si="117"/>
        <v>3.8858255813953697E-2</v>
      </c>
      <c r="Z346" s="36">
        <f t="shared" ca="1" si="118"/>
        <v>53.063276000000002</v>
      </c>
      <c r="AA346" s="18">
        <f t="shared" ca="1" si="119"/>
        <v>2.4572132352941117E-2</v>
      </c>
      <c r="AB346" s="2"/>
    </row>
    <row r="347" spans="6:28" x14ac:dyDescent="0.25">
      <c r="F347" s="14">
        <v>345</v>
      </c>
      <c r="G347" s="14">
        <f t="shared" si="100"/>
        <v>54.5</v>
      </c>
      <c r="H347" s="14">
        <f t="shared" si="101"/>
        <v>327.64999999999998</v>
      </c>
      <c r="I347" s="15">
        <f t="shared" si="102"/>
        <v>2.875</v>
      </c>
      <c r="J347" s="15">
        <f t="shared" si="103"/>
        <v>3044.630987</v>
      </c>
      <c r="K347" s="15">
        <f t="shared" si="104"/>
        <v>2.0646309870000001</v>
      </c>
      <c r="L347" s="15">
        <f t="shared" si="105"/>
        <v>1435.3917329999999</v>
      </c>
      <c r="M347" s="15">
        <v>1428.71</v>
      </c>
      <c r="N347" s="14">
        <f t="shared" si="106"/>
        <v>1.4353917329999999</v>
      </c>
      <c r="O347" s="14">
        <f t="shared" si="107"/>
        <v>1.4419499999999998</v>
      </c>
      <c r="P347" s="14">
        <f t="shared" si="108"/>
        <v>6.558266999999951E-3</v>
      </c>
      <c r="Q347" s="18">
        <f t="shared" si="109"/>
        <v>4.5481930718817929E-3</v>
      </c>
      <c r="R347" s="15">
        <f t="shared" ca="1" si="110"/>
        <v>5.2356957725947515</v>
      </c>
      <c r="S347" s="15">
        <f t="shared" si="111"/>
        <v>5.318159677419354</v>
      </c>
      <c r="T347" s="15">
        <f t="shared" ca="1" si="112"/>
        <v>8.246390482460253E-2</v>
      </c>
      <c r="U347" s="18">
        <f t="shared" ca="1" si="113"/>
        <v>1.5506097941124302E-2</v>
      </c>
      <c r="V347" s="15">
        <f t="shared" si="114"/>
        <v>2.875</v>
      </c>
      <c r="W347" s="15">
        <f t="shared" ca="1" si="115"/>
        <v>2.7643042274052485</v>
      </c>
      <c r="X347" s="15">
        <f t="shared" ca="1" si="116"/>
        <v>0.1106957725947515</v>
      </c>
      <c r="Y347" s="35">
        <f t="shared" ca="1" si="117"/>
        <v>3.8502877424261388E-2</v>
      </c>
      <c r="Z347" s="36">
        <f t="shared" ca="1" si="118"/>
        <v>53.171650999999997</v>
      </c>
      <c r="AA347" s="18">
        <f t="shared" ca="1" si="119"/>
        <v>2.4373376146789045E-2</v>
      </c>
      <c r="AB347" s="2"/>
    </row>
    <row r="348" spans="6:28" x14ac:dyDescent="0.25">
      <c r="F348" s="14">
        <v>346</v>
      </c>
      <c r="G348" s="14">
        <f t="shared" si="100"/>
        <v>54.6</v>
      </c>
      <c r="H348" s="14">
        <f t="shared" si="101"/>
        <v>327.75</v>
      </c>
      <c r="I348" s="15">
        <f t="shared" si="102"/>
        <v>2.8833329999999999</v>
      </c>
      <c r="J348" s="15">
        <f t="shared" si="103"/>
        <v>3033.3573040000001</v>
      </c>
      <c r="K348" s="15">
        <f t="shared" si="104"/>
        <v>2.0533573040000004</v>
      </c>
      <c r="L348" s="15">
        <f t="shared" si="105"/>
        <v>1432.913738</v>
      </c>
      <c r="M348" s="15">
        <v>1426.16</v>
      </c>
      <c r="N348" s="14">
        <f t="shared" si="106"/>
        <v>1.4329137380000001</v>
      </c>
      <c r="O348" s="14">
        <f t="shared" si="107"/>
        <v>1.4396599999999999</v>
      </c>
      <c r="P348" s="14">
        <f t="shared" si="108"/>
        <v>6.7462619999998363E-3</v>
      </c>
      <c r="Q348" s="18">
        <f t="shared" si="109"/>
        <v>4.6860105858326524E-3</v>
      </c>
      <c r="R348" s="15">
        <f t="shared" ca="1" si="110"/>
        <v>5.2266459999999997</v>
      </c>
      <c r="S348" s="15">
        <f t="shared" si="111"/>
        <v>5.3097137634408593</v>
      </c>
      <c r="T348" s="15">
        <f t="shared" ca="1" si="112"/>
        <v>8.3067763440859643E-2</v>
      </c>
      <c r="U348" s="18">
        <f t="shared" ca="1" si="113"/>
        <v>1.5644489918234153E-2</v>
      </c>
      <c r="V348" s="15">
        <f t="shared" si="114"/>
        <v>2.8833333333333337</v>
      </c>
      <c r="W348" s="15">
        <f t="shared" ca="1" si="115"/>
        <v>2.7733540000000003</v>
      </c>
      <c r="X348" s="15">
        <f t="shared" ca="1" si="116"/>
        <v>0.10997933333333343</v>
      </c>
      <c r="Y348" s="35">
        <f t="shared" ca="1" si="117"/>
        <v>3.8143121387283263E-2</v>
      </c>
      <c r="Z348" s="36">
        <f t="shared" ca="1" si="118"/>
        <v>53.280248</v>
      </c>
      <c r="AA348" s="18">
        <f t="shared" ca="1" si="119"/>
        <v>2.4171282051282071E-2</v>
      </c>
      <c r="AB348" s="2"/>
    </row>
    <row r="349" spans="6:28" x14ac:dyDescent="0.25">
      <c r="F349" s="14">
        <v>347</v>
      </c>
      <c r="G349" s="14">
        <f t="shared" si="100"/>
        <v>54.7</v>
      </c>
      <c r="H349" s="14">
        <f t="shared" si="101"/>
        <v>327.84999999999997</v>
      </c>
      <c r="I349" s="15">
        <f t="shared" si="102"/>
        <v>2.891667</v>
      </c>
      <c r="J349" s="15">
        <f t="shared" si="103"/>
        <v>3022.131421</v>
      </c>
      <c r="K349" s="15">
        <f t="shared" si="104"/>
        <v>2.0421314210000001</v>
      </c>
      <c r="L349" s="15">
        <f t="shared" si="105"/>
        <v>1430.4365809999999</v>
      </c>
      <c r="M349" s="15">
        <v>1423.6</v>
      </c>
      <c r="N349" s="14">
        <f t="shared" si="106"/>
        <v>1.4304365809999999</v>
      </c>
      <c r="O349" s="14">
        <f t="shared" si="107"/>
        <v>1.4373699999999998</v>
      </c>
      <c r="P349" s="14">
        <f t="shared" si="108"/>
        <v>6.9334189999998852E-3</v>
      </c>
      <c r="Q349" s="18">
        <f t="shared" si="109"/>
        <v>4.8236842288345285E-3</v>
      </c>
      <c r="R349" s="15">
        <f t="shared" ca="1" si="110"/>
        <v>5.2176109999999998</v>
      </c>
      <c r="S349" s="15">
        <f t="shared" si="111"/>
        <v>5.3012678494623646</v>
      </c>
      <c r="T349" s="15">
        <f t="shared" ca="1" si="112"/>
        <v>8.3656849462364846E-2</v>
      </c>
      <c r="U349" s="18">
        <f t="shared" ca="1" si="113"/>
        <v>1.5780536248672858E-2</v>
      </c>
      <c r="V349" s="15">
        <f t="shared" si="114"/>
        <v>2.8916666666666675</v>
      </c>
      <c r="W349" s="15">
        <f t="shared" ca="1" si="115"/>
        <v>2.7823890000000002</v>
      </c>
      <c r="X349" s="15">
        <f t="shared" ca="1" si="116"/>
        <v>0.10927766666666727</v>
      </c>
      <c r="Y349" s="35">
        <f t="shared" ca="1" si="117"/>
        <v>3.7790547550432478E-2</v>
      </c>
      <c r="Z349" s="36">
        <f t="shared" ca="1" si="118"/>
        <v>53.388668000000003</v>
      </c>
      <c r="AA349" s="18">
        <f t="shared" ca="1" si="119"/>
        <v>2.3973162705667277E-2</v>
      </c>
      <c r="AB349" s="2"/>
    </row>
    <row r="350" spans="6:28" x14ac:dyDescent="0.25">
      <c r="F350" s="14">
        <v>348</v>
      </c>
      <c r="G350" s="14">
        <f t="shared" si="100"/>
        <v>54.800000000000004</v>
      </c>
      <c r="H350" s="14">
        <f t="shared" si="101"/>
        <v>327.95</v>
      </c>
      <c r="I350" s="15">
        <f t="shared" si="102"/>
        <v>2.9</v>
      </c>
      <c r="J350" s="15">
        <f t="shared" si="103"/>
        <v>3010.953113</v>
      </c>
      <c r="K350" s="15">
        <f t="shared" si="104"/>
        <v>2.0309531130000003</v>
      </c>
      <c r="L350" s="15">
        <f t="shared" si="105"/>
        <v>1427.9602789999999</v>
      </c>
      <c r="M350" s="15">
        <v>1421.21</v>
      </c>
      <c r="N350" s="14">
        <f t="shared" si="106"/>
        <v>1.4279602789999999</v>
      </c>
      <c r="O350" s="14">
        <f t="shared" si="107"/>
        <v>1.4350799999999999</v>
      </c>
      <c r="P350" s="14">
        <f t="shared" si="108"/>
        <v>7.1197210000000233E-3</v>
      </c>
      <c r="Q350" s="18">
        <f t="shared" si="109"/>
        <v>4.9612014661203725E-3</v>
      </c>
      <c r="R350" s="15">
        <f t="shared" ca="1" si="110"/>
        <v>5.2085887725947515</v>
      </c>
      <c r="S350" s="15">
        <f t="shared" si="111"/>
        <v>5.2928219354838708</v>
      </c>
      <c r="T350" s="15">
        <f t="shared" ca="1" si="112"/>
        <v>8.4233162889119306E-2</v>
      </c>
      <c r="U350" s="18">
        <f t="shared" ca="1" si="113"/>
        <v>1.5914603573645197E-2</v>
      </c>
      <c r="V350" s="15">
        <f t="shared" si="114"/>
        <v>2.8999999999999995</v>
      </c>
      <c r="W350" s="15">
        <f t="shared" ca="1" si="115"/>
        <v>2.7914112274052485</v>
      </c>
      <c r="X350" s="15">
        <f t="shared" ca="1" si="116"/>
        <v>0.10858877259475097</v>
      </c>
      <c r="Y350" s="35">
        <f t="shared" ca="1" si="117"/>
        <v>3.744440434301758E-2</v>
      </c>
      <c r="Z350" s="36">
        <f t="shared" ca="1" si="118"/>
        <v>53.496935000000001</v>
      </c>
      <c r="AA350" s="18">
        <f t="shared" ca="1" si="119"/>
        <v>2.377855839416065E-2</v>
      </c>
      <c r="AB350" s="2"/>
    </row>
    <row r="351" spans="6:28" x14ac:dyDescent="0.25">
      <c r="F351" s="14">
        <v>349</v>
      </c>
      <c r="G351" s="14">
        <f t="shared" si="100"/>
        <v>54.9</v>
      </c>
      <c r="H351" s="14">
        <f t="shared" si="101"/>
        <v>328.04999999999995</v>
      </c>
      <c r="I351" s="15">
        <f t="shared" si="102"/>
        <v>2.9083329999999998</v>
      </c>
      <c r="J351" s="15">
        <f t="shared" si="103"/>
        <v>2999.8221530000001</v>
      </c>
      <c r="K351" s="15">
        <f t="shared" si="104"/>
        <v>2.0198221530000002</v>
      </c>
      <c r="L351" s="15">
        <f t="shared" si="105"/>
        <v>1425.4848480000001</v>
      </c>
      <c r="M351" s="15">
        <v>1418.81</v>
      </c>
      <c r="N351" s="14">
        <f t="shared" si="106"/>
        <v>1.425484848</v>
      </c>
      <c r="O351" s="14">
        <f t="shared" si="107"/>
        <v>1.43279</v>
      </c>
      <c r="P351" s="14">
        <f t="shared" si="108"/>
        <v>7.3051520000000369E-3</v>
      </c>
      <c r="Q351" s="18">
        <f t="shared" si="109"/>
        <v>5.0985503807257429E-3</v>
      </c>
      <c r="R351" s="15">
        <f t="shared" ca="1" si="110"/>
        <v>5.2003305014577261</v>
      </c>
      <c r="S351" s="15">
        <f t="shared" si="111"/>
        <v>5.2843760215053761</v>
      </c>
      <c r="T351" s="15">
        <f t="shared" ca="1" si="112"/>
        <v>8.404552004764998E-2</v>
      </c>
      <c r="U351" s="18">
        <f t="shared" ca="1" si="113"/>
        <v>1.5904530583292532E-2</v>
      </c>
      <c r="V351" s="15">
        <f t="shared" si="114"/>
        <v>2.9083333333333332</v>
      </c>
      <c r="W351" s="15">
        <f t="shared" ca="1" si="115"/>
        <v>2.7996694985422739</v>
      </c>
      <c r="X351" s="15">
        <f t="shared" ca="1" si="116"/>
        <v>0.10866383479105934</v>
      </c>
      <c r="Y351" s="35">
        <f t="shared" ca="1" si="117"/>
        <v>3.7362923137326996E-2</v>
      </c>
      <c r="Z351" s="36">
        <f t="shared" ca="1" si="118"/>
        <v>53.596034000000003</v>
      </c>
      <c r="AA351" s="18">
        <f t="shared" ca="1" si="119"/>
        <v>2.3751657559198461E-2</v>
      </c>
      <c r="AB351" s="2"/>
    </row>
    <row r="352" spans="6:28" x14ac:dyDescent="0.25">
      <c r="F352" s="14">
        <v>350</v>
      </c>
      <c r="G352" s="14">
        <f t="shared" si="100"/>
        <v>55</v>
      </c>
      <c r="H352" s="14">
        <f t="shared" si="101"/>
        <v>328.15</v>
      </c>
      <c r="I352" s="15">
        <f t="shared" si="102"/>
        <v>2.9166669999999999</v>
      </c>
      <c r="J352" s="15">
        <f t="shared" si="103"/>
        <v>2988.7383180000002</v>
      </c>
      <c r="K352" s="15">
        <f t="shared" si="104"/>
        <v>2.0087383180000002</v>
      </c>
      <c r="L352" s="15">
        <f t="shared" si="105"/>
        <v>1423.0103059999999</v>
      </c>
      <c r="M352" s="15">
        <v>1416.24</v>
      </c>
      <c r="N352" s="14">
        <f t="shared" si="106"/>
        <v>1.4230103060000001</v>
      </c>
      <c r="O352" s="14">
        <f t="shared" si="107"/>
        <v>1.4304999999999999</v>
      </c>
      <c r="P352" s="14">
        <f t="shared" si="108"/>
        <v>7.4896939999997691E-3</v>
      </c>
      <c r="Q352" s="18">
        <f t="shared" si="109"/>
        <v>5.2357175812651306E-3</v>
      </c>
      <c r="R352" s="15">
        <f t="shared" ca="1" si="110"/>
        <v>5.1901268629737611</v>
      </c>
      <c r="S352" s="15">
        <f t="shared" si="111"/>
        <v>5.2759301075268814</v>
      </c>
      <c r="T352" s="15">
        <f t="shared" ca="1" si="112"/>
        <v>8.5803244553120273E-2</v>
      </c>
      <c r="U352" s="18">
        <f t="shared" ca="1" si="113"/>
        <v>1.626315034589057E-2</v>
      </c>
      <c r="V352" s="15">
        <f t="shared" si="114"/>
        <v>2.9166666666666661</v>
      </c>
      <c r="W352" s="15">
        <f t="shared" ca="1" si="115"/>
        <v>2.8098731370262389</v>
      </c>
      <c r="X352" s="15">
        <f t="shared" ca="1" si="116"/>
        <v>0.10679352964042721</v>
      </c>
      <c r="Y352" s="35">
        <f t="shared" ca="1" si="117"/>
        <v>3.6614924448146478E-2</v>
      </c>
      <c r="Z352" s="36">
        <f t="shared" ca="1" si="118"/>
        <v>53.718477999999998</v>
      </c>
      <c r="AA352" s="18">
        <f t="shared" ca="1" si="119"/>
        <v>2.3300400000000044E-2</v>
      </c>
      <c r="AB352" s="2"/>
    </row>
    <row r="353" spans="6:28" x14ac:dyDescent="0.25">
      <c r="F353" s="14">
        <v>351</v>
      </c>
      <c r="G353" s="14">
        <f t="shared" si="100"/>
        <v>55.1</v>
      </c>
      <c r="H353" s="14">
        <f t="shared" si="101"/>
        <v>328.25</v>
      </c>
      <c r="I353" s="15">
        <f t="shared" si="102"/>
        <v>2.9249999999999998</v>
      </c>
      <c r="J353" s="15">
        <f t="shared" si="103"/>
        <v>2977.7013849999998</v>
      </c>
      <c r="K353" s="15">
        <f t="shared" si="104"/>
        <v>1.9977013850000001</v>
      </c>
      <c r="L353" s="15">
        <f t="shared" si="105"/>
        <v>1420.536668</v>
      </c>
      <c r="M353" s="15">
        <v>1413.67</v>
      </c>
      <c r="N353" s="14">
        <f t="shared" si="106"/>
        <v>1.420536668</v>
      </c>
      <c r="O353" s="14">
        <f t="shared" si="107"/>
        <v>1.42821</v>
      </c>
      <c r="P353" s="14">
        <f t="shared" si="108"/>
        <v>7.6733319999999772E-3</v>
      </c>
      <c r="Q353" s="18">
        <f t="shared" si="109"/>
        <v>5.3726916909978065E-3</v>
      </c>
      <c r="R353" s="15">
        <f t="shared" ca="1" si="110"/>
        <v>5.1814999999999998</v>
      </c>
      <c r="S353" s="15">
        <f t="shared" si="111"/>
        <v>5.2674841935483867</v>
      </c>
      <c r="T353" s="15">
        <f t="shared" ca="1" si="112"/>
        <v>8.5984193548386934E-2</v>
      </c>
      <c r="U353" s="18">
        <f t="shared" ca="1" si="113"/>
        <v>1.6323578845039603E-2</v>
      </c>
      <c r="V353" s="15">
        <f t="shared" si="114"/>
        <v>2.9249999999999998</v>
      </c>
      <c r="W353" s="15">
        <f t="shared" ca="1" si="115"/>
        <v>2.8185000000000002</v>
      </c>
      <c r="X353" s="15">
        <f t="shared" ca="1" si="116"/>
        <v>0.10649999999999959</v>
      </c>
      <c r="Y353" s="35">
        <f t="shared" ca="1" si="117"/>
        <v>3.6410256410256275E-2</v>
      </c>
      <c r="Z353" s="36">
        <f t="shared" ca="1" si="118"/>
        <v>53.822000000000003</v>
      </c>
      <c r="AA353" s="18">
        <f t="shared" ca="1" si="119"/>
        <v>2.319419237749544E-2</v>
      </c>
      <c r="AB353" s="2"/>
    </row>
    <row r="354" spans="6:28" x14ac:dyDescent="0.25">
      <c r="F354" s="14">
        <v>352</v>
      </c>
      <c r="G354" s="14">
        <f t="shared" si="100"/>
        <v>55.2</v>
      </c>
      <c r="H354" s="14">
        <f t="shared" si="101"/>
        <v>328.34999999999997</v>
      </c>
      <c r="I354" s="15">
        <f t="shared" si="102"/>
        <v>2.9333330000000002</v>
      </c>
      <c r="J354" s="15">
        <f t="shared" si="103"/>
        <v>2966.711131</v>
      </c>
      <c r="K354" s="15">
        <f t="shared" si="104"/>
        <v>1.9867111310000003</v>
      </c>
      <c r="L354" s="15">
        <f t="shared" si="105"/>
        <v>1418.0639510000001</v>
      </c>
      <c r="M354" s="15">
        <v>1411.09</v>
      </c>
      <c r="N354" s="14">
        <f t="shared" si="106"/>
        <v>1.4180639510000002</v>
      </c>
      <c r="O354" s="14">
        <f t="shared" si="107"/>
        <v>1.4259199999999999</v>
      </c>
      <c r="P354" s="14">
        <f t="shared" si="108"/>
        <v>7.8560489999996985E-3</v>
      </c>
      <c r="Q354" s="18">
        <f t="shared" si="109"/>
        <v>5.5094598574953009E-3</v>
      </c>
      <c r="R354" s="15">
        <f t="shared" ca="1" si="110"/>
        <v>5.1716994985422744</v>
      </c>
      <c r="S354" s="15">
        <f t="shared" si="111"/>
        <v>5.259038279569892</v>
      </c>
      <c r="T354" s="15">
        <f t="shared" ca="1" si="112"/>
        <v>8.7338781027617607E-2</v>
      </c>
      <c r="U354" s="18">
        <f t="shared" ca="1" si="113"/>
        <v>1.6607367428167982E-2</v>
      </c>
      <c r="V354" s="15">
        <f t="shared" si="114"/>
        <v>2.9333333333333336</v>
      </c>
      <c r="W354" s="15">
        <f t="shared" ca="1" si="115"/>
        <v>2.8283005014577256</v>
      </c>
      <c r="X354" s="15">
        <f t="shared" ca="1" si="116"/>
        <v>0.10503283187560797</v>
      </c>
      <c r="Y354" s="35">
        <f t="shared" ca="1" si="117"/>
        <v>3.5806647230320898E-2</v>
      </c>
      <c r="Z354" s="36">
        <f t="shared" ca="1" si="118"/>
        <v>53.939605999999998</v>
      </c>
      <c r="AA354" s="18">
        <f t="shared" ca="1" si="119"/>
        <v>2.2833224637681251E-2</v>
      </c>
      <c r="AB354" s="2"/>
    </row>
    <row r="355" spans="6:28" x14ac:dyDescent="0.25">
      <c r="F355" s="14">
        <v>353</v>
      </c>
      <c r="G355" s="14">
        <f t="shared" si="100"/>
        <v>55.300000000000004</v>
      </c>
      <c r="H355" s="14">
        <f t="shared" si="101"/>
        <v>328.45</v>
      </c>
      <c r="I355" s="15">
        <f t="shared" si="102"/>
        <v>2.9416669999999998</v>
      </c>
      <c r="J355" s="15">
        <f t="shared" si="103"/>
        <v>2955.7673359999999</v>
      </c>
      <c r="K355" s="15">
        <f t="shared" si="104"/>
        <v>1.9757673360000001</v>
      </c>
      <c r="L355" s="15">
        <f t="shared" si="105"/>
        <v>1415.592171</v>
      </c>
      <c r="M355" s="15">
        <v>1408.67</v>
      </c>
      <c r="N355" s="14">
        <f t="shared" si="106"/>
        <v>1.4155921709999999</v>
      </c>
      <c r="O355" s="14">
        <f t="shared" si="107"/>
        <v>1.4236299999999997</v>
      </c>
      <c r="P355" s="14">
        <f t="shared" si="108"/>
        <v>8.0378289999998298E-3</v>
      </c>
      <c r="Q355" s="18">
        <f t="shared" si="109"/>
        <v>5.6460098480643362E-3</v>
      </c>
      <c r="R355" s="15">
        <f t="shared" ca="1" si="110"/>
        <v>5.1630688629737618</v>
      </c>
      <c r="S355" s="15">
        <f t="shared" si="111"/>
        <v>5.2505923655913964</v>
      </c>
      <c r="T355" s="15">
        <f t="shared" ca="1" si="112"/>
        <v>8.7523502617634641E-2</v>
      </c>
      <c r="U355" s="18">
        <f t="shared" ca="1" si="113"/>
        <v>1.6669262537156889E-2</v>
      </c>
      <c r="V355" s="15">
        <f t="shared" si="114"/>
        <v>2.9416666666666673</v>
      </c>
      <c r="W355" s="15">
        <f t="shared" ca="1" si="115"/>
        <v>2.8369311370262382</v>
      </c>
      <c r="X355" s="15">
        <f t="shared" ca="1" si="116"/>
        <v>0.10473552964042909</v>
      </c>
      <c r="Y355" s="35">
        <f t="shared" ca="1" si="117"/>
        <v>3.5604146053403653E-2</v>
      </c>
      <c r="Z355" s="36">
        <f t="shared" ca="1" si="118"/>
        <v>54.043174</v>
      </c>
      <c r="AA355" s="18">
        <f t="shared" ca="1" si="119"/>
        <v>2.2727414104882524E-2</v>
      </c>
      <c r="AB355" s="2"/>
    </row>
    <row r="356" spans="6:28" x14ac:dyDescent="0.25">
      <c r="F356" s="14">
        <v>354</v>
      </c>
      <c r="G356" s="14">
        <f t="shared" si="100"/>
        <v>55.4</v>
      </c>
      <c r="H356" s="14">
        <f t="shared" si="101"/>
        <v>328.54999999999995</v>
      </c>
      <c r="I356" s="15">
        <f t="shared" si="102"/>
        <v>2.95</v>
      </c>
      <c r="J356" s="15">
        <f t="shared" si="103"/>
        <v>2944.86978</v>
      </c>
      <c r="K356" s="15">
        <f t="shared" si="104"/>
        <v>1.9648697799999999</v>
      </c>
      <c r="L356" s="15">
        <f t="shared" si="105"/>
        <v>1413.1213459999999</v>
      </c>
      <c r="M356" s="15">
        <v>1406.25</v>
      </c>
      <c r="N356" s="14">
        <f t="shared" si="106"/>
        <v>1.4131213460000001</v>
      </c>
      <c r="O356" s="14">
        <f t="shared" si="107"/>
        <v>1.42134</v>
      </c>
      <c r="P356" s="14">
        <f t="shared" si="108"/>
        <v>8.2186539999999919E-3</v>
      </c>
      <c r="Q356" s="18">
        <f t="shared" si="109"/>
        <v>5.7823279440527894E-3</v>
      </c>
      <c r="R356" s="15">
        <f t="shared" ca="1" si="110"/>
        <v>5.1544627725947514</v>
      </c>
      <c r="S356" s="15">
        <f t="shared" si="111"/>
        <v>5.2421464516129035</v>
      </c>
      <c r="T356" s="15">
        <f t="shared" ca="1" si="112"/>
        <v>8.7683679018152105E-2</v>
      </c>
      <c r="U356" s="18">
        <f t="shared" ca="1" si="113"/>
        <v>1.6726674812981158E-2</v>
      </c>
      <c r="V356" s="15">
        <f t="shared" si="114"/>
        <v>2.9499999999999993</v>
      </c>
      <c r="W356" s="15">
        <f t="shared" ca="1" si="115"/>
        <v>2.8455372274052486</v>
      </c>
      <c r="X356" s="15">
        <f t="shared" ca="1" si="116"/>
        <v>0.10446277259475067</v>
      </c>
      <c r="Y356" s="35">
        <f t="shared" ca="1" si="117"/>
        <v>3.541110935415278E-2</v>
      </c>
      <c r="Z356" s="36">
        <f t="shared" ca="1" si="118"/>
        <v>54.146447000000002</v>
      </c>
      <c r="AA356" s="18">
        <f t="shared" ca="1" si="119"/>
        <v>2.2627310469314019E-2</v>
      </c>
      <c r="AB356" s="2"/>
    </row>
    <row r="357" spans="6:28" x14ac:dyDescent="0.25">
      <c r="F357" s="14">
        <v>355</v>
      </c>
      <c r="G357" s="14">
        <f t="shared" si="100"/>
        <v>55.5</v>
      </c>
      <c r="H357" s="14">
        <f t="shared" si="101"/>
        <v>328.65</v>
      </c>
      <c r="I357" s="15">
        <f t="shared" si="102"/>
        <v>2.9583330000000001</v>
      </c>
      <c r="J357" s="15">
        <f t="shared" si="103"/>
        <v>2934.0182460000001</v>
      </c>
      <c r="K357" s="15">
        <f t="shared" si="104"/>
        <v>1.954018246</v>
      </c>
      <c r="L357" s="15">
        <f t="shared" si="105"/>
        <v>1410.65149</v>
      </c>
      <c r="M357" s="15">
        <v>1403.66</v>
      </c>
      <c r="N357" s="14">
        <f t="shared" si="106"/>
        <v>1.41065149</v>
      </c>
      <c r="O357" s="14">
        <f t="shared" si="107"/>
        <v>1.4190499999999999</v>
      </c>
      <c r="P357" s="14">
        <f t="shared" si="108"/>
        <v>8.3985099999999147E-3</v>
      </c>
      <c r="Q357" s="18">
        <f t="shared" si="109"/>
        <v>5.9184031570416228E-3</v>
      </c>
      <c r="R357" s="15">
        <f t="shared" ca="1" si="110"/>
        <v>5.1450468629737616</v>
      </c>
      <c r="S357" s="15">
        <f t="shared" si="111"/>
        <v>5.2337005376344079</v>
      </c>
      <c r="T357" s="15">
        <f t="shared" ca="1" si="112"/>
        <v>8.8653674660646331E-2</v>
      </c>
      <c r="U357" s="18">
        <f t="shared" ca="1" si="113"/>
        <v>1.6939004060923423E-2</v>
      </c>
      <c r="V357" s="15">
        <f t="shared" si="114"/>
        <v>2.958333333333333</v>
      </c>
      <c r="W357" s="15">
        <f t="shared" ca="1" si="115"/>
        <v>2.8549531370262384</v>
      </c>
      <c r="X357" s="15">
        <f t="shared" ca="1" si="116"/>
        <v>0.10338019630709461</v>
      </c>
      <c r="Y357" s="35">
        <f t="shared" ca="1" si="117"/>
        <v>3.4945418470003813E-2</v>
      </c>
      <c r="Z357" s="36">
        <f t="shared" ca="1" si="118"/>
        <v>54.259438000000003</v>
      </c>
      <c r="AA357" s="18">
        <f t="shared" ca="1" si="119"/>
        <v>2.2352468468468414E-2</v>
      </c>
      <c r="AB357" s="2"/>
    </row>
    <row r="358" spans="6:28" x14ac:dyDescent="0.25">
      <c r="F358" s="14">
        <v>356</v>
      </c>
      <c r="G358" s="14">
        <f t="shared" si="100"/>
        <v>55.6</v>
      </c>
      <c r="H358" s="14">
        <f t="shared" si="101"/>
        <v>328.75</v>
      </c>
      <c r="I358" s="15">
        <f t="shared" si="102"/>
        <v>2.9666670000000002</v>
      </c>
      <c r="J358" s="15">
        <f t="shared" si="103"/>
        <v>2923.2125139999998</v>
      </c>
      <c r="K358" s="15">
        <f t="shared" si="104"/>
        <v>1.9432125139999998</v>
      </c>
      <c r="L358" s="15">
        <f t="shared" si="105"/>
        <v>1408.1826209999999</v>
      </c>
      <c r="M358" s="15">
        <v>1401.39</v>
      </c>
      <c r="N358" s="14">
        <f t="shared" si="106"/>
        <v>1.4081826209999999</v>
      </c>
      <c r="O358" s="14">
        <f t="shared" si="107"/>
        <v>1.4167599999999998</v>
      </c>
      <c r="P358" s="14">
        <f t="shared" si="108"/>
        <v>8.5773789999998851E-3</v>
      </c>
      <c r="Q358" s="18">
        <f t="shared" si="109"/>
        <v>6.0542216042236419E-3</v>
      </c>
      <c r="R358" s="15">
        <f t="shared" ca="1" si="110"/>
        <v>5.1360418629737614</v>
      </c>
      <c r="S358" s="15">
        <f t="shared" si="111"/>
        <v>5.2252546236559132</v>
      </c>
      <c r="T358" s="15">
        <f t="shared" ca="1" si="112"/>
        <v>8.9212760682151782E-2</v>
      </c>
      <c r="U358" s="18">
        <f t="shared" ca="1" si="113"/>
        <v>1.707338055417728E-2</v>
      </c>
      <c r="V358" s="15">
        <f t="shared" si="114"/>
        <v>2.9666666666666668</v>
      </c>
      <c r="W358" s="15">
        <f t="shared" ca="1" si="115"/>
        <v>2.8639581370262386</v>
      </c>
      <c r="X358" s="15">
        <f t="shared" ca="1" si="116"/>
        <v>0.1027085296404282</v>
      </c>
      <c r="Y358" s="35">
        <f t="shared" ca="1" si="117"/>
        <v>3.4620852687784788E-2</v>
      </c>
      <c r="Z358" s="36">
        <f t="shared" ca="1" si="118"/>
        <v>54.367497999999998</v>
      </c>
      <c r="AA358" s="18">
        <f t="shared" ca="1" si="119"/>
        <v>2.216730215827345E-2</v>
      </c>
      <c r="AB358" s="2"/>
    </row>
    <row r="359" spans="6:28" x14ac:dyDescent="0.25">
      <c r="F359" s="14">
        <v>357</v>
      </c>
      <c r="G359" s="14">
        <f t="shared" si="100"/>
        <v>55.7</v>
      </c>
      <c r="H359" s="14">
        <f t="shared" si="101"/>
        <v>328.84999999999997</v>
      </c>
      <c r="I359" s="15">
        <f t="shared" si="102"/>
        <v>2.9750000000000001</v>
      </c>
      <c r="J359" s="15">
        <f t="shared" si="103"/>
        <v>2912.4523709999999</v>
      </c>
      <c r="K359" s="15">
        <f t="shared" si="104"/>
        <v>1.9324523710000001</v>
      </c>
      <c r="L359" s="15">
        <f t="shared" si="105"/>
        <v>1405.7147540000001</v>
      </c>
      <c r="M359" s="15">
        <v>1398.79</v>
      </c>
      <c r="N359" s="14">
        <f t="shared" si="106"/>
        <v>1.4057147540000001</v>
      </c>
      <c r="O359" s="14">
        <f t="shared" si="107"/>
        <v>1.4144699999999999</v>
      </c>
      <c r="P359" s="14">
        <f t="shared" si="108"/>
        <v>8.7552459999997723E-3</v>
      </c>
      <c r="Q359" s="18">
        <f t="shared" si="109"/>
        <v>6.1897714338231087E-3</v>
      </c>
      <c r="R359" s="15">
        <f t="shared" ca="1" si="110"/>
        <v>5.1282175014577263</v>
      </c>
      <c r="S359" s="15">
        <f t="shared" si="111"/>
        <v>5.2168087096774185</v>
      </c>
      <c r="T359" s="15">
        <f t="shared" ca="1" si="112"/>
        <v>8.8591208219692241E-2</v>
      </c>
      <c r="U359" s="18">
        <f t="shared" ca="1" si="113"/>
        <v>1.6981877839482882E-2</v>
      </c>
      <c r="V359" s="15">
        <f t="shared" si="114"/>
        <v>2.9750000000000005</v>
      </c>
      <c r="W359" s="15">
        <f t="shared" ca="1" si="115"/>
        <v>2.8717824985422737</v>
      </c>
      <c r="X359" s="15">
        <f t="shared" ca="1" si="116"/>
        <v>0.10321750145772679</v>
      </c>
      <c r="Y359" s="35">
        <f t="shared" ca="1" si="117"/>
        <v>3.4694958473185468E-2</v>
      </c>
      <c r="Z359" s="36">
        <f t="shared" ca="1" si="118"/>
        <v>54.461390000000002</v>
      </c>
      <c r="AA359" s="18">
        <f t="shared" ca="1" si="119"/>
        <v>2.2237163375224439E-2</v>
      </c>
      <c r="AB359" s="2"/>
    </row>
    <row r="360" spans="6:28" x14ac:dyDescent="0.25">
      <c r="F360" s="14">
        <v>358</v>
      </c>
      <c r="G360" s="14">
        <f t="shared" si="100"/>
        <v>55.800000000000004</v>
      </c>
      <c r="H360" s="14">
        <f t="shared" si="101"/>
        <v>328.95</v>
      </c>
      <c r="I360" s="15">
        <f t="shared" si="102"/>
        <v>2.983333</v>
      </c>
      <c r="J360" s="15">
        <f t="shared" si="103"/>
        <v>2901.737599</v>
      </c>
      <c r="K360" s="15">
        <f t="shared" si="104"/>
        <v>1.9217375990000001</v>
      </c>
      <c r="L360" s="15">
        <f t="shared" si="105"/>
        <v>1403.2479069999999</v>
      </c>
      <c r="M360" s="15">
        <v>1396.35</v>
      </c>
      <c r="N360" s="14">
        <f t="shared" si="106"/>
        <v>1.4032479069999999</v>
      </c>
      <c r="O360" s="14">
        <f t="shared" si="107"/>
        <v>1.4121799999999998</v>
      </c>
      <c r="P360" s="14">
        <f t="shared" si="108"/>
        <v>8.9320929999998633E-3</v>
      </c>
      <c r="Q360" s="18">
        <f t="shared" si="109"/>
        <v>6.3250385928138517E-3</v>
      </c>
      <c r="R360" s="15">
        <f t="shared" ca="1" si="110"/>
        <v>5.1176564985422743</v>
      </c>
      <c r="S360" s="15">
        <f t="shared" si="111"/>
        <v>5.2083627956989238</v>
      </c>
      <c r="T360" s="15">
        <f t="shared" ca="1" si="112"/>
        <v>9.0706297156649462E-2</v>
      </c>
      <c r="U360" s="18">
        <f t="shared" ca="1" si="113"/>
        <v>1.7415510538466118E-2</v>
      </c>
      <c r="V360" s="15">
        <f t="shared" si="114"/>
        <v>2.9833333333333334</v>
      </c>
      <c r="W360" s="15">
        <f t="shared" ca="1" si="115"/>
        <v>2.8823435014577257</v>
      </c>
      <c r="X360" s="15">
        <f t="shared" ca="1" si="116"/>
        <v>0.10098983187560773</v>
      </c>
      <c r="Y360" s="35">
        <f t="shared" ca="1" si="117"/>
        <v>3.3851340293499795E-2</v>
      </c>
      <c r="Z360" s="36">
        <f t="shared" ca="1" si="118"/>
        <v>54.588121999999998</v>
      </c>
      <c r="AA360" s="18">
        <f t="shared" ca="1" si="119"/>
        <v>2.1718243727598667E-2</v>
      </c>
      <c r="AB360" s="2"/>
    </row>
    <row r="361" spans="6:28" x14ac:dyDescent="0.25">
      <c r="F361" s="14">
        <v>359</v>
      </c>
      <c r="G361" s="14">
        <f t="shared" si="100"/>
        <v>55.9</v>
      </c>
      <c r="H361" s="14">
        <f t="shared" si="101"/>
        <v>329.04999999999995</v>
      </c>
      <c r="I361" s="15">
        <f t="shared" si="102"/>
        <v>2.9916670000000001</v>
      </c>
      <c r="J361" s="15">
        <f t="shared" si="103"/>
        <v>2891.067986</v>
      </c>
      <c r="K361" s="15">
        <f t="shared" si="104"/>
        <v>1.9110679859999999</v>
      </c>
      <c r="L361" s="15">
        <f t="shared" si="105"/>
        <v>1400.7820939999999</v>
      </c>
      <c r="M361" s="15">
        <v>1393.74</v>
      </c>
      <c r="N361" s="14">
        <f t="shared" si="106"/>
        <v>1.400782094</v>
      </c>
      <c r="O361" s="14">
        <f t="shared" si="107"/>
        <v>1.4098899999999999</v>
      </c>
      <c r="P361" s="14">
        <f t="shared" si="108"/>
        <v>9.1079059999998879E-3</v>
      </c>
      <c r="Q361" s="18">
        <f t="shared" si="109"/>
        <v>6.460011773968103E-3</v>
      </c>
      <c r="R361" s="15">
        <f t="shared" ca="1" si="110"/>
        <v>5.1098293644314872</v>
      </c>
      <c r="S361" s="15">
        <f t="shared" si="111"/>
        <v>5.1999168817204291</v>
      </c>
      <c r="T361" s="15">
        <f t="shared" ca="1" si="112"/>
        <v>9.0087517288941932E-2</v>
      </c>
      <c r="U361" s="18">
        <f t="shared" ca="1" si="113"/>
        <v>1.7324799480090122E-2</v>
      </c>
      <c r="V361" s="15">
        <f t="shared" si="114"/>
        <v>2.9916666666666671</v>
      </c>
      <c r="W361" s="15">
        <f t="shared" ca="1" si="115"/>
        <v>2.8901706355685128</v>
      </c>
      <c r="X361" s="15">
        <f t="shared" ca="1" si="116"/>
        <v>0.1014960310981543</v>
      </c>
      <c r="Y361" s="35">
        <f t="shared" ca="1" si="117"/>
        <v>3.3926249949243772E-2</v>
      </c>
      <c r="Z361" s="36">
        <f t="shared" ca="1" si="118"/>
        <v>54.682048000000002</v>
      </c>
      <c r="AA361" s="18">
        <f t="shared" ca="1" si="119"/>
        <v>2.1788050089445381E-2</v>
      </c>
      <c r="AB361" s="2"/>
    </row>
    <row r="362" spans="6:28" x14ac:dyDescent="0.25">
      <c r="F362" s="14">
        <v>360</v>
      </c>
      <c r="G362" s="14">
        <f t="shared" si="100"/>
        <v>56</v>
      </c>
      <c r="H362" s="14">
        <f t="shared" si="101"/>
        <v>329.15</v>
      </c>
      <c r="I362" s="15">
        <f t="shared" si="102"/>
        <v>3</v>
      </c>
      <c r="J362" s="15">
        <f t="shared" si="103"/>
        <v>2880.443319</v>
      </c>
      <c r="K362" s="15">
        <f t="shared" si="104"/>
        <v>1.9004433189999999</v>
      </c>
      <c r="L362" s="15">
        <f t="shared" si="105"/>
        <v>1398.3173320000001</v>
      </c>
      <c r="M362" s="15">
        <v>1391.45</v>
      </c>
      <c r="N362" s="14">
        <f t="shared" si="106"/>
        <v>1.398317332</v>
      </c>
      <c r="O362" s="14">
        <f t="shared" si="107"/>
        <v>1.4076</v>
      </c>
      <c r="P362" s="14">
        <f t="shared" si="108"/>
        <v>9.2826679999999939E-3</v>
      </c>
      <c r="Q362" s="18">
        <f t="shared" si="109"/>
        <v>6.59467746518897E-3</v>
      </c>
      <c r="R362" s="15">
        <f t="shared" ca="1" si="110"/>
        <v>5.101235501457726</v>
      </c>
      <c r="S362" s="15">
        <f t="shared" si="111"/>
        <v>5.1914709677419353</v>
      </c>
      <c r="T362" s="15">
        <f t="shared" ca="1" si="112"/>
        <v>9.0235466284209309E-2</v>
      </c>
      <c r="U362" s="18">
        <f t="shared" ca="1" si="113"/>
        <v>1.7381483368567853E-2</v>
      </c>
      <c r="V362" s="15">
        <f t="shared" si="114"/>
        <v>3</v>
      </c>
      <c r="W362" s="15">
        <f t="shared" ca="1" si="115"/>
        <v>2.898764498542274</v>
      </c>
      <c r="X362" s="15">
        <f t="shared" ca="1" si="116"/>
        <v>0.10123550145772597</v>
      </c>
      <c r="Y362" s="35">
        <f t="shared" ca="1" si="117"/>
        <v>3.3745167152575327E-2</v>
      </c>
      <c r="Z362" s="36">
        <f t="shared" ca="1" si="118"/>
        <v>54.785173999999998</v>
      </c>
      <c r="AA362" s="18">
        <f t="shared" ca="1" si="119"/>
        <v>2.1693321428571468E-2</v>
      </c>
      <c r="AB362" s="2"/>
    </row>
    <row r="363" spans="6:28" x14ac:dyDescent="0.25">
      <c r="F363" s="14">
        <v>361</v>
      </c>
      <c r="G363" s="14">
        <f t="shared" si="100"/>
        <v>56.1</v>
      </c>
      <c r="H363" s="14">
        <f t="shared" si="101"/>
        <v>329.25</v>
      </c>
      <c r="I363" s="15">
        <f t="shared" si="102"/>
        <v>3.0083329999999999</v>
      </c>
      <c r="J363" s="15">
        <f t="shared" si="103"/>
        <v>2869.863386</v>
      </c>
      <c r="K363" s="15">
        <f t="shared" si="104"/>
        <v>1.889863386</v>
      </c>
      <c r="L363" s="15">
        <f t="shared" si="105"/>
        <v>1395.853638</v>
      </c>
      <c r="M363" s="15">
        <v>1389</v>
      </c>
      <c r="N363" s="14">
        <f t="shared" si="106"/>
        <v>1.3958536380000002</v>
      </c>
      <c r="O363" s="14">
        <f t="shared" si="107"/>
        <v>1.4053099999999998</v>
      </c>
      <c r="P363" s="14">
        <f t="shared" si="108"/>
        <v>9.4563619999996629E-3</v>
      </c>
      <c r="Q363" s="18">
        <f t="shared" si="109"/>
        <v>6.7290220663054155E-3</v>
      </c>
      <c r="R363" s="15">
        <f t="shared" ca="1" si="110"/>
        <v>5.0918631370262384</v>
      </c>
      <c r="S363" s="15">
        <f t="shared" si="111"/>
        <v>5.1830250537634397</v>
      </c>
      <c r="T363" s="15">
        <f t="shared" ca="1" si="112"/>
        <v>9.116191673720131E-2</v>
      </c>
      <c r="U363" s="18">
        <f t="shared" ca="1" si="113"/>
        <v>1.7588554134232451E-2</v>
      </c>
      <c r="V363" s="15">
        <f t="shared" si="114"/>
        <v>3.0083333333333337</v>
      </c>
      <c r="W363" s="15">
        <f t="shared" ca="1" si="115"/>
        <v>2.9081368629737616</v>
      </c>
      <c r="X363" s="15">
        <f t="shared" ca="1" si="116"/>
        <v>0.10019647035957213</v>
      </c>
      <c r="Y363" s="35">
        <f t="shared" ca="1" si="117"/>
        <v>3.3306305936699872E-2</v>
      </c>
      <c r="Z363" s="36">
        <f t="shared" ca="1" si="118"/>
        <v>54.897641999999998</v>
      </c>
      <c r="AA363" s="18">
        <f t="shared" ca="1" si="119"/>
        <v>2.1432406417112367E-2</v>
      </c>
      <c r="AB363" s="2"/>
    </row>
    <row r="364" spans="6:28" x14ac:dyDescent="0.25">
      <c r="F364" s="14">
        <v>362</v>
      </c>
      <c r="G364" s="14">
        <f t="shared" si="100"/>
        <v>56.2</v>
      </c>
      <c r="H364" s="14">
        <f t="shared" si="101"/>
        <v>329.34999999999997</v>
      </c>
      <c r="I364" s="15">
        <f t="shared" si="102"/>
        <v>3.016667</v>
      </c>
      <c r="J364" s="15">
        <f t="shared" si="103"/>
        <v>2859.327976</v>
      </c>
      <c r="K364" s="15">
        <f t="shared" si="104"/>
        <v>1.8793279759999999</v>
      </c>
      <c r="L364" s="15">
        <f t="shared" si="105"/>
        <v>1393.391026</v>
      </c>
      <c r="M364" s="15">
        <v>1386.38</v>
      </c>
      <c r="N364" s="14">
        <f t="shared" si="106"/>
        <v>1.3933910260000002</v>
      </c>
      <c r="O364" s="14">
        <f t="shared" si="107"/>
        <v>1.4030199999999999</v>
      </c>
      <c r="P364" s="14">
        <f t="shared" si="108"/>
        <v>9.6289739999997348E-3</v>
      </c>
      <c r="Q364" s="18">
        <f t="shared" si="109"/>
        <v>6.8630340265995746E-3</v>
      </c>
      <c r="R364" s="15">
        <f t="shared" ca="1" si="110"/>
        <v>5.0824850000000001</v>
      </c>
      <c r="S364" s="15">
        <f t="shared" si="111"/>
        <v>5.1745791397849459</v>
      </c>
      <c r="T364" s="15">
        <f t="shared" ca="1" si="112"/>
        <v>9.2094139784945739E-2</v>
      </c>
      <c r="U364" s="18">
        <f t="shared" ca="1" si="113"/>
        <v>1.7797416426946974E-2</v>
      </c>
      <c r="V364" s="15">
        <f t="shared" si="114"/>
        <v>3.0166666666666666</v>
      </c>
      <c r="W364" s="15">
        <f t="shared" ca="1" si="115"/>
        <v>2.9175149999999999</v>
      </c>
      <c r="X364" s="15">
        <f t="shared" ca="1" si="116"/>
        <v>9.9151666666666749E-2</v>
      </c>
      <c r="Y364" s="35">
        <f t="shared" ca="1" si="117"/>
        <v>3.2867955801104999E-2</v>
      </c>
      <c r="Z364" s="36">
        <f t="shared" ca="1" si="118"/>
        <v>55.010179999999998</v>
      </c>
      <c r="AA364" s="18">
        <f t="shared" ca="1" si="119"/>
        <v>2.1171174377224281E-2</v>
      </c>
      <c r="AB364" s="2"/>
    </row>
    <row r="365" spans="6:28" x14ac:dyDescent="0.25">
      <c r="F365" s="14">
        <v>363</v>
      </c>
      <c r="G365" s="14">
        <f t="shared" si="100"/>
        <v>56.300000000000004</v>
      </c>
      <c r="H365" s="14">
        <f t="shared" si="101"/>
        <v>329.45</v>
      </c>
      <c r="I365" s="15">
        <f t="shared" si="102"/>
        <v>3.0249999999999999</v>
      </c>
      <c r="J365" s="15">
        <f t="shared" si="103"/>
        <v>2848.836879</v>
      </c>
      <c r="K365" s="15">
        <f t="shared" si="104"/>
        <v>1.8688368789999998</v>
      </c>
      <c r="L365" s="15">
        <f t="shared" si="105"/>
        <v>1390.9295139999999</v>
      </c>
      <c r="M365" s="15">
        <v>1383.91</v>
      </c>
      <c r="N365" s="14">
        <f t="shared" si="106"/>
        <v>1.390929514</v>
      </c>
      <c r="O365" s="14">
        <f t="shared" si="107"/>
        <v>1.4007299999999998</v>
      </c>
      <c r="P365" s="14">
        <f t="shared" si="108"/>
        <v>9.8004859999998306E-3</v>
      </c>
      <c r="Q365" s="18">
        <f t="shared" si="109"/>
        <v>6.9966988641635662E-3</v>
      </c>
      <c r="R365" s="15">
        <f t="shared" ca="1" si="110"/>
        <v>5.0734952274052487</v>
      </c>
      <c r="S365" s="15">
        <f t="shared" si="111"/>
        <v>5.1661332258064503</v>
      </c>
      <c r="T365" s="15">
        <f t="shared" ca="1" si="112"/>
        <v>9.2637998401201571E-2</v>
      </c>
      <c r="U365" s="18">
        <f t="shared" ca="1" si="113"/>
        <v>1.7931786570746146E-2</v>
      </c>
      <c r="V365" s="15">
        <f t="shared" si="114"/>
        <v>3.0250000000000004</v>
      </c>
      <c r="W365" s="15">
        <f t="shared" ca="1" si="115"/>
        <v>2.9265047725947513</v>
      </c>
      <c r="X365" s="15">
        <f t="shared" ca="1" si="116"/>
        <v>9.8495227405249075E-2</v>
      </c>
      <c r="Y365" s="35">
        <f t="shared" ca="1" si="117"/>
        <v>3.2560405753801341E-2</v>
      </c>
      <c r="Z365" s="36">
        <f t="shared" ca="1" si="118"/>
        <v>55.118057</v>
      </c>
      <c r="AA365" s="18">
        <f t="shared" ca="1" si="119"/>
        <v>2.0993658969804686E-2</v>
      </c>
      <c r="AB365" s="2"/>
    </row>
    <row r="366" spans="6:28" x14ac:dyDescent="0.25">
      <c r="F366" s="14">
        <v>364</v>
      </c>
      <c r="G366" s="14">
        <f t="shared" si="100"/>
        <v>56.4</v>
      </c>
      <c r="H366" s="14">
        <f t="shared" si="101"/>
        <v>329.54999999999995</v>
      </c>
      <c r="I366" s="15">
        <f t="shared" si="102"/>
        <v>3.0333329999999998</v>
      </c>
      <c r="J366" s="15">
        <f t="shared" si="103"/>
        <v>2838.3898880000002</v>
      </c>
      <c r="K366" s="15">
        <f t="shared" si="104"/>
        <v>1.858389888</v>
      </c>
      <c r="L366" s="15">
        <f t="shared" si="105"/>
        <v>1388.4691170000001</v>
      </c>
      <c r="M366" s="15">
        <v>1381.61</v>
      </c>
      <c r="N366" s="14">
        <f t="shared" si="106"/>
        <v>1.3884691170000001</v>
      </c>
      <c r="O366" s="14">
        <f t="shared" si="107"/>
        <v>1.3984399999999999</v>
      </c>
      <c r="P366" s="14">
        <f t="shared" si="108"/>
        <v>9.9708829999998194E-3</v>
      </c>
      <c r="Q366" s="18">
        <f t="shared" si="109"/>
        <v>7.13000414747849E-3</v>
      </c>
      <c r="R366" s="15">
        <f t="shared" ca="1" si="110"/>
        <v>5.0645212274052485</v>
      </c>
      <c r="S366" s="15">
        <f t="shared" si="111"/>
        <v>5.1576873118279565</v>
      </c>
      <c r="T366" s="15">
        <f t="shared" ca="1" si="112"/>
        <v>9.3166084422708018E-2</v>
      </c>
      <c r="U366" s="18">
        <f t="shared" ca="1" si="113"/>
        <v>1.80635387122157E-2</v>
      </c>
      <c r="V366" s="15">
        <f t="shared" si="114"/>
        <v>3.0333333333333332</v>
      </c>
      <c r="W366" s="15">
        <f t="shared" ca="1" si="115"/>
        <v>2.9354787725947515</v>
      </c>
      <c r="X366" s="15">
        <f t="shared" ca="1" si="116"/>
        <v>9.7854560738581675E-2</v>
      </c>
      <c r="Y366" s="35">
        <f t="shared" ca="1" si="117"/>
        <v>3.225974529843352E-2</v>
      </c>
      <c r="Z366" s="36">
        <f t="shared" ca="1" si="118"/>
        <v>55.225745000000003</v>
      </c>
      <c r="AA366" s="18">
        <f t="shared" ca="1" si="119"/>
        <v>2.0820124113475093E-2</v>
      </c>
      <c r="AB366" s="2"/>
    </row>
    <row r="367" spans="6:28" x14ac:dyDescent="0.25">
      <c r="F367" s="14">
        <v>365</v>
      </c>
      <c r="G367" s="14">
        <f t="shared" si="100"/>
        <v>56.5</v>
      </c>
      <c r="H367" s="14">
        <f t="shared" si="101"/>
        <v>329.65</v>
      </c>
      <c r="I367" s="15">
        <f t="shared" si="102"/>
        <v>3.0416669999999999</v>
      </c>
      <c r="J367" s="15">
        <f t="shared" si="103"/>
        <v>2827.9867949999998</v>
      </c>
      <c r="K367" s="15">
        <f t="shared" si="104"/>
        <v>1.8479867949999997</v>
      </c>
      <c r="L367" s="15">
        <f t="shared" si="105"/>
        <v>1386.0098499999999</v>
      </c>
      <c r="M367" s="15">
        <v>1378.97</v>
      </c>
      <c r="N367" s="14">
        <f t="shared" si="106"/>
        <v>1.3860098499999998</v>
      </c>
      <c r="O367" s="14">
        <f t="shared" si="107"/>
        <v>1.39615</v>
      </c>
      <c r="P367" s="14">
        <f t="shared" si="108"/>
        <v>1.0140150000000236E-2</v>
      </c>
      <c r="Q367" s="18">
        <f t="shared" si="109"/>
        <v>7.2629373634639808E-3</v>
      </c>
      <c r="R367" s="15">
        <f t="shared" ca="1" si="110"/>
        <v>5.0555717725947513</v>
      </c>
      <c r="S367" s="15">
        <f t="shared" si="111"/>
        <v>5.1492413978494618</v>
      </c>
      <c r="T367" s="15">
        <f t="shared" ca="1" si="112"/>
        <v>9.3669625254710454E-2</v>
      </c>
      <c r="U367" s="18">
        <f t="shared" ca="1" si="113"/>
        <v>1.8190956301608E-2</v>
      </c>
      <c r="V367" s="15">
        <f t="shared" si="114"/>
        <v>3.041666666666667</v>
      </c>
      <c r="W367" s="15">
        <f t="shared" ca="1" si="115"/>
        <v>2.9444282274052487</v>
      </c>
      <c r="X367" s="15">
        <f t="shared" ca="1" si="116"/>
        <v>9.7238439261418286E-2</v>
      </c>
      <c r="Y367" s="35">
        <f t="shared" ca="1" si="117"/>
        <v>3.196880194895943E-2</v>
      </c>
      <c r="Z367" s="36">
        <f t="shared" ca="1" si="118"/>
        <v>55.333139000000003</v>
      </c>
      <c r="AA367" s="18">
        <f t="shared" ca="1" si="119"/>
        <v>2.0652407079645968E-2</v>
      </c>
      <c r="AB367" s="2"/>
    </row>
    <row r="368" spans="6:28" x14ac:dyDescent="0.25">
      <c r="F368" s="14">
        <v>366</v>
      </c>
      <c r="G368" s="14">
        <f t="shared" si="100"/>
        <v>56.6</v>
      </c>
      <c r="H368" s="14">
        <f t="shared" si="101"/>
        <v>329.75</v>
      </c>
      <c r="I368" s="15">
        <f t="shared" si="102"/>
        <v>3.05</v>
      </c>
      <c r="J368" s="15">
        <f t="shared" si="103"/>
        <v>2817.6273940000001</v>
      </c>
      <c r="K368" s="15">
        <f t="shared" si="104"/>
        <v>1.8376273940000001</v>
      </c>
      <c r="L368" s="15">
        <f t="shared" si="105"/>
        <v>1383.5517299999999</v>
      </c>
      <c r="M368" s="15">
        <v>1376.33</v>
      </c>
      <c r="N368" s="14">
        <f t="shared" si="106"/>
        <v>1.3835517299999998</v>
      </c>
      <c r="O368" s="14">
        <f t="shared" si="107"/>
        <v>1.3938599999999999</v>
      </c>
      <c r="P368" s="14">
        <f t="shared" si="108"/>
        <v>1.0308270000000119E-2</v>
      </c>
      <c r="Q368" s="18">
        <f t="shared" si="109"/>
        <v>7.3954844819423184E-3</v>
      </c>
      <c r="R368" s="15">
        <f t="shared" ca="1" si="110"/>
        <v>5.0469803644314872</v>
      </c>
      <c r="S368" s="15">
        <f t="shared" si="111"/>
        <v>5.1407954838709671</v>
      </c>
      <c r="T368" s="15">
        <f t="shared" ca="1" si="112"/>
        <v>9.3815119439479844E-2</v>
      </c>
      <c r="U368" s="18">
        <f t="shared" ca="1" si="113"/>
        <v>1.8249144462918414E-2</v>
      </c>
      <c r="V368" s="15">
        <f t="shared" si="114"/>
        <v>3.05</v>
      </c>
      <c r="W368" s="15">
        <f t="shared" ca="1" si="115"/>
        <v>2.9530196355685128</v>
      </c>
      <c r="X368" s="15">
        <f t="shared" ca="1" si="116"/>
        <v>9.6980364431487054E-2</v>
      </c>
      <c r="Y368" s="35">
        <f t="shared" ca="1" si="117"/>
        <v>3.1796840797208875E-2</v>
      </c>
      <c r="Z368" s="36">
        <f t="shared" ca="1" si="118"/>
        <v>55.436236000000001</v>
      </c>
      <c r="AA368" s="18">
        <f t="shared" ca="1" si="119"/>
        <v>2.0561201413427571E-2</v>
      </c>
      <c r="AB368" s="2"/>
    </row>
    <row r="369" spans="6:28" x14ac:dyDescent="0.25">
      <c r="F369" s="14">
        <v>367</v>
      </c>
      <c r="G369" s="14">
        <f t="shared" si="100"/>
        <v>56.7</v>
      </c>
      <c r="H369" s="14">
        <f t="shared" si="101"/>
        <v>329.84999999999997</v>
      </c>
      <c r="I369" s="15">
        <f t="shared" si="102"/>
        <v>3.0583330000000002</v>
      </c>
      <c r="J369" s="15">
        <f t="shared" si="103"/>
        <v>2807.311479</v>
      </c>
      <c r="K369" s="15">
        <f t="shared" si="104"/>
        <v>1.827311479</v>
      </c>
      <c r="L369" s="15">
        <f t="shared" si="105"/>
        <v>1381.094773</v>
      </c>
      <c r="M369" s="15">
        <v>1374.02</v>
      </c>
      <c r="N369" s="14">
        <f t="shared" si="106"/>
        <v>1.3810947730000003</v>
      </c>
      <c r="O369" s="14">
        <f t="shared" si="107"/>
        <v>1.39157</v>
      </c>
      <c r="P369" s="14">
        <f t="shared" si="108"/>
        <v>1.0475226999999698E-2</v>
      </c>
      <c r="Q369" s="18">
        <f t="shared" si="109"/>
        <v>7.5276320989958812E-3</v>
      </c>
      <c r="R369" s="15">
        <f t="shared" ca="1" si="110"/>
        <v>5.0376222274052482</v>
      </c>
      <c r="S369" s="15">
        <f t="shared" si="111"/>
        <v>5.1323495698924724</v>
      </c>
      <c r="T369" s="15">
        <f t="shared" ca="1" si="112"/>
        <v>9.4727342487224142E-2</v>
      </c>
      <c r="U369" s="18">
        <f t="shared" ca="1" si="113"/>
        <v>1.8456915531030123E-2</v>
      </c>
      <c r="V369" s="15">
        <f t="shared" si="114"/>
        <v>3.0583333333333336</v>
      </c>
      <c r="W369" s="15">
        <f t="shared" ca="1" si="115"/>
        <v>2.9623777725947518</v>
      </c>
      <c r="X369" s="15">
        <f t="shared" ca="1" si="116"/>
        <v>9.5955560738581802E-2</v>
      </c>
      <c r="Y369" s="35">
        <f t="shared" ca="1" si="117"/>
        <v>3.1375115227874159E-2</v>
      </c>
      <c r="Z369" s="36">
        <f t="shared" ca="1" si="118"/>
        <v>55.548532999999999</v>
      </c>
      <c r="AA369" s="18">
        <f t="shared" ca="1" si="119"/>
        <v>2.0308059964726698E-2</v>
      </c>
      <c r="AB369" s="2"/>
    </row>
    <row r="370" spans="6:28" x14ac:dyDescent="0.25">
      <c r="F370" s="14">
        <v>368</v>
      </c>
      <c r="G370" s="14">
        <f t="shared" si="100"/>
        <v>56.800000000000004</v>
      </c>
      <c r="H370" s="14">
        <f t="shared" si="101"/>
        <v>329.95</v>
      </c>
      <c r="I370" s="15">
        <f t="shared" si="102"/>
        <v>3.0666669999999998</v>
      </c>
      <c r="J370" s="15">
        <f t="shared" si="103"/>
        <v>2797.0388459999999</v>
      </c>
      <c r="K370" s="15">
        <f t="shared" si="104"/>
        <v>1.817038846</v>
      </c>
      <c r="L370" s="15">
        <f t="shared" si="105"/>
        <v>1378.6389939999999</v>
      </c>
      <c r="M370" s="15">
        <v>1371.53</v>
      </c>
      <c r="N370" s="14">
        <f t="shared" si="106"/>
        <v>1.3786389939999999</v>
      </c>
      <c r="O370" s="14">
        <f t="shared" si="107"/>
        <v>1.3892799999999998</v>
      </c>
      <c r="P370" s="14">
        <f t="shared" si="108"/>
        <v>1.0641005999999953E-2</v>
      </c>
      <c r="Q370" s="18">
        <f t="shared" si="109"/>
        <v>7.6593674421282639E-3</v>
      </c>
      <c r="R370" s="15">
        <f t="shared" ca="1" si="110"/>
        <v>5.0290721370262386</v>
      </c>
      <c r="S370" s="15">
        <f t="shared" si="111"/>
        <v>5.1239036559139777</v>
      </c>
      <c r="T370" s="15">
        <f t="shared" ca="1" si="112"/>
        <v>9.4831518887739108E-2</v>
      </c>
      <c r="U370" s="18">
        <f t="shared" ca="1" si="113"/>
        <v>1.8507670178045825E-2</v>
      </c>
      <c r="V370" s="15">
        <f t="shared" si="114"/>
        <v>3.0666666666666673</v>
      </c>
      <c r="W370" s="15">
        <f t="shared" ca="1" si="115"/>
        <v>2.9709278629737614</v>
      </c>
      <c r="X370" s="15">
        <f t="shared" ca="1" si="116"/>
        <v>9.5738803692905883E-2</v>
      </c>
      <c r="Y370" s="35">
        <f t="shared" ca="1" si="117"/>
        <v>3.1219175117251911E-2</v>
      </c>
      <c r="Z370" s="36">
        <f t="shared" ca="1" si="118"/>
        <v>55.651133999999999</v>
      </c>
      <c r="AA370" s="18">
        <f t="shared" ca="1" si="119"/>
        <v>2.0226514084507135E-2</v>
      </c>
      <c r="AB370" s="2"/>
    </row>
    <row r="371" spans="6:28" x14ac:dyDescent="0.25">
      <c r="F371" s="14">
        <v>369</v>
      </c>
      <c r="G371" s="14">
        <f t="shared" si="100"/>
        <v>56.9</v>
      </c>
      <c r="H371" s="14">
        <f t="shared" si="101"/>
        <v>330.04999999999995</v>
      </c>
      <c r="I371" s="15">
        <f t="shared" si="102"/>
        <v>3.0750000000000002</v>
      </c>
      <c r="J371" s="15">
        <f t="shared" si="103"/>
        <v>2786.8092919999999</v>
      </c>
      <c r="K371" s="15">
        <f t="shared" si="104"/>
        <v>1.8068092920000001</v>
      </c>
      <c r="L371" s="15">
        <f t="shared" si="105"/>
        <v>1376.184409</v>
      </c>
      <c r="M371" s="15">
        <v>1369.04</v>
      </c>
      <c r="N371" s="14">
        <f t="shared" si="106"/>
        <v>1.3761844089999999</v>
      </c>
      <c r="O371" s="14">
        <f t="shared" si="107"/>
        <v>1.3869899999999999</v>
      </c>
      <c r="P371" s="14">
        <f t="shared" si="108"/>
        <v>1.0805591000000003E-2</v>
      </c>
      <c r="Q371" s="18">
        <f t="shared" si="109"/>
        <v>7.7906769335034888E-3</v>
      </c>
      <c r="R371" s="15">
        <f t="shared" ca="1" si="110"/>
        <v>5.0197327725947511</v>
      </c>
      <c r="S371" s="15">
        <f t="shared" si="111"/>
        <v>5.1154577419354839</v>
      </c>
      <c r="T371" s="15">
        <f t="shared" ca="1" si="112"/>
        <v>9.5724969340732713E-2</v>
      </c>
      <c r="U371" s="18">
        <f t="shared" ca="1" si="113"/>
        <v>1.8712884392729678E-2</v>
      </c>
      <c r="V371" s="15">
        <f t="shared" si="114"/>
        <v>3.0749999999999993</v>
      </c>
      <c r="W371" s="15">
        <f t="shared" ca="1" si="115"/>
        <v>2.9802672274052489</v>
      </c>
      <c r="X371" s="15">
        <f t="shared" ca="1" si="116"/>
        <v>9.4732772594750436E-2</v>
      </c>
      <c r="Y371" s="35">
        <f t="shared" ca="1" si="117"/>
        <v>3.0807405721870067E-2</v>
      </c>
      <c r="Z371" s="36">
        <f t="shared" ca="1" si="118"/>
        <v>55.763207000000001</v>
      </c>
      <c r="AA371" s="18">
        <f t="shared" ca="1" si="119"/>
        <v>1.9978787346221393E-2</v>
      </c>
      <c r="AB371" s="2"/>
    </row>
    <row r="372" spans="6:28" x14ac:dyDescent="0.25">
      <c r="F372" s="14">
        <v>370</v>
      </c>
      <c r="G372" s="14">
        <f t="shared" si="100"/>
        <v>57</v>
      </c>
      <c r="H372" s="14">
        <f t="shared" si="101"/>
        <v>330.15</v>
      </c>
      <c r="I372" s="15">
        <f t="shared" si="102"/>
        <v>3.0833330000000001</v>
      </c>
      <c r="J372" s="15">
        <f t="shared" si="103"/>
        <v>2776.6226160000001</v>
      </c>
      <c r="K372" s="15">
        <f t="shared" si="104"/>
        <v>1.7966226160000001</v>
      </c>
      <c r="L372" s="15">
        <f t="shared" si="105"/>
        <v>1373.731033</v>
      </c>
      <c r="M372" s="15">
        <v>1366.71</v>
      </c>
      <c r="N372" s="14">
        <f t="shared" si="106"/>
        <v>1.3737310329999999</v>
      </c>
      <c r="O372" s="14">
        <f t="shared" si="107"/>
        <v>1.3847</v>
      </c>
      <c r="P372" s="14">
        <f t="shared" si="108"/>
        <v>1.0968967000000163E-2</v>
      </c>
      <c r="Q372" s="18">
        <f t="shared" si="109"/>
        <v>7.9215476276450949E-3</v>
      </c>
      <c r="R372" s="15">
        <f t="shared" ca="1" si="110"/>
        <v>5.0107632274052483</v>
      </c>
      <c r="S372" s="15">
        <f t="shared" si="111"/>
        <v>5.1070118279569892</v>
      </c>
      <c r="T372" s="15">
        <f t="shared" ca="1" si="112"/>
        <v>9.6248600551740893E-2</v>
      </c>
      <c r="U372" s="18">
        <f t="shared" ca="1" si="113"/>
        <v>1.8846363351824116E-2</v>
      </c>
      <c r="V372" s="15">
        <f t="shared" si="114"/>
        <v>3.083333333333333</v>
      </c>
      <c r="W372" s="15">
        <f t="shared" ca="1" si="115"/>
        <v>2.9892367725947517</v>
      </c>
      <c r="X372" s="15">
        <f t="shared" ca="1" si="116"/>
        <v>9.4096560738581303E-2</v>
      </c>
      <c r="Y372" s="35">
        <f t="shared" ca="1" si="117"/>
        <v>3.0517803482783129E-2</v>
      </c>
      <c r="Z372" s="36">
        <f t="shared" ca="1" si="118"/>
        <v>55.870840999999999</v>
      </c>
      <c r="AA372" s="18">
        <f t="shared" ca="1" si="119"/>
        <v>1.9809807017543882E-2</v>
      </c>
      <c r="AB372" s="2"/>
    </row>
    <row r="373" spans="6:28" x14ac:dyDescent="0.25">
      <c r="F373" s="14">
        <v>371</v>
      </c>
      <c r="G373" s="14">
        <f t="shared" si="100"/>
        <v>57.1</v>
      </c>
      <c r="H373" s="14">
        <f t="shared" si="101"/>
        <v>330.25</v>
      </c>
      <c r="I373" s="15">
        <f t="shared" si="102"/>
        <v>3.0916670000000002</v>
      </c>
      <c r="J373" s="15">
        <f t="shared" si="103"/>
        <v>2766.478615</v>
      </c>
      <c r="K373" s="15">
        <f t="shared" si="104"/>
        <v>1.786478615</v>
      </c>
      <c r="L373" s="15">
        <f t="shared" si="105"/>
        <v>1371.2788820000001</v>
      </c>
      <c r="M373" s="15">
        <v>1364.37</v>
      </c>
      <c r="N373" s="14">
        <f t="shared" si="106"/>
        <v>1.3712788820000001</v>
      </c>
      <c r="O373" s="14">
        <f t="shared" si="107"/>
        <v>1.3824099999999999</v>
      </c>
      <c r="P373" s="14">
        <f t="shared" si="108"/>
        <v>1.1131117999999773E-2</v>
      </c>
      <c r="Q373" s="18">
        <f t="shared" si="109"/>
        <v>8.0519657699233763E-3</v>
      </c>
      <c r="R373" s="15">
        <f t="shared" ca="1" si="110"/>
        <v>5.0014436355685126</v>
      </c>
      <c r="S373" s="15">
        <f t="shared" si="111"/>
        <v>5.0985659139784945</v>
      </c>
      <c r="T373" s="15">
        <f t="shared" ca="1" si="112"/>
        <v>9.7122278409981888E-2</v>
      </c>
      <c r="U373" s="18">
        <f t="shared" ca="1" si="113"/>
        <v>1.9048940437095534E-2</v>
      </c>
      <c r="V373" s="15">
        <f t="shared" si="114"/>
        <v>3.0916666666666659</v>
      </c>
      <c r="W373" s="15">
        <f t="shared" ca="1" si="115"/>
        <v>2.9985563644314874</v>
      </c>
      <c r="X373" s="15">
        <f t="shared" ca="1" si="116"/>
        <v>9.3110302235178466E-2</v>
      </c>
      <c r="Y373" s="35">
        <f t="shared" ca="1" si="117"/>
        <v>3.0116539806526735E-2</v>
      </c>
      <c r="Z373" s="36">
        <f t="shared" ca="1" si="118"/>
        <v>55.982675999999998</v>
      </c>
      <c r="AA373" s="18">
        <f t="shared" ca="1" si="119"/>
        <v>1.9567845884413373E-2</v>
      </c>
      <c r="AB373" s="2"/>
    </row>
    <row r="374" spans="6:28" x14ac:dyDescent="0.25">
      <c r="F374" s="14">
        <v>372</v>
      </c>
      <c r="G374" s="14">
        <f t="shared" si="100"/>
        <v>57.2</v>
      </c>
      <c r="H374" s="14">
        <f t="shared" si="101"/>
        <v>330.34999999999997</v>
      </c>
      <c r="I374" s="15">
        <f t="shared" si="102"/>
        <v>3.1</v>
      </c>
      <c r="J374" s="15">
        <f t="shared" si="103"/>
        <v>2756.3770909999998</v>
      </c>
      <c r="K374" s="15">
        <f t="shared" si="104"/>
        <v>1.7763770910000001</v>
      </c>
      <c r="L374" s="15">
        <f t="shared" si="105"/>
        <v>1368.827972</v>
      </c>
      <c r="M374" s="15">
        <v>1361.71</v>
      </c>
      <c r="N374" s="14">
        <f t="shared" si="106"/>
        <v>1.3688279720000001</v>
      </c>
      <c r="O374" s="14">
        <f t="shared" si="107"/>
        <v>1.3801199999999998</v>
      </c>
      <c r="P374" s="14">
        <f t="shared" si="108"/>
        <v>1.1292027999999732E-2</v>
      </c>
      <c r="Q374" s="18">
        <f t="shared" si="109"/>
        <v>8.1819175144188429E-3</v>
      </c>
      <c r="R374" s="15">
        <f t="shared" ca="1" si="110"/>
        <v>4.9928782274052486</v>
      </c>
      <c r="S374" s="15">
        <f t="shared" si="111"/>
        <v>5.0901199999999989</v>
      </c>
      <c r="T374" s="15">
        <f t="shared" ca="1" si="112"/>
        <v>9.7241772594750309E-2</v>
      </c>
      <c r="U374" s="18">
        <f t="shared" ca="1" si="113"/>
        <v>1.9104023597626446E-2</v>
      </c>
      <c r="V374" s="15">
        <f t="shared" si="114"/>
        <v>3.1000000000000005</v>
      </c>
      <c r="W374" s="15">
        <f t="shared" ca="1" si="115"/>
        <v>3.0071217725947514</v>
      </c>
      <c r="X374" s="15">
        <f t="shared" ca="1" si="116"/>
        <v>9.2878227405249092E-2</v>
      </c>
      <c r="Y374" s="35">
        <f t="shared" ca="1" si="117"/>
        <v>2.9960718517822282E-2</v>
      </c>
      <c r="Z374" s="36">
        <f t="shared" ca="1" si="118"/>
        <v>56.085461000000002</v>
      </c>
      <c r="AA374" s="18">
        <f t="shared" ca="1" si="119"/>
        <v>1.9484947552447562E-2</v>
      </c>
      <c r="AB374" s="2"/>
    </row>
    <row r="375" spans="6:28" x14ac:dyDescent="0.25">
      <c r="F375" s="14">
        <v>373</v>
      </c>
      <c r="G375" s="14">
        <f t="shared" si="100"/>
        <v>57.300000000000004</v>
      </c>
      <c r="H375" s="14">
        <f t="shared" si="101"/>
        <v>330.45</v>
      </c>
      <c r="I375" s="15">
        <f t="shared" si="102"/>
        <v>3.108333</v>
      </c>
      <c r="J375" s="15">
        <f t="shared" si="103"/>
        <v>2746.3178429999998</v>
      </c>
      <c r="K375" s="15">
        <f t="shared" si="104"/>
        <v>1.7663178429999999</v>
      </c>
      <c r="L375" s="15">
        <f t="shared" si="105"/>
        <v>1366.3783169999999</v>
      </c>
      <c r="M375" s="15">
        <v>1359.04</v>
      </c>
      <c r="N375" s="14">
        <f t="shared" si="106"/>
        <v>1.3663783169999999</v>
      </c>
      <c r="O375" s="14">
        <f t="shared" si="107"/>
        <v>1.3778299999999999</v>
      </c>
      <c r="P375" s="14">
        <f t="shared" si="108"/>
        <v>1.145168299999999E-2</v>
      </c>
      <c r="Q375" s="18">
        <f t="shared" si="109"/>
        <v>8.3113903747196616E-3</v>
      </c>
      <c r="R375" s="15">
        <f t="shared" ca="1" si="110"/>
        <v>4.9839539999999998</v>
      </c>
      <c r="S375" s="15">
        <f t="shared" si="111"/>
        <v>5.0816740860215051</v>
      </c>
      <c r="T375" s="15">
        <f t="shared" ca="1" si="112"/>
        <v>9.7720086021505281E-2</v>
      </c>
      <c r="U375" s="18">
        <f t="shared" ca="1" si="113"/>
        <v>1.9229900298075066E-2</v>
      </c>
      <c r="V375" s="15">
        <f t="shared" si="114"/>
        <v>3.1083333333333334</v>
      </c>
      <c r="W375" s="15">
        <f t="shared" ca="1" si="115"/>
        <v>3.0160460000000002</v>
      </c>
      <c r="X375" s="15">
        <f t="shared" ca="1" si="116"/>
        <v>9.2287333333333166E-2</v>
      </c>
      <c r="Y375" s="35">
        <f t="shared" ca="1" si="117"/>
        <v>2.9690294906166165E-2</v>
      </c>
      <c r="Z375" s="36">
        <f t="shared" ca="1" si="118"/>
        <v>56.192551999999999</v>
      </c>
      <c r="AA375" s="18">
        <f t="shared" ca="1" si="119"/>
        <v>1.9327190226876179E-2</v>
      </c>
      <c r="AB375" s="2"/>
    </row>
    <row r="376" spans="6:28" x14ac:dyDescent="0.25">
      <c r="F376" s="14">
        <v>374</v>
      </c>
      <c r="G376" s="14">
        <f t="shared" si="100"/>
        <v>57.4</v>
      </c>
      <c r="H376" s="14">
        <f t="shared" si="101"/>
        <v>330.54999999999995</v>
      </c>
      <c r="I376" s="15">
        <f t="shared" si="102"/>
        <v>3.1166670000000001</v>
      </c>
      <c r="J376" s="15">
        <f t="shared" si="103"/>
        <v>2736.300675</v>
      </c>
      <c r="K376" s="15">
        <f t="shared" si="104"/>
        <v>1.7563006749999999</v>
      </c>
      <c r="L376" s="15">
        <f t="shared" si="105"/>
        <v>1363.9299349999999</v>
      </c>
      <c r="M376" s="15">
        <v>1356.85</v>
      </c>
      <c r="N376" s="14">
        <f t="shared" si="106"/>
        <v>1.363929935</v>
      </c>
      <c r="O376" s="14">
        <f t="shared" si="107"/>
        <v>1.37554</v>
      </c>
      <c r="P376" s="14">
        <f t="shared" si="108"/>
        <v>1.1610064999999947E-2</v>
      </c>
      <c r="Q376" s="18">
        <f t="shared" si="109"/>
        <v>8.4403688733151686E-3</v>
      </c>
      <c r="R376" s="15">
        <f t="shared" ca="1" si="110"/>
        <v>4.9746268629737616</v>
      </c>
      <c r="S376" s="15">
        <f t="shared" si="111"/>
        <v>5.0732281720430104</v>
      </c>
      <c r="T376" s="15">
        <f t="shared" ca="1" si="112"/>
        <v>9.8601309069248799E-2</v>
      </c>
      <c r="U376" s="18">
        <f t="shared" ca="1" si="113"/>
        <v>1.9435614903467201E-2</v>
      </c>
      <c r="V376" s="15">
        <f t="shared" si="114"/>
        <v>3.1166666666666663</v>
      </c>
      <c r="W376" s="15">
        <f t="shared" ca="1" si="115"/>
        <v>3.0253731370262384</v>
      </c>
      <c r="X376" s="15">
        <f t="shared" ca="1" si="116"/>
        <v>9.1293529640427806E-2</v>
      </c>
      <c r="Y376" s="35">
        <f t="shared" ca="1" si="117"/>
        <v>2.9292041595859193E-2</v>
      </c>
      <c r="Z376" s="36">
        <f t="shared" ca="1" si="118"/>
        <v>56.304478000000003</v>
      </c>
      <c r="AA376" s="18">
        <f t="shared" ca="1" si="119"/>
        <v>1.908574912891978E-2</v>
      </c>
      <c r="AB376" s="2"/>
    </row>
    <row r="377" spans="6:28" x14ac:dyDescent="0.25">
      <c r="F377" s="14">
        <v>375</v>
      </c>
      <c r="G377" s="14">
        <f t="shared" si="100"/>
        <v>57.5</v>
      </c>
      <c r="H377" s="14">
        <f t="shared" si="101"/>
        <v>330.65</v>
      </c>
      <c r="I377" s="15">
        <f t="shared" si="102"/>
        <v>3.125</v>
      </c>
      <c r="J377" s="15">
        <f t="shared" si="103"/>
        <v>2726.3253890000001</v>
      </c>
      <c r="K377" s="15">
        <f t="shared" si="104"/>
        <v>1.7463253890000003</v>
      </c>
      <c r="L377" s="15">
        <f t="shared" si="105"/>
        <v>1361.482839</v>
      </c>
      <c r="M377" s="15">
        <v>1354.49</v>
      </c>
      <c r="N377" s="14">
        <f t="shared" si="106"/>
        <v>1.361482839</v>
      </c>
      <c r="O377" s="14">
        <f t="shared" si="107"/>
        <v>1.3732499999999999</v>
      </c>
      <c r="P377" s="14">
        <f t="shared" si="108"/>
        <v>1.1767160999999859E-2</v>
      </c>
      <c r="Q377" s="18">
        <f t="shared" si="109"/>
        <v>8.568841070453203E-3</v>
      </c>
      <c r="R377" s="15">
        <f t="shared" ca="1" si="110"/>
        <v>4.966483364431487</v>
      </c>
      <c r="S377" s="15">
        <f t="shared" si="111"/>
        <v>5.0647822580645157</v>
      </c>
      <c r="T377" s="15">
        <f t="shared" ca="1" si="112"/>
        <v>9.8298893633028683E-2</v>
      </c>
      <c r="U377" s="18">
        <f t="shared" ca="1" si="113"/>
        <v>1.9408315821772992E-2</v>
      </c>
      <c r="V377" s="15">
        <f t="shared" si="114"/>
        <v>3.125</v>
      </c>
      <c r="W377" s="15">
        <f t="shared" ca="1" si="115"/>
        <v>3.033516635568513</v>
      </c>
      <c r="X377" s="15">
        <f t="shared" ca="1" si="116"/>
        <v>9.1483364431486969E-2</v>
      </c>
      <c r="Y377" s="35">
        <f t="shared" ca="1" si="117"/>
        <v>2.927467661807583E-2</v>
      </c>
      <c r="Z377" s="36">
        <f t="shared" ca="1" si="118"/>
        <v>56.402200000000001</v>
      </c>
      <c r="AA377" s="18">
        <f t="shared" ca="1" si="119"/>
        <v>1.9092173913043468E-2</v>
      </c>
      <c r="AB377" s="2"/>
    </row>
    <row r="378" spans="6:28" x14ac:dyDescent="0.25">
      <c r="F378" s="14">
        <v>376</v>
      </c>
      <c r="G378" s="14">
        <f t="shared" si="100"/>
        <v>57.6</v>
      </c>
      <c r="H378" s="14">
        <f t="shared" si="101"/>
        <v>330.75</v>
      </c>
      <c r="I378" s="15">
        <f t="shared" si="102"/>
        <v>3.1333329999999999</v>
      </c>
      <c r="J378" s="15">
        <f t="shared" si="103"/>
        <v>2716.3917900000001</v>
      </c>
      <c r="K378" s="15">
        <f t="shared" si="104"/>
        <v>1.7363917900000003</v>
      </c>
      <c r="L378" s="15">
        <f t="shared" si="105"/>
        <v>1359.037045</v>
      </c>
      <c r="M378" s="15">
        <v>1351.82</v>
      </c>
      <c r="N378" s="14">
        <f t="shared" si="106"/>
        <v>1.359037045</v>
      </c>
      <c r="O378" s="14">
        <f t="shared" si="107"/>
        <v>1.37096</v>
      </c>
      <c r="P378" s="14">
        <f t="shared" si="108"/>
        <v>1.1922954999999957E-2</v>
      </c>
      <c r="Q378" s="18">
        <f t="shared" si="109"/>
        <v>8.6967927583590753E-3</v>
      </c>
      <c r="R378" s="15">
        <f t="shared" ca="1" si="110"/>
        <v>4.9575613644314869</v>
      </c>
      <c r="S378" s="15">
        <f t="shared" si="111"/>
        <v>5.056336344086021</v>
      </c>
      <c r="T378" s="15">
        <f t="shared" ca="1" si="112"/>
        <v>9.8774979654534079E-2</v>
      </c>
      <c r="U378" s="18">
        <f t="shared" ca="1" si="113"/>
        <v>1.95348910619965E-2</v>
      </c>
      <c r="V378" s="15">
        <f t="shared" si="114"/>
        <v>3.1333333333333329</v>
      </c>
      <c r="W378" s="15">
        <f t="shared" ca="1" si="115"/>
        <v>3.0424386355685131</v>
      </c>
      <c r="X378" s="15">
        <f t="shared" ca="1" si="116"/>
        <v>9.0894697764819732E-2</v>
      </c>
      <c r="Y378" s="35">
        <f t="shared" ca="1" si="117"/>
        <v>2.9008946095155239E-2</v>
      </c>
      <c r="Z378" s="36">
        <f t="shared" ca="1" si="118"/>
        <v>56.509264000000002</v>
      </c>
      <c r="AA378" s="18">
        <f t="shared" ca="1" si="119"/>
        <v>1.8936388888888885E-2</v>
      </c>
      <c r="AB378" s="2"/>
    </row>
    <row r="379" spans="6:28" x14ac:dyDescent="0.25">
      <c r="F379" s="14">
        <v>377</v>
      </c>
      <c r="G379" s="14">
        <f t="shared" si="100"/>
        <v>57.7</v>
      </c>
      <c r="H379" s="14">
        <f t="shared" si="101"/>
        <v>330.84999999999997</v>
      </c>
      <c r="I379" s="15">
        <f t="shared" si="102"/>
        <v>3.141667</v>
      </c>
      <c r="J379" s="15">
        <f t="shared" si="103"/>
        <v>2706.4996820000001</v>
      </c>
      <c r="K379" s="15">
        <f t="shared" si="104"/>
        <v>1.726499682</v>
      </c>
      <c r="L379" s="15">
        <f t="shared" si="105"/>
        <v>1356.592568</v>
      </c>
      <c r="M379" s="15">
        <v>1349.29</v>
      </c>
      <c r="N379" s="14">
        <f t="shared" si="106"/>
        <v>1.3565925679999999</v>
      </c>
      <c r="O379" s="14">
        <f t="shared" si="107"/>
        <v>1.3686699999999998</v>
      </c>
      <c r="P379" s="14">
        <f t="shared" si="108"/>
        <v>1.2077431999999888E-2</v>
      </c>
      <c r="Q379" s="18">
        <f t="shared" si="109"/>
        <v>8.8242103648066301E-3</v>
      </c>
      <c r="R379" s="15">
        <f t="shared" ca="1" si="110"/>
        <v>4.9486453644314876</v>
      </c>
      <c r="S379" s="15">
        <f t="shared" si="111"/>
        <v>5.0478904301075262</v>
      </c>
      <c r="T379" s="15">
        <f t="shared" ca="1" si="112"/>
        <v>9.9245065676038635E-2</v>
      </c>
      <c r="U379" s="18">
        <f t="shared" ca="1" si="113"/>
        <v>1.9660701247416854E-2</v>
      </c>
      <c r="V379" s="15">
        <f t="shared" si="114"/>
        <v>3.1416666666666666</v>
      </c>
      <c r="W379" s="15">
        <f t="shared" ca="1" si="115"/>
        <v>3.0513546355685124</v>
      </c>
      <c r="X379" s="15">
        <f t="shared" ca="1" si="116"/>
        <v>9.0312031098154222E-2</v>
      </c>
      <c r="Y379" s="35">
        <f t="shared" ca="1" si="117"/>
        <v>2.8746535097555721E-2</v>
      </c>
      <c r="Z379" s="36">
        <f t="shared" ca="1" si="118"/>
        <v>56.616256</v>
      </c>
      <c r="AA379" s="18">
        <f t="shared" ca="1" si="119"/>
        <v>1.8782391681109234E-2</v>
      </c>
      <c r="AB379" s="2"/>
    </row>
    <row r="380" spans="6:28" x14ac:dyDescent="0.25">
      <c r="F380" s="14">
        <v>378</v>
      </c>
      <c r="G380" s="14">
        <f t="shared" si="100"/>
        <v>57.800000000000004</v>
      </c>
      <c r="H380" s="14">
        <f t="shared" si="101"/>
        <v>330.95</v>
      </c>
      <c r="I380" s="15">
        <f t="shared" si="102"/>
        <v>3.15</v>
      </c>
      <c r="J380" s="15">
        <f t="shared" si="103"/>
        <v>2696.6488709999999</v>
      </c>
      <c r="K380" s="15">
        <f t="shared" si="104"/>
        <v>1.7166488709999999</v>
      </c>
      <c r="L380" s="15">
        <f t="shared" si="105"/>
        <v>1354.1494250000001</v>
      </c>
      <c r="M380" s="15">
        <v>1346.92</v>
      </c>
      <c r="N380" s="14">
        <f t="shared" si="106"/>
        <v>1.3541494249999999</v>
      </c>
      <c r="O380" s="14">
        <f t="shared" si="107"/>
        <v>1.3663799999999999</v>
      </c>
      <c r="P380" s="14">
        <f t="shared" si="108"/>
        <v>1.2230575000000021E-2</v>
      </c>
      <c r="Q380" s="18">
        <f t="shared" si="109"/>
        <v>8.9510787628624706E-3</v>
      </c>
      <c r="R380" s="15">
        <f t="shared" ca="1" si="110"/>
        <v>4.9393587725947512</v>
      </c>
      <c r="S380" s="15">
        <f t="shared" si="111"/>
        <v>5.0394445161290315</v>
      </c>
      <c r="T380" s="15">
        <f t="shared" ca="1" si="112"/>
        <v>0.10008574353428035</v>
      </c>
      <c r="U380" s="18">
        <f t="shared" ca="1" si="113"/>
        <v>1.9860471370197683E-2</v>
      </c>
      <c r="V380" s="15">
        <f t="shared" si="114"/>
        <v>3.1500000000000004</v>
      </c>
      <c r="W380" s="15">
        <f t="shared" ca="1" si="115"/>
        <v>3.0606412274052488</v>
      </c>
      <c r="X380" s="15">
        <f t="shared" ca="1" si="116"/>
        <v>8.9358772594751557E-2</v>
      </c>
      <c r="Y380" s="35">
        <f t="shared" ca="1" si="117"/>
        <v>2.836786431579414E-2</v>
      </c>
      <c r="Z380" s="36">
        <f t="shared" ca="1" si="118"/>
        <v>56.727694999999997</v>
      </c>
      <c r="AA380" s="18">
        <f t="shared" ca="1" si="119"/>
        <v>1.8551989619377287E-2</v>
      </c>
      <c r="AB380" s="2"/>
    </row>
    <row r="381" spans="6:28" x14ac:dyDescent="0.25">
      <c r="F381" s="14">
        <v>379</v>
      </c>
      <c r="G381" s="14">
        <f t="shared" si="100"/>
        <v>57.9</v>
      </c>
      <c r="H381" s="14">
        <f t="shared" si="101"/>
        <v>331.04999999999995</v>
      </c>
      <c r="I381" s="15">
        <f t="shared" si="102"/>
        <v>3.1583329999999998</v>
      </c>
      <c r="J381" s="15">
        <f t="shared" si="103"/>
        <v>2686.8391660000002</v>
      </c>
      <c r="K381" s="15">
        <f t="shared" si="104"/>
        <v>1.7068391660000004</v>
      </c>
      <c r="L381" s="15">
        <f t="shared" si="105"/>
        <v>1351.707629</v>
      </c>
      <c r="M381" s="15">
        <v>1344.23</v>
      </c>
      <c r="N381" s="14">
        <f t="shared" si="106"/>
        <v>1.3517076290000001</v>
      </c>
      <c r="O381" s="14">
        <f t="shared" si="107"/>
        <v>1.36409</v>
      </c>
      <c r="P381" s="14">
        <f t="shared" si="108"/>
        <v>1.2382370999999948E-2</v>
      </c>
      <c r="Q381" s="18">
        <f t="shared" si="109"/>
        <v>9.0773856563716084E-3</v>
      </c>
      <c r="R381" s="15">
        <f t="shared" ca="1" si="110"/>
        <v>4.9304527725947516</v>
      </c>
      <c r="S381" s="15">
        <f t="shared" si="111"/>
        <v>5.0309986021505377</v>
      </c>
      <c r="T381" s="15">
        <f t="shared" ca="1" si="112"/>
        <v>0.10054582955578617</v>
      </c>
      <c r="U381" s="18">
        <f t="shared" ca="1" si="113"/>
        <v>1.9985262868649399E-2</v>
      </c>
      <c r="V381" s="15">
        <f t="shared" si="114"/>
        <v>3.1583333333333323</v>
      </c>
      <c r="W381" s="15">
        <f t="shared" ca="1" si="115"/>
        <v>3.0695472274052484</v>
      </c>
      <c r="X381" s="15">
        <f t="shared" ca="1" si="116"/>
        <v>8.8786105928083892E-2</v>
      </c>
      <c r="Y381" s="35">
        <f t="shared" ca="1" si="117"/>
        <v>2.8111695808364302E-2</v>
      </c>
      <c r="Z381" s="36">
        <f t="shared" ca="1" si="118"/>
        <v>56.834567</v>
      </c>
      <c r="AA381" s="18">
        <f t="shared" ca="1" si="119"/>
        <v>1.8401260794473209E-2</v>
      </c>
      <c r="AB381" s="2"/>
    </row>
    <row r="382" spans="6:28" x14ac:dyDescent="0.25">
      <c r="F382" s="14">
        <v>380</v>
      </c>
      <c r="G382" s="14">
        <f t="shared" si="100"/>
        <v>58</v>
      </c>
      <c r="H382" s="14">
        <f t="shared" si="101"/>
        <v>331.15</v>
      </c>
      <c r="I382" s="15">
        <f t="shared" si="102"/>
        <v>3.1666669999999999</v>
      </c>
      <c r="J382" s="15">
        <f t="shared" si="103"/>
        <v>2677.070373</v>
      </c>
      <c r="K382" s="15">
        <f t="shared" si="104"/>
        <v>1.6970703729999999</v>
      </c>
      <c r="L382" s="15">
        <f t="shared" si="105"/>
        <v>1349.267196</v>
      </c>
      <c r="M382" s="15">
        <v>1341.86</v>
      </c>
      <c r="N382" s="14">
        <f t="shared" si="106"/>
        <v>1.349267196</v>
      </c>
      <c r="O382" s="14">
        <f t="shared" si="107"/>
        <v>1.3617999999999999</v>
      </c>
      <c r="P382" s="14">
        <f t="shared" si="108"/>
        <v>1.2532803999999897E-2</v>
      </c>
      <c r="Q382" s="18">
        <f t="shared" si="109"/>
        <v>9.2031164635041109E-3</v>
      </c>
      <c r="R382" s="15">
        <f t="shared" ca="1" si="110"/>
        <v>4.9207584985422743</v>
      </c>
      <c r="S382" s="15">
        <f t="shared" si="111"/>
        <v>5.0225526881720421</v>
      </c>
      <c r="T382" s="15">
        <f t="shared" ca="1" si="112"/>
        <v>0.10179418962976783</v>
      </c>
      <c r="U382" s="18">
        <f t="shared" ca="1" si="113"/>
        <v>2.026742096095677E-2</v>
      </c>
      <c r="V382" s="15">
        <f t="shared" si="114"/>
        <v>3.166666666666667</v>
      </c>
      <c r="W382" s="15">
        <f t="shared" ca="1" si="115"/>
        <v>3.0792415014577257</v>
      </c>
      <c r="X382" s="15">
        <f t="shared" ca="1" si="116"/>
        <v>8.742516520894128E-2</v>
      </c>
      <c r="Y382" s="35">
        <f t="shared" ca="1" si="117"/>
        <v>2.7607946908086718E-2</v>
      </c>
      <c r="Z382" s="36">
        <f t="shared" ca="1" si="118"/>
        <v>56.950898000000002</v>
      </c>
      <c r="AA382" s="18">
        <f t="shared" ca="1" si="119"/>
        <v>1.8087965517241341E-2</v>
      </c>
      <c r="AB382" s="2"/>
    </row>
    <row r="383" spans="6:28" x14ac:dyDescent="0.25">
      <c r="F383" s="14">
        <v>381</v>
      </c>
      <c r="G383" s="14">
        <f t="shared" si="100"/>
        <v>58.1</v>
      </c>
      <c r="H383" s="14">
        <f t="shared" si="101"/>
        <v>331.25</v>
      </c>
      <c r="I383" s="15">
        <f t="shared" si="102"/>
        <v>3.1749999999999998</v>
      </c>
      <c r="J383" s="15">
        <f t="shared" si="103"/>
        <v>2667.342302</v>
      </c>
      <c r="K383" s="15">
        <f t="shared" si="104"/>
        <v>1.6873423020000002</v>
      </c>
      <c r="L383" s="15">
        <f t="shared" si="105"/>
        <v>1346.828141</v>
      </c>
      <c r="M383" s="15">
        <v>1339.63</v>
      </c>
      <c r="N383" s="14">
        <f t="shared" si="106"/>
        <v>1.346828141</v>
      </c>
      <c r="O383" s="14">
        <f t="shared" si="107"/>
        <v>1.35951</v>
      </c>
      <c r="P383" s="14">
        <f t="shared" si="108"/>
        <v>1.2681858999999962E-2</v>
      </c>
      <c r="Q383" s="18">
        <f t="shared" si="109"/>
        <v>9.3282572397407615E-3</v>
      </c>
      <c r="R383" s="15">
        <f t="shared" ca="1" si="110"/>
        <v>4.9130401370262389</v>
      </c>
      <c r="S383" s="15">
        <f t="shared" si="111"/>
        <v>5.0141067741935483</v>
      </c>
      <c r="T383" s="15">
        <f t="shared" ca="1" si="112"/>
        <v>0.10106663716730946</v>
      </c>
      <c r="U383" s="18">
        <f t="shared" ca="1" si="113"/>
        <v>2.0156458910583264E-2</v>
      </c>
      <c r="V383" s="15">
        <f t="shared" si="114"/>
        <v>3.1749999999999998</v>
      </c>
      <c r="W383" s="15">
        <f t="shared" ca="1" si="115"/>
        <v>3.0869598629737611</v>
      </c>
      <c r="X383" s="15">
        <f t="shared" ca="1" si="116"/>
        <v>8.8040137026238696E-2</v>
      </c>
      <c r="Y383" s="35">
        <f t="shared" ca="1" si="117"/>
        <v>2.7729177016138175E-2</v>
      </c>
      <c r="Z383" s="36">
        <f t="shared" ca="1" si="118"/>
        <v>57.043517999999999</v>
      </c>
      <c r="AA383" s="18">
        <f t="shared" ca="1" si="119"/>
        <v>1.8183855421686792E-2</v>
      </c>
      <c r="AB383" s="2"/>
    </row>
    <row r="384" spans="6:28" x14ac:dyDescent="0.25">
      <c r="F384" s="14">
        <v>382</v>
      </c>
      <c r="G384" s="14">
        <f t="shared" si="100"/>
        <v>58.2</v>
      </c>
      <c r="H384" s="14">
        <f t="shared" si="101"/>
        <v>331.34999999999997</v>
      </c>
      <c r="I384" s="15">
        <f t="shared" si="102"/>
        <v>3.1833330000000002</v>
      </c>
      <c r="J384" s="15">
        <f t="shared" si="103"/>
        <v>2657.6547639999999</v>
      </c>
      <c r="K384" s="15">
        <f t="shared" si="104"/>
        <v>1.6776547640000001</v>
      </c>
      <c r="L384" s="15">
        <f t="shared" si="105"/>
        <v>1344.3904789999999</v>
      </c>
      <c r="M384" s="15">
        <v>1336.93</v>
      </c>
      <c r="N384" s="14">
        <f t="shared" si="106"/>
        <v>1.3443904790000001</v>
      </c>
      <c r="O384" s="14">
        <f t="shared" si="107"/>
        <v>1.3572199999999999</v>
      </c>
      <c r="P384" s="14">
        <f t="shared" si="108"/>
        <v>1.2829520999999788E-2</v>
      </c>
      <c r="Q384" s="18">
        <f t="shared" si="109"/>
        <v>9.4527939464492047E-3</v>
      </c>
      <c r="R384" s="15">
        <f t="shared" ca="1" si="110"/>
        <v>4.9037519999999999</v>
      </c>
      <c r="S384" s="15">
        <f t="shared" si="111"/>
        <v>5.0056608602150527</v>
      </c>
      <c r="T384" s="15">
        <f t="shared" ca="1" si="112"/>
        <v>0.10190886021505285</v>
      </c>
      <c r="U384" s="18">
        <f t="shared" ca="1" si="113"/>
        <v>2.0358722466602471E-2</v>
      </c>
      <c r="V384" s="15">
        <f t="shared" si="114"/>
        <v>3.1833333333333336</v>
      </c>
      <c r="W384" s="15">
        <f t="shared" ca="1" si="115"/>
        <v>3.0962480000000001</v>
      </c>
      <c r="X384" s="15">
        <f t="shared" ca="1" si="116"/>
        <v>8.7085333333333459E-2</v>
      </c>
      <c r="Y384" s="35">
        <f t="shared" ca="1" si="117"/>
        <v>2.7356649214659724E-2</v>
      </c>
      <c r="Z384" s="36">
        <f t="shared" ca="1" si="118"/>
        <v>57.154975999999998</v>
      </c>
      <c r="AA384" s="18">
        <f t="shared" ca="1" si="119"/>
        <v>1.7955738831615206E-2</v>
      </c>
      <c r="AB384" s="2"/>
    </row>
    <row r="385" spans="6:28" x14ac:dyDescent="0.25">
      <c r="F385" s="14">
        <v>383</v>
      </c>
      <c r="G385" s="14">
        <f t="shared" si="100"/>
        <v>58.300000000000004</v>
      </c>
      <c r="H385" s="14">
        <f t="shared" si="101"/>
        <v>331.45</v>
      </c>
      <c r="I385" s="15">
        <f t="shared" si="102"/>
        <v>3.1916669999999998</v>
      </c>
      <c r="J385" s="15">
        <f t="shared" si="103"/>
        <v>2648.007568</v>
      </c>
      <c r="K385" s="15">
        <f t="shared" si="104"/>
        <v>1.6680075680000002</v>
      </c>
      <c r="L385" s="15">
        <f t="shared" si="105"/>
        <v>1341.954225</v>
      </c>
      <c r="M385" s="15">
        <v>1334.54</v>
      </c>
      <c r="N385" s="14">
        <f t="shared" si="106"/>
        <v>1.3419542250000001</v>
      </c>
      <c r="O385" s="14">
        <f t="shared" si="107"/>
        <v>1.3549299999999997</v>
      </c>
      <c r="P385" s="14">
        <f t="shared" si="108"/>
        <v>1.297577499999969E-2</v>
      </c>
      <c r="Q385" s="18">
        <f t="shared" si="109"/>
        <v>9.576712450089446E-3</v>
      </c>
      <c r="R385" s="15">
        <f t="shared" ca="1" si="110"/>
        <v>4.8956475014577263</v>
      </c>
      <c r="S385" s="15">
        <f t="shared" si="111"/>
        <v>4.997214946236558</v>
      </c>
      <c r="T385" s="15">
        <f t="shared" ca="1" si="112"/>
        <v>0.10156744477883173</v>
      </c>
      <c r="U385" s="18">
        <f t="shared" ca="1" si="113"/>
        <v>2.0324810093534793E-2</v>
      </c>
      <c r="V385" s="15">
        <f t="shared" si="114"/>
        <v>3.1916666666666673</v>
      </c>
      <c r="W385" s="15">
        <f t="shared" ca="1" si="115"/>
        <v>3.1043524985422737</v>
      </c>
      <c r="X385" s="15">
        <f t="shared" ca="1" si="116"/>
        <v>8.7314168124393632E-2</v>
      </c>
      <c r="Y385" s="35">
        <f t="shared" ca="1" si="117"/>
        <v>2.7356919516781288E-2</v>
      </c>
      <c r="Z385" s="36">
        <f t="shared" ca="1" si="118"/>
        <v>57.252229999999997</v>
      </c>
      <c r="AA385" s="18">
        <f t="shared" ca="1" si="119"/>
        <v>1.7972041166380907E-2</v>
      </c>
      <c r="AB385" s="2"/>
    </row>
    <row r="386" spans="6:28" x14ac:dyDescent="0.25">
      <c r="F386" s="14">
        <v>384</v>
      </c>
      <c r="G386" s="14">
        <f t="shared" si="100"/>
        <v>58.400000000000006</v>
      </c>
      <c r="H386" s="14">
        <f t="shared" si="101"/>
        <v>331.54999999999995</v>
      </c>
      <c r="I386" s="15">
        <f t="shared" si="102"/>
        <v>3.2</v>
      </c>
      <c r="J386" s="15">
        <f t="shared" si="103"/>
        <v>2638.4005269999998</v>
      </c>
      <c r="K386" s="15">
        <f t="shared" si="104"/>
        <v>1.658400527</v>
      </c>
      <c r="L386" s="15">
        <f t="shared" si="105"/>
        <v>1339.519393</v>
      </c>
      <c r="M386" s="15">
        <v>1332.15</v>
      </c>
      <c r="N386" s="14">
        <f t="shared" si="106"/>
        <v>1.3395193930000002</v>
      </c>
      <c r="O386" s="14">
        <f t="shared" si="107"/>
        <v>1.3526399999999998</v>
      </c>
      <c r="P386" s="14">
        <f t="shared" si="108"/>
        <v>1.3120606999999618E-2</v>
      </c>
      <c r="Q386" s="18">
        <f t="shared" si="109"/>
        <v>9.6999992607047104E-3</v>
      </c>
      <c r="R386" s="15">
        <f t="shared" ca="1" si="110"/>
        <v>4.8863801370262383</v>
      </c>
      <c r="S386" s="15">
        <f t="shared" si="111"/>
        <v>4.9887690322580633</v>
      </c>
      <c r="T386" s="15">
        <f t="shared" ca="1" si="112"/>
        <v>0.10238889523182504</v>
      </c>
      <c r="U386" s="18">
        <f t="shared" ca="1" si="113"/>
        <v>2.0523879652428169E-2</v>
      </c>
      <c r="V386" s="15">
        <f t="shared" si="114"/>
        <v>3.2</v>
      </c>
      <c r="W386" s="15">
        <f t="shared" ca="1" si="115"/>
        <v>3.1136198629737617</v>
      </c>
      <c r="X386" s="15">
        <f t="shared" ca="1" si="116"/>
        <v>8.6380137026238479E-2</v>
      </c>
      <c r="Y386" s="35">
        <f t="shared" ca="1" si="117"/>
        <v>2.6993792820699525E-2</v>
      </c>
      <c r="Z386" s="36">
        <f t="shared" ca="1" si="118"/>
        <v>57.363438000000002</v>
      </c>
      <c r="AA386" s="18">
        <f t="shared" ca="1" si="119"/>
        <v>1.7749349315068552E-2</v>
      </c>
      <c r="AB386" s="2"/>
    </row>
    <row r="387" spans="6:28" x14ac:dyDescent="0.25">
      <c r="F387" s="14">
        <v>385</v>
      </c>
      <c r="G387" s="14">
        <f t="shared" ref="G387:G450" si="120">F387*0.1+20</f>
        <v>58.5</v>
      </c>
      <c r="H387" s="14">
        <f t="shared" ref="H387:H450" si="121">G387+273.15</f>
        <v>331.65</v>
      </c>
      <c r="I387" s="15">
        <f t="shared" ref="I387:I450" si="122">ROUND(1/12*G387-5/3,6)</f>
        <v>3.2083330000000001</v>
      </c>
      <c r="J387" s="15">
        <f t="shared" ref="J387:J450" si="123">ROUND(10000*EXP(($B$3)+($B$4/H387)+($B$5/(H387^2))+($B$6/(H387^3))),6)</f>
        <v>2628.833455</v>
      </c>
      <c r="K387" s="15">
        <f t="shared" ref="K387:K450" si="124">$B$9*(2*$B$8+J387)-$B$9*$B$10</f>
        <v>1.6488334550000001</v>
      </c>
      <c r="L387" s="15">
        <f t="shared" ref="L387:L450" si="125">ROUND(1/(1/(J387+2*$B$8)+1/($B$7)),6)</f>
        <v>1337.086</v>
      </c>
      <c r="M387" s="15">
        <v>1329.43</v>
      </c>
      <c r="N387" s="14">
        <f t="shared" ref="N387:N450" si="126">$B$9*(L387+$B$10)*(L387/(L387+$B$10))</f>
        <v>1.337086</v>
      </c>
      <c r="O387" s="14">
        <f t="shared" ref="O387:O450" si="127">$B$11*G387+$B$12</f>
        <v>1.3503499999999999</v>
      </c>
      <c r="P387" s="14">
        <f t="shared" ref="P387:P450" si="128">ABS(N387-O387)</f>
        <v>1.3263999999999943E-2</v>
      </c>
      <c r="Q387" s="18">
        <f t="shared" ref="Q387:Q450" si="129">ABS(O387-N387)/O387</f>
        <v>9.8226385751841692E-3</v>
      </c>
      <c r="R387" s="15">
        <f t="shared" ref="R387:R450" ca="1" si="130">ROUND(N387*$B$29,6)+RANDBETWEEN(-1,1)*$B$24+RANDBETWEEN(-1,1)*$B$25</f>
        <v>4.8771187725947511</v>
      </c>
      <c r="S387" s="15">
        <f t="shared" ref="S387:S450" si="131">O387*$B$23</f>
        <v>4.9803231182795695</v>
      </c>
      <c r="T387" s="15">
        <f t="shared" ref="T387:T450" ca="1" si="132">ABS(R387-S387)</f>
        <v>0.1032043456848184</v>
      </c>
      <c r="U387" s="18">
        <f t="shared" ref="U387:U450" ca="1" si="133">ABS(S387-R387)/S387</f>
        <v>2.0722419657074356E-2</v>
      </c>
      <c r="V387" s="15">
        <f t="shared" ref="V387:V450" si="134">$B$44*S387+$B$45</f>
        <v>3.208333333333333</v>
      </c>
      <c r="W387" s="15">
        <f t="shared" ref="W387:W450" ca="1" si="135">$B$46*R387+$B$47</f>
        <v>3.1228812274052489</v>
      </c>
      <c r="X387" s="15">
        <f t="shared" ref="X387:X450" ca="1" si="136">ABS(V387-W387)</f>
        <v>8.5452105928084165E-2</v>
      </c>
      <c r="Y387" s="35">
        <f t="shared" ref="Y387:Y450" ca="1" si="137">IF(V387 = 0, ABS(V387-W387)/(V387+0.0001), ABS(V387-W387)/V387)</f>
        <v>2.6634422626935328E-2</v>
      </c>
      <c r="Z387" s="36">
        <f t="shared" ref="Z387:Z450" ca="1" si="138">ROUND((W387+5/3)/(1/12),6)</f>
        <v>57.474575000000002</v>
      </c>
      <c r="AA387" s="18">
        <f t="shared" ref="AA387:AA450" ca="1" si="139">ABS(G387-Z387)/G387</f>
        <v>1.7528632478632452E-2</v>
      </c>
      <c r="AB387" s="2"/>
    </row>
    <row r="388" spans="6:28" x14ac:dyDescent="0.25">
      <c r="F388" s="14">
        <v>386</v>
      </c>
      <c r="G388" s="14">
        <f t="shared" si="120"/>
        <v>58.6</v>
      </c>
      <c r="H388" s="14">
        <f t="shared" si="121"/>
        <v>331.75</v>
      </c>
      <c r="I388" s="15">
        <f t="shared" si="122"/>
        <v>3.2166670000000002</v>
      </c>
      <c r="J388" s="15">
        <f t="shared" si="123"/>
        <v>2619.306165</v>
      </c>
      <c r="K388" s="15">
        <f t="shared" si="124"/>
        <v>1.6393061649999998</v>
      </c>
      <c r="L388" s="15">
        <f t="shared" si="125"/>
        <v>1334.654059</v>
      </c>
      <c r="M388" s="15">
        <v>1327.34</v>
      </c>
      <c r="N388" s="14">
        <f t="shared" si="126"/>
        <v>1.334654059</v>
      </c>
      <c r="O388" s="14">
        <f t="shared" si="127"/>
        <v>1.3480599999999998</v>
      </c>
      <c r="P388" s="14">
        <f t="shared" si="128"/>
        <v>1.340594099999981E-2</v>
      </c>
      <c r="Q388" s="18">
        <f t="shared" si="129"/>
        <v>9.9446174502617179E-3</v>
      </c>
      <c r="R388" s="15">
        <f t="shared" ca="1" si="130"/>
        <v>4.8686233644314871</v>
      </c>
      <c r="S388" s="15">
        <f t="shared" si="131"/>
        <v>4.9718772043010739</v>
      </c>
      <c r="T388" s="15">
        <f t="shared" ca="1" si="132"/>
        <v>0.10325383986958681</v>
      </c>
      <c r="U388" s="18">
        <f t="shared" ca="1" si="133"/>
        <v>2.076757643577036E-2</v>
      </c>
      <c r="V388" s="15">
        <f t="shared" si="134"/>
        <v>3.2166666666666677</v>
      </c>
      <c r="W388" s="15">
        <f t="shared" ca="1" si="135"/>
        <v>3.1313766355685129</v>
      </c>
      <c r="X388" s="15">
        <f t="shared" ca="1" si="136"/>
        <v>8.5290031098154806E-2</v>
      </c>
      <c r="Y388" s="35">
        <f t="shared" ca="1" si="137"/>
        <v>2.6515035574555888E-2</v>
      </c>
      <c r="Z388" s="36">
        <f t="shared" ca="1" si="138"/>
        <v>57.576520000000002</v>
      </c>
      <c r="AA388" s="18">
        <f t="shared" ca="1" si="139"/>
        <v>1.7465529010238894E-2</v>
      </c>
      <c r="AB388" s="2"/>
    </row>
    <row r="389" spans="6:28" x14ac:dyDescent="0.25">
      <c r="F389" s="14">
        <v>387</v>
      </c>
      <c r="G389" s="14">
        <f t="shared" si="120"/>
        <v>58.7</v>
      </c>
      <c r="H389" s="14">
        <f t="shared" si="121"/>
        <v>331.84999999999997</v>
      </c>
      <c r="I389" s="15">
        <f t="shared" si="122"/>
        <v>3.2250000000000001</v>
      </c>
      <c r="J389" s="15">
        <f t="shared" si="123"/>
        <v>2609.818471</v>
      </c>
      <c r="K389" s="15">
        <f t="shared" si="124"/>
        <v>1.6298184710000001</v>
      </c>
      <c r="L389" s="15">
        <f t="shared" si="125"/>
        <v>1332.223585</v>
      </c>
      <c r="M389" s="15">
        <v>1324.94</v>
      </c>
      <c r="N389" s="14">
        <f t="shared" si="126"/>
        <v>1.3322235849999999</v>
      </c>
      <c r="O389" s="14">
        <f t="shared" si="127"/>
        <v>1.3457699999999999</v>
      </c>
      <c r="P389" s="14">
        <f t="shared" si="128"/>
        <v>1.3546414999999978E-2</v>
      </c>
      <c r="Q389" s="18">
        <f t="shared" si="129"/>
        <v>1.0065921368435898E-2</v>
      </c>
      <c r="R389" s="15">
        <f t="shared" ca="1" si="130"/>
        <v>4.8597681370262382</v>
      </c>
      <c r="S389" s="15">
        <f t="shared" si="131"/>
        <v>4.9634312903225801</v>
      </c>
      <c r="T389" s="15">
        <f t="shared" ca="1" si="132"/>
        <v>0.1036631532963419</v>
      </c>
      <c r="U389" s="18">
        <f t="shared" ca="1" si="133"/>
        <v>2.0885380945729722E-2</v>
      </c>
      <c r="V389" s="15">
        <f t="shared" si="134"/>
        <v>3.2249999999999996</v>
      </c>
      <c r="W389" s="15">
        <f t="shared" ca="1" si="135"/>
        <v>3.1402318629737618</v>
      </c>
      <c r="X389" s="15">
        <f t="shared" ca="1" si="136"/>
        <v>8.4768137026237866E-2</v>
      </c>
      <c r="Y389" s="35">
        <f t="shared" ca="1" si="137"/>
        <v>2.6284693651546627E-2</v>
      </c>
      <c r="Z389" s="36">
        <f t="shared" ca="1" si="138"/>
        <v>57.682782000000003</v>
      </c>
      <c r="AA389" s="18">
        <f t="shared" ca="1" si="139"/>
        <v>1.7329097103918223E-2</v>
      </c>
      <c r="AB389" s="2"/>
    </row>
    <row r="390" spans="6:28" x14ac:dyDescent="0.25">
      <c r="F390" s="14">
        <v>388</v>
      </c>
      <c r="G390" s="14">
        <f t="shared" si="120"/>
        <v>58.800000000000004</v>
      </c>
      <c r="H390" s="14">
        <f t="shared" si="121"/>
        <v>331.95</v>
      </c>
      <c r="I390" s="15">
        <f t="shared" si="122"/>
        <v>3.233333</v>
      </c>
      <c r="J390" s="15">
        <f t="shared" si="123"/>
        <v>2600.3701900000001</v>
      </c>
      <c r="K390" s="15">
        <f t="shared" si="124"/>
        <v>1.62037019</v>
      </c>
      <c r="L390" s="15">
        <f t="shared" si="125"/>
        <v>1329.7945930000001</v>
      </c>
      <c r="M390" s="15">
        <v>1322.37</v>
      </c>
      <c r="N390" s="14">
        <f t="shared" si="126"/>
        <v>1.3297945930000001</v>
      </c>
      <c r="O390" s="14">
        <f t="shared" si="127"/>
        <v>1.3434799999999998</v>
      </c>
      <c r="P390" s="14">
        <f t="shared" si="128"/>
        <v>1.368540699999965E-2</v>
      </c>
      <c r="Q390" s="18">
        <f t="shared" si="129"/>
        <v>1.0186535713222119E-2</v>
      </c>
      <c r="R390" s="15">
        <f t="shared" ca="1" si="130"/>
        <v>4.8512945014577262</v>
      </c>
      <c r="S390" s="15">
        <f t="shared" si="131"/>
        <v>4.9549853763440854</v>
      </c>
      <c r="T390" s="15">
        <f t="shared" ca="1" si="132"/>
        <v>0.1036908748863592</v>
      </c>
      <c r="U390" s="18">
        <f t="shared" ca="1" si="133"/>
        <v>2.0926575360120429E-2</v>
      </c>
      <c r="V390" s="15">
        <f t="shared" si="134"/>
        <v>3.2333333333333334</v>
      </c>
      <c r="W390" s="15">
        <f t="shared" ca="1" si="135"/>
        <v>3.1487054985422738</v>
      </c>
      <c r="X390" s="15">
        <f t="shared" ca="1" si="136"/>
        <v>8.462783479105962E-2</v>
      </c>
      <c r="Y390" s="35">
        <f t="shared" ca="1" si="137"/>
        <v>2.6173557151874107E-2</v>
      </c>
      <c r="Z390" s="36">
        <f t="shared" ca="1" si="138"/>
        <v>57.784466000000002</v>
      </c>
      <c r="AA390" s="18">
        <f t="shared" ca="1" si="139"/>
        <v>1.7270986394557861E-2</v>
      </c>
      <c r="AB390" s="2"/>
    </row>
    <row r="391" spans="6:28" x14ac:dyDescent="0.25">
      <c r="F391" s="14">
        <v>389</v>
      </c>
      <c r="G391" s="14">
        <f t="shared" si="120"/>
        <v>58.900000000000006</v>
      </c>
      <c r="H391" s="14">
        <f t="shared" si="121"/>
        <v>332.04999999999995</v>
      </c>
      <c r="I391" s="15">
        <f t="shared" si="122"/>
        <v>3.2416670000000001</v>
      </c>
      <c r="J391" s="15">
        <f t="shared" si="123"/>
        <v>2590.961139</v>
      </c>
      <c r="K391" s="15">
        <f t="shared" si="124"/>
        <v>1.610961139</v>
      </c>
      <c r="L391" s="15">
        <f t="shared" si="125"/>
        <v>1327.3670979999999</v>
      </c>
      <c r="M391" s="15">
        <v>1319.95</v>
      </c>
      <c r="N391" s="14">
        <f t="shared" si="126"/>
        <v>1.3273670980000001</v>
      </c>
      <c r="O391" s="14">
        <f t="shared" si="127"/>
        <v>1.3411899999999999</v>
      </c>
      <c r="P391" s="14">
        <f t="shared" si="128"/>
        <v>1.3822901999999804E-2</v>
      </c>
      <c r="Q391" s="18">
        <f t="shared" si="129"/>
        <v>1.0306445768310087E-2</v>
      </c>
      <c r="R391" s="15">
        <f t="shared" ca="1" si="130"/>
        <v>4.8416472274052484</v>
      </c>
      <c r="S391" s="15">
        <f t="shared" si="131"/>
        <v>4.9465394623655907</v>
      </c>
      <c r="T391" s="15">
        <f t="shared" ca="1" si="132"/>
        <v>0.10489223496034228</v>
      </c>
      <c r="U391" s="18">
        <f t="shared" ca="1" si="133"/>
        <v>2.1205175003330412E-2</v>
      </c>
      <c r="V391" s="15">
        <f t="shared" si="134"/>
        <v>3.2416666666666671</v>
      </c>
      <c r="W391" s="15">
        <f t="shared" ca="1" si="135"/>
        <v>3.1583527725947516</v>
      </c>
      <c r="X391" s="15">
        <f t="shared" ca="1" si="136"/>
        <v>8.3313894071915584E-2</v>
      </c>
      <c r="Y391" s="35">
        <f t="shared" ca="1" si="137"/>
        <v>2.5700944186709172E-2</v>
      </c>
      <c r="Z391" s="36">
        <f t="shared" ca="1" si="138"/>
        <v>57.900233</v>
      </c>
      <c r="AA391" s="18">
        <f t="shared" ca="1" si="139"/>
        <v>1.6973972835314186E-2</v>
      </c>
      <c r="AB391" s="2"/>
    </row>
    <row r="392" spans="6:28" x14ac:dyDescent="0.25">
      <c r="F392" s="14">
        <v>390</v>
      </c>
      <c r="G392" s="14">
        <f t="shared" si="120"/>
        <v>59</v>
      </c>
      <c r="H392" s="14">
        <f t="shared" si="121"/>
        <v>332.15</v>
      </c>
      <c r="I392" s="15">
        <f t="shared" si="122"/>
        <v>3.25</v>
      </c>
      <c r="J392" s="15">
        <f t="shared" si="123"/>
        <v>2581.5911350000001</v>
      </c>
      <c r="K392" s="15">
        <f t="shared" si="124"/>
        <v>1.6015911350000001</v>
      </c>
      <c r="L392" s="15">
        <f t="shared" si="125"/>
        <v>1324.941114</v>
      </c>
      <c r="M392" s="15">
        <v>1317.69</v>
      </c>
      <c r="N392" s="14">
        <f t="shared" si="126"/>
        <v>1.3249411139999998</v>
      </c>
      <c r="O392" s="14">
        <f t="shared" si="127"/>
        <v>1.3389</v>
      </c>
      <c r="P392" s="14">
        <f t="shared" si="128"/>
        <v>1.395888600000017E-2</v>
      </c>
      <c r="Q392" s="18">
        <f t="shared" si="129"/>
        <v>1.042563746358964E-2</v>
      </c>
      <c r="R392" s="15">
        <f t="shared" ca="1" si="130"/>
        <v>4.8327982274052488</v>
      </c>
      <c r="S392" s="15">
        <f t="shared" si="131"/>
        <v>4.9380935483870969</v>
      </c>
      <c r="T392" s="15">
        <f t="shared" ca="1" si="132"/>
        <v>0.10529532098184813</v>
      </c>
      <c r="U392" s="18">
        <f t="shared" ca="1" si="133"/>
        <v>2.1323071333114008E-2</v>
      </c>
      <c r="V392" s="15">
        <f t="shared" si="134"/>
        <v>3.2499999999999991</v>
      </c>
      <c r="W392" s="15">
        <f t="shared" ca="1" si="135"/>
        <v>3.1672017725947512</v>
      </c>
      <c r="X392" s="15">
        <f t="shared" ca="1" si="136"/>
        <v>8.2798227405247893E-2</v>
      </c>
      <c r="Y392" s="35">
        <f t="shared" ca="1" si="137"/>
        <v>2.5476377663153204E-2</v>
      </c>
      <c r="Z392" s="36">
        <f t="shared" ca="1" si="138"/>
        <v>58.006421000000003</v>
      </c>
      <c r="AA392" s="18">
        <f t="shared" ca="1" si="139"/>
        <v>1.6840322033898254E-2</v>
      </c>
      <c r="AB392" s="2"/>
    </row>
    <row r="393" spans="6:28" x14ac:dyDescent="0.25">
      <c r="F393" s="14">
        <v>391</v>
      </c>
      <c r="G393" s="14">
        <f t="shared" si="120"/>
        <v>59.1</v>
      </c>
      <c r="H393" s="14">
        <f t="shared" si="121"/>
        <v>332.25</v>
      </c>
      <c r="I393" s="15">
        <f t="shared" si="122"/>
        <v>3.2583329999999999</v>
      </c>
      <c r="J393" s="15">
        <f t="shared" si="123"/>
        <v>2572.2599970000001</v>
      </c>
      <c r="K393" s="15">
        <f t="shared" si="124"/>
        <v>1.5922599970000002</v>
      </c>
      <c r="L393" s="15">
        <f t="shared" si="125"/>
        <v>1322.516656</v>
      </c>
      <c r="M393" s="15">
        <v>1315.26</v>
      </c>
      <c r="N393" s="14">
        <f t="shared" si="126"/>
        <v>1.3225166560000001</v>
      </c>
      <c r="O393" s="14">
        <f t="shared" si="127"/>
        <v>1.3366099999999999</v>
      </c>
      <c r="P393" s="14">
        <f t="shared" si="128"/>
        <v>1.409334399999973E-2</v>
      </c>
      <c r="Q393" s="18">
        <f t="shared" si="129"/>
        <v>1.0544095884363974E-2</v>
      </c>
      <c r="R393" s="15">
        <f t="shared" ca="1" si="130"/>
        <v>4.8235698629737618</v>
      </c>
      <c r="S393" s="15">
        <f t="shared" si="131"/>
        <v>4.9296476344086013</v>
      </c>
      <c r="T393" s="15">
        <f t="shared" ca="1" si="132"/>
        <v>0.10607777143483954</v>
      </c>
      <c r="U393" s="18">
        <f t="shared" ca="1" si="133"/>
        <v>2.1518327333260898E-2</v>
      </c>
      <c r="V393" s="15">
        <f t="shared" si="134"/>
        <v>3.2583333333333337</v>
      </c>
      <c r="W393" s="15">
        <f t="shared" ca="1" si="135"/>
        <v>3.1764301370262382</v>
      </c>
      <c r="X393" s="15">
        <f t="shared" ca="1" si="136"/>
        <v>8.1903196307095527E-2</v>
      </c>
      <c r="Y393" s="35">
        <f t="shared" ca="1" si="137"/>
        <v>2.5136530835937244E-2</v>
      </c>
      <c r="Z393" s="36">
        <f t="shared" ca="1" si="138"/>
        <v>58.117162</v>
      </c>
      <c r="AA393" s="18">
        <f t="shared" ca="1" si="139"/>
        <v>1.6630084602368884E-2</v>
      </c>
      <c r="AB393" s="2"/>
    </row>
    <row r="394" spans="6:28" x14ac:dyDescent="0.25">
      <c r="F394" s="14">
        <v>392</v>
      </c>
      <c r="G394" s="14">
        <f t="shared" si="120"/>
        <v>59.2</v>
      </c>
      <c r="H394" s="14">
        <f t="shared" si="121"/>
        <v>332.34999999999997</v>
      </c>
      <c r="I394" s="15">
        <f t="shared" si="122"/>
        <v>3.266667</v>
      </c>
      <c r="J394" s="15">
        <f t="shared" si="123"/>
        <v>2562.9675440000001</v>
      </c>
      <c r="K394" s="15">
        <f t="shared" si="124"/>
        <v>1.5829675440000002</v>
      </c>
      <c r="L394" s="15">
        <f t="shared" si="125"/>
        <v>1320.0937369999999</v>
      </c>
      <c r="M394" s="15">
        <v>1312.52</v>
      </c>
      <c r="N394" s="14">
        <f t="shared" si="126"/>
        <v>1.3200937370000001</v>
      </c>
      <c r="O394" s="14">
        <f t="shared" si="127"/>
        <v>1.33432</v>
      </c>
      <c r="P394" s="14">
        <f t="shared" si="128"/>
        <v>1.422626299999985E-2</v>
      </c>
      <c r="Q394" s="18">
        <f t="shared" si="129"/>
        <v>1.0661807512440682E-2</v>
      </c>
      <c r="R394" s="15">
        <f t="shared" ca="1" si="130"/>
        <v>4.8151172274052483</v>
      </c>
      <c r="S394" s="15">
        <f t="shared" si="131"/>
        <v>4.9212017204301075</v>
      </c>
      <c r="T394" s="15">
        <f t="shared" ca="1" si="132"/>
        <v>0.10608449302485923</v>
      </c>
      <c r="U394" s="18">
        <f t="shared" ca="1" si="133"/>
        <v>2.1556623575183901E-2</v>
      </c>
      <c r="V394" s="15">
        <f t="shared" si="134"/>
        <v>3.2666666666666657</v>
      </c>
      <c r="W394" s="15">
        <f t="shared" ca="1" si="135"/>
        <v>3.1848827725947517</v>
      </c>
      <c r="X394" s="15">
        <f t="shared" ca="1" si="136"/>
        <v>8.1783894071913998E-2</v>
      </c>
      <c r="Y394" s="35">
        <f t="shared" ca="1" si="137"/>
        <v>2.5035885940381843E-2</v>
      </c>
      <c r="Z394" s="36">
        <f t="shared" ca="1" si="138"/>
        <v>58.218592999999998</v>
      </c>
      <c r="AA394" s="18">
        <f t="shared" ca="1" si="139"/>
        <v>1.6577820945946019E-2</v>
      </c>
      <c r="AB394" s="2"/>
    </row>
    <row r="395" spans="6:28" x14ac:dyDescent="0.25">
      <c r="F395" s="14">
        <v>393</v>
      </c>
      <c r="G395" s="14">
        <f t="shared" si="120"/>
        <v>59.300000000000004</v>
      </c>
      <c r="H395" s="14">
        <f t="shared" si="121"/>
        <v>332.45</v>
      </c>
      <c r="I395" s="15">
        <f t="shared" si="122"/>
        <v>3.2749999999999999</v>
      </c>
      <c r="J395" s="15">
        <f t="shared" si="123"/>
        <v>2553.7135979999998</v>
      </c>
      <c r="K395" s="15">
        <f t="shared" si="124"/>
        <v>1.5737135979999999</v>
      </c>
      <c r="L395" s="15">
        <f t="shared" si="125"/>
        <v>1317.672374</v>
      </c>
      <c r="M395" s="15">
        <v>1310.0899999999999</v>
      </c>
      <c r="N395" s="14">
        <f t="shared" si="126"/>
        <v>1.317672374</v>
      </c>
      <c r="O395" s="14">
        <f t="shared" si="127"/>
        <v>1.3320299999999998</v>
      </c>
      <c r="P395" s="14">
        <f t="shared" si="128"/>
        <v>1.435762599999979E-2</v>
      </c>
      <c r="Q395" s="18">
        <f t="shared" si="129"/>
        <v>1.0778755733729564E-2</v>
      </c>
      <c r="R395" s="15">
        <f t="shared" ca="1" si="130"/>
        <v>4.8066921370262383</v>
      </c>
      <c r="S395" s="15">
        <f t="shared" si="131"/>
        <v>4.9127558064516119</v>
      </c>
      <c r="T395" s="15">
        <f t="shared" ca="1" si="132"/>
        <v>0.1060636694253736</v>
      </c>
      <c r="U395" s="18">
        <f t="shared" ca="1" si="133"/>
        <v>2.1589444622117565E-2</v>
      </c>
      <c r="V395" s="15">
        <f t="shared" si="134"/>
        <v>3.2750000000000004</v>
      </c>
      <c r="W395" s="15">
        <f t="shared" ca="1" si="135"/>
        <v>3.1933078629737617</v>
      </c>
      <c r="X395" s="15">
        <f t="shared" ca="1" si="136"/>
        <v>8.1692137026238676E-2</v>
      </c>
      <c r="Y395" s="35">
        <f t="shared" ca="1" si="137"/>
        <v>2.4944163977477455E-2</v>
      </c>
      <c r="Z395" s="36">
        <f t="shared" ca="1" si="138"/>
        <v>58.319693999999998</v>
      </c>
      <c r="AA395" s="18">
        <f t="shared" ca="1" si="139"/>
        <v>1.6531298482293521E-2</v>
      </c>
      <c r="AB395" s="2"/>
    </row>
    <row r="396" spans="6:28" x14ac:dyDescent="0.25">
      <c r="F396" s="14">
        <v>394</v>
      </c>
      <c r="G396" s="14">
        <f t="shared" si="120"/>
        <v>59.400000000000006</v>
      </c>
      <c r="H396" s="14">
        <f t="shared" si="121"/>
        <v>332.54999999999995</v>
      </c>
      <c r="I396" s="15">
        <f t="shared" si="122"/>
        <v>3.2833329999999998</v>
      </c>
      <c r="J396" s="15">
        <f t="shared" si="123"/>
        <v>2544.4979779999999</v>
      </c>
      <c r="K396" s="15">
        <f t="shared" si="124"/>
        <v>1.5644979779999999</v>
      </c>
      <c r="L396" s="15">
        <f t="shared" si="125"/>
        <v>1315.252579</v>
      </c>
      <c r="M396" s="15">
        <v>1307.6600000000001</v>
      </c>
      <c r="N396" s="14">
        <f t="shared" si="126"/>
        <v>1.315252579</v>
      </c>
      <c r="O396" s="14">
        <f t="shared" si="127"/>
        <v>1.3297399999999997</v>
      </c>
      <c r="P396" s="14">
        <f t="shared" si="128"/>
        <v>1.4487420999999667E-2</v>
      </c>
      <c r="Q396" s="18">
        <f t="shared" si="129"/>
        <v>1.0894927579827388E-2</v>
      </c>
      <c r="R396" s="15">
        <f t="shared" ca="1" si="130"/>
        <v>4.797855364431487</v>
      </c>
      <c r="S396" s="15">
        <f t="shared" si="131"/>
        <v>4.9043098924731172</v>
      </c>
      <c r="T396" s="15">
        <f t="shared" ca="1" si="132"/>
        <v>0.10645452804163025</v>
      </c>
      <c r="U396" s="18">
        <f t="shared" ca="1" si="133"/>
        <v>2.1706321659039365E-2</v>
      </c>
      <c r="V396" s="15">
        <f t="shared" si="134"/>
        <v>3.2833333333333341</v>
      </c>
      <c r="W396" s="15">
        <f t="shared" ca="1" si="135"/>
        <v>3.202144635568513</v>
      </c>
      <c r="X396" s="15">
        <f t="shared" ca="1" si="136"/>
        <v>8.1188697764821072E-2</v>
      </c>
      <c r="Y396" s="35">
        <f t="shared" ca="1" si="137"/>
        <v>2.4727522161874432E-2</v>
      </c>
      <c r="Z396" s="36">
        <f t="shared" ca="1" si="138"/>
        <v>58.425736000000001</v>
      </c>
      <c r="AA396" s="18">
        <f t="shared" ca="1" si="139"/>
        <v>1.6401750841750926E-2</v>
      </c>
      <c r="AB396" s="2"/>
    </row>
    <row r="397" spans="6:28" x14ac:dyDescent="0.25">
      <c r="F397" s="14">
        <v>395</v>
      </c>
      <c r="G397" s="14">
        <f t="shared" si="120"/>
        <v>59.5</v>
      </c>
      <c r="H397" s="14">
        <f t="shared" si="121"/>
        <v>332.65</v>
      </c>
      <c r="I397" s="15">
        <f t="shared" si="122"/>
        <v>3.2916669999999999</v>
      </c>
      <c r="J397" s="15">
        <f t="shared" si="123"/>
        <v>2535.3205090000001</v>
      </c>
      <c r="K397" s="15">
        <f t="shared" si="124"/>
        <v>1.555320509</v>
      </c>
      <c r="L397" s="15">
        <f t="shared" si="125"/>
        <v>1312.8343669999999</v>
      </c>
      <c r="M397" s="15">
        <v>1305.21</v>
      </c>
      <c r="N397" s="14">
        <f t="shared" si="126"/>
        <v>1.312834367</v>
      </c>
      <c r="O397" s="14">
        <f t="shared" si="127"/>
        <v>1.32745</v>
      </c>
      <c r="P397" s="14">
        <f t="shared" si="128"/>
        <v>1.4615633000000017E-2</v>
      </c>
      <c r="Q397" s="18">
        <f t="shared" si="129"/>
        <v>1.1010307732871307E-2</v>
      </c>
      <c r="R397" s="15">
        <f t="shared" ca="1" si="130"/>
        <v>4.7890343644314877</v>
      </c>
      <c r="S397" s="15">
        <f t="shared" si="131"/>
        <v>4.8958639784946234</v>
      </c>
      <c r="T397" s="15">
        <f t="shared" ca="1" si="132"/>
        <v>0.10682961406313574</v>
      </c>
      <c r="U397" s="18">
        <f t="shared" ca="1" si="133"/>
        <v>2.1820380331723111E-2</v>
      </c>
      <c r="V397" s="15">
        <f t="shared" si="134"/>
        <v>3.2916666666666661</v>
      </c>
      <c r="W397" s="15">
        <f t="shared" ca="1" si="135"/>
        <v>3.2109656355685123</v>
      </c>
      <c r="X397" s="15">
        <f t="shared" ca="1" si="136"/>
        <v>8.0701031098153742E-2</v>
      </c>
      <c r="Y397" s="35">
        <f t="shared" ca="1" si="137"/>
        <v>2.4516768941211266E-2</v>
      </c>
      <c r="Z397" s="36">
        <f t="shared" ca="1" si="138"/>
        <v>58.531587999999999</v>
      </c>
      <c r="AA397" s="18">
        <f t="shared" ca="1" si="139"/>
        <v>1.627583193277312E-2</v>
      </c>
      <c r="AB397" s="2"/>
    </row>
    <row r="398" spans="6:28" x14ac:dyDescent="0.25">
      <c r="F398" s="14">
        <v>396</v>
      </c>
      <c r="G398" s="14">
        <f t="shared" si="120"/>
        <v>59.6</v>
      </c>
      <c r="H398" s="14">
        <f t="shared" si="121"/>
        <v>332.75</v>
      </c>
      <c r="I398" s="15">
        <f t="shared" si="122"/>
        <v>3.3</v>
      </c>
      <c r="J398" s="15">
        <f t="shared" si="123"/>
        <v>2526.1810129999999</v>
      </c>
      <c r="K398" s="15">
        <f t="shared" si="124"/>
        <v>1.546181013</v>
      </c>
      <c r="L398" s="15">
        <f t="shared" si="125"/>
        <v>1310.4177529999999</v>
      </c>
      <c r="M398" s="15">
        <v>1302.92</v>
      </c>
      <c r="N398" s="14">
        <f t="shared" si="126"/>
        <v>1.3104177530000001</v>
      </c>
      <c r="O398" s="14">
        <f t="shared" si="127"/>
        <v>1.3251599999999999</v>
      </c>
      <c r="P398" s="14">
        <f t="shared" si="128"/>
        <v>1.474224699999982E-2</v>
      </c>
      <c r="Q398" s="18">
        <f t="shared" si="129"/>
        <v>1.1124880769114538E-2</v>
      </c>
      <c r="R398" s="15">
        <f t="shared" ca="1" si="130"/>
        <v>4.7790524985422742</v>
      </c>
      <c r="S398" s="15">
        <f t="shared" si="131"/>
        <v>4.8874180645161287</v>
      </c>
      <c r="T398" s="15">
        <f t="shared" ca="1" si="132"/>
        <v>0.10836556597385449</v>
      </c>
      <c r="U398" s="18">
        <f t="shared" ca="1" si="133"/>
        <v>2.2172354511805624E-2</v>
      </c>
      <c r="V398" s="15">
        <f t="shared" si="134"/>
        <v>3.3</v>
      </c>
      <c r="W398" s="15">
        <f t="shared" ca="1" si="135"/>
        <v>3.2209475014577258</v>
      </c>
      <c r="X398" s="15">
        <f t="shared" ca="1" si="136"/>
        <v>7.905249854227403E-2</v>
      </c>
      <c r="Y398" s="35">
        <f t="shared" ca="1" si="137"/>
        <v>2.395530258856789E-2</v>
      </c>
      <c r="Z398" s="36">
        <f t="shared" ca="1" si="138"/>
        <v>58.65137</v>
      </c>
      <c r="AA398" s="18">
        <f t="shared" ca="1" si="139"/>
        <v>1.5916610738255055E-2</v>
      </c>
      <c r="AB398" s="2"/>
    </row>
    <row r="399" spans="6:28" x14ac:dyDescent="0.25">
      <c r="F399" s="14">
        <v>397</v>
      </c>
      <c r="G399" s="14">
        <f t="shared" si="120"/>
        <v>59.7</v>
      </c>
      <c r="H399" s="14">
        <f t="shared" si="121"/>
        <v>332.84999999999997</v>
      </c>
      <c r="I399" s="15">
        <f t="shared" si="122"/>
        <v>3.3083330000000002</v>
      </c>
      <c r="J399" s="15">
        <f t="shared" si="123"/>
        <v>2517.0793130000002</v>
      </c>
      <c r="K399" s="15">
        <f t="shared" si="124"/>
        <v>1.5370793130000004</v>
      </c>
      <c r="L399" s="15">
        <f t="shared" si="125"/>
        <v>1308.0027500000001</v>
      </c>
      <c r="M399" s="15">
        <v>1300.47</v>
      </c>
      <c r="N399" s="14">
        <f t="shared" si="126"/>
        <v>1.30800275</v>
      </c>
      <c r="O399" s="14">
        <f t="shared" si="127"/>
        <v>1.3228699999999998</v>
      </c>
      <c r="P399" s="14">
        <f t="shared" si="128"/>
        <v>1.4867249999999776E-2</v>
      </c>
      <c r="Q399" s="18">
        <f t="shared" si="129"/>
        <v>1.1238632669876692E-2</v>
      </c>
      <c r="R399" s="15">
        <f t="shared" ca="1" si="130"/>
        <v>4.7706288629737612</v>
      </c>
      <c r="S399" s="15">
        <f t="shared" si="131"/>
        <v>4.8789721505376331</v>
      </c>
      <c r="T399" s="15">
        <f t="shared" ca="1" si="132"/>
        <v>0.1083432875638719</v>
      </c>
      <c r="U399" s="18">
        <f t="shared" ca="1" si="133"/>
        <v>2.2206170525472899E-2</v>
      </c>
      <c r="V399" s="15">
        <f t="shared" si="134"/>
        <v>3.3083333333333345</v>
      </c>
      <c r="W399" s="15">
        <f t="shared" ca="1" si="135"/>
        <v>3.2293711370262388</v>
      </c>
      <c r="X399" s="15">
        <f t="shared" ca="1" si="136"/>
        <v>7.8962196307095667E-2</v>
      </c>
      <c r="Y399" s="35">
        <f t="shared" ca="1" si="137"/>
        <v>2.3867666390054099E-2</v>
      </c>
      <c r="Z399" s="36">
        <f t="shared" ca="1" si="138"/>
        <v>58.752454</v>
      </c>
      <c r="AA399" s="18">
        <f t="shared" ca="1" si="139"/>
        <v>1.5871792294807414E-2</v>
      </c>
      <c r="AB399" s="2"/>
    </row>
    <row r="400" spans="6:28" x14ac:dyDescent="0.25">
      <c r="F400" s="14">
        <v>398</v>
      </c>
      <c r="G400" s="14">
        <f t="shared" si="120"/>
        <v>59.800000000000004</v>
      </c>
      <c r="H400" s="14">
        <f t="shared" si="121"/>
        <v>332.95</v>
      </c>
      <c r="I400" s="15">
        <f t="shared" si="122"/>
        <v>3.3166669999999998</v>
      </c>
      <c r="J400" s="15">
        <f t="shared" si="123"/>
        <v>2508.0152360000002</v>
      </c>
      <c r="K400" s="15">
        <f t="shared" si="124"/>
        <v>1.5280152360000003</v>
      </c>
      <c r="L400" s="15">
        <f t="shared" si="125"/>
        <v>1305.5893739999999</v>
      </c>
      <c r="M400" s="15">
        <v>1298.02</v>
      </c>
      <c r="N400" s="14">
        <f t="shared" si="126"/>
        <v>1.305589374</v>
      </c>
      <c r="O400" s="14">
        <f t="shared" si="127"/>
        <v>1.3205799999999999</v>
      </c>
      <c r="P400" s="14">
        <f t="shared" si="128"/>
        <v>1.4990625999999896E-2</v>
      </c>
      <c r="Q400" s="18">
        <f t="shared" si="129"/>
        <v>1.1351547047509351E-2</v>
      </c>
      <c r="R400" s="15">
        <f t="shared" ca="1" si="130"/>
        <v>4.7630035014577263</v>
      </c>
      <c r="S400" s="15">
        <f t="shared" si="131"/>
        <v>4.8705262365591393</v>
      </c>
      <c r="T400" s="15">
        <f t="shared" ca="1" si="132"/>
        <v>0.10752273510141297</v>
      </c>
      <c r="U400" s="18">
        <f t="shared" ca="1" si="133"/>
        <v>2.2076204886101614E-2</v>
      </c>
      <c r="V400" s="15">
        <f t="shared" si="134"/>
        <v>3.3166666666666664</v>
      </c>
      <c r="W400" s="15">
        <f t="shared" ca="1" si="135"/>
        <v>3.2369964985422737</v>
      </c>
      <c r="X400" s="15">
        <f t="shared" ca="1" si="136"/>
        <v>7.967016812439276E-2</v>
      </c>
      <c r="Y400" s="35">
        <f t="shared" ca="1" si="137"/>
        <v>2.4021156218409879E-2</v>
      </c>
      <c r="Z400" s="36">
        <f t="shared" ca="1" si="138"/>
        <v>58.843958000000001</v>
      </c>
      <c r="AA400" s="18">
        <f t="shared" ca="1" si="139"/>
        <v>1.598732441471578E-2</v>
      </c>
      <c r="AB400" s="2"/>
    </row>
    <row r="401" spans="6:28" x14ac:dyDescent="0.25">
      <c r="F401" s="14">
        <v>399</v>
      </c>
      <c r="G401" s="14">
        <f t="shared" si="120"/>
        <v>59.900000000000006</v>
      </c>
      <c r="H401" s="14">
        <f t="shared" si="121"/>
        <v>333.04999999999995</v>
      </c>
      <c r="I401" s="15">
        <f t="shared" si="122"/>
        <v>3.3250000000000002</v>
      </c>
      <c r="J401" s="15">
        <f t="shared" si="123"/>
        <v>2498.9886080000001</v>
      </c>
      <c r="K401" s="15">
        <f t="shared" si="124"/>
        <v>1.5189886080000004</v>
      </c>
      <c r="L401" s="15">
        <f t="shared" si="125"/>
        <v>1303.177637</v>
      </c>
      <c r="M401" s="15">
        <v>1295.57</v>
      </c>
      <c r="N401" s="14">
        <f t="shared" si="126"/>
        <v>1.3031776369999999</v>
      </c>
      <c r="O401" s="14">
        <f t="shared" si="127"/>
        <v>1.3182899999999997</v>
      </c>
      <c r="P401" s="14">
        <f t="shared" si="128"/>
        <v>1.5112362999999851E-2</v>
      </c>
      <c r="Q401" s="18">
        <f t="shared" si="129"/>
        <v>1.1463610434729729E-2</v>
      </c>
      <c r="R401" s="15">
        <f t="shared" ca="1" si="130"/>
        <v>4.753425</v>
      </c>
      <c r="S401" s="15">
        <f t="shared" si="131"/>
        <v>4.8620803225806437</v>
      </c>
      <c r="T401" s="15">
        <f t="shared" ca="1" si="132"/>
        <v>0.1086553225806437</v>
      </c>
      <c r="U401" s="18">
        <f t="shared" ca="1" si="133"/>
        <v>2.2347496415479368E-2</v>
      </c>
      <c r="V401" s="15">
        <f t="shared" si="134"/>
        <v>3.3250000000000011</v>
      </c>
      <c r="W401" s="15">
        <f t="shared" ca="1" si="135"/>
        <v>3.246575</v>
      </c>
      <c r="X401" s="15">
        <f t="shared" ca="1" si="136"/>
        <v>7.8425000000001077E-2</v>
      </c>
      <c r="Y401" s="35">
        <f t="shared" ca="1" si="137"/>
        <v>2.358646616541385E-2</v>
      </c>
      <c r="Z401" s="36">
        <f t="shared" ca="1" si="138"/>
        <v>58.9589</v>
      </c>
      <c r="AA401" s="18">
        <f t="shared" ca="1" si="139"/>
        <v>1.5711185308848175E-2</v>
      </c>
      <c r="AB401" s="2"/>
    </row>
    <row r="402" spans="6:28" x14ac:dyDescent="0.25">
      <c r="F402" s="14">
        <v>400</v>
      </c>
      <c r="G402" s="14">
        <f t="shared" si="120"/>
        <v>60</v>
      </c>
      <c r="H402" s="14">
        <f t="shared" si="121"/>
        <v>333.15</v>
      </c>
      <c r="I402" s="15">
        <f t="shared" si="122"/>
        <v>3.3333330000000001</v>
      </c>
      <c r="J402" s="15">
        <f t="shared" si="123"/>
        <v>2489.9992539999998</v>
      </c>
      <c r="K402" s="15">
        <f t="shared" si="124"/>
        <v>1.5099992539999998</v>
      </c>
      <c r="L402" s="15">
        <f t="shared" si="125"/>
        <v>1300.767554</v>
      </c>
      <c r="M402" s="15">
        <v>1293.4100000000001</v>
      </c>
      <c r="N402" s="14">
        <f t="shared" si="126"/>
        <v>1.3007675540000001</v>
      </c>
      <c r="O402" s="14">
        <f t="shared" si="127"/>
        <v>1.3159999999999998</v>
      </c>
      <c r="P402" s="14">
        <f t="shared" si="128"/>
        <v>1.5232445999999733E-2</v>
      </c>
      <c r="Q402" s="18">
        <f t="shared" si="129"/>
        <v>1.1574806990881257E-2</v>
      </c>
      <c r="R402" s="15">
        <f t="shared" ca="1" si="130"/>
        <v>4.745020364431487</v>
      </c>
      <c r="S402" s="15">
        <f t="shared" si="131"/>
        <v>4.8536344086021499</v>
      </c>
      <c r="T402" s="15">
        <f t="shared" ca="1" si="132"/>
        <v>0.10861404417066289</v>
      </c>
      <c r="U402" s="18">
        <f t="shared" ca="1" si="133"/>
        <v>2.2377879136954573E-2</v>
      </c>
      <c r="V402" s="15">
        <f t="shared" si="134"/>
        <v>3.333333333333333</v>
      </c>
      <c r="W402" s="15">
        <f t="shared" ca="1" si="135"/>
        <v>3.254979635568513</v>
      </c>
      <c r="X402" s="15">
        <f t="shared" ca="1" si="136"/>
        <v>7.8353697764820041E-2</v>
      </c>
      <c r="Y402" s="35">
        <f t="shared" ca="1" si="137"/>
        <v>2.3506109329446013E-2</v>
      </c>
      <c r="Z402" s="36">
        <f t="shared" ca="1" si="138"/>
        <v>59.059756</v>
      </c>
      <c r="AA402" s="18">
        <f t="shared" ca="1" si="139"/>
        <v>1.5670733333333332E-2</v>
      </c>
      <c r="AB402" s="2"/>
    </row>
    <row r="403" spans="6:28" x14ac:dyDescent="0.25">
      <c r="F403" s="14">
        <v>401</v>
      </c>
      <c r="G403" s="14">
        <f t="shared" si="120"/>
        <v>60.1</v>
      </c>
      <c r="H403" s="14">
        <f t="shared" si="121"/>
        <v>333.25</v>
      </c>
      <c r="I403" s="15">
        <f t="shared" si="122"/>
        <v>3.3416670000000002</v>
      </c>
      <c r="J403" s="15">
        <f t="shared" si="123"/>
        <v>2481.0470019999998</v>
      </c>
      <c r="K403" s="15">
        <f t="shared" si="124"/>
        <v>1.501047002</v>
      </c>
      <c r="L403" s="15">
        <f t="shared" si="125"/>
        <v>1298.3591389999999</v>
      </c>
      <c r="M403" s="15">
        <v>1290.6400000000001</v>
      </c>
      <c r="N403" s="14">
        <f t="shared" si="126"/>
        <v>1.298359139</v>
      </c>
      <c r="O403" s="14">
        <f t="shared" si="127"/>
        <v>1.3137099999999999</v>
      </c>
      <c r="P403" s="14">
        <f t="shared" si="128"/>
        <v>1.5350860999999938E-2</v>
      </c>
      <c r="Q403" s="18">
        <f t="shared" si="129"/>
        <v>1.1685121526059739E-2</v>
      </c>
      <c r="R403" s="15">
        <f t="shared" ca="1" si="130"/>
        <v>4.7350684985422742</v>
      </c>
      <c r="S403" s="15">
        <f t="shared" si="131"/>
        <v>4.8451884946236552</v>
      </c>
      <c r="T403" s="15">
        <f t="shared" ca="1" si="132"/>
        <v>0.11011999608138101</v>
      </c>
      <c r="U403" s="18">
        <f t="shared" ca="1" si="133"/>
        <v>2.2727701141776625E-2</v>
      </c>
      <c r="V403" s="15">
        <f t="shared" si="134"/>
        <v>3.3416666666666668</v>
      </c>
      <c r="W403" s="15">
        <f t="shared" ca="1" si="135"/>
        <v>3.2649315014577258</v>
      </c>
      <c r="X403" s="15">
        <f t="shared" ca="1" si="136"/>
        <v>7.673516520894097E-2</v>
      </c>
      <c r="Y403" s="35">
        <f t="shared" ca="1" si="137"/>
        <v>2.2963141708411263E-2</v>
      </c>
      <c r="Z403" s="36">
        <f t="shared" ca="1" si="138"/>
        <v>59.179178</v>
      </c>
      <c r="AA403" s="18">
        <f t="shared" ca="1" si="139"/>
        <v>1.5321497504159752E-2</v>
      </c>
      <c r="AB403" s="2"/>
    </row>
    <row r="404" spans="6:28" x14ac:dyDescent="0.25">
      <c r="F404" s="14">
        <v>402</v>
      </c>
      <c r="G404" s="14">
        <f t="shared" si="120"/>
        <v>60.2</v>
      </c>
      <c r="H404" s="14">
        <f t="shared" si="121"/>
        <v>333.34999999999997</v>
      </c>
      <c r="I404" s="15">
        <f t="shared" si="122"/>
        <v>3.35</v>
      </c>
      <c r="J404" s="15">
        <f t="shared" si="123"/>
        <v>2472.1316820000002</v>
      </c>
      <c r="K404" s="15">
        <f t="shared" si="124"/>
        <v>1.4921316820000001</v>
      </c>
      <c r="L404" s="15">
        <f t="shared" si="125"/>
        <v>1295.952405</v>
      </c>
      <c r="M404" s="15">
        <v>1288.17</v>
      </c>
      <c r="N404" s="14">
        <f t="shared" si="126"/>
        <v>1.295952405</v>
      </c>
      <c r="O404" s="14">
        <f t="shared" si="127"/>
        <v>1.3114199999999998</v>
      </c>
      <c r="P404" s="14">
        <f t="shared" si="128"/>
        <v>1.5467594999999834E-2</v>
      </c>
      <c r="Q404" s="18">
        <f t="shared" si="129"/>
        <v>1.1794539506794037E-2</v>
      </c>
      <c r="R404" s="15">
        <f t="shared" ca="1" si="130"/>
        <v>4.7266856355685123</v>
      </c>
      <c r="S404" s="15">
        <f t="shared" si="131"/>
        <v>4.8367425806451605</v>
      </c>
      <c r="T404" s="15">
        <f t="shared" ca="1" si="132"/>
        <v>0.1100569450766482</v>
      </c>
      <c r="U404" s="18">
        <f t="shared" ca="1" si="133"/>
        <v>2.2754352385230308E-2</v>
      </c>
      <c r="V404" s="15">
        <f t="shared" si="134"/>
        <v>3.3500000000000005</v>
      </c>
      <c r="W404" s="15">
        <f t="shared" ca="1" si="135"/>
        <v>3.2733143644314877</v>
      </c>
      <c r="X404" s="15">
        <f t="shared" ca="1" si="136"/>
        <v>7.6685635568512822E-2</v>
      </c>
      <c r="Y404" s="35">
        <f t="shared" ca="1" si="137"/>
        <v>2.2891234498063524E-2</v>
      </c>
      <c r="Z404" s="36">
        <f t="shared" ca="1" si="138"/>
        <v>59.279772000000001</v>
      </c>
      <c r="AA404" s="18">
        <f t="shared" ca="1" si="139"/>
        <v>1.5286179401993382E-2</v>
      </c>
      <c r="AB404" s="2"/>
    </row>
    <row r="405" spans="6:28" x14ac:dyDescent="0.25">
      <c r="F405" s="14">
        <v>403</v>
      </c>
      <c r="G405" s="14">
        <f t="shared" si="120"/>
        <v>60.300000000000004</v>
      </c>
      <c r="H405" s="14">
        <f t="shared" si="121"/>
        <v>333.45</v>
      </c>
      <c r="I405" s="15">
        <f t="shared" si="122"/>
        <v>3.358333</v>
      </c>
      <c r="J405" s="15">
        <f t="shared" si="123"/>
        <v>2463.253123</v>
      </c>
      <c r="K405" s="15">
        <f t="shared" si="124"/>
        <v>1.4832531229999999</v>
      </c>
      <c r="L405" s="15">
        <f t="shared" si="125"/>
        <v>1293.5473669999999</v>
      </c>
      <c r="M405" s="15">
        <v>1285.7</v>
      </c>
      <c r="N405" s="14">
        <f t="shared" si="126"/>
        <v>1.2935473669999997</v>
      </c>
      <c r="O405" s="14">
        <f t="shared" si="127"/>
        <v>1.3091299999999999</v>
      </c>
      <c r="P405" s="14">
        <f t="shared" si="128"/>
        <v>1.5582633000000179E-2</v>
      </c>
      <c r="Q405" s="18">
        <f t="shared" si="129"/>
        <v>1.1903044770191027E-2</v>
      </c>
      <c r="R405" s="15">
        <f t="shared" ca="1" si="130"/>
        <v>4.7190795014577258</v>
      </c>
      <c r="S405" s="15">
        <f t="shared" si="131"/>
        <v>4.8282966666666658</v>
      </c>
      <c r="T405" s="15">
        <f t="shared" ca="1" si="132"/>
        <v>0.10921716520893998</v>
      </c>
      <c r="U405" s="18">
        <f t="shared" ca="1" si="133"/>
        <v>2.2620226707059564E-2</v>
      </c>
      <c r="V405" s="15">
        <f t="shared" si="134"/>
        <v>3.3583333333333334</v>
      </c>
      <c r="W405" s="15">
        <f t="shared" ca="1" si="135"/>
        <v>3.2809204985422742</v>
      </c>
      <c r="X405" s="15">
        <f t="shared" ca="1" si="136"/>
        <v>7.7412834791059204E-2</v>
      </c>
      <c r="Y405" s="35">
        <f t="shared" ca="1" si="137"/>
        <v>2.3050968175997777E-2</v>
      </c>
      <c r="Z405" s="36">
        <f t="shared" ca="1" si="138"/>
        <v>59.371046</v>
      </c>
      <c r="AA405" s="18">
        <f t="shared" ca="1" si="139"/>
        <v>1.5405538971807702E-2</v>
      </c>
      <c r="AB405" s="2"/>
    </row>
    <row r="406" spans="6:28" x14ac:dyDescent="0.25">
      <c r="F406" s="14">
        <v>404</v>
      </c>
      <c r="G406" s="14">
        <f t="shared" si="120"/>
        <v>60.400000000000006</v>
      </c>
      <c r="H406" s="14">
        <f t="shared" si="121"/>
        <v>333.54999999999995</v>
      </c>
      <c r="I406" s="15">
        <f t="shared" si="122"/>
        <v>3.3666670000000001</v>
      </c>
      <c r="J406" s="15">
        <f t="shared" si="123"/>
        <v>2454.4111539999999</v>
      </c>
      <c r="K406" s="15">
        <f t="shared" si="124"/>
        <v>1.4744111539999998</v>
      </c>
      <c r="L406" s="15">
        <f t="shared" si="125"/>
        <v>1291.144039</v>
      </c>
      <c r="M406" s="15">
        <v>1283.53</v>
      </c>
      <c r="N406" s="14">
        <f t="shared" si="126"/>
        <v>1.291144039</v>
      </c>
      <c r="O406" s="14">
        <f t="shared" si="127"/>
        <v>1.3068399999999998</v>
      </c>
      <c r="P406" s="14">
        <f t="shared" si="128"/>
        <v>1.5695960999999814E-2</v>
      </c>
      <c r="Q406" s="18">
        <f t="shared" si="129"/>
        <v>1.2010621805270589E-2</v>
      </c>
      <c r="R406" s="15">
        <f t="shared" ca="1" si="130"/>
        <v>4.7095427725947516</v>
      </c>
      <c r="S406" s="15">
        <f t="shared" si="131"/>
        <v>4.8198507526881711</v>
      </c>
      <c r="T406" s="15">
        <f t="shared" ca="1" si="132"/>
        <v>0.11030798009341947</v>
      </c>
      <c r="U406" s="18">
        <f t="shared" ca="1" si="133"/>
        <v>2.2886181700107103E-2</v>
      </c>
      <c r="V406" s="15">
        <f t="shared" si="134"/>
        <v>3.3666666666666671</v>
      </c>
      <c r="W406" s="15">
        <f t="shared" ca="1" si="135"/>
        <v>3.2904572274052484</v>
      </c>
      <c r="X406" s="15">
        <f t="shared" ca="1" si="136"/>
        <v>7.6209439261418765E-2</v>
      </c>
      <c r="Y406" s="35">
        <f t="shared" ca="1" si="137"/>
        <v>2.2636467107352107E-2</v>
      </c>
      <c r="Z406" s="36">
        <f t="shared" ca="1" si="138"/>
        <v>59.485486999999999</v>
      </c>
      <c r="AA406" s="18">
        <f t="shared" ca="1" si="139"/>
        <v>1.5140943708609378E-2</v>
      </c>
      <c r="AB406" s="2"/>
    </row>
    <row r="407" spans="6:28" x14ac:dyDescent="0.25">
      <c r="F407" s="14">
        <v>405</v>
      </c>
      <c r="G407" s="14">
        <f t="shared" si="120"/>
        <v>60.5</v>
      </c>
      <c r="H407" s="14">
        <f t="shared" si="121"/>
        <v>333.65</v>
      </c>
      <c r="I407" s="15">
        <f t="shared" si="122"/>
        <v>3.375</v>
      </c>
      <c r="J407" s="15">
        <f t="shared" si="123"/>
        <v>2445.6056079999998</v>
      </c>
      <c r="K407" s="15">
        <f t="shared" si="124"/>
        <v>1.4656056079999997</v>
      </c>
      <c r="L407" s="15">
        <f t="shared" si="125"/>
        <v>1288.7424329999999</v>
      </c>
      <c r="M407" s="15">
        <v>1281.05</v>
      </c>
      <c r="N407" s="14">
        <f t="shared" si="126"/>
        <v>1.2887424329999999</v>
      </c>
      <c r="O407" s="14">
        <f t="shared" si="127"/>
        <v>1.3045499999999999</v>
      </c>
      <c r="P407" s="14">
        <f t="shared" si="128"/>
        <v>1.5807566999999967E-2</v>
      </c>
      <c r="Q407" s="18">
        <f t="shared" si="129"/>
        <v>1.2117256525238564E-2</v>
      </c>
      <c r="R407" s="15">
        <f t="shared" ca="1" si="130"/>
        <v>4.7015535014577257</v>
      </c>
      <c r="S407" s="15">
        <f t="shared" si="131"/>
        <v>4.8114048387096764</v>
      </c>
      <c r="T407" s="15">
        <f t="shared" ca="1" si="132"/>
        <v>0.10985133725195073</v>
      </c>
      <c r="U407" s="18">
        <f t="shared" ca="1" si="133"/>
        <v>2.2831447557302348E-2</v>
      </c>
      <c r="V407" s="15">
        <f t="shared" si="134"/>
        <v>3.375</v>
      </c>
      <c r="W407" s="15">
        <f t="shared" ca="1" si="135"/>
        <v>3.2984464985422743</v>
      </c>
      <c r="X407" s="15">
        <f t="shared" ca="1" si="136"/>
        <v>7.6553501457725659E-2</v>
      </c>
      <c r="Y407" s="35">
        <f t="shared" ca="1" si="137"/>
        <v>2.2682518950437231E-2</v>
      </c>
      <c r="Z407" s="36">
        <f t="shared" ca="1" si="138"/>
        <v>59.581358000000002</v>
      </c>
      <c r="AA407" s="18">
        <f t="shared" ca="1" si="139"/>
        <v>1.5184165289256172E-2</v>
      </c>
      <c r="AB407" s="2"/>
    </row>
    <row r="408" spans="6:28" x14ac:dyDescent="0.25">
      <c r="F408" s="14">
        <v>406</v>
      </c>
      <c r="G408" s="14">
        <f t="shared" si="120"/>
        <v>60.6</v>
      </c>
      <c r="H408" s="14">
        <f t="shared" si="121"/>
        <v>333.75</v>
      </c>
      <c r="I408" s="15">
        <f t="shared" si="122"/>
        <v>3.3833329999999999</v>
      </c>
      <c r="J408" s="15">
        <f t="shared" si="123"/>
        <v>2436.8363159999999</v>
      </c>
      <c r="K408" s="15">
        <f t="shared" si="124"/>
        <v>1.456836316</v>
      </c>
      <c r="L408" s="15">
        <f t="shared" si="125"/>
        <v>1286.3425649999999</v>
      </c>
      <c r="M408" s="15">
        <v>1278.56</v>
      </c>
      <c r="N408" s="14">
        <f t="shared" si="126"/>
        <v>1.2863425649999998</v>
      </c>
      <c r="O408" s="14">
        <f t="shared" si="127"/>
        <v>1.30226</v>
      </c>
      <c r="P408" s="14">
        <f t="shared" si="128"/>
        <v>1.5917435000000202E-2</v>
      </c>
      <c r="Q408" s="18">
        <f t="shared" si="129"/>
        <v>1.2222931672630813E-2</v>
      </c>
      <c r="R408" s="15">
        <f t="shared" ca="1" si="130"/>
        <v>4.6924033644314873</v>
      </c>
      <c r="S408" s="15">
        <f t="shared" si="131"/>
        <v>4.8029589247311826</v>
      </c>
      <c r="T408" s="15">
        <f t="shared" ca="1" si="132"/>
        <v>0.11055556029969527</v>
      </c>
      <c r="U408" s="18">
        <f t="shared" ca="1" si="133"/>
        <v>2.3018218983807563E-2</v>
      </c>
      <c r="V408" s="15">
        <f t="shared" si="134"/>
        <v>3.3833333333333329</v>
      </c>
      <c r="W408" s="15">
        <f t="shared" ca="1" si="135"/>
        <v>3.3075966355685127</v>
      </c>
      <c r="X408" s="15">
        <f t="shared" ca="1" si="136"/>
        <v>7.5736697764820171E-2</v>
      </c>
      <c r="Y408" s="35">
        <f t="shared" ca="1" si="137"/>
        <v>2.2385230866449314E-2</v>
      </c>
      <c r="Z408" s="36">
        <f t="shared" ca="1" si="138"/>
        <v>59.691160000000004</v>
      </c>
      <c r="AA408" s="18">
        <f t="shared" ca="1" si="139"/>
        <v>1.4997359735973562E-2</v>
      </c>
      <c r="AB408" s="2"/>
    </row>
    <row r="409" spans="6:28" x14ac:dyDescent="0.25">
      <c r="F409" s="14">
        <v>407</v>
      </c>
      <c r="G409" s="14">
        <f t="shared" si="120"/>
        <v>60.7</v>
      </c>
      <c r="H409" s="14">
        <f t="shared" si="121"/>
        <v>333.84999999999997</v>
      </c>
      <c r="I409" s="15">
        <f t="shared" si="122"/>
        <v>3.391667</v>
      </c>
      <c r="J409" s="15">
        <f t="shared" si="123"/>
        <v>2428.10311</v>
      </c>
      <c r="K409" s="15">
        <f t="shared" si="124"/>
        <v>1.4481031099999999</v>
      </c>
      <c r="L409" s="15">
        <f t="shared" si="125"/>
        <v>1283.944446</v>
      </c>
      <c r="M409" s="15">
        <v>1276.22</v>
      </c>
      <c r="N409" s="14">
        <f t="shared" si="126"/>
        <v>1.283944446</v>
      </c>
      <c r="O409" s="14">
        <f t="shared" si="127"/>
        <v>1.2999699999999998</v>
      </c>
      <c r="P409" s="14">
        <f t="shared" si="128"/>
        <v>1.6025553999999831E-2</v>
      </c>
      <c r="Q409" s="18">
        <f t="shared" si="129"/>
        <v>1.2327633714624055E-2</v>
      </c>
      <c r="R409" s="15">
        <f t="shared" ca="1" si="130"/>
        <v>4.6832710000000004</v>
      </c>
      <c r="S409" s="15">
        <f t="shared" si="131"/>
        <v>4.794513010752687</v>
      </c>
      <c r="T409" s="15">
        <f t="shared" ca="1" si="132"/>
        <v>0.11124201075268658</v>
      </c>
      <c r="U409" s="18">
        <f t="shared" ca="1" si="133"/>
        <v>2.3201941574296153E-2</v>
      </c>
      <c r="V409" s="15">
        <f t="shared" si="134"/>
        <v>3.3916666666666675</v>
      </c>
      <c r="W409" s="15">
        <f t="shared" ca="1" si="135"/>
        <v>3.3167289999999996</v>
      </c>
      <c r="X409" s="15">
        <f t="shared" ca="1" si="136"/>
        <v>7.4937666666667901E-2</v>
      </c>
      <c r="Y409" s="35">
        <f t="shared" ca="1" si="137"/>
        <v>2.2094643734644093E-2</v>
      </c>
      <c r="Z409" s="36">
        <f t="shared" ca="1" si="138"/>
        <v>59.800747999999999</v>
      </c>
      <c r="AA409" s="18">
        <f t="shared" ca="1" si="139"/>
        <v>1.481469522240534E-2</v>
      </c>
      <c r="AB409" s="2"/>
    </row>
    <row r="410" spans="6:28" x14ac:dyDescent="0.25">
      <c r="F410" s="14">
        <v>408</v>
      </c>
      <c r="G410" s="14">
        <f t="shared" si="120"/>
        <v>60.800000000000004</v>
      </c>
      <c r="H410" s="14">
        <f t="shared" si="121"/>
        <v>333.95</v>
      </c>
      <c r="I410" s="15">
        <f t="shared" si="122"/>
        <v>3.4</v>
      </c>
      <c r="J410" s="15">
        <f t="shared" si="123"/>
        <v>2419.4058260000002</v>
      </c>
      <c r="K410" s="15">
        <f t="shared" si="124"/>
        <v>1.4394058260000002</v>
      </c>
      <c r="L410" s="15">
        <f t="shared" si="125"/>
        <v>1281.548092</v>
      </c>
      <c r="M410" s="15">
        <v>1273.73</v>
      </c>
      <c r="N410" s="14">
        <f t="shared" si="126"/>
        <v>1.281548092</v>
      </c>
      <c r="O410" s="14">
        <f t="shared" si="127"/>
        <v>1.2976799999999999</v>
      </c>
      <c r="P410" s="14">
        <f t="shared" si="128"/>
        <v>1.6131907999999973E-2</v>
      </c>
      <c r="Q410" s="18">
        <f t="shared" si="129"/>
        <v>1.2431345169841544E-2</v>
      </c>
      <c r="R410" s="15">
        <f t="shared" ca="1" si="130"/>
        <v>4.6745192274052485</v>
      </c>
      <c r="S410" s="15">
        <f t="shared" si="131"/>
        <v>4.7860670967741932</v>
      </c>
      <c r="T410" s="15">
        <f t="shared" ca="1" si="132"/>
        <v>0.11154786936894467</v>
      </c>
      <c r="U410" s="18">
        <f t="shared" ca="1" si="133"/>
        <v>2.3306791800751788E-2</v>
      </c>
      <c r="V410" s="15">
        <f t="shared" si="134"/>
        <v>3.3999999999999995</v>
      </c>
      <c r="W410" s="15">
        <f t="shared" ca="1" si="135"/>
        <v>3.3254807725947515</v>
      </c>
      <c r="X410" s="15">
        <f t="shared" ca="1" si="136"/>
        <v>7.4519227405247968E-2</v>
      </c>
      <c r="Y410" s="35">
        <f t="shared" ca="1" si="137"/>
        <v>2.1917419825072934E-2</v>
      </c>
      <c r="Z410" s="36">
        <f t="shared" ca="1" si="138"/>
        <v>59.905768999999999</v>
      </c>
      <c r="AA410" s="18">
        <f t="shared" ca="1" si="139"/>
        <v>1.4707746710526395E-2</v>
      </c>
      <c r="AB410" s="2"/>
    </row>
    <row r="411" spans="6:28" x14ac:dyDescent="0.25">
      <c r="F411" s="14">
        <v>409</v>
      </c>
      <c r="G411" s="14">
        <f t="shared" si="120"/>
        <v>60.900000000000006</v>
      </c>
      <c r="H411" s="14">
        <f t="shared" si="121"/>
        <v>334.04999999999995</v>
      </c>
      <c r="I411" s="15">
        <f t="shared" si="122"/>
        <v>3.4083329999999998</v>
      </c>
      <c r="J411" s="15">
        <f t="shared" si="123"/>
        <v>2410.7442970000002</v>
      </c>
      <c r="K411" s="15">
        <f t="shared" si="124"/>
        <v>1.4307442970000004</v>
      </c>
      <c r="L411" s="15">
        <f t="shared" si="125"/>
        <v>1279.153515</v>
      </c>
      <c r="M411" s="15">
        <v>1271.54</v>
      </c>
      <c r="N411" s="14">
        <f t="shared" si="126"/>
        <v>1.2791535149999997</v>
      </c>
      <c r="O411" s="14">
        <f t="shared" si="127"/>
        <v>1.2953899999999998</v>
      </c>
      <c r="P411" s="14">
        <f t="shared" si="128"/>
        <v>1.6236485000000078E-2</v>
      </c>
      <c r="Q411" s="18">
        <f t="shared" si="129"/>
        <v>1.2534051521163573E-2</v>
      </c>
      <c r="R411" s="15">
        <f t="shared" ca="1" si="130"/>
        <v>4.6657852274052489</v>
      </c>
      <c r="S411" s="15">
        <f t="shared" si="131"/>
        <v>4.7776211827956985</v>
      </c>
      <c r="T411" s="15">
        <f t="shared" ca="1" si="132"/>
        <v>0.11183595539044955</v>
      </c>
      <c r="U411" s="18">
        <f t="shared" ca="1" si="133"/>
        <v>2.3408292769877378E-2</v>
      </c>
      <c r="V411" s="15">
        <f t="shared" si="134"/>
        <v>3.4083333333333332</v>
      </c>
      <c r="W411" s="15">
        <f t="shared" ca="1" si="135"/>
        <v>3.3342147725947511</v>
      </c>
      <c r="X411" s="15">
        <f t="shared" ca="1" si="136"/>
        <v>7.411856073858214E-2</v>
      </c>
      <c r="Y411" s="35">
        <f t="shared" ca="1" si="137"/>
        <v>2.1746276989315055E-2</v>
      </c>
      <c r="Z411" s="36">
        <f t="shared" ca="1" si="138"/>
        <v>60.010576999999998</v>
      </c>
      <c r="AA411" s="18">
        <f t="shared" ca="1" si="139"/>
        <v>1.4604646962233297E-2</v>
      </c>
      <c r="AB411" s="2"/>
    </row>
    <row r="412" spans="6:28" x14ac:dyDescent="0.25">
      <c r="F412" s="14">
        <v>410</v>
      </c>
      <c r="G412" s="14">
        <f t="shared" si="120"/>
        <v>61</v>
      </c>
      <c r="H412" s="14">
        <f t="shared" si="121"/>
        <v>334.15</v>
      </c>
      <c r="I412" s="15">
        <f t="shared" si="122"/>
        <v>3.4166669999999999</v>
      </c>
      <c r="J412" s="15">
        <f t="shared" si="123"/>
        <v>2402.1183590000001</v>
      </c>
      <c r="K412" s="15">
        <f t="shared" si="124"/>
        <v>1.4221183590000002</v>
      </c>
      <c r="L412" s="15">
        <f t="shared" si="125"/>
        <v>1276.7607290000001</v>
      </c>
      <c r="M412" s="15">
        <v>1268.74</v>
      </c>
      <c r="N412" s="14">
        <f t="shared" si="126"/>
        <v>1.276760729</v>
      </c>
      <c r="O412" s="14">
        <f t="shared" si="127"/>
        <v>1.2930999999999999</v>
      </c>
      <c r="P412" s="14">
        <f t="shared" si="128"/>
        <v>1.6339270999999878E-2</v>
      </c>
      <c r="Q412" s="18">
        <f t="shared" si="129"/>
        <v>1.2635736601964178E-2</v>
      </c>
      <c r="R412" s="15">
        <f t="shared" ca="1" si="130"/>
        <v>4.6574641370262384</v>
      </c>
      <c r="S412" s="15">
        <f t="shared" si="131"/>
        <v>4.7691752688172038</v>
      </c>
      <c r="T412" s="15">
        <f t="shared" ca="1" si="132"/>
        <v>0.11171113179096537</v>
      </c>
      <c r="U412" s="18">
        <f t="shared" ca="1" si="133"/>
        <v>2.3423574411571307E-2</v>
      </c>
      <c r="V412" s="15">
        <f t="shared" si="134"/>
        <v>3.416666666666667</v>
      </c>
      <c r="W412" s="15">
        <f t="shared" ca="1" si="135"/>
        <v>3.3425358629737616</v>
      </c>
      <c r="X412" s="15">
        <f t="shared" ca="1" si="136"/>
        <v>7.4130803692905367E-2</v>
      </c>
      <c r="Y412" s="35">
        <f t="shared" ca="1" si="137"/>
        <v>2.1696820593045472E-2</v>
      </c>
      <c r="Z412" s="36">
        <f t="shared" ca="1" si="138"/>
        <v>60.110430000000001</v>
      </c>
      <c r="AA412" s="18">
        <f t="shared" ca="1" si="139"/>
        <v>1.4583114754098346E-2</v>
      </c>
      <c r="AB412" s="2"/>
    </row>
    <row r="413" spans="6:28" x14ac:dyDescent="0.25">
      <c r="F413" s="14">
        <v>411</v>
      </c>
      <c r="G413" s="14">
        <f t="shared" si="120"/>
        <v>61.1</v>
      </c>
      <c r="H413" s="14">
        <f t="shared" si="121"/>
        <v>334.25</v>
      </c>
      <c r="I413" s="15">
        <f t="shared" si="122"/>
        <v>3.4249999999999998</v>
      </c>
      <c r="J413" s="15">
        <f t="shared" si="123"/>
        <v>2393.5278480000002</v>
      </c>
      <c r="K413" s="15">
        <f t="shared" si="124"/>
        <v>1.4135278480000002</v>
      </c>
      <c r="L413" s="15">
        <f t="shared" si="125"/>
        <v>1274.369747</v>
      </c>
      <c r="M413" s="15">
        <v>1266.54</v>
      </c>
      <c r="N413" s="14">
        <f t="shared" si="126"/>
        <v>1.2743697469999999</v>
      </c>
      <c r="O413" s="14">
        <f t="shared" si="127"/>
        <v>1.2908099999999998</v>
      </c>
      <c r="P413" s="14">
        <f t="shared" si="128"/>
        <v>1.6440252999999849E-2</v>
      </c>
      <c r="Q413" s="18">
        <f t="shared" si="129"/>
        <v>1.2736384905601795E-2</v>
      </c>
      <c r="R413" s="15">
        <f t="shared" ca="1" si="130"/>
        <v>4.6475654985422743</v>
      </c>
      <c r="S413" s="15">
        <f t="shared" si="131"/>
        <v>4.7607293548387091</v>
      </c>
      <c r="T413" s="15">
        <f t="shared" ca="1" si="132"/>
        <v>0.11316385629643477</v>
      </c>
      <c r="U413" s="18">
        <f t="shared" ca="1" si="133"/>
        <v>2.3770277170118339E-2</v>
      </c>
      <c r="V413" s="15">
        <f t="shared" si="134"/>
        <v>3.4249999999999998</v>
      </c>
      <c r="W413" s="15">
        <f t="shared" ca="1" si="135"/>
        <v>3.3524345014577257</v>
      </c>
      <c r="X413" s="15">
        <f t="shared" ca="1" si="136"/>
        <v>7.2565498542274121E-2</v>
      </c>
      <c r="Y413" s="35">
        <f t="shared" ca="1" si="137"/>
        <v>2.118700687365668E-2</v>
      </c>
      <c r="Z413" s="36">
        <f t="shared" ca="1" si="138"/>
        <v>60.229213999999999</v>
      </c>
      <c r="AA413" s="18">
        <f t="shared" ca="1" si="139"/>
        <v>1.4251816693944394E-2</v>
      </c>
      <c r="AB413" s="2"/>
    </row>
    <row r="414" spans="6:28" x14ac:dyDescent="0.25">
      <c r="F414" s="14">
        <v>412</v>
      </c>
      <c r="G414" s="14">
        <f t="shared" si="120"/>
        <v>61.2</v>
      </c>
      <c r="H414" s="14">
        <f t="shared" si="121"/>
        <v>334.34999999999997</v>
      </c>
      <c r="I414" s="15">
        <f t="shared" si="122"/>
        <v>3.4333330000000002</v>
      </c>
      <c r="J414" s="15">
        <f t="shared" si="123"/>
        <v>2384.9726009999999</v>
      </c>
      <c r="K414" s="15">
        <f t="shared" si="124"/>
        <v>1.4049726009999999</v>
      </c>
      <c r="L414" s="15">
        <f t="shared" si="125"/>
        <v>1271.980583</v>
      </c>
      <c r="M414" s="15">
        <v>1264.03</v>
      </c>
      <c r="N414" s="14">
        <f t="shared" si="126"/>
        <v>1.2719805830000002</v>
      </c>
      <c r="O414" s="14">
        <f t="shared" si="127"/>
        <v>1.2885199999999999</v>
      </c>
      <c r="P414" s="14">
        <f t="shared" si="128"/>
        <v>1.6539416999999723E-2</v>
      </c>
      <c r="Q414" s="18">
        <f t="shared" si="129"/>
        <v>1.2835980039114429E-2</v>
      </c>
      <c r="R414" s="15">
        <f t="shared" ca="1" si="130"/>
        <v>4.6392466355685125</v>
      </c>
      <c r="S414" s="15">
        <f t="shared" si="131"/>
        <v>4.7522834408602144</v>
      </c>
      <c r="T414" s="15">
        <f t="shared" ca="1" si="132"/>
        <v>0.1130368052917019</v>
      </c>
      <c r="U414" s="18">
        <f t="shared" ca="1" si="133"/>
        <v>2.3785787758324666E-2</v>
      </c>
      <c r="V414" s="15">
        <f t="shared" si="134"/>
        <v>3.4333333333333336</v>
      </c>
      <c r="W414" s="15">
        <f t="shared" ca="1" si="135"/>
        <v>3.3607533644314875</v>
      </c>
      <c r="X414" s="15">
        <f t="shared" ca="1" si="136"/>
        <v>7.2579968901846037E-2</v>
      </c>
      <c r="Y414" s="35">
        <f t="shared" ca="1" si="137"/>
        <v>2.1139796767527971E-2</v>
      </c>
      <c r="Z414" s="36">
        <f t="shared" ca="1" si="138"/>
        <v>60.329039999999999</v>
      </c>
      <c r="AA414" s="18">
        <f t="shared" ca="1" si="139"/>
        <v>1.4231372549019667E-2</v>
      </c>
      <c r="AB414" s="2"/>
    </row>
    <row r="415" spans="6:28" x14ac:dyDescent="0.25">
      <c r="F415" s="14">
        <v>413</v>
      </c>
      <c r="G415" s="14">
        <f t="shared" si="120"/>
        <v>61.300000000000004</v>
      </c>
      <c r="H415" s="14">
        <f t="shared" si="121"/>
        <v>334.45</v>
      </c>
      <c r="I415" s="15">
        <f t="shared" si="122"/>
        <v>3.4416669999999998</v>
      </c>
      <c r="J415" s="15">
        <f t="shared" si="123"/>
        <v>2376.4524569999999</v>
      </c>
      <c r="K415" s="15">
        <f t="shared" si="124"/>
        <v>1.3964524570000001</v>
      </c>
      <c r="L415" s="15">
        <f t="shared" si="125"/>
        <v>1269.593249</v>
      </c>
      <c r="M415" s="15">
        <v>1261.52</v>
      </c>
      <c r="N415" s="14">
        <f t="shared" si="126"/>
        <v>1.2695932490000001</v>
      </c>
      <c r="O415" s="14">
        <f t="shared" si="127"/>
        <v>1.2862299999999998</v>
      </c>
      <c r="P415" s="14">
        <f t="shared" si="128"/>
        <v>1.6636750999999617E-2</v>
      </c>
      <c r="Q415" s="18">
        <f t="shared" si="129"/>
        <v>1.2934507047728338E-2</v>
      </c>
      <c r="R415" s="15">
        <f t="shared" ca="1" si="130"/>
        <v>4.6317055014577262</v>
      </c>
      <c r="S415" s="15">
        <f t="shared" si="131"/>
        <v>4.7438375268817197</v>
      </c>
      <c r="T415" s="15">
        <f t="shared" ca="1" si="132"/>
        <v>0.11213202542399348</v>
      </c>
      <c r="U415" s="18">
        <f t="shared" ca="1" si="133"/>
        <v>2.3637408488081494E-2</v>
      </c>
      <c r="V415" s="15">
        <f t="shared" si="134"/>
        <v>3.4416666666666664</v>
      </c>
      <c r="W415" s="15">
        <f t="shared" ca="1" si="135"/>
        <v>3.3682944985422738</v>
      </c>
      <c r="X415" s="15">
        <f t="shared" ca="1" si="136"/>
        <v>7.3372168124392623E-2</v>
      </c>
      <c r="Y415" s="35">
        <f t="shared" ca="1" si="137"/>
        <v>2.1318789769799312E-2</v>
      </c>
      <c r="Z415" s="36">
        <f t="shared" ca="1" si="138"/>
        <v>60.419533999999999</v>
      </c>
      <c r="AA415" s="18">
        <f t="shared" ca="1" si="139"/>
        <v>1.4363230016313303E-2</v>
      </c>
      <c r="AB415" s="2"/>
    </row>
    <row r="416" spans="6:28" x14ac:dyDescent="0.25">
      <c r="F416" s="14">
        <v>414</v>
      </c>
      <c r="G416" s="14">
        <f t="shared" si="120"/>
        <v>61.400000000000006</v>
      </c>
      <c r="H416" s="14">
        <f t="shared" si="121"/>
        <v>334.54999999999995</v>
      </c>
      <c r="I416" s="15">
        <f t="shared" si="122"/>
        <v>3.45</v>
      </c>
      <c r="J416" s="15">
        <f t="shared" si="123"/>
        <v>2367.9672529999998</v>
      </c>
      <c r="K416" s="15">
        <f t="shared" si="124"/>
        <v>1.3879672529999998</v>
      </c>
      <c r="L416" s="15">
        <f t="shared" si="125"/>
        <v>1267.20776</v>
      </c>
      <c r="M416" s="15">
        <v>1259.3</v>
      </c>
      <c r="N416" s="14">
        <f t="shared" si="126"/>
        <v>1.26720776</v>
      </c>
      <c r="O416" s="14">
        <f t="shared" si="127"/>
        <v>1.2839399999999999</v>
      </c>
      <c r="P416" s="14">
        <f t="shared" si="128"/>
        <v>1.6732239999999843E-2</v>
      </c>
      <c r="Q416" s="18">
        <f t="shared" si="129"/>
        <v>1.3031948533420443E-2</v>
      </c>
      <c r="R416" s="15">
        <f t="shared" ca="1" si="130"/>
        <v>4.6222122274052486</v>
      </c>
      <c r="S416" s="15">
        <f t="shared" si="131"/>
        <v>4.735391612903225</v>
      </c>
      <c r="T416" s="15">
        <f t="shared" ca="1" si="132"/>
        <v>0.11317938549797635</v>
      </c>
      <c r="U416" s="18">
        <f t="shared" ca="1" si="133"/>
        <v>2.3900744595141753E-2</v>
      </c>
      <c r="V416" s="15">
        <f t="shared" si="134"/>
        <v>3.45</v>
      </c>
      <c r="W416" s="15">
        <f t="shared" ca="1" si="135"/>
        <v>3.3777877725947514</v>
      </c>
      <c r="X416" s="15">
        <f t="shared" ca="1" si="136"/>
        <v>7.2212227405248797E-2</v>
      </c>
      <c r="Y416" s="35">
        <f t="shared" ca="1" si="137"/>
        <v>2.0931080407318489E-2</v>
      </c>
      <c r="Z416" s="36">
        <f t="shared" ca="1" si="138"/>
        <v>60.533453000000002</v>
      </c>
      <c r="AA416" s="18">
        <f t="shared" ca="1" si="139"/>
        <v>1.4113143322475636E-2</v>
      </c>
      <c r="AB416" s="2"/>
    </row>
    <row r="417" spans="6:28" x14ac:dyDescent="0.25">
      <c r="F417" s="14">
        <v>415</v>
      </c>
      <c r="G417" s="14">
        <f t="shared" si="120"/>
        <v>61.5</v>
      </c>
      <c r="H417" s="14">
        <f t="shared" si="121"/>
        <v>334.65</v>
      </c>
      <c r="I417" s="15">
        <f t="shared" si="122"/>
        <v>3.4583330000000001</v>
      </c>
      <c r="J417" s="15">
        <f t="shared" si="123"/>
        <v>2359.5168290000001</v>
      </c>
      <c r="K417" s="15">
        <f t="shared" si="124"/>
        <v>1.3795168290000004</v>
      </c>
      <c r="L417" s="15">
        <f t="shared" si="125"/>
        <v>1264.8241270000001</v>
      </c>
      <c r="M417" s="15">
        <v>1256.79</v>
      </c>
      <c r="N417" s="14">
        <f t="shared" si="126"/>
        <v>1.264824127</v>
      </c>
      <c r="O417" s="14">
        <f t="shared" si="127"/>
        <v>1.28165</v>
      </c>
      <c r="P417" s="14">
        <f t="shared" si="128"/>
        <v>1.6825872999999936E-2</v>
      </c>
      <c r="Q417" s="18">
        <f t="shared" si="129"/>
        <v>1.3128290094799622E-2</v>
      </c>
      <c r="R417" s="15">
        <f t="shared" ca="1" si="130"/>
        <v>4.6135182274052484</v>
      </c>
      <c r="S417" s="15">
        <f t="shared" si="131"/>
        <v>4.7269456989247312</v>
      </c>
      <c r="T417" s="15">
        <f t="shared" ca="1" si="132"/>
        <v>0.11342747151948274</v>
      </c>
      <c r="U417" s="18">
        <f t="shared" ca="1" si="133"/>
        <v>2.399593283783328E-2</v>
      </c>
      <c r="V417" s="15">
        <f t="shared" si="134"/>
        <v>3.458333333333333</v>
      </c>
      <c r="W417" s="15">
        <f t="shared" ca="1" si="135"/>
        <v>3.3864817725947516</v>
      </c>
      <c r="X417" s="15">
        <f t="shared" ca="1" si="136"/>
        <v>7.1851560738581455E-2</v>
      </c>
      <c r="Y417" s="35">
        <f t="shared" ca="1" si="137"/>
        <v>2.0776354912360906E-2</v>
      </c>
      <c r="Z417" s="36">
        <f t="shared" ca="1" si="138"/>
        <v>60.637780999999997</v>
      </c>
      <c r="AA417" s="18">
        <f t="shared" ca="1" si="139"/>
        <v>1.4019821138211434E-2</v>
      </c>
      <c r="AB417" s="2"/>
    </row>
    <row r="418" spans="6:28" x14ac:dyDescent="0.25">
      <c r="F418" s="14">
        <v>416</v>
      </c>
      <c r="G418" s="14">
        <f t="shared" si="120"/>
        <v>61.6</v>
      </c>
      <c r="H418" s="14">
        <f t="shared" si="121"/>
        <v>334.75</v>
      </c>
      <c r="I418" s="15">
        <f t="shared" si="122"/>
        <v>3.4666670000000002</v>
      </c>
      <c r="J418" s="15">
        <f t="shared" si="123"/>
        <v>2351.1010259999998</v>
      </c>
      <c r="K418" s="15">
        <f t="shared" si="124"/>
        <v>1.3711010259999998</v>
      </c>
      <c r="L418" s="15">
        <f t="shared" si="125"/>
        <v>1262.4423650000001</v>
      </c>
      <c r="M418" s="15">
        <v>1254.56</v>
      </c>
      <c r="N418" s="14">
        <f t="shared" si="126"/>
        <v>1.2624423650000003</v>
      </c>
      <c r="O418" s="14">
        <f t="shared" si="127"/>
        <v>1.2793599999999998</v>
      </c>
      <c r="P418" s="14">
        <f t="shared" si="128"/>
        <v>1.6917634999999542E-2</v>
      </c>
      <c r="Q418" s="18">
        <f t="shared" si="129"/>
        <v>1.3223514100800044E-2</v>
      </c>
      <c r="R418" s="15">
        <f t="shared" ca="1" si="130"/>
        <v>4.6048410000000004</v>
      </c>
      <c r="S418" s="15">
        <f t="shared" si="131"/>
        <v>4.7184997849462356</v>
      </c>
      <c r="T418" s="15">
        <f t="shared" ca="1" si="132"/>
        <v>0.11365878494623516</v>
      </c>
      <c r="U418" s="18">
        <f t="shared" ca="1" si="133"/>
        <v>2.40879072006846E-2</v>
      </c>
      <c r="V418" s="15">
        <f t="shared" si="134"/>
        <v>3.4666666666666668</v>
      </c>
      <c r="W418" s="15">
        <f t="shared" ca="1" si="135"/>
        <v>3.3951589999999996</v>
      </c>
      <c r="X418" s="15">
        <f t="shared" ca="1" si="136"/>
        <v>7.1507666666667191E-2</v>
      </c>
      <c r="Y418" s="35">
        <f t="shared" ca="1" si="137"/>
        <v>2.0627211538461688E-2</v>
      </c>
      <c r="Z418" s="36">
        <f t="shared" ca="1" si="138"/>
        <v>60.741908000000002</v>
      </c>
      <c r="AA418" s="18">
        <f t="shared" ca="1" si="139"/>
        <v>1.3930064935064922E-2</v>
      </c>
      <c r="AB418" s="2"/>
    </row>
    <row r="419" spans="6:28" x14ac:dyDescent="0.25">
      <c r="F419" s="14">
        <v>417</v>
      </c>
      <c r="G419" s="14">
        <f t="shared" si="120"/>
        <v>61.7</v>
      </c>
      <c r="H419" s="14">
        <f t="shared" si="121"/>
        <v>334.84999999999997</v>
      </c>
      <c r="I419" s="15">
        <f t="shared" si="122"/>
        <v>3.4750000000000001</v>
      </c>
      <c r="J419" s="15">
        <f t="shared" si="123"/>
        <v>2342.719685</v>
      </c>
      <c r="K419" s="15">
        <f t="shared" si="124"/>
        <v>1.3627196850000001</v>
      </c>
      <c r="L419" s="15">
        <f t="shared" si="125"/>
        <v>1260.0624849999999</v>
      </c>
      <c r="M419" s="15">
        <v>1252.04</v>
      </c>
      <c r="N419" s="14">
        <f t="shared" si="126"/>
        <v>1.2600624850000002</v>
      </c>
      <c r="O419" s="14">
        <f t="shared" si="127"/>
        <v>1.2770699999999999</v>
      </c>
      <c r="P419" s="14">
        <f t="shared" si="128"/>
        <v>1.7007514999999751E-2</v>
      </c>
      <c r="Q419" s="18">
        <f t="shared" si="129"/>
        <v>1.331760592606494E-2</v>
      </c>
      <c r="R419" s="15">
        <f t="shared" ca="1" si="130"/>
        <v>4.5961492274052489</v>
      </c>
      <c r="S419" s="15">
        <f t="shared" si="131"/>
        <v>4.7100538709677418</v>
      </c>
      <c r="T419" s="15">
        <f t="shared" ca="1" si="132"/>
        <v>0.11390464356249286</v>
      </c>
      <c r="U419" s="18">
        <f t="shared" ca="1" si="133"/>
        <v>2.418329952966964E-2</v>
      </c>
      <c r="V419" s="15">
        <f t="shared" si="134"/>
        <v>3.4749999999999996</v>
      </c>
      <c r="W419" s="15">
        <f t="shared" ca="1" si="135"/>
        <v>3.4038507725947511</v>
      </c>
      <c r="X419" s="15">
        <f t="shared" ca="1" si="136"/>
        <v>7.1149227405248539E-2</v>
      </c>
      <c r="Y419" s="35">
        <f t="shared" ca="1" si="137"/>
        <v>2.0474597814460014E-2</v>
      </c>
      <c r="Z419" s="36">
        <f t="shared" ca="1" si="138"/>
        <v>60.846209000000002</v>
      </c>
      <c r="AA419" s="18">
        <f t="shared" ca="1" si="139"/>
        <v>1.3837779578606175E-2</v>
      </c>
      <c r="AB419" s="2"/>
    </row>
    <row r="420" spans="6:28" x14ac:dyDescent="0.25">
      <c r="F420" s="14">
        <v>418</v>
      </c>
      <c r="G420" s="14">
        <f t="shared" si="120"/>
        <v>61.800000000000004</v>
      </c>
      <c r="H420" s="14">
        <f t="shared" si="121"/>
        <v>334.95</v>
      </c>
      <c r="I420" s="15">
        <f t="shared" si="122"/>
        <v>3.483333</v>
      </c>
      <c r="J420" s="15">
        <f t="shared" si="123"/>
        <v>2334.372648</v>
      </c>
      <c r="K420" s="15">
        <f t="shared" si="124"/>
        <v>1.354372648</v>
      </c>
      <c r="L420" s="15">
        <f t="shared" si="125"/>
        <v>1257.6845029999999</v>
      </c>
      <c r="M420" s="15">
        <v>1249.8</v>
      </c>
      <c r="N420" s="14">
        <f t="shared" si="126"/>
        <v>1.2576845030000001</v>
      </c>
      <c r="O420" s="14">
        <f t="shared" si="127"/>
        <v>1.2747799999999998</v>
      </c>
      <c r="P420" s="14">
        <f t="shared" si="128"/>
        <v>1.7095496999999682E-2</v>
      </c>
      <c r="Q420" s="18">
        <f t="shared" si="129"/>
        <v>1.3410546917899311E-2</v>
      </c>
      <c r="R420" s="15">
        <f t="shared" ca="1" si="130"/>
        <v>4.5870898629737615</v>
      </c>
      <c r="S420" s="15">
        <f t="shared" si="131"/>
        <v>4.7016079569892462</v>
      </c>
      <c r="T420" s="15">
        <f t="shared" ca="1" si="132"/>
        <v>0.11451809401548463</v>
      </c>
      <c r="U420" s="18">
        <f t="shared" ca="1" si="133"/>
        <v>2.4357218862803315E-2</v>
      </c>
      <c r="V420" s="15">
        <f t="shared" si="134"/>
        <v>3.4833333333333343</v>
      </c>
      <c r="W420" s="15">
        <f t="shared" ca="1" si="135"/>
        <v>3.4129101370262385</v>
      </c>
      <c r="X420" s="15">
        <f t="shared" ca="1" si="136"/>
        <v>7.0423196307095814E-2</v>
      </c>
      <c r="Y420" s="35">
        <f t="shared" ca="1" si="137"/>
        <v>2.0217185542706927E-2</v>
      </c>
      <c r="Z420" s="36">
        <f t="shared" ca="1" si="138"/>
        <v>60.954922000000003</v>
      </c>
      <c r="AA420" s="18">
        <f t="shared" ca="1" si="139"/>
        <v>1.3674401294498395E-2</v>
      </c>
      <c r="AB420" s="2"/>
    </row>
    <row r="421" spans="6:28" x14ac:dyDescent="0.25">
      <c r="F421" s="14">
        <v>419</v>
      </c>
      <c r="G421" s="14">
        <f t="shared" si="120"/>
        <v>61.900000000000006</v>
      </c>
      <c r="H421" s="14">
        <f t="shared" si="121"/>
        <v>335.04999999999995</v>
      </c>
      <c r="I421" s="15">
        <f t="shared" si="122"/>
        <v>3.4916670000000001</v>
      </c>
      <c r="J421" s="15">
        <f t="shared" si="123"/>
        <v>2326.059757</v>
      </c>
      <c r="K421" s="15">
        <f t="shared" si="124"/>
        <v>1.3460597569999999</v>
      </c>
      <c r="L421" s="15">
        <f t="shared" si="125"/>
        <v>1255.3084289999999</v>
      </c>
      <c r="M421" s="15">
        <v>1247.27</v>
      </c>
      <c r="N421" s="14">
        <f t="shared" si="126"/>
        <v>1.2553084290000001</v>
      </c>
      <c r="O421" s="14">
        <f t="shared" si="127"/>
        <v>1.2724899999999999</v>
      </c>
      <c r="P421" s="14">
        <f t="shared" si="128"/>
        <v>1.718157099999984E-2</v>
      </c>
      <c r="Q421" s="18">
        <f t="shared" si="129"/>
        <v>1.3502323004502858E-2</v>
      </c>
      <c r="R421" s="15">
        <f t="shared" ca="1" si="130"/>
        <v>4.5788297725947515</v>
      </c>
      <c r="S421" s="15">
        <f t="shared" si="131"/>
        <v>4.6931620430107523</v>
      </c>
      <c r="T421" s="15">
        <f t="shared" ca="1" si="132"/>
        <v>0.1143322704160008</v>
      </c>
      <c r="U421" s="18">
        <f t="shared" ca="1" si="133"/>
        <v>2.4361458089065785E-2</v>
      </c>
      <c r="V421" s="15">
        <f t="shared" si="134"/>
        <v>3.4916666666666663</v>
      </c>
      <c r="W421" s="15">
        <f t="shared" ca="1" si="135"/>
        <v>3.4211702274052485</v>
      </c>
      <c r="X421" s="15">
        <f t="shared" ca="1" si="136"/>
        <v>7.0496439261417798E-2</v>
      </c>
      <c r="Y421" s="35">
        <f t="shared" ca="1" si="137"/>
        <v>2.018991100565665E-2</v>
      </c>
      <c r="Z421" s="36">
        <f t="shared" ca="1" si="138"/>
        <v>61.054043</v>
      </c>
      <c r="AA421" s="18">
        <f t="shared" ca="1" si="139"/>
        <v>1.3666510500807845E-2</v>
      </c>
      <c r="AB421" s="2"/>
    </row>
    <row r="422" spans="6:28" x14ac:dyDescent="0.25">
      <c r="F422" s="14">
        <v>420</v>
      </c>
      <c r="G422" s="14">
        <f t="shared" si="120"/>
        <v>62</v>
      </c>
      <c r="H422" s="14">
        <f t="shared" si="121"/>
        <v>335.15</v>
      </c>
      <c r="I422" s="15">
        <f t="shared" si="122"/>
        <v>3.5</v>
      </c>
      <c r="J422" s="15">
        <f t="shared" si="123"/>
        <v>2317.7808559999999</v>
      </c>
      <c r="K422" s="15">
        <f t="shared" si="124"/>
        <v>1.3377808559999997</v>
      </c>
      <c r="L422" s="15">
        <f t="shared" si="125"/>
        <v>1252.934276</v>
      </c>
      <c r="M422" s="15">
        <v>1245.03</v>
      </c>
      <c r="N422" s="14">
        <f t="shared" si="126"/>
        <v>1.252934276</v>
      </c>
      <c r="O422" s="14">
        <f t="shared" si="127"/>
        <v>1.2702</v>
      </c>
      <c r="P422" s="14">
        <f t="shared" si="128"/>
        <v>1.7265724000000038E-2</v>
      </c>
      <c r="Q422" s="18">
        <f t="shared" si="129"/>
        <v>1.3592917650763689E-2</v>
      </c>
      <c r="R422" s="15">
        <f t="shared" ca="1" si="130"/>
        <v>4.5701492274052482</v>
      </c>
      <c r="S422" s="15">
        <f t="shared" si="131"/>
        <v>4.6847161290322576</v>
      </c>
      <c r="T422" s="15">
        <f t="shared" ca="1" si="132"/>
        <v>0.11456690162700944</v>
      </c>
      <c r="U422" s="18">
        <f t="shared" ca="1" si="133"/>
        <v>2.4455462929122245E-2</v>
      </c>
      <c r="V422" s="15">
        <f t="shared" si="134"/>
        <v>3.5</v>
      </c>
      <c r="W422" s="15">
        <f t="shared" ca="1" si="135"/>
        <v>3.4298507725947518</v>
      </c>
      <c r="X422" s="15">
        <f t="shared" ca="1" si="136"/>
        <v>7.0149227405248205E-2</v>
      </c>
      <c r="Y422" s="35">
        <f t="shared" ca="1" si="137"/>
        <v>2.0042636401499486E-2</v>
      </c>
      <c r="Z422" s="36">
        <f t="shared" ca="1" si="138"/>
        <v>61.158208999999999</v>
      </c>
      <c r="AA422" s="18">
        <f t="shared" ca="1" si="139"/>
        <v>1.3577274193548396E-2</v>
      </c>
      <c r="AB422" s="2"/>
    </row>
    <row r="423" spans="6:28" x14ac:dyDescent="0.25">
      <c r="F423" s="14">
        <v>421</v>
      </c>
      <c r="G423" s="14">
        <f t="shared" si="120"/>
        <v>62.1</v>
      </c>
      <c r="H423" s="14">
        <f t="shared" si="121"/>
        <v>335.25</v>
      </c>
      <c r="I423" s="15">
        <f t="shared" si="122"/>
        <v>3.5083329999999999</v>
      </c>
      <c r="J423" s="15">
        <f t="shared" si="123"/>
        <v>2309.5357899999999</v>
      </c>
      <c r="K423" s="15">
        <f t="shared" si="124"/>
        <v>1.32953579</v>
      </c>
      <c r="L423" s="15">
        <f t="shared" si="125"/>
        <v>1250.5620590000001</v>
      </c>
      <c r="M423" s="15">
        <v>1242.49</v>
      </c>
      <c r="N423" s="14">
        <f t="shared" si="126"/>
        <v>1.2505620590000002</v>
      </c>
      <c r="O423" s="14">
        <f t="shared" si="127"/>
        <v>1.2679099999999999</v>
      </c>
      <c r="P423" s="14">
        <f t="shared" si="128"/>
        <v>1.73479409999997E-2</v>
      </c>
      <c r="Q423" s="18">
        <f t="shared" si="129"/>
        <v>1.3682312624712875E-2</v>
      </c>
      <c r="R423" s="15">
        <f t="shared" ca="1" si="130"/>
        <v>4.5607254985422738</v>
      </c>
      <c r="S423" s="15">
        <f t="shared" si="131"/>
        <v>4.6762702150537629</v>
      </c>
      <c r="T423" s="15">
        <f t="shared" ca="1" si="132"/>
        <v>0.11554471651148912</v>
      </c>
      <c r="U423" s="18">
        <f t="shared" ca="1" si="133"/>
        <v>2.4708733926352179E-2</v>
      </c>
      <c r="V423" s="15">
        <f t="shared" si="134"/>
        <v>3.5083333333333329</v>
      </c>
      <c r="W423" s="15">
        <f t="shared" ca="1" si="135"/>
        <v>3.4392745014577262</v>
      </c>
      <c r="X423" s="15">
        <f t="shared" ca="1" si="136"/>
        <v>6.9058831875606685E-2</v>
      </c>
      <c r="Y423" s="35">
        <f t="shared" ca="1" si="137"/>
        <v>1.9684227612999532E-2</v>
      </c>
      <c r="Z423" s="36">
        <f t="shared" ca="1" si="138"/>
        <v>61.271293999999997</v>
      </c>
      <c r="AA423" s="18">
        <f t="shared" ca="1" si="139"/>
        <v>1.3344702093397809E-2</v>
      </c>
      <c r="AB423" s="2"/>
    </row>
    <row r="424" spans="6:28" x14ac:dyDescent="0.25">
      <c r="F424" s="14">
        <v>422</v>
      </c>
      <c r="G424" s="14">
        <f t="shared" si="120"/>
        <v>62.2</v>
      </c>
      <c r="H424" s="14">
        <f t="shared" si="121"/>
        <v>335.34999999999997</v>
      </c>
      <c r="I424" s="15">
        <f t="shared" si="122"/>
        <v>3.516667</v>
      </c>
      <c r="J424" s="15">
        <f t="shared" si="123"/>
        <v>2301.324404</v>
      </c>
      <c r="K424" s="15">
        <f t="shared" si="124"/>
        <v>1.3213244039999998</v>
      </c>
      <c r="L424" s="15">
        <f t="shared" si="125"/>
        <v>1248.191789</v>
      </c>
      <c r="M424" s="15">
        <v>1240.24</v>
      </c>
      <c r="N424" s="14">
        <f t="shared" si="126"/>
        <v>1.2481917889999998</v>
      </c>
      <c r="O424" s="14">
        <f t="shared" si="127"/>
        <v>1.26562</v>
      </c>
      <c r="P424" s="14">
        <f t="shared" si="128"/>
        <v>1.7428211000000138E-2</v>
      </c>
      <c r="Q424" s="18">
        <f t="shared" si="129"/>
        <v>1.3770492722934324E-2</v>
      </c>
      <c r="R424" s="15">
        <f t="shared" ca="1" si="130"/>
        <v>4.5520794985422741</v>
      </c>
      <c r="S424" s="15">
        <f t="shared" si="131"/>
        <v>4.6678243010752682</v>
      </c>
      <c r="T424" s="15">
        <f t="shared" ca="1" si="132"/>
        <v>0.11574480253299413</v>
      </c>
      <c r="U424" s="18">
        <f t="shared" ca="1" si="133"/>
        <v>2.4796306601842628E-2</v>
      </c>
      <c r="V424" s="15">
        <f t="shared" si="134"/>
        <v>3.5166666666666666</v>
      </c>
      <c r="W424" s="15">
        <f t="shared" ca="1" si="135"/>
        <v>3.4479205014577259</v>
      </c>
      <c r="X424" s="15">
        <f t="shared" ca="1" si="136"/>
        <v>6.8746165208940724E-2</v>
      </c>
      <c r="Y424" s="35">
        <f t="shared" ca="1" si="137"/>
        <v>1.9548672571262766E-2</v>
      </c>
      <c r="Z424" s="36">
        <f t="shared" ca="1" si="138"/>
        <v>61.375045999999998</v>
      </c>
      <c r="AA424" s="18">
        <f t="shared" ca="1" si="139"/>
        <v>1.3262926045016162E-2</v>
      </c>
      <c r="AB424" s="2"/>
    </row>
    <row r="425" spans="6:28" x14ac:dyDescent="0.25">
      <c r="F425" s="14">
        <v>423</v>
      </c>
      <c r="G425" s="14">
        <f t="shared" si="120"/>
        <v>62.300000000000004</v>
      </c>
      <c r="H425" s="14">
        <f t="shared" si="121"/>
        <v>335.45</v>
      </c>
      <c r="I425" s="15">
        <f t="shared" si="122"/>
        <v>3.5249999999999999</v>
      </c>
      <c r="J425" s="15">
        <f t="shared" si="123"/>
        <v>2293.1465429999998</v>
      </c>
      <c r="K425" s="15">
        <f t="shared" si="124"/>
        <v>1.3131465429999998</v>
      </c>
      <c r="L425" s="15">
        <f t="shared" si="125"/>
        <v>1245.8234789999999</v>
      </c>
      <c r="M425" s="15">
        <v>1237.7</v>
      </c>
      <c r="N425" s="14">
        <f t="shared" si="126"/>
        <v>1.2458234789999998</v>
      </c>
      <c r="O425" s="14">
        <f t="shared" si="127"/>
        <v>1.2633299999999998</v>
      </c>
      <c r="P425" s="14">
        <f t="shared" si="128"/>
        <v>1.7506521000000053E-2</v>
      </c>
      <c r="Q425" s="18">
        <f t="shared" si="129"/>
        <v>1.3857441048657163E-2</v>
      </c>
      <c r="R425" s="15">
        <f t="shared" ca="1" si="130"/>
        <v>4.5438258629737618</v>
      </c>
      <c r="S425" s="15">
        <f t="shared" si="131"/>
        <v>4.6593783870967735</v>
      </c>
      <c r="T425" s="15">
        <f t="shared" ca="1" si="132"/>
        <v>0.11555252412301176</v>
      </c>
      <c r="U425" s="18">
        <f t="shared" ca="1" si="133"/>
        <v>2.4799987149146677E-2</v>
      </c>
      <c r="V425" s="15">
        <f t="shared" si="134"/>
        <v>3.5250000000000004</v>
      </c>
      <c r="W425" s="15">
        <f t="shared" ca="1" si="135"/>
        <v>3.4561741370262382</v>
      </c>
      <c r="X425" s="15">
        <f t="shared" ca="1" si="136"/>
        <v>6.8825862973762142E-2</v>
      </c>
      <c r="Y425" s="35">
        <f t="shared" ca="1" si="137"/>
        <v>1.9525067510287132E-2</v>
      </c>
      <c r="Z425" s="36">
        <f t="shared" ca="1" si="138"/>
        <v>61.474089999999997</v>
      </c>
      <c r="AA425" s="18">
        <f t="shared" ca="1" si="139"/>
        <v>1.3256982343499316E-2</v>
      </c>
      <c r="AB425" s="2"/>
    </row>
    <row r="426" spans="6:28" x14ac:dyDescent="0.25">
      <c r="F426" s="14">
        <v>424</v>
      </c>
      <c r="G426" s="14">
        <f t="shared" si="120"/>
        <v>62.400000000000006</v>
      </c>
      <c r="H426" s="14">
        <f t="shared" si="121"/>
        <v>335.54999999999995</v>
      </c>
      <c r="I426" s="15">
        <f t="shared" si="122"/>
        <v>3.5333329999999998</v>
      </c>
      <c r="J426" s="15">
        <f t="shared" si="123"/>
        <v>2285.0020549999999</v>
      </c>
      <c r="K426" s="15">
        <f t="shared" si="124"/>
        <v>1.3050020550000001</v>
      </c>
      <c r="L426" s="15">
        <f t="shared" si="125"/>
        <v>1243.4571410000001</v>
      </c>
      <c r="M426" s="15">
        <v>1235.44</v>
      </c>
      <c r="N426" s="14">
        <f t="shared" si="126"/>
        <v>1.2434571410000002</v>
      </c>
      <c r="O426" s="14">
        <f t="shared" si="127"/>
        <v>1.2610399999999997</v>
      </c>
      <c r="P426" s="14">
        <f t="shared" si="128"/>
        <v>1.7582858999999562E-2</v>
      </c>
      <c r="Q426" s="18">
        <f t="shared" si="129"/>
        <v>1.3943141375372364E-2</v>
      </c>
      <c r="R426" s="15">
        <f t="shared" ca="1" si="130"/>
        <v>4.5359763644314874</v>
      </c>
      <c r="S426" s="15">
        <f t="shared" si="131"/>
        <v>4.650932473118278</v>
      </c>
      <c r="T426" s="15">
        <f t="shared" ca="1" si="132"/>
        <v>0.11495610868679051</v>
      </c>
      <c r="U426" s="18">
        <f t="shared" ca="1" si="133"/>
        <v>2.4716787300443584E-2</v>
      </c>
      <c r="V426" s="15">
        <f t="shared" si="134"/>
        <v>3.5333333333333341</v>
      </c>
      <c r="W426" s="15">
        <f t="shared" ca="1" si="135"/>
        <v>3.4640236355685126</v>
      </c>
      <c r="X426" s="15">
        <f t="shared" ca="1" si="136"/>
        <v>6.9309697764821543E-2</v>
      </c>
      <c r="Y426" s="35">
        <f t="shared" ca="1" si="137"/>
        <v>1.9615952197590998E-2</v>
      </c>
      <c r="Z426" s="36">
        <f t="shared" ca="1" si="138"/>
        <v>61.568283999999998</v>
      </c>
      <c r="AA426" s="18">
        <f t="shared" ca="1" si="139"/>
        <v>1.3328782051282165E-2</v>
      </c>
      <c r="AB426" s="2"/>
    </row>
    <row r="427" spans="6:28" x14ac:dyDescent="0.25">
      <c r="F427" s="14">
        <v>425</v>
      </c>
      <c r="G427" s="14">
        <f t="shared" si="120"/>
        <v>62.5</v>
      </c>
      <c r="H427" s="14">
        <f t="shared" si="121"/>
        <v>335.65</v>
      </c>
      <c r="I427" s="15">
        <f t="shared" si="122"/>
        <v>3.5416669999999999</v>
      </c>
      <c r="J427" s="15">
        <f t="shared" si="123"/>
        <v>2276.8907859999999</v>
      </c>
      <c r="K427" s="15">
        <f t="shared" si="124"/>
        <v>1.2968907860000001</v>
      </c>
      <c r="L427" s="15">
        <f t="shared" si="125"/>
        <v>1241.092789</v>
      </c>
      <c r="M427" s="15">
        <v>1233.03</v>
      </c>
      <c r="N427" s="14">
        <f t="shared" si="126"/>
        <v>1.2410927890000001</v>
      </c>
      <c r="O427" s="14">
        <f t="shared" si="127"/>
        <v>1.25875</v>
      </c>
      <c r="P427" s="14">
        <f t="shared" si="128"/>
        <v>1.765721099999995E-2</v>
      </c>
      <c r="Q427" s="18">
        <f t="shared" si="129"/>
        <v>1.4027575769612671E-2</v>
      </c>
      <c r="R427" s="15">
        <f t="shared" ca="1" si="130"/>
        <v>4.5265816355685127</v>
      </c>
      <c r="S427" s="15">
        <f t="shared" si="131"/>
        <v>4.642486559139785</v>
      </c>
      <c r="T427" s="15">
        <f t="shared" ca="1" si="132"/>
        <v>0.11590492357127236</v>
      </c>
      <c r="U427" s="18">
        <f t="shared" ca="1" si="133"/>
        <v>2.4966130131941319E-2</v>
      </c>
      <c r="V427" s="15">
        <f t="shared" si="134"/>
        <v>3.5416666666666661</v>
      </c>
      <c r="W427" s="15">
        <f t="shared" ca="1" si="135"/>
        <v>3.4734183644314873</v>
      </c>
      <c r="X427" s="15">
        <f t="shared" ca="1" si="136"/>
        <v>6.8248302235178748E-2</v>
      </c>
      <c r="Y427" s="35">
        <f t="shared" ca="1" si="137"/>
        <v>1.9270108866403415E-2</v>
      </c>
      <c r="Z427" s="36">
        <f t="shared" ca="1" si="138"/>
        <v>61.681019999999997</v>
      </c>
      <c r="AA427" s="18">
        <f t="shared" ca="1" si="139"/>
        <v>1.3103680000000053E-2</v>
      </c>
      <c r="AB427" s="2"/>
    </row>
    <row r="428" spans="6:28" x14ac:dyDescent="0.25">
      <c r="F428" s="14">
        <v>426</v>
      </c>
      <c r="G428" s="14">
        <f t="shared" si="120"/>
        <v>62.6</v>
      </c>
      <c r="H428" s="14">
        <f t="shared" si="121"/>
        <v>335.75</v>
      </c>
      <c r="I428" s="15">
        <f t="shared" si="122"/>
        <v>3.55</v>
      </c>
      <c r="J428" s="15">
        <f t="shared" si="123"/>
        <v>2268.8125850000001</v>
      </c>
      <c r="K428" s="15">
        <f t="shared" si="124"/>
        <v>1.2888125850000001</v>
      </c>
      <c r="L428" s="15">
        <f t="shared" si="125"/>
        <v>1238.7304340000001</v>
      </c>
      <c r="M428" s="15">
        <v>1230.76</v>
      </c>
      <c r="N428" s="14">
        <f t="shared" si="126"/>
        <v>1.238730434</v>
      </c>
      <c r="O428" s="14">
        <f t="shared" si="127"/>
        <v>1.2564599999999999</v>
      </c>
      <c r="P428" s="14">
        <f t="shared" si="128"/>
        <v>1.7729565999999863E-2</v>
      </c>
      <c r="Q428" s="18">
        <f t="shared" si="129"/>
        <v>1.4110728554828538E-2</v>
      </c>
      <c r="R428" s="15">
        <f t="shared" ca="1" si="130"/>
        <v>4.5183499999999999</v>
      </c>
      <c r="S428" s="15">
        <f t="shared" si="131"/>
        <v>4.6340406451612894</v>
      </c>
      <c r="T428" s="15">
        <f t="shared" ca="1" si="132"/>
        <v>0.11569064516128957</v>
      </c>
      <c r="U428" s="18">
        <f t="shared" ca="1" si="133"/>
        <v>2.4965392843951398E-2</v>
      </c>
      <c r="V428" s="15">
        <f t="shared" si="134"/>
        <v>3.55</v>
      </c>
      <c r="W428" s="15">
        <f t="shared" ca="1" si="135"/>
        <v>3.4816500000000001</v>
      </c>
      <c r="X428" s="15">
        <f t="shared" ca="1" si="136"/>
        <v>6.8349999999999689E-2</v>
      </c>
      <c r="Y428" s="35">
        <f t="shared" ca="1" si="137"/>
        <v>1.9253521126760476E-2</v>
      </c>
      <c r="Z428" s="36">
        <f t="shared" ca="1" si="138"/>
        <v>61.779800000000002</v>
      </c>
      <c r="AA428" s="18">
        <f t="shared" ca="1" si="139"/>
        <v>1.3102236421725236E-2</v>
      </c>
      <c r="AB428" s="2"/>
    </row>
    <row r="429" spans="6:28" x14ac:dyDescent="0.25">
      <c r="F429" s="14">
        <v>427</v>
      </c>
      <c r="G429" s="14">
        <f t="shared" si="120"/>
        <v>62.7</v>
      </c>
      <c r="H429" s="14">
        <f t="shared" si="121"/>
        <v>335.84999999999997</v>
      </c>
      <c r="I429" s="15">
        <f t="shared" si="122"/>
        <v>3.5583330000000002</v>
      </c>
      <c r="J429" s="15">
        <f t="shared" si="123"/>
        <v>2260.7673009999999</v>
      </c>
      <c r="K429" s="15">
        <f t="shared" si="124"/>
        <v>1.280767301</v>
      </c>
      <c r="L429" s="15">
        <f t="shared" si="125"/>
        <v>1236.370089</v>
      </c>
      <c r="M429" s="15">
        <v>1228.2</v>
      </c>
      <c r="N429" s="14">
        <f t="shared" si="126"/>
        <v>1.236370089</v>
      </c>
      <c r="O429" s="14">
        <f t="shared" si="127"/>
        <v>1.2541699999999998</v>
      </c>
      <c r="P429" s="14">
        <f t="shared" si="128"/>
        <v>1.779991099999978E-2</v>
      </c>
      <c r="Q429" s="18">
        <f t="shared" si="129"/>
        <v>1.4192582345295919E-2</v>
      </c>
      <c r="R429" s="15">
        <f t="shared" ca="1" si="130"/>
        <v>4.5101263644314873</v>
      </c>
      <c r="S429" s="15">
        <f t="shared" si="131"/>
        <v>4.6255947311827947</v>
      </c>
      <c r="T429" s="15">
        <f t="shared" ca="1" si="132"/>
        <v>0.11546836675130745</v>
      </c>
      <c r="U429" s="18">
        <f t="shared" ca="1" si="133"/>
        <v>2.496292335618893E-2</v>
      </c>
      <c r="V429" s="15">
        <f t="shared" si="134"/>
        <v>3.5583333333333336</v>
      </c>
      <c r="W429" s="15">
        <f t="shared" ca="1" si="135"/>
        <v>3.4898736355685127</v>
      </c>
      <c r="X429" s="15">
        <f t="shared" ca="1" si="136"/>
        <v>6.8459697764820859E-2</v>
      </c>
      <c r="Y429" s="35">
        <f t="shared" ca="1" si="137"/>
        <v>1.9239259325008203E-2</v>
      </c>
      <c r="Z429" s="36">
        <f t="shared" ca="1" si="138"/>
        <v>61.878484</v>
      </c>
      <c r="AA429" s="18">
        <f t="shared" ca="1" si="139"/>
        <v>1.3102328548644378E-2</v>
      </c>
      <c r="AB429" s="2"/>
    </row>
    <row r="430" spans="6:28" x14ac:dyDescent="0.25">
      <c r="F430" s="14">
        <v>428</v>
      </c>
      <c r="G430" s="14">
        <f t="shared" si="120"/>
        <v>62.800000000000004</v>
      </c>
      <c r="H430" s="14">
        <f t="shared" si="121"/>
        <v>335.95</v>
      </c>
      <c r="I430" s="15">
        <f t="shared" si="122"/>
        <v>3.5666669999999998</v>
      </c>
      <c r="J430" s="15">
        <f t="shared" si="123"/>
        <v>2252.7547829999999</v>
      </c>
      <c r="K430" s="15">
        <f t="shared" si="124"/>
        <v>1.2727547829999999</v>
      </c>
      <c r="L430" s="15">
        <f t="shared" si="125"/>
        <v>1234.0117660000001</v>
      </c>
      <c r="M430" s="15">
        <v>1225.93</v>
      </c>
      <c r="N430" s="14">
        <f t="shared" si="126"/>
        <v>1.2340117660000001</v>
      </c>
      <c r="O430" s="14">
        <f t="shared" si="127"/>
        <v>1.2518799999999999</v>
      </c>
      <c r="P430" s="14">
        <f t="shared" si="128"/>
        <v>1.7868233999999816E-2</v>
      </c>
      <c r="Q430" s="18">
        <f t="shared" si="129"/>
        <v>1.427312042687783E-2</v>
      </c>
      <c r="R430" s="15">
        <f t="shared" ca="1" si="130"/>
        <v>4.501919501457726</v>
      </c>
      <c r="S430" s="15">
        <f t="shared" si="131"/>
        <v>4.6171488172043</v>
      </c>
      <c r="T430" s="15">
        <f t="shared" ca="1" si="132"/>
        <v>0.11522931574657402</v>
      </c>
      <c r="U430" s="18">
        <f t="shared" ca="1" si="133"/>
        <v>2.495681216018196E-2</v>
      </c>
      <c r="V430" s="15">
        <f t="shared" si="134"/>
        <v>3.5666666666666673</v>
      </c>
      <c r="W430" s="15">
        <f t="shared" ca="1" si="135"/>
        <v>3.498080498542274</v>
      </c>
      <c r="X430" s="15">
        <f t="shared" ca="1" si="136"/>
        <v>6.8586168124393332E-2</v>
      </c>
      <c r="Y430" s="35">
        <f t="shared" ca="1" si="137"/>
        <v>1.9229766763848594E-2</v>
      </c>
      <c r="Z430" s="36">
        <f t="shared" ca="1" si="138"/>
        <v>61.976965999999997</v>
      </c>
      <c r="AA430" s="18">
        <f t="shared" ca="1" si="139"/>
        <v>1.3105636942675268E-2</v>
      </c>
      <c r="AB430" s="2"/>
    </row>
    <row r="431" spans="6:28" x14ac:dyDescent="0.25">
      <c r="F431" s="14">
        <v>429</v>
      </c>
      <c r="G431" s="14">
        <f t="shared" si="120"/>
        <v>62.900000000000006</v>
      </c>
      <c r="H431" s="14">
        <f t="shared" si="121"/>
        <v>336.04999999999995</v>
      </c>
      <c r="I431" s="15">
        <f t="shared" si="122"/>
        <v>3.5750000000000002</v>
      </c>
      <c r="J431" s="15">
        <f t="shared" si="123"/>
        <v>2244.774883</v>
      </c>
      <c r="K431" s="15">
        <f t="shared" si="124"/>
        <v>1.2647748830000003</v>
      </c>
      <c r="L431" s="15">
        <f t="shared" si="125"/>
        <v>1231.6554779999999</v>
      </c>
      <c r="M431" s="15">
        <v>1223.6500000000001</v>
      </c>
      <c r="N431" s="14">
        <f t="shared" si="126"/>
        <v>1.2316554779999997</v>
      </c>
      <c r="O431" s="14">
        <f t="shared" si="127"/>
        <v>1.2495899999999998</v>
      </c>
      <c r="P431" s="14">
        <f t="shared" si="128"/>
        <v>1.7934522000000008E-2</v>
      </c>
      <c r="Q431" s="18">
        <f t="shared" si="129"/>
        <v>1.435232516265336E-2</v>
      </c>
      <c r="R431" s="15">
        <f t="shared" ca="1" si="130"/>
        <v>4.492147862973761</v>
      </c>
      <c r="S431" s="15">
        <f t="shared" si="131"/>
        <v>4.6087029032258053</v>
      </c>
      <c r="T431" s="15">
        <f t="shared" ca="1" si="132"/>
        <v>0.11655504025204433</v>
      </c>
      <c r="U431" s="18">
        <f t="shared" ca="1" si="133"/>
        <v>2.5290204792863313E-2</v>
      </c>
      <c r="V431" s="15">
        <f t="shared" si="134"/>
        <v>3.5750000000000002</v>
      </c>
      <c r="W431" s="15">
        <f t="shared" ca="1" si="135"/>
        <v>3.507852137026239</v>
      </c>
      <c r="X431" s="15">
        <f t="shared" ca="1" si="136"/>
        <v>6.7147862973761185E-2</v>
      </c>
      <c r="Y431" s="35">
        <f t="shared" ca="1" si="137"/>
        <v>1.8782619013639493E-2</v>
      </c>
      <c r="Z431" s="36">
        <f t="shared" ca="1" si="138"/>
        <v>62.094225999999999</v>
      </c>
      <c r="AA431" s="18">
        <f t="shared" ca="1" si="139"/>
        <v>1.2810397456279914E-2</v>
      </c>
      <c r="AB431" s="2"/>
    </row>
    <row r="432" spans="6:28" x14ac:dyDescent="0.25">
      <c r="F432" s="14">
        <v>430</v>
      </c>
      <c r="G432" s="14">
        <f t="shared" si="120"/>
        <v>63</v>
      </c>
      <c r="H432" s="14">
        <f t="shared" si="121"/>
        <v>336.15</v>
      </c>
      <c r="I432" s="15">
        <f t="shared" si="122"/>
        <v>3.5833330000000001</v>
      </c>
      <c r="J432" s="15">
        <f t="shared" si="123"/>
        <v>2236.8274510000001</v>
      </c>
      <c r="K432" s="15">
        <f t="shared" si="124"/>
        <v>1.2568274510000004</v>
      </c>
      <c r="L432" s="15">
        <f t="shared" si="125"/>
        <v>1229.3012369999999</v>
      </c>
      <c r="M432" s="15">
        <v>1221.3699999999999</v>
      </c>
      <c r="N432" s="14">
        <f t="shared" si="126"/>
        <v>1.2293012369999998</v>
      </c>
      <c r="O432" s="14">
        <f t="shared" si="127"/>
        <v>1.2472999999999999</v>
      </c>
      <c r="P432" s="14">
        <f t="shared" si="128"/>
        <v>1.7998763000000029E-2</v>
      </c>
      <c r="Q432" s="18">
        <f t="shared" si="129"/>
        <v>1.443017958790991E-2</v>
      </c>
      <c r="R432" s="15">
        <f t="shared" ca="1" si="130"/>
        <v>4.4843521370262387</v>
      </c>
      <c r="S432" s="15">
        <f t="shared" si="131"/>
        <v>4.6002569892473106</v>
      </c>
      <c r="T432" s="15">
        <f t="shared" ca="1" si="132"/>
        <v>0.11590485222107194</v>
      </c>
      <c r="U432" s="18">
        <f t="shared" ca="1" si="133"/>
        <v>2.5195299413052177E-2</v>
      </c>
      <c r="V432" s="15">
        <f t="shared" si="134"/>
        <v>3.5833333333333339</v>
      </c>
      <c r="W432" s="15">
        <f t="shared" ca="1" si="135"/>
        <v>3.5156478629737613</v>
      </c>
      <c r="X432" s="15">
        <f t="shared" ca="1" si="136"/>
        <v>6.7685470359572619E-2</v>
      </c>
      <c r="Y432" s="35">
        <f t="shared" ca="1" si="137"/>
        <v>1.8888968472438868E-2</v>
      </c>
      <c r="Z432" s="36">
        <f t="shared" ca="1" si="138"/>
        <v>62.187773999999997</v>
      </c>
      <c r="AA432" s="18">
        <f t="shared" ca="1" si="139"/>
        <v>1.289247619047623E-2</v>
      </c>
      <c r="AB432" s="2"/>
    </row>
    <row r="433" spans="6:28" x14ac:dyDescent="0.25">
      <c r="F433" s="14">
        <v>431</v>
      </c>
      <c r="G433" s="14">
        <f t="shared" si="120"/>
        <v>63.1</v>
      </c>
      <c r="H433" s="14">
        <f t="shared" si="121"/>
        <v>336.25</v>
      </c>
      <c r="I433" s="15">
        <f t="shared" si="122"/>
        <v>3.5916670000000002</v>
      </c>
      <c r="J433" s="15">
        <f t="shared" si="123"/>
        <v>2228.9123399999999</v>
      </c>
      <c r="K433" s="15">
        <f t="shared" si="124"/>
        <v>1.24891234</v>
      </c>
      <c r="L433" s="15">
        <f t="shared" si="125"/>
        <v>1226.949055</v>
      </c>
      <c r="M433" s="15">
        <v>1218.8</v>
      </c>
      <c r="N433" s="14">
        <f t="shared" si="126"/>
        <v>1.2269490550000002</v>
      </c>
      <c r="O433" s="14">
        <f t="shared" si="127"/>
        <v>1.24501</v>
      </c>
      <c r="P433" s="14">
        <f t="shared" si="128"/>
        <v>1.8060944999999773E-2</v>
      </c>
      <c r="Q433" s="18">
        <f t="shared" si="129"/>
        <v>1.4506666613119392E-2</v>
      </c>
      <c r="R433" s="15">
        <f t="shared" ca="1" si="130"/>
        <v>4.4757731370262386</v>
      </c>
      <c r="S433" s="15">
        <f t="shared" si="131"/>
        <v>4.5918110752688168</v>
      </c>
      <c r="T433" s="15">
        <f t="shared" ca="1" si="132"/>
        <v>0.11603793824257824</v>
      </c>
      <c r="U433" s="18">
        <f t="shared" ca="1" si="133"/>
        <v>2.527062554196768E-2</v>
      </c>
      <c r="V433" s="15">
        <f t="shared" si="134"/>
        <v>3.5916666666666668</v>
      </c>
      <c r="W433" s="15">
        <f t="shared" ca="1" si="135"/>
        <v>3.5242268629737614</v>
      </c>
      <c r="X433" s="15">
        <f t="shared" ca="1" si="136"/>
        <v>6.7439803692905365E-2</v>
      </c>
      <c r="Y433" s="35">
        <f t="shared" ca="1" si="137"/>
        <v>1.8776743487583861E-2</v>
      </c>
      <c r="Z433" s="36">
        <f t="shared" ca="1" si="138"/>
        <v>62.290722000000002</v>
      </c>
      <c r="AA433" s="18">
        <f t="shared" ca="1" si="139"/>
        <v>1.2825324881141031E-2</v>
      </c>
      <c r="AB433" s="2"/>
    </row>
    <row r="434" spans="6:28" x14ac:dyDescent="0.25">
      <c r="F434" s="14">
        <v>432</v>
      </c>
      <c r="G434" s="14">
        <f t="shared" si="120"/>
        <v>63.2</v>
      </c>
      <c r="H434" s="14">
        <f t="shared" si="121"/>
        <v>336.34999999999997</v>
      </c>
      <c r="I434" s="15">
        <f t="shared" si="122"/>
        <v>3.6</v>
      </c>
      <c r="J434" s="15">
        <f t="shared" si="123"/>
        <v>2221.0294020000001</v>
      </c>
      <c r="K434" s="15">
        <f t="shared" si="124"/>
        <v>1.2410294020000001</v>
      </c>
      <c r="L434" s="15">
        <f t="shared" si="125"/>
        <v>1224.598943</v>
      </c>
      <c r="M434" s="15">
        <v>1216.3699999999999</v>
      </c>
      <c r="N434" s="14">
        <f t="shared" si="126"/>
        <v>1.2245989430000002</v>
      </c>
      <c r="O434" s="14">
        <f t="shared" si="127"/>
        <v>1.2427199999999998</v>
      </c>
      <c r="P434" s="14">
        <f t="shared" si="128"/>
        <v>1.8121056999999663E-2</v>
      </c>
      <c r="Q434" s="18">
        <f t="shared" si="129"/>
        <v>1.4581769827474946E-2</v>
      </c>
      <c r="R434" s="15">
        <f t="shared" ca="1" si="130"/>
        <v>4.4667942274052486</v>
      </c>
      <c r="S434" s="15">
        <f t="shared" si="131"/>
        <v>4.5833651612903221</v>
      </c>
      <c r="T434" s="15">
        <f t="shared" ca="1" si="132"/>
        <v>0.11657093388507356</v>
      </c>
      <c r="U434" s="18">
        <f t="shared" ca="1" si="133"/>
        <v>2.543348168494089E-2</v>
      </c>
      <c r="V434" s="15">
        <f t="shared" si="134"/>
        <v>3.5999999999999996</v>
      </c>
      <c r="W434" s="15">
        <f t="shared" ca="1" si="135"/>
        <v>3.5332057725947514</v>
      </c>
      <c r="X434" s="15">
        <f t="shared" ca="1" si="136"/>
        <v>6.6794227405248208E-2</v>
      </c>
      <c r="Y434" s="35">
        <f t="shared" ca="1" si="137"/>
        <v>1.8553952057013393E-2</v>
      </c>
      <c r="Z434" s="36">
        <f t="shared" ca="1" si="138"/>
        <v>62.398468999999999</v>
      </c>
      <c r="AA434" s="18">
        <f t="shared" ca="1" si="139"/>
        <v>1.2682452531645636E-2</v>
      </c>
      <c r="AB434" s="2"/>
    </row>
    <row r="435" spans="6:28" x14ac:dyDescent="0.25">
      <c r="F435" s="14">
        <v>433</v>
      </c>
      <c r="G435" s="14">
        <f t="shared" si="120"/>
        <v>63.300000000000004</v>
      </c>
      <c r="H435" s="14">
        <f t="shared" si="121"/>
        <v>336.45</v>
      </c>
      <c r="I435" s="15">
        <f t="shared" si="122"/>
        <v>3.608333</v>
      </c>
      <c r="J435" s="15">
        <f t="shared" si="123"/>
        <v>2213.1784910000001</v>
      </c>
      <c r="K435" s="15">
        <f t="shared" si="124"/>
        <v>1.2331784910000003</v>
      </c>
      <c r="L435" s="15">
        <f t="shared" si="125"/>
        <v>1222.2509150000001</v>
      </c>
      <c r="M435" s="15">
        <v>1214.07</v>
      </c>
      <c r="N435" s="14">
        <f t="shared" si="126"/>
        <v>1.222250915</v>
      </c>
      <c r="O435" s="14">
        <f t="shared" si="127"/>
        <v>1.2404299999999999</v>
      </c>
      <c r="P435" s="14">
        <f t="shared" si="128"/>
        <v>1.8179084999999873E-2</v>
      </c>
      <c r="Q435" s="18">
        <f t="shared" si="129"/>
        <v>1.4655470280467155E-2</v>
      </c>
      <c r="R435" s="15">
        <f t="shared" ca="1" si="130"/>
        <v>4.4586361370262386</v>
      </c>
      <c r="S435" s="15">
        <f t="shared" si="131"/>
        <v>4.5749192473118274</v>
      </c>
      <c r="T435" s="15">
        <f t="shared" ca="1" si="132"/>
        <v>0.1162831102855888</v>
      </c>
      <c r="U435" s="18">
        <f t="shared" ca="1" si="133"/>
        <v>2.5417521927608992E-2</v>
      </c>
      <c r="V435" s="15">
        <f t="shared" si="134"/>
        <v>3.6083333333333334</v>
      </c>
      <c r="W435" s="15">
        <f t="shared" ca="1" si="135"/>
        <v>3.5413638629737614</v>
      </c>
      <c r="X435" s="15">
        <f t="shared" ca="1" si="136"/>
        <v>6.6969470359572014E-2</v>
      </c>
      <c r="Y435" s="35">
        <f t="shared" ca="1" si="137"/>
        <v>1.855966845992758E-2</v>
      </c>
      <c r="Z435" s="36">
        <f t="shared" ca="1" si="138"/>
        <v>62.496366000000002</v>
      </c>
      <c r="AA435" s="18">
        <f t="shared" ca="1" si="139"/>
        <v>1.2695639810426578E-2</v>
      </c>
      <c r="AB435" s="2"/>
    </row>
    <row r="436" spans="6:28" x14ac:dyDescent="0.25">
      <c r="F436" s="14">
        <v>434</v>
      </c>
      <c r="G436" s="14">
        <f t="shared" si="120"/>
        <v>63.400000000000006</v>
      </c>
      <c r="H436" s="14">
        <f t="shared" si="121"/>
        <v>336.54999999999995</v>
      </c>
      <c r="I436" s="15">
        <f t="shared" si="122"/>
        <v>3.6166670000000001</v>
      </c>
      <c r="J436" s="15">
        <f t="shared" si="123"/>
        <v>2205.3594600000001</v>
      </c>
      <c r="K436" s="15">
        <f t="shared" si="124"/>
        <v>1.22535946</v>
      </c>
      <c r="L436" s="15">
        <f t="shared" si="125"/>
        <v>1219.904982</v>
      </c>
      <c r="M436" s="15">
        <v>1211.78</v>
      </c>
      <c r="N436" s="14">
        <f t="shared" si="126"/>
        <v>1.2199049820000001</v>
      </c>
      <c r="O436" s="14">
        <f t="shared" si="127"/>
        <v>1.2381399999999998</v>
      </c>
      <c r="P436" s="14">
        <f t="shared" si="128"/>
        <v>1.8235017999999714E-2</v>
      </c>
      <c r="Q436" s="18">
        <f t="shared" si="129"/>
        <v>1.472775130437569E-2</v>
      </c>
      <c r="R436" s="15">
        <f t="shared" ca="1" si="130"/>
        <v>4.4489014985422743</v>
      </c>
      <c r="S436" s="15">
        <f t="shared" si="131"/>
        <v>4.5664733333333327</v>
      </c>
      <c r="T436" s="15">
        <f t="shared" ca="1" si="132"/>
        <v>0.11757183479105837</v>
      </c>
      <c r="U436" s="18">
        <f t="shared" ca="1" si="133"/>
        <v>2.5746747261794673E-2</v>
      </c>
      <c r="V436" s="15">
        <f t="shared" si="134"/>
        <v>3.6166666666666663</v>
      </c>
      <c r="W436" s="15">
        <f t="shared" ca="1" si="135"/>
        <v>3.5510985014577257</v>
      </c>
      <c r="X436" s="15">
        <f t="shared" ca="1" si="136"/>
        <v>6.5568165208940599E-2</v>
      </c>
      <c r="Y436" s="35">
        <f t="shared" ca="1" si="137"/>
        <v>1.8129446601550397E-2</v>
      </c>
      <c r="Z436" s="36">
        <f t="shared" ca="1" si="138"/>
        <v>62.613182000000002</v>
      </c>
      <c r="AA436" s="18">
        <f t="shared" ca="1" si="139"/>
        <v>1.2410378548895958E-2</v>
      </c>
      <c r="AB436" s="2"/>
    </row>
    <row r="437" spans="6:28" x14ac:dyDescent="0.25">
      <c r="F437" s="14">
        <v>435</v>
      </c>
      <c r="G437" s="14">
        <f t="shared" si="120"/>
        <v>63.5</v>
      </c>
      <c r="H437" s="14">
        <f t="shared" si="121"/>
        <v>336.65</v>
      </c>
      <c r="I437" s="15">
        <f t="shared" si="122"/>
        <v>3.625</v>
      </c>
      <c r="J437" s="15">
        <f t="shared" si="123"/>
        <v>2197.5721659999999</v>
      </c>
      <c r="K437" s="15">
        <f t="shared" si="124"/>
        <v>1.2175721660000001</v>
      </c>
      <c r="L437" s="15">
        <f t="shared" si="125"/>
        <v>1217.5611550000001</v>
      </c>
      <c r="M437" s="15">
        <v>1209.48</v>
      </c>
      <c r="N437" s="14">
        <f t="shared" si="126"/>
        <v>1.2175611550000001</v>
      </c>
      <c r="O437" s="14">
        <f t="shared" si="127"/>
        <v>1.2358499999999999</v>
      </c>
      <c r="P437" s="14">
        <f t="shared" si="128"/>
        <v>1.8288844999999831E-2</v>
      </c>
      <c r="Q437" s="18">
        <f t="shared" si="129"/>
        <v>1.4798596107941767E-2</v>
      </c>
      <c r="R437" s="15">
        <f t="shared" ca="1" si="130"/>
        <v>4.4419155014577258</v>
      </c>
      <c r="S437" s="15">
        <f t="shared" si="131"/>
        <v>4.558027419354838</v>
      </c>
      <c r="T437" s="15">
        <f t="shared" ca="1" si="132"/>
        <v>0.11611191789711217</v>
      </c>
      <c r="U437" s="18">
        <f t="shared" ca="1" si="133"/>
        <v>2.5474159590191128E-2</v>
      </c>
      <c r="V437" s="15">
        <f t="shared" si="134"/>
        <v>3.625</v>
      </c>
      <c r="W437" s="15">
        <f t="shared" ca="1" si="135"/>
        <v>3.5580844985422742</v>
      </c>
      <c r="X437" s="15">
        <f t="shared" ca="1" si="136"/>
        <v>6.6915501457725846E-2</v>
      </c>
      <c r="Y437" s="35">
        <f t="shared" ca="1" si="137"/>
        <v>1.8459448677993338E-2</v>
      </c>
      <c r="Z437" s="36">
        <f t="shared" ca="1" si="138"/>
        <v>62.697014000000003</v>
      </c>
      <c r="AA437" s="18">
        <f t="shared" ca="1" si="139"/>
        <v>1.2645448818897592E-2</v>
      </c>
      <c r="AB437" s="2"/>
    </row>
    <row r="438" spans="6:28" x14ac:dyDescent="0.25">
      <c r="F438" s="14">
        <v>436</v>
      </c>
      <c r="G438" s="14">
        <f t="shared" si="120"/>
        <v>63.6</v>
      </c>
      <c r="H438" s="14">
        <f t="shared" si="121"/>
        <v>336.75</v>
      </c>
      <c r="I438" s="15">
        <f t="shared" si="122"/>
        <v>3.6333329999999999</v>
      </c>
      <c r="J438" s="15">
        <f t="shared" si="123"/>
        <v>2189.8164630000001</v>
      </c>
      <c r="K438" s="15">
        <f t="shared" si="124"/>
        <v>1.2098164630000001</v>
      </c>
      <c r="L438" s="15">
        <f t="shared" si="125"/>
        <v>1215.2194480000001</v>
      </c>
      <c r="M438" s="15">
        <v>1207.17</v>
      </c>
      <c r="N438" s="14">
        <f t="shared" si="126"/>
        <v>1.2152194480000003</v>
      </c>
      <c r="O438" s="14">
        <f t="shared" si="127"/>
        <v>1.23356</v>
      </c>
      <c r="P438" s="14">
        <f t="shared" si="128"/>
        <v>1.8340551999999732E-2</v>
      </c>
      <c r="Q438" s="18">
        <f t="shared" si="129"/>
        <v>1.4867985343233999E-2</v>
      </c>
      <c r="R438" s="15">
        <f t="shared" ca="1" si="130"/>
        <v>4.4329773644314869</v>
      </c>
      <c r="S438" s="15">
        <f t="shared" si="131"/>
        <v>4.5495815053763442</v>
      </c>
      <c r="T438" s="15">
        <f t="shared" ca="1" si="132"/>
        <v>0.11660414094485727</v>
      </c>
      <c r="U438" s="18">
        <f t="shared" ca="1" si="133"/>
        <v>2.5629641057548589E-2</v>
      </c>
      <c r="V438" s="15">
        <f t="shared" si="134"/>
        <v>3.6333333333333329</v>
      </c>
      <c r="W438" s="15">
        <f t="shared" ca="1" si="135"/>
        <v>3.5670226355685131</v>
      </c>
      <c r="X438" s="15">
        <f t="shared" ca="1" si="136"/>
        <v>6.6310697764819793E-2</v>
      </c>
      <c r="Y438" s="35">
        <f t="shared" ca="1" si="137"/>
        <v>1.8250650760959577E-2</v>
      </c>
      <c r="Z438" s="36">
        <f t="shared" ca="1" si="138"/>
        <v>62.804271999999997</v>
      </c>
      <c r="AA438" s="18">
        <f t="shared" ca="1" si="139"/>
        <v>1.2511446540880565E-2</v>
      </c>
      <c r="AB438" s="2"/>
    </row>
    <row r="439" spans="6:28" x14ac:dyDescent="0.25">
      <c r="F439" s="14">
        <v>437</v>
      </c>
      <c r="G439" s="14">
        <f t="shared" si="120"/>
        <v>63.7</v>
      </c>
      <c r="H439" s="14">
        <f t="shared" si="121"/>
        <v>336.84999999999997</v>
      </c>
      <c r="I439" s="15">
        <f t="shared" si="122"/>
        <v>3.641667</v>
      </c>
      <c r="J439" s="15">
        <f t="shared" si="123"/>
        <v>2182.092208</v>
      </c>
      <c r="K439" s="15">
        <f t="shared" si="124"/>
        <v>1.2020922080000003</v>
      </c>
      <c r="L439" s="15">
        <f t="shared" si="125"/>
        <v>1212.87987</v>
      </c>
      <c r="M439" s="15">
        <v>1204.58</v>
      </c>
      <c r="N439" s="14">
        <f t="shared" si="126"/>
        <v>1.2128798699999999</v>
      </c>
      <c r="O439" s="14">
        <f t="shared" si="127"/>
        <v>1.2312699999999999</v>
      </c>
      <c r="P439" s="14">
        <f t="shared" si="128"/>
        <v>1.8390130000000005E-2</v>
      </c>
      <c r="Q439" s="18">
        <f t="shared" si="129"/>
        <v>1.4935903579231205E-2</v>
      </c>
      <c r="R439" s="15">
        <f t="shared" ca="1" si="130"/>
        <v>4.4244433644314869</v>
      </c>
      <c r="S439" s="15">
        <f t="shared" si="131"/>
        <v>4.5411355913978486</v>
      </c>
      <c r="T439" s="15">
        <f t="shared" ca="1" si="132"/>
        <v>0.11669222696636172</v>
      </c>
      <c r="U439" s="18">
        <f t="shared" ca="1" si="133"/>
        <v>2.5696706169137225E-2</v>
      </c>
      <c r="V439" s="15">
        <f t="shared" si="134"/>
        <v>3.6416666666666666</v>
      </c>
      <c r="W439" s="15">
        <f t="shared" ca="1" si="135"/>
        <v>3.5755566355685131</v>
      </c>
      <c r="X439" s="15">
        <f t="shared" ca="1" si="136"/>
        <v>6.6110031098153499E-2</v>
      </c>
      <c r="Y439" s="35">
        <f t="shared" ca="1" si="137"/>
        <v>1.8153784283245811E-2</v>
      </c>
      <c r="Z439" s="36">
        <f t="shared" ca="1" si="138"/>
        <v>62.906680000000001</v>
      </c>
      <c r="AA439" s="18">
        <f t="shared" ca="1" si="139"/>
        <v>1.2454003139717446E-2</v>
      </c>
      <c r="AB439" s="2"/>
    </row>
    <row r="440" spans="6:28" x14ac:dyDescent="0.25">
      <c r="F440" s="14">
        <v>438</v>
      </c>
      <c r="G440" s="14">
        <f t="shared" si="120"/>
        <v>63.800000000000004</v>
      </c>
      <c r="H440" s="14">
        <f t="shared" si="121"/>
        <v>336.95</v>
      </c>
      <c r="I440" s="15">
        <f t="shared" si="122"/>
        <v>3.65</v>
      </c>
      <c r="J440" s="15">
        <f t="shared" si="123"/>
        <v>2174.3992579999999</v>
      </c>
      <c r="K440" s="15">
        <f t="shared" si="124"/>
        <v>1.1943992579999998</v>
      </c>
      <c r="L440" s="15">
        <f t="shared" si="125"/>
        <v>1210.5424350000001</v>
      </c>
      <c r="M440" s="15">
        <v>1202.27</v>
      </c>
      <c r="N440" s="14">
        <f t="shared" si="126"/>
        <v>1.210542435</v>
      </c>
      <c r="O440" s="14">
        <f t="shared" si="127"/>
        <v>1.2289799999999997</v>
      </c>
      <c r="P440" s="14">
        <f t="shared" si="128"/>
        <v>1.8437564999999712E-2</v>
      </c>
      <c r="Q440" s="18">
        <f t="shared" si="129"/>
        <v>1.5002331201483926E-2</v>
      </c>
      <c r="R440" s="15">
        <f t="shared" ca="1" si="130"/>
        <v>4.4159291370262386</v>
      </c>
      <c r="S440" s="15">
        <f t="shared" si="131"/>
        <v>4.5326896774193539</v>
      </c>
      <c r="T440" s="15">
        <f t="shared" ca="1" si="132"/>
        <v>0.11676054039311534</v>
      </c>
      <c r="U440" s="18">
        <f t="shared" ca="1" si="133"/>
        <v>2.5759658988963017E-2</v>
      </c>
      <c r="V440" s="15">
        <f t="shared" si="134"/>
        <v>3.6500000000000004</v>
      </c>
      <c r="W440" s="15">
        <f t="shared" ca="1" si="135"/>
        <v>3.5840708629737614</v>
      </c>
      <c r="X440" s="15">
        <f t="shared" ca="1" si="136"/>
        <v>6.5929137026238926E-2</v>
      </c>
      <c r="Y440" s="35">
        <f t="shared" ca="1" si="137"/>
        <v>1.8062777267462717E-2</v>
      </c>
      <c r="Z440" s="36">
        <f t="shared" ca="1" si="138"/>
        <v>63.008850000000002</v>
      </c>
      <c r="AA440" s="18">
        <f t="shared" ca="1" si="139"/>
        <v>1.2400470219435763E-2</v>
      </c>
      <c r="AB440" s="2"/>
    </row>
    <row r="441" spans="6:28" x14ac:dyDescent="0.25">
      <c r="F441" s="14">
        <v>439</v>
      </c>
      <c r="G441" s="14">
        <f t="shared" si="120"/>
        <v>63.900000000000006</v>
      </c>
      <c r="H441" s="14">
        <f t="shared" si="121"/>
        <v>337.04999999999995</v>
      </c>
      <c r="I441" s="15">
        <f t="shared" si="122"/>
        <v>3.6583329999999998</v>
      </c>
      <c r="J441" s="15">
        <f t="shared" si="123"/>
        <v>2166.7374709999999</v>
      </c>
      <c r="K441" s="15">
        <f t="shared" si="124"/>
        <v>1.1867374709999998</v>
      </c>
      <c r="L441" s="15">
        <f t="shared" si="125"/>
        <v>1208.2071539999999</v>
      </c>
      <c r="M441" s="15">
        <v>1199.95</v>
      </c>
      <c r="N441" s="14">
        <f t="shared" si="126"/>
        <v>1.2082071539999999</v>
      </c>
      <c r="O441" s="14">
        <f t="shared" si="127"/>
        <v>1.2266899999999998</v>
      </c>
      <c r="P441" s="14">
        <f t="shared" si="128"/>
        <v>1.8482845999999942E-2</v>
      </c>
      <c r="Q441" s="18">
        <f t="shared" si="129"/>
        <v>1.5067250894684024E-2</v>
      </c>
      <c r="R441" s="15">
        <f t="shared" ca="1" si="130"/>
        <v>4.4074101370262388</v>
      </c>
      <c r="S441" s="15">
        <f t="shared" si="131"/>
        <v>4.5242437634408592</v>
      </c>
      <c r="T441" s="15">
        <f t="shared" ca="1" si="132"/>
        <v>0.11683362641462036</v>
      </c>
      <c r="U441" s="18">
        <f t="shared" ca="1" si="133"/>
        <v>2.5823901744357815E-2</v>
      </c>
      <c r="V441" s="15">
        <f t="shared" si="134"/>
        <v>3.6583333333333341</v>
      </c>
      <c r="W441" s="15">
        <f t="shared" ca="1" si="135"/>
        <v>3.5925898629737612</v>
      </c>
      <c r="X441" s="15">
        <f t="shared" ca="1" si="136"/>
        <v>6.5743470359572953E-2</v>
      </c>
      <c r="Y441" s="35">
        <f t="shared" ca="1" si="137"/>
        <v>1.7970880280521077E-2</v>
      </c>
      <c r="Z441" s="36">
        <f t="shared" ca="1" si="138"/>
        <v>63.111077999999999</v>
      </c>
      <c r="AA441" s="18">
        <f t="shared" ca="1" si="139"/>
        <v>1.2346197183098694E-2</v>
      </c>
      <c r="AB441" s="2"/>
    </row>
    <row r="442" spans="6:28" x14ac:dyDescent="0.25">
      <c r="F442" s="14">
        <v>440</v>
      </c>
      <c r="G442" s="14">
        <f t="shared" si="120"/>
        <v>64</v>
      </c>
      <c r="H442" s="14">
        <f t="shared" si="121"/>
        <v>337.15</v>
      </c>
      <c r="I442" s="15">
        <f t="shared" si="122"/>
        <v>3.6666669999999999</v>
      </c>
      <c r="J442" s="15">
        <f t="shared" si="123"/>
        <v>2159.1067050000001</v>
      </c>
      <c r="K442" s="15">
        <f t="shared" si="124"/>
        <v>1.1791067050000001</v>
      </c>
      <c r="L442" s="15">
        <f t="shared" si="125"/>
        <v>1205.8740379999999</v>
      </c>
      <c r="M442" s="15">
        <v>1197.6300000000001</v>
      </c>
      <c r="N442" s="14">
        <f t="shared" si="126"/>
        <v>1.2058740380000001</v>
      </c>
      <c r="O442" s="14">
        <f t="shared" si="127"/>
        <v>1.2243999999999999</v>
      </c>
      <c r="P442" s="14">
        <f t="shared" si="128"/>
        <v>1.8525961999999785E-2</v>
      </c>
      <c r="Q442" s="18">
        <f t="shared" si="129"/>
        <v>1.5130645213982184E-2</v>
      </c>
      <c r="R442" s="15">
        <f t="shared" ca="1" si="130"/>
        <v>4.3992855014577259</v>
      </c>
      <c r="S442" s="15">
        <f t="shared" si="131"/>
        <v>4.5157978494623654</v>
      </c>
      <c r="T442" s="15">
        <f t="shared" ca="1" si="132"/>
        <v>0.1165123480046395</v>
      </c>
      <c r="U442" s="18">
        <f t="shared" ca="1" si="133"/>
        <v>2.5801054849811544E-2</v>
      </c>
      <c r="V442" s="15">
        <f t="shared" si="134"/>
        <v>3.6666666666666661</v>
      </c>
      <c r="W442" s="15">
        <f t="shared" ca="1" si="135"/>
        <v>3.6007144985422741</v>
      </c>
      <c r="X442" s="15">
        <f t="shared" ca="1" si="136"/>
        <v>6.5952168124391974E-2</v>
      </c>
      <c r="Y442" s="35">
        <f t="shared" ca="1" si="137"/>
        <v>1.7986954943015995E-2</v>
      </c>
      <c r="Z442" s="36">
        <f t="shared" ca="1" si="138"/>
        <v>63.208573999999999</v>
      </c>
      <c r="AA442" s="18">
        <f t="shared" ca="1" si="139"/>
        <v>1.236603125000002E-2</v>
      </c>
      <c r="AB442" s="2"/>
    </row>
    <row r="443" spans="6:28" x14ac:dyDescent="0.25">
      <c r="F443" s="14">
        <v>441</v>
      </c>
      <c r="G443" s="14">
        <f t="shared" si="120"/>
        <v>64.099999999999994</v>
      </c>
      <c r="H443" s="14">
        <f t="shared" si="121"/>
        <v>337.25</v>
      </c>
      <c r="I443" s="15">
        <f t="shared" si="122"/>
        <v>3.6749999999999998</v>
      </c>
      <c r="J443" s="15">
        <f t="shared" si="123"/>
        <v>2151.5068209999999</v>
      </c>
      <c r="K443" s="15">
        <f t="shared" si="124"/>
        <v>1.1715068209999999</v>
      </c>
      <c r="L443" s="15">
        <f t="shared" si="125"/>
        <v>1203.543099</v>
      </c>
      <c r="M443" s="15">
        <v>1195.31</v>
      </c>
      <c r="N443" s="14">
        <f t="shared" si="126"/>
        <v>1.203543099</v>
      </c>
      <c r="O443" s="14">
        <f t="shared" si="127"/>
        <v>1.22211</v>
      </c>
      <c r="P443" s="14">
        <f t="shared" si="128"/>
        <v>1.8566901000000025E-2</v>
      </c>
      <c r="Q443" s="18">
        <f t="shared" si="129"/>
        <v>1.5192495765520309E-2</v>
      </c>
      <c r="R443" s="15">
        <f t="shared" ca="1" si="130"/>
        <v>4.3903981370262386</v>
      </c>
      <c r="S443" s="15">
        <f t="shared" si="131"/>
        <v>4.5073519354838707</v>
      </c>
      <c r="T443" s="15">
        <f t="shared" ca="1" si="132"/>
        <v>0.1169537984576321</v>
      </c>
      <c r="U443" s="18">
        <f t="shared" ca="1" si="133"/>
        <v>2.5947341173188629E-2</v>
      </c>
      <c r="V443" s="15">
        <f t="shared" si="134"/>
        <v>3.6749999999999998</v>
      </c>
      <c r="W443" s="15">
        <f t="shared" ca="1" si="135"/>
        <v>3.6096018629737614</v>
      </c>
      <c r="X443" s="15">
        <f t="shared" ca="1" si="136"/>
        <v>6.5398137026238423E-2</v>
      </c>
      <c r="Y443" s="35">
        <f t="shared" ca="1" si="137"/>
        <v>1.7795411435711138E-2</v>
      </c>
      <c r="Z443" s="36">
        <f t="shared" ca="1" si="138"/>
        <v>63.315221999999999</v>
      </c>
      <c r="AA443" s="18">
        <f t="shared" ca="1" si="139"/>
        <v>1.2243026521060777E-2</v>
      </c>
      <c r="AB443" s="2"/>
    </row>
    <row r="444" spans="6:28" x14ac:dyDescent="0.25">
      <c r="F444" s="14">
        <v>442</v>
      </c>
      <c r="G444" s="14">
        <f t="shared" si="120"/>
        <v>64.2</v>
      </c>
      <c r="H444" s="14">
        <f t="shared" si="121"/>
        <v>337.34999999999997</v>
      </c>
      <c r="I444" s="15">
        <f t="shared" si="122"/>
        <v>3.6833330000000002</v>
      </c>
      <c r="J444" s="15">
        <f t="shared" si="123"/>
        <v>2143.9376769999999</v>
      </c>
      <c r="K444" s="15">
        <f t="shared" si="124"/>
        <v>1.1639376769999998</v>
      </c>
      <c r="L444" s="15">
        <f t="shared" si="125"/>
        <v>1201.2143490000001</v>
      </c>
      <c r="M444" s="15">
        <v>1192.98</v>
      </c>
      <c r="N444" s="14">
        <f t="shared" si="126"/>
        <v>1.201214349</v>
      </c>
      <c r="O444" s="14">
        <f t="shared" si="127"/>
        <v>1.2198199999999999</v>
      </c>
      <c r="P444" s="14">
        <f t="shared" si="128"/>
        <v>1.860565099999989E-2</v>
      </c>
      <c r="Q444" s="18">
        <f t="shared" si="129"/>
        <v>1.525278401731394E-2</v>
      </c>
      <c r="R444" s="15">
        <f t="shared" ca="1" si="130"/>
        <v>4.3811226355685129</v>
      </c>
      <c r="S444" s="15">
        <f t="shared" si="131"/>
        <v>4.498906021505376</v>
      </c>
      <c r="T444" s="15">
        <f t="shared" ca="1" si="132"/>
        <v>0.11778338593686311</v>
      </c>
      <c r="U444" s="18">
        <f t="shared" ca="1" si="133"/>
        <v>2.6180450397017115E-2</v>
      </c>
      <c r="V444" s="15">
        <f t="shared" si="134"/>
        <v>3.6833333333333327</v>
      </c>
      <c r="W444" s="15">
        <f t="shared" ca="1" si="135"/>
        <v>3.6188773644314871</v>
      </c>
      <c r="X444" s="15">
        <f t="shared" ca="1" si="136"/>
        <v>6.4455968901845573E-2</v>
      </c>
      <c r="Y444" s="35">
        <f t="shared" ca="1" si="137"/>
        <v>1.7499358072899252E-2</v>
      </c>
      <c r="Z444" s="36">
        <f t="shared" ca="1" si="138"/>
        <v>63.426527999999998</v>
      </c>
      <c r="AA444" s="18">
        <f t="shared" ca="1" si="139"/>
        <v>1.2047850467289801E-2</v>
      </c>
      <c r="AB444" s="2"/>
    </row>
    <row r="445" spans="6:28" x14ac:dyDescent="0.25">
      <c r="F445" s="14">
        <v>443</v>
      </c>
      <c r="G445" s="14">
        <f t="shared" si="120"/>
        <v>64.300000000000011</v>
      </c>
      <c r="H445" s="14">
        <f t="shared" si="121"/>
        <v>337.45</v>
      </c>
      <c r="I445" s="15">
        <f t="shared" si="122"/>
        <v>3.6916669999999998</v>
      </c>
      <c r="J445" s="15">
        <f t="shared" si="123"/>
        <v>2136.3991339999998</v>
      </c>
      <c r="K445" s="15">
        <f t="shared" si="124"/>
        <v>1.1563991339999999</v>
      </c>
      <c r="L445" s="15">
        <f t="shared" si="125"/>
        <v>1198.887798</v>
      </c>
      <c r="M445" s="15">
        <v>1190.6500000000001</v>
      </c>
      <c r="N445" s="14">
        <f t="shared" si="126"/>
        <v>1.1988877980000001</v>
      </c>
      <c r="O445" s="14">
        <f t="shared" si="127"/>
        <v>1.2175299999999998</v>
      </c>
      <c r="P445" s="14">
        <f t="shared" si="128"/>
        <v>1.8642201999999664E-2</v>
      </c>
      <c r="Q445" s="18">
        <f t="shared" si="129"/>
        <v>1.5311492940625419E-2</v>
      </c>
      <c r="R445" s="15">
        <f t="shared" ca="1" si="130"/>
        <v>4.3734171370262382</v>
      </c>
      <c r="S445" s="15">
        <f t="shared" si="131"/>
        <v>4.4904601075268804</v>
      </c>
      <c r="T445" s="15">
        <f t="shared" ca="1" si="132"/>
        <v>0.11704297050064216</v>
      </c>
      <c r="U445" s="18">
        <f t="shared" ca="1" si="133"/>
        <v>2.6064805765550727E-2</v>
      </c>
      <c r="V445" s="15">
        <f t="shared" si="134"/>
        <v>3.6916666666666673</v>
      </c>
      <c r="W445" s="15">
        <f t="shared" ca="1" si="135"/>
        <v>3.6265828629737618</v>
      </c>
      <c r="X445" s="15">
        <f t="shared" ca="1" si="136"/>
        <v>6.5083803692905562E-2</v>
      </c>
      <c r="Y445" s="35">
        <f t="shared" ca="1" si="137"/>
        <v>1.7629924250899924E-2</v>
      </c>
      <c r="Z445" s="36">
        <f t="shared" ca="1" si="138"/>
        <v>63.518993999999999</v>
      </c>
      <c r="AA445" s="18">
        <f t="shared" ca="1" si="139"/>
        <v>1.2146283048211694E-2</v>
      </c>
      <c r="AB445" s="2"/>
    </row>
    <row r="446" spans="6:28" x14ac:dyDescent="0.25">
      <c r="F446" s="14">
        <v>444</v>
      </c>
      <c r="G446" s="14">
        <f t="shared" si="120"/>
        <v>64.400000000000006</v>
      </c>
      <c r="H446" s="14">
        <f t="shared" si="121"/>
        <v>337.54999999999995</v>
      </c>
      <c r="I446" s="15">
        <f t="shared" si="122"/>
        <v>3.7</v>
      </c>
      <c r="J446" s="15">
        <f t="shared" si="123"/>
        <v>2128.8910540000002</v>
      </c>
      <c r="K446" s="15">
        <f t="shared" si="124"/>
        <v>1.1488910540000004</v>
      </c>
      <c r="L446" s="15">
        <f t="shared" si="125"/>
        <v>1196.5634580000001</v>
      </c>
      <c r="M446" s="15">
        <v>1188.32</v>
      </c>
      <c r="N446" s="14">
        <f t="shared" si="126"/>
        <v>1.1965634580000002</v>
      </c>
      <c r="O446" s="14">
        <f t="shared" si="127"/>
        <v>1.2152399999999999</v>
      </c>
      <c r="P446" s="14">
        <f t="shared" si="128"/>
        <v>1.8676541999999685E-2</v>
      </c>
      <c r="Q446" s="18">
        <f t="shared" si="129"/>
        <v>1.5368603732595772E-2</v>
      </c>
      <c r="R446" s="15">
        <f t="shared" ca="1" si="130"/>
        <v>4.3649283644314876</v>
      </c>
      <c r="S446" s="15">
        <f t="shared" si="131"/>
        <v>4.4820141935483866</v>
      </c>
      <c r="T446" s="15">
        <f t="shared" ca="1" si="132"/>
        <v>0.11708582911689902</v>
      </c>
      <c r="U446" s="18">
        <f t="shared" ca="1" si="133"/>
        <v>2.6123484679151092E-2</v>
      </c>
      <c r="V446" s="15">
        <f t="shared" si="134"/>
        <v>3.7</v>
      </c>
      <c r="W446" s="15">
        <f t="shared" ca="1" si="135"/>
        <v>3.6350716355685124</v>
      </c>
      <c r="X446" s="15">
        <f t="shared" ca="1" si="136"/>
        <v>6.4928364431487751E-2</v>
      </c>
      <c r="Y446" s="35">
        <f t="shared" ca="1" si="137"/>
        <v>1.7548206603104795E-2</v>
      </c>
      <c r="Z446" s="36">
        <f t="shared" ca="1" si="138"/>
        <v>63.62086</v>
      </c>
      <c r="AA446" s="18">
        <f t="shared" ca="1" si="139"/>
        <v>1.2098447204969024E-2</v>
      </c>
      <c r="AB446" s="2"/>
    </row>
    <row r="447" spans="6:28" x14ac:dyDescent="0.25">
      <c r="F447" s="14">
        <v>445</v>
      </c>
      <c r="G447" s="14">
        <f t="shared" si="120"/>
        <v>64.5</v>
      </c>
      <c r="H447" s="14">
        <f t="shared" si="121"/>
        <v>337.65</v>
      </c>
      <c r="I447" s="15">
        <f t="shared" si="122"/>
        <v>3.7083330000000001</v>
      </c>
      <c r="J447" s="15">
        <f t="shared" si="123"/>
        <v>2121.4132989999998</v>
      </c>
      <c r="K447" s="15">
        <f t="shared" si="124"/>
        <v>1.1414132989999999</v>
      </c>
      <c r="L447" s="15">
        <f t="shared" si="125"/>
        <v>1194.24134</v>
      </c>
      <c r="M447" s="15">
        <v>1185.8399999999999</v>
      </c>
      <c r="N447" s="14">
        <f t="shared" si="126"/>
        <v>1.19424134</v>
      </c>
      <c r="O447" s="14">
        <f t="shared" si="127"/>
        <v>1.21295</v>
      </c>
      <c r="P447" s="14">
        <f t="shared" si="128"/>
        <v>1.8708659999999933E-2</v>
      </c>
      <c r="Q447" s="18">
        <f t="shared" si="129"/>
        <v>1.5424098272805914E-2</v>
      </c>
      <c r="R447" s="15">
        <f t="shared" ca="1" si="130"/>
        <v>4.3564691370262389</v>
      </c>
      <c r="S447" s="15">
        <f t="shared" si="131"/>
        <v>4.4735682795698919</v>
      </c>
      <c r="T447" s="15">
        <f t="shared" ca="1" si="132"/>
        <v>0.11709914254365295</v>
      </c>
      <c r="U447" s="18">
        <f t="shared" ca="1" si="133"/>
        <v>2.6175780769554135E-2</v>
      </c>
      <c r="V447" s="15">
        <f t="shared" si="134"/>
        <v>3.708333333333333</v>
      </c>
      <c r="W447" s="15">
        <f t="shared" ca="1" si="135"/>
        <v>3.6435308629737611</v>
      </c>
      <c r="X447" s="15">
        <f t="shared" ca="1" si="136"/>
        <v>6.4802470359571984E-2</v>
      </c>
      <c r="Y447" s="35">
        <f t="shared" ca="1" si="137"/>
        <v>1.7474823467749749E-2</v>
      </c>
      <c r="Z447" s="36">
        <f t="shared" ca="1" si="138"/>
        <v>63.722369999999998</v>
      </c>
      <c r="AA447" s="18">
        <f t="shared" ca="1" si="139"/>
        <v>1.2056279069767473E-2</v>
      </c>
      <c r="AB447" s="2"/>
    </row>
    <row r="448" spans="6:28" x14ac:dyDescent="0.25">
      <c r="F448" s="14">
        <v>446</v>
      </c>
      <c r="G448" s="14">
        <f t="shared" si="120"/>
        <v>64.599999999999994</v>
      </c>
      <c r="H448" s="14">
        <f t="shared" si="121"/>
        <v>337.75</v>
      </c>
      <c r="I448" s="15">
        <f t="shared" si="122"/>
        <v>3.7166670000000002</v>
      </c>
      <c r="J448" s="15">
        <f t="shared" si="123"/>
        <v>2113.9657320000001</v>
      </c>
      <c r="K448" s="15">
        <f t="shared" si="124"/>
        <v>1.1339657320000001</v>
      </c>
      <c r="L448" s="15">
        <f t="shared" si="125"/>
        <v>1191.9214569999999</v>
      </c>
      <c r="M448" s="15">
        <v>1183.3599999999999</v>
      </c>
      <c r="N448" s="14">
        <f t="shared" si="126"/>
        <v>1.1919214569999999</v>
      </c>
      <c r="O448" s="14">
        <f t="shared" si="127"/>
        <v>1.2106600000000001</v>
      </c>
      <c r="P448" s="14">
        <f t="shared" si="128"/>
        <v>1.8738543000000218E-2</v>
      </c>
      <c r="Q448" s="18">
        <f t="shared" si="129"/>
        <v>1.5477956651743856E-2</v>
      </c>
      <c r="R448" s="15">
        <f t="shared" ca="1" si="130"/>
        <v>4.347996364431487</v>
      </c>
      <c r="S448" s="15">
        <f t="shared" si="131"/>
        <v>4.4651223655913981</v>
      </c>
      <c r="T448" s="15">
        <f t="shared" ca="1" si="132"/>
        <v>0.11712600115991112</v>
      </c>
      <c r="U448" s="18">
        <f t="shared" ca="1" si="133"/>
        <v>2.6231308253160935E-2</v>
      </c>
      <c r="V448" s="15">
        <f t="shared" si="134"/>
        <v>3.7166666666666659</v>
      </c>
      <c r="W448" s="15">
        <f t="shared" ca="1" si="135"/>
        <v>3.652003635568513</v>
      </c>
      <c r="X448" s="15">
        <f t="shared" ca="1" si="136"/>
        <v>6.4663031098152857E-2</v>
      </c>
      <c r="Y448" s="35">
        <f t="shared" ca="1" si="137"/>
        <v>1.7398124959144268E-2</v>
      </c>
      <c r="Z448" s="36">
        <f t="shared" ca="1" si="138"/>
        <v>63.824044000000001</v>
      </c>
      <c r="AA448" s="18">
        <f t="shared" ca="1" si="139"/>
        <v>1.2011702786377611E-2</v>
      </c>
      <c r="AB448" s="2"/>
    </row>
    <row r="449" spans="6:28" x14ac:dyDescent="0.25">
      <c r="F449" s="14">
        <v>447</v>
      </c>
      <c r="G449" s="14">
        <f t="shared" si="120"/>
        <v>64.7</v>
      </c>
      <c r="H449" s="14">
        <f t="shared" si="121"/>
        <v>337.84999999999997</v>
      </c>
      <c r="I449" s="15">
        <f t="shared" si="122"/>
        <v>3.7250000000000001</v>
      </c>
      <c r="J449" s="15">
        <f t="shared" si="123"/>
        <v>2106.5482160000001</v>
      </c>
      <c r="K449" s="15">
        <f t="shared" si="124"/>
        <v>1.1265482160000002</v>
      </c>
      <c r="L449" s="15">
        <f t="shared" si="125"/>
        <v>1189.603818</v>
      </c>
      <c r="M449" s="15">
        <v>1181.02</v>
      </c>
      <c r="N449" s="14">
        <f t="shared" si="126"/>
        <v>1.1896038179999999</v>
      </c>
      <c r="O449" s="14">
        <f t="shared" si="127"/>
        <v>1.2083699999999999</v>
      </c>
      <c r="P449" s="14">
        <f t="shared" si="128"/>
        <v>1.876618200000002E-2</v>
      </c>
      <c r="Q449" s="18">
        <f t="shared" si="129"/>
        <v>1.5530162119218469E-2</v>
      </c>
      <c r="R449" s="15">
        <f t="shared" ca="1" si="130"/>
        <v>4.3383764985422744</v>
      </c>
      <c r="S449" s="15">
        <f t="shared" si="131"/>
        <v>4.4566764516129025</v>
      </c>
      <c r="T449" s="15">
        <f t="shared" ca="1" si="132"/>
        <v>0.11829995307062813</v>
      </c>
      <c r="U449" s="18">
        <f t="shared" ca="1" si="133"/>
        <v>2.6544433807353131E-2</v>
      </c>
      <c r="V449" s="15">
        <f t="shared" si="134"/>
        <v>3.7250000000000005</v>
      </c>
      <c r="W449" s="15">
        <f t="shared" ca="1" si="135"/>
        <v>3.6616235014577256</v>
      </c>
      <c r="X449" s="15">
        <f t="shared" ca="1" si="136"/>
        <v>6.3376498542274895E-2</v>
      </c>
      <c r="Y449" s="35">
        <f t="shared" ca="1" si="137"/>
        <v>1.7013825112020105E-2</v>
      </c>
      <c r="Z449" s="36">
        <f t="shared" ca="1" si="138"/>
        <v>63.939481999999998</v>
      </c>
      <c r="AA449" s="18">
        <f t="shared" ca="1" si="139"/>
        <v>1.1754528593508572E-2</v>
      </c>
      <c r="AB449" s="2"/>
    </row>
    <row r="450" spans="6:28" x14ac:dyDescent="0.25">
      <c r="F450" s="14">
        <v>448</v>
      </c>
      <c r="G450" s="14">
        <f t="shared" si="120"/>
        <v>64.800000000000011</v>
      </c>
      <c r="H450" s="14">
        <f t="shared" si="121"/>
        <v>337.95</v>
      </c>
      <c r="I450" s="15">
        <f t="shared" si="122"/>
        <v>3.733333</v>
      </c>
      <c r="J450" s="15">
        <f t="shared" si="123"/>
        <v>2099.1606139999999</v>
      </c>
      <c r="K450" s="15">
        <f t="shared" si="124"/>
        <v>1.1191606140000001</v>
      </c>
      <c r="L450" s="15">
        <f t="shared" si="125"/>
        <v>1187.2884340000001</v>
      </c>
      <c r="M450" s="15">
        <v>1178.95</v>
      </c>
      <c r="N450" s="14">
        <f t="shared" si="126"/>
        <v>1.1872884340000001</v>
      </c>
      <c r="O450" s="14">
        <f t="shared" si="127"/>
        <v>1.2060799999999996</v>
      </c>
      <c r="P450" s="14">
        <f t="shared" si="128"/>
        <v>1.8791565999999538E-2</v>
      </c>
      <c r="Q450" s="18">
        <f t="shared" si="129"/>
        <v>1.5580696139559187E-2</v>
      </c>
      <c r="R450" s="15">
        <f t="shared" ca="1" si="130"/>
        <v>4.3310973644314874</v>
      </c>
      <c r="S450" s="15">
        <f t="shared" si="131"/>
        <v>4.4482305376344069</v>
      </c>
      <c r="T450" s="15">
        <f t="shared" ca="1" si="132"/>
        <v>0.11713317320291949</v>
      </c>
      <c r="U450" s="18">
        <f t="shared" ca="1" si="133"/>
        <v>2.6332532051095436E-2</v>
      </c>
      <c r="V450" s="15">
        <f t="shared" si="134"/>
        <v>3.7333333333333343</v>
      </c>
      <c r="W450" s="15">
        <f t="shared" ca="1" si="135"/>
        <v>3.6689026355685126</v>
      </c>
      <c r="X450" s="15">
        <f t="shared" ca="1" si="136"/>
        <v>6.4430697764821687E-2</v>
      </c>
      <c r="Y450" s="35">
        <f t="shared" ca="1" si="137"/>
        <v>1.7258222615577232E-2</v>
      </c>
      <c r="Z450" s="36">
        <f t="shared" ca="1" si="138"/>
        <v>64.026831999999999</v>
      </c>
      <c r="AA450" s="18">
        <f t="shared" ca="1" si="139"/>
        <v>1.1931604938271795E-2</v>
      </c>
      <c r="AB450" s="2"/>
    </row>
    <row r="451" spans="6:28" x14ac:dyDescent="0.25">
      <c r="F451" s="14">
        <v>449</v>
      </c>
      <c r="G451" s="14">
        <f t="shared" ref="G451:G514" si="140">F451*0.1+20</f>
        <v>64.900000000000006</v>
      </c>
      <c r="H451" s="14">
        <f t="shared" ref="H451:H514" si="141">G451+273.15</f>
        <v>338.04999999999995</v>
      </c>
      <c r="I451" s="15">
        <f t="shared" ref="I451:I514" si="142">ROUND(1/12*G451-5/3,6)</f>
        <v>3.7416670000000001</v>
      </c>
      <c r="J451" s="15">
        <f t="shared" ref="J451:J514" si="143">ROUND(10000*EXP(($B$3)+($B$4/H451)+($B$5/(H451^2))+($B$6/(H451^3))),6)</f>
        <v>2091.8027929999998</v>
      </c>
      <c r="K451" s="15">
        <f t="shared" ref="K451:K514" si="144">$B$9*(2*$B$8+J451)-$B$9*$B$10</f>
        <v>1.1118027929999998</v>
      </c>
      <c r="L451" s="15">
        <f t="shared" ref="L451:L514" si="145">ROUND(1/(1/(J451+2*$B$8)+1/($B$7)),6)</f>
        <v>1184.9753169999999</v>
      </c>
      <c r="M451" s="15">
        <v>1176.5999999999999</v>
      </c>
      <c r="N451" s="14">
        <f t="shared" ref="N451:N514" si="146">$B$9*(L451+$B$10)*(L451/(L451+$B$10))</f>
        <v>1.1849753170000001</v>
      </c>
      <c r="O451" s="14">
        <f t="shared" ref="O451:O514" si="147">$B$11*G451+$B$12</f>
        <v>1.2037899999999997</v>
      </c>
      <c r="P451" s="14">
        <f t="shared" ref="P451:P514" si="148">ABS(N451-O451)</f>
        <v>1.8814682999999555E-2</v>
      </c>
      <c r="Q451" s="18">
        <f t="shared" ref="Q451:Q514" si="149">ABS(O451-N451)/O451</f>
        <v>1.5629539205342758E-2</v>
      </c>
      <c r="R451" s="15">
        <f t="shared" ref="R451:R514" ca="1" si="150">ROUND(N451*$B$29,6)+RANDBETWEEN(-1,1)*$B$24+RANDBETWEEN(-1,1)*$B$25</f>
        <v>4.321889635568513</v>
      </c>
      <c r="S451" s="15">
        <f t="shared" ref="S451:S514" si="151">O451*$B$23</f>
        <v>4.4397846236559131</v>
      </c>
      <c r="T451" s="15">
        <f t="shared" ref="T451:T514" ca="1" si="152">ABS(R451-S451)</f>
        <v>0.11789498808740007</v>
      </c>
      <c r="U451" s="18">
        <f t="shared" ref="U451:U514" ca="1" si="153">ABS(S451-R451)/S451</f>
        <v>2.6554213341619299E-2</v>
      </c>
      <c r="V451" s="15">
        <f t="shared" ref="V451:V514" si="154">$B$44*S451+$B$45</f>
        <v>3.7416666666666671</v>
      </c>
      <c r="W451" s="15">
        <f t="shared" ref="W451:W514" ca="1" si="155">$B$46*R451+$B$47</f>
        <v>3.678110364431487</v>
      </c>
      <c r="X451" s="15">
        <f t="shared" ref="X451:X514" ca="1" si="156">ABS(V451-W451)</f>
        <v>6.3556302235180162E-2</v>
      </c>
      <c r="Y451" s="35">
        <f t="shared" ref="Y451:Y514" ca="1" si="157">IF(V451 = 0, ABS(V451-W451)/(V451+0.0001), ABS(V451-W451)/V451)</f>
        <v>1.6986094138578215E-2</v>
      </c>
      <c r="Z451" s="36">
        <f t="shared" ref="Z451:Z514" ca="1" si="158">ROUND((W451+5/3)/(1/12),6)</f>
        <v>64.137324000000007</v>
      </c>
      <c r="AA451" s="18">
        <f t="shared" ref="AA451:AA514" ca="1" si="159">ABS(G451-Z451)/G451</f>
        <v>1.1751556240369783E-2</v>
      </c>
      <c r="AB451" s="2"/>
    </row>
    <row r="452" spans="6:28" x14ac:dyDescent="0.25">
      <c r="F452" s="14">
        <v>450</v>
      </c>
      <c r="G452" s="14">
        <f t="shared" si="140"/>
        <v>65</v>
      </c>
      <c r="H452" s="14">
        <f t="shared" si="141"/>
        <v>338.15</v>
      </c>
      <c r="I452" s="15">
        <f t="shared" si="142"/>
        <v>3.75</v>
      </c>
      <c r="J452" s="15">
        <f t="shared" si="143"/>
        <v>2084.474616</v>
      </c>
      <c r="K452" s="15">
        <f t="shared" si="144"/>
        <v>1.1044746160000001</v>
      </c>
      <c r="L452" s="15">
        <f t="shared" si="145"/>
        <v>1182.6644779999999</v>
      </c>
      <c r="M452" s="15">
        <v>1174.24</v>
      </c>
      <c r="N452" s="14">
        <f t="shared" si="146"/>
        <v>1.1826644779999997</v>
      </c>
      <c r="O452" s="14">
        <f t="shared" si="147"/>
        <v>1.2015</v>
      </c>
      <c r="P452" s="14">
        <f t="shared" si="148"/>
        <v>1.8835522000000271E-2</v>
      </c>
      <c r="Q452" s="18">
        <f t="shared" si="149"/>
        <v>1.5676672492717661E-2</v>
      </c>
      <c r="R452" s="15">
        <f t="shared" ca="1" si="150"/>
        <v>4.3142313644314871</v>
      </c>
      <c r="S452" s="15">
        <f t="shared" si="151"/>
        <v>4.4313387096774193</v>
      </c>
      <c r="T452" s="15">
        <f t="shared" ca="1" si="152"/>
        <v>0.11710734524593214</v>
      </c>
      <c r="U452" s="18">
        <f t="shared" ca="1" si="153"/>
        <v>2.6427080599861662E-2</v>
      </c>
      <c r="V452" s="15">
        <f t="shared" si="154"/>
        <v>3.7499999999999991</v>
      </c>
      <c r="W452" s="15">
        <f t="shared" ca="1" si="155"/>
        <v>3.6857686355685129</v>
      </c>
      <c r="X452" s="15">
        <f t="shared" ca="1" si="156"/>
        <v>6.4231364431486249E-2</v>
      </c>
      <c r="Y452" s="35">
        <f t="shared" ca="1" si="157"/>
        <v>1.7128363848396336E-2</v>
      </c>
      <c r="Z452" s="36">
        <f t="shared" ca="1" si="158"/>
        <v>64.229224000000002</v>
      </c>
      <c r="AA452" s="18">
        <f t="shared" ca="1" si="159"/>
        <v>1.1858092307692275E-2</v>
      </c>
      <c r="AB452" s="2"/>
    </row>
    <row r="453" spans="6:28" x14ac:dyDescent="0.25">
      <c r="F453" s="14">
        <v>451</v>
      </c>
      <c r="G453" s="14">
        <f t="shared" si="140"/>
        <v>65.099999999999994</v>
      </c>
      <c r="H453" s="14">
        <f t="shared" si="141"/>
        <v>338.25</v>
      </c>
      <c r="I453" s="15">
        <f t="shared" si="142"/>
        <v>3.7583329999999999</v>
      </c>
      <c r="J453" s="15">
        <f t="shared" si="143"/>
        <v>2077.1759510000002</v>
      </c>
      <c r="K453" s="15">
        <f t="shared" si="144"/>
        <v>1.0971759510000001</v>
      </c>
      <c r="L453" s="15">
        <f t="shared" si="145"/>
        <v>1180.3559270000001</v>
      </c>
      <c r="M453" s="15">
        <v>1171.8800000000001</v>
      </c>
      <c r="N453" s="14">
        <f t="shared" si="146"/>
        <v>1.1803559269999999</v>
      </c>
      <c r="O453" s="14">
        <f t="shared" si="147"/>
        <v>1.1992100000000001</v>
      </c>
      <c r="P453" s="14">
        <f t="shared" si="148"/>
        <v>1.8854073000000193E-2</v>
      </c>
      <c r="Q453" s="18">
        <f t="shared" si="149"/>
        <v>1.5722077867929882E-2</v>
      </c>
      <c r="R453" s="15">
        <f t="shared" ca="1" si="150"/>
        <v>4.3054142274052483</v>
      </c>
      <c r="S453" s="15">
        <f t="shared" si="151"/>
        <v>4.4228927956989246</v>
      </c>
      <c r="T453" s="15">
        <f t="shared" ca="1" si="152"/>
        <v>0.11747856829367631</v>
      </c>
      <c r="U453" s="18">
        <f t="shared" ca="1" si="153"/>
        <v>2.6561477684451051E-2</v>
      </c>
      <c r="V453" s="15">
        <f t="shared" si="154"/>
        <v>3.7583333333333329</v>
      </c>
      <c r="W453" s="15">
        <f t="shared" ca="1" si="155"/>
        <v>3.6945857725947517</v>
      </c>
      <c r="X453" s="15">
        <f t="shared" ca="1" si="156"/>
        <v>6.3747560738581122E-2</v>
      </c>
      <c r="Y453" s="35">
        <f t="shared" ca="1" si="157"/>
        <v>1.6961656959267706E-2</v>
      </c>
      <c r="Z453" s="36">
        <f t="shared" ca="1" si="158"/>
        <v>64.335029000000006</v>
      </c>
      <c r="AA453" s="18">
        <f t="shared" ca="1" si="159"/>
        <v>1.1750706605222559E-2</v>
      </c>
      <c r="AB453" s="2"/>
    </row>
    <row r="454" spans="6:28" x14ac:dyDescent="0.25">
      <c r="F454" s="14">
        <v>452</v>
      </c>
      <c r="G454" s="14">
        <f t="shared" si="140"/>
        <v>65.2</v>
      </c>
      <c r="H454" s="14">
        <f t="shared" si="141"/>
        <v>338.34999999999997</v>
      </c>
      <c r="I454" s="15">
        <f t="shared" si="142"/>
        <v>3.766667</v>
      </c>
      <c r="J454" s="15">
        <f t="shared" si="143"/>
        <v>2069.906665</v>
      </c>
      <c r="K454" s="15">
        <f t="shared" si="144"/>
        <v>1.089906665</v>
      </c>
      <c r="L454" s="15">
        <f t="shared" si="145"/>
        <v>1178.0496760000001</v>
      </c>
      <c r="M454" s="15">
        <v>1169.3800000000001</v>
      </c>
      <c r="N454" s="14">
        <f t="shared" si="146"/>
        <v>1.1780496760000001</v>
      </c>
      <c r="O454" s="14">
        <f t="shared" si="147"/>
        <v>1.1969199999999998</v>
      </c>
      <c r="P454" s="14">
        <f t="shared" si="148"/>
        <v>1.8870323999999661E-2</v>
      </c>
      <c r="Q454" s="18">
        <f t="shared" si="149"/>
        <v>1.576573538749429E-2</v>
      </c>
      <c r="R454" s="15">
        <f t="shared" ca="1" si="150"/>
        <v>4.2970022274052484</v>
      </c>
      <c r="S454" s="15">
        <f t="shared" si="151"/>
        <v>4.414446881720429</v>
      </c>
      <c r="T454" s="15">
        <f t="shared" ca="1" si="152"/>
        <v>0.11744465431518059</v>
      </c>
      <c r="U454" s="18">
        <f t="shared" ca="1" si="153"/>
        <v>2.6604613774265019E-2</v>
      </c>
      <c r="V454" s="15">
        <f t="shared" si="154"/>
        <v>3.7666666666666675</v>
      </c>
      <c r="W454" s="15">
        <f t="shared" ca="1" si="155"/>
        <v>3.7029977725947516</v>
      </c>
      <c r="X454" s="15">
        <f t="shared" ca="1" si="156"/>
        <v>6.3668894071915894E-2</v>
      </c>
      <c r="Y454" s="35">
        <f t="shared" ca="1" si="157"/>
        <v>1.6903246213782978E-2</v>
      </c>
      <c r="Z454" s="36">
        <f t="shared" ca="1" si="158"/>
        <v>64.435973000000004</v>
      </c>
      <c r="AA454" s="18">
        <f t="shared" ca="1" si="159"/>
        <v>1.1718205521472371E-2</v>
      </c>
      <c r="AB454" s="2"/>
    </row>
    <row r="455" spans="6:28" x14ac:dyDescent="0.25">
      <c r="F455" s="14">
        <v>453</v>
      </c>
      <c r="G455" s="14">
        <f t="shared" si="140"/>
        <v>65.300000000000011</v>
      </c>
      <c r="H455" s="14">
        <f t="shared" si="141"/>
        <v>338.45</v>
      </c>
      <c r="I455" s="15">
        <f t="shared" si="142"/>
        <v>3.7749999999999999</v>
      </c>
      <c r="J455" s="15">
        <f t="shared" si="143"/>
        <v>2062.666624</v>
      </c>
      <c r="K455" s="15">
        <f t="shared" si="144"/>
        <v>1.0826666239999998</v>
      </c>
      <c r="L455" s="15">
        <f t="shared" si="145"/>
        <v>1175.745735</v>
      </c>
      <c r="M455" s="15">
        <v>1167.02</v>
      </c>
      <c r="N455" s="14">
        <f t="shared" si="146"/>
        <v>1.175745735</v>
      </c>
      <c r="O455" s="14">
        <f t="shared" si="147"/>
        <v>1.1946299999999996</v>
      </c>
      <c r="P455" s="14">
        <f t="shared" si="148"/>
        <v>1.8884264999999623E-2</v>
      </c>
      <c r="Q455" s="18">
        <f t="shared" si="149"/>
        <v>1.5807626629165204E-2</v>
      </c>
      <c r="R455" s="15">
        <f t="shared" ca="1" si="150"/>
        <v>4.2878274985422742</v>
      </c>
      <c r="S455" s="15">
        <f t="shared" si="151"/>
        <v>4.4060009677419343</v>
      </c>
      <c r="T455" s="15">
        <f t="shared" ca="1" si="152"/>
        <v>0.1181734691996601</v>
      </c>
      <c r="U455" s="18">
        <f t="shared" ca="1" si="153"/>
        <v>2.6821026610038112E-2</v>
      </c>
      <c r="V455" s="15">
        <f t="shared" si="154"/>
        <v>3.7750000000000004</v>
      </c>
      <c r="W455" s="15">
        <f t="shared" ca="1" si="155"/>
        <v>3.7121725014577258</v>
      </c>
      <c r="X455" s="15">
        <f t="shared" ca="1" si="156"/>
        <v>6.282749854227454E-2</v>
      </c>
      <c r="Y455" s="35">
        <f t="shared" ca="1" si="157"/>
        <v>1.6643045971463453E-2</v>
      </c>
      <c r="Z455" s="36">
        <f t="shared" ca="1" si="158"/>
        <v>64.54607</v>
      </c>
      <c r="AA455" s="18">
        <f t="shared" ca="1" si="159"/>
        <v>1.1545635528330949E-2</v>
      </c>
      <c r="AB455" s="2"/>
    </row>
    <row r="456" spans="6:28" x14ac:dyDescent="0.25">
      <c r="F456" s="14">
        <v>454</v>
      </c>
      <c r="G456" s="14">
        <f t="shared" si="140"/>
        <v>65.400000000000006</v>
      </c>
      <c r="H456" s="14">
        <f t="shared" si="141"/>
        <v>338.54999999999995</v>
      </c>
      <c r="I456" s="15">
        <f t="shared" si="142"/>
        <v>3.7833329999999998</v>
      </c>
      <c r="J456" s="15">
        <f t="shared" si="143"/>
        <v>2055.4556969999999</v>
      </c>
      <c r="K456" s="15">
        <f t="shared" si="144"/>
        <v>1.0754556969999998</v>
      </c>
      <c r="L456" s="15">
        <f t="shared" si="145"/>
        <v>1173.444115</v>
      </c>
      <c r="M456" s="15">
        <v>1164.92</v>
      </c>
      <c r="N456" s="14">
        <f t="shared" si="146"/>
        <v>1.1734441149999999</v>
      </c>
      <c r="O456" s="14">
        <f t="shared" si="147"/>
        <v>1.1923399999999997</v>
      </c>
      <c r="P456" s="14">
        <f t="shared" si="148"/>
        <v>1.8895884999999835E-2</v>
      </c>
      <c r="Q456" s="18">
        <f t="shared" si="149"/>
        <v>1.5847732190482446E-2</v>
      </c>
      <c r="R456" s="15">
        <f t="shared" ca="1" si="150"/>
        <v>4.2809955014577259</v>
      </c>
      <c r="S456" s="15">
        <f t="shared" si="151"/>
        <v>4.3975550537634396</v>
      </c>
      <c r="T456" s="15">
        <f t="shared" ca="1" si="152"/>
        <v>0.11655955230571369</v>
      </c>
      <c r="U456" s="18">
        <f t="shared" ca="1" si="153"/>
        <v>2.6505535662586351E-2</v>
      </c>
      <c r="V456" s="15">
        <f t="shared" si="154"/>
        <v>3.7833333333333341</v>
      </c>
      <c r="W456" s="15">
        <f t="shared" ca="1" si="155"/>
        <v>3.7190044985422741</v>
      </c>
      <c r="X456" s="15">
        <f t="shared" ca="1" si="156"/>
        <v>6.4328834791059997E-2</v>
      </c>
      <c r="Y456" s="35">
        <f t="shared" ca="1" si="157"/>
        <v>1.7003216244333035E-2</v>
      </c>
      <c r="Z456" s="36">
        <f t="shared" ca="1" si="158"/>
        <v>64.628054000000006</v>
      </c>
      <c r="AA456" s="18">
        <f t="shared" ca="1" si="159"/>
        <v>1.1803455657492351E-2</v>
      </c>
      <c r="AB456" s="2"/>
    </row>
    <row r="457" spans="6:28" x14ac:dyDescent="0.25">
      <c r="F457" s="14">
        <v>455</v>
      </c>
      <c r="G457" s="14">
        <f t="shared" si="140"/>
        <v>65.5</v>
      </c>
      <c r="H457" s="14">
        <f t="shared" si="141"/>
        <v>338.65</v>
      </c>
      <c r="I457" s="15">
        <f t="shared" si="142"/>
        <v>3.7916669999999999</v>
      </c>
      <c r="J457" s="15">
        <f t="shared" si="143"/>
        <v>2048.2737520000001</v>
      </c>
      <c r="K457" s="15">
        <f t="shared" si="144"/>
        <v>1.0682737520000001</v>
      </c>
      <c r="L457" s="15">
        <f t="shared" si="145"/>
        <v>1171.1448250000001</v>
      </c>
      <c r="M457" s="15">
        <v>1162.55</v>
      </c>
      <c r="N457" s="14">
        <f t="shared" si="146"/>
        <v>1.1711448250000001</v>
      </c>
      <c r="O457" s="14">
        <f t="shared" si="147"/>
        <v>1.1900499999999998</v>
      </c>
      <c r="P457" s="14">
        <f t="shared" si="148"/>
        <v>1.8905174999999774E-2</v>
      </c>
      <c r="Q457" s="18">
        <f t="shared" si="149"/>
        <v>1.5886034200243499E-2</v>
      </c>
      <c r="R457" s="15">
        <f t="shared" ca="1" si="150"/>
        <v>4.2718162274052487</v>
      </c>
      <c r="S457" s="15">
        <f t="shared" si="151"/>
        <v>4.3891091397849458</v>
      </c>
      <c r="T457" s="15">
        <f t="shared" ca="1" si="152"/>
        <v>0.11729291237969708</v>
      </c>
      <c r="U457" s="18">
        <f t="shared" ca="1" si="153"/>
        <v>2.6723626285912797E-2</v>
      </c>
      <c r="V457" s="15">
        <f t="shared" si="154"/>
        <v>3.7916666666666661</v>
      </c>
      <c r="W457" s="15">
        <f t="shared" ca="1" si="155"/>
        <v>3.7281837725947513</v>
      </c>
      <c r="X457" s="15">
        <f t="shared" ca="1" si="156"/>
        <v>6.3482894071914764E-2</v>
      </c>
      <c r="Y457" s="35">
        <f t="shared" ca="1" si="157"/>
        <v>1.6742741293691809E-2</v>
      </c>
      <c r="Z457" s="36">
        <f t="shared" ca="1" si="158"/>
        <v>64.738204999999994</v>
      </c>
      <c r="AA457" s="18">
        <f t="shared" ca="1" si="159"/>
        <v>1.1630458015267273E-2</v>
      </c>
      <c r="AB457" s="2"/>
    </row>
    <row r="458" spans="6:28" x14ac:dyDescent="0.25">
      <c r="F458" s="14">
        <v>456</v>
      </c>
      <c r="G458" s="14">
        <f t="shared" si="140"/>
        <v>65.599999999999994</v>
      </c>
      <c r="H458" s="14">
        <f t="shared" si="141"/>
        <v>338.75</v>
      </c>
      <c r="I458" s="15">
        <f t="shared" si="142"/>
        <v>3.8</v>
      </c>
      <c r="J458" s="15">
        <f t="shared" si="143"/>
        <v>2041.12066</v>
      </c>
      <c r="K458" s="15">
        <f t="shared" si="144"/>
        <v>1.0611206600000003</v>
      </c>
      <c r="L458" s="15">
        <f t="shared" si="145"/>
        <v>1168.847878</v>
      </c>
      <c r="M458" s="15">
        <v>1160.18</v>
      </c>
      <c r="N458" s="14">
        <f t="shared" si="146"/>
        <v>1.1688478780000002</v>
      </c>
      <c r="O458" s="14">
        <f t="shared" si="147"/>
        <v>1.1877600000000001</v>
      </c>
      <c r="P458" s="14">
        <f t="shared" si="148"/>
        <v>1.891212199999992E-2</v>
      </c>
      <c r="Q458" s="18">
        <f t="shared" si="149"/>
        <v>1.592251128174035E-2</v>
      </c>
      <c r="R458" s="15">
        <f t="shared" ca="1" si="150"/>
        <v>4.2634489999999996</v>
      </c>
      <c r="S458" s="15">
        <f t="shared" si="151"/>
        <v>4.380663225806452</v>
      </c>
      <c r="T458" s="15">
        <f t="shared" ca="1" si="152"/>
        <v>0.11721422580645235</v>
      </c>
      <c r="U458" s="18">
        <f t="shared" ca="1" si="153"/>
        <v>2.6757187157402169E-2</v>
      </c>
      <c r="V458" s="15">
        <f t="shared" si="154"/>
        <v>3.7999999999999989</v>
      </c>
      <c r="W458" s="15">
        <f t="shared" ca="1" si="155"/>
        <v>3.7365510000000004</v>
      </c>
      <c r="X458" s="15">
        <f t="shared" ca="1" si="156"/>
        <v>6.3448999999998534E-2</v>
      </c>
      <c r="Y458" s="35">
        <f t="shared" ca="1" si="157"/>
        <v>1.6697105263157513E-2</v>
      </c>
      <c r="Z458" s="36">
        <f t="shared" ca="1" si="158"/>
        <v>64.838611999999998</v>
      </c>
      <c r="AA458" s="18">
        <f t="shared" ca="1" si="159"/>
        <v>1.1606524390243851E-2</v>
      </c>
      <c r="AB458" s="2"/>
    </row>
    <row r="459" spans="6:28" x14ac:dyDescent="0.25">
      <c r="F459" s="14">
        <v>457</v>
      </c>
      <c r="G459" s="14">
        <f t="shared" si="140"/>
        <v>65.7</v>
      </c>
      <c r="H459" s="14">
        <f t="shared" si="141"/>
        <v>338.84999999999997</v>
      </c>
      <c r="I459" s="15">
        <f t="shared" si="142"/>
        <v>3.8083330000000002</v>
      </c>
      <c r="J459" s="15">
        <f t="shared" si="143"/>
        <v>2033.99629</v>
      </c>
      <c r="K459" s="15">
        <f t="shared" si="144"/>
        <v>1.0539962900000002</v>
      </c>
      <c r="L459" s="15">
        <f t="shared" si="145"/>
        <v>1166.5532840000001</v>
      </c>
      <c r="M459" s="15">
        <v>1158.07</v>
      </c>
      <c r="N459" s="14">
        <f t="shared" si="146"/>
        <v>1.1665532840000001</v>
      </c>
      <c r="O459" s="14">
        <f t="shared" si="147"/>
        <v>1.1854699999999998</v>
      </c>
      <c r="P459" s="14">
        <f t="shared" si="148"/>
        <v>1.8916715999999667E-2</v>
      </c>
      <c r="Q459" s="18">
        <f t="shared" si="149"/>
        <v>1.5957144423730394E-2</v>
      </c>
      <c r="R459" s="15">
        <f t="shared" ca="1" si="150"/>
        <v>4.254693635568513</v>
      </c>
      <c r="S459" s="15">
        <f t="shared" si="151"/>
        <v>4.3722173118279564</v>
      </c>
      <c r="T459" s="15">
        <f t="shared" ca="1" si="152"/>
        <v>0.11752367625944338</v>
      </c>
      <c r="U459" s="18">
        <f t="shared" ca="1" si="153"/>
        <v>2.6879651187856568E-2</v>
      </c>
      <c r="V459" s="15">
        <f t="shared" si="154"/>
        <v>3.8083333333333336</v>
      </c>
      <c r="W459" s="15">
        <f t="shared" ca="1" si="155"/>
        <v>3.745306364431487</v>
      </c>
      <c r="X459" s="15">
        <f t="shared" ca="1" si="156"/>
        <v>6.3026968901846558E-2</v>
      </c>
      <c r="Y459" s="35">
        <f t="shared" ca="1" si="157"/>
        <v>1.6549751133964084E-2</v>
      </c>
      <c r="Z459" s="36">
        <f t="shared" ca="1" si="158"/>
        <v>64.943675999999996</v>
      </c>
      <c r="AA459" s="18">
        <f t="shared" ca="1" si="159"/>
        <v>1.1511780821917906E-2</v>
      </c>
      <c r="AB459" s="2"/>
    </row>
    <row r="460" spans="6:28" x14ac:dyDescent="0.25">
      <c r="F460" s="14">
        <v>458</v>
      </c>
      <c r="G460" s="14">
        <f t="shared" si="140"/>
        <v>65.800000000000011</v>
      </c>
      <c r="H460" s="14">
        <f t="shared" si="141"/>
        <v>338.95</v>
      </c>
      <c r="I460" s="15">
        <f t="shared" si="142"/>
        <v>3.8166669999999998</v>
      </c>
      <c r="J460" s="15">
        <f t="shared" si="143"/>
        <v>2026.9005119999999</v>
      </c>
      <c r="K460" s="15">
        <f t="shared" si="144"/>
        <v>1.0469005120000001</v>
      </c>
      <c r="L460" s="15">
        <f t="shared" si="145"/>
        <v>1164.2610520000001</v>
      </c>
      <c r="M460" s="15">
        <v>1155.69</v>
      </c>
      <c r="N460" s="14">
        <f t="shared" si="146"/>
        <v>1.1642610520000001</v>
      </c>
      <c r="O460" s="14">
        <f t="shared" si="147"/>
        <v>1.1831799999999997</v>
      </c>
      <c r="P460" s="14">
        <f t="shared" si="148"/>
        <v>1.8918947999999602E-2</v>
      </c>
      <c r="Q460" s="18">
        <f t="shared" si="149"/>
        <v>1.59899153129698E-2</v>
      </c>
      <c r="R460" s="15">
        <f t="shared" ca="1" si="150"/>
        <v>4.2459364985422745</v>
      </c>
      <c r="S460" s="15">
        <f t="shared" si="151"/>
        <v>4.3637713978494608</v>
      </c>
      <c r="T460" s="15">
        <f t="shared" ca="1" si="152"/>
        <v>0.11783489930718627</v>
      </c>
      <c r="U460" s="18">
        <f t="shared" ca="1" si="153"/>
        <v>2.7002995474340676E-2</v>
      </c>
      <c r="V460" s="15">
        <f t="shared" si="154"/>
        <v>3.8166666666666673</v>
      </c>
      <c r="W460" s="15">
        <f t="shared" ca="1" si="155"/>
        <v>3.7540635014577255</v>
      </c>
      <c r="X460" s="15">
        <f t="shared" ca="1" si="156"/>
        <v>6.2603165208941824E-2</v>
      </c>
      <c r="Y460" s="35">
        <f t="shared" ca="1" si="157"/>
        <v>1.6402576037277333E-2</v>
      </c>
      <c r="Z460" s="36">
        <f t="shared" ca="1" si="158"/>
        <v>65.048761999999996</v>
      </c>
      <c r="AA460" s="18">
        <f t="shared" ca="1" si="159"/>
        <v>1.1416990881459192E-2</v>
      </c>
      <c r="AB460" s="2"/>
    </row>
    <row r="461" spans="6:28" x14ac:dyDescent="0.25">
      <c r="F461" s="14">
        <v>459</v>
      </c>
      <c r="G461" s="14">
        <f t="shared" si="140"/>
        <v>65.900000000000006</v>
      </c>
      <c r="H461" s="14">
        <f t="shared" si="141"/>
        <v>339.04999999999995</v>
      </c>
      <c r="I461" s="15">
        <f t="shared" si="142"/>
        <v>3.8250000000000002</v>
      </c>
      <c r="J461" s="15">
        <f t="shared" si="143"/>
        <v>2019.833198</v>
      </c>
      <c r="K461" s="15">
        <f t="shared" si="144"/>
        <v>1.0398331980000002</v>
      </c>
      <c r="L461" s="15">
        <f t="shared" si="145"/>
        <v>1161.9711930000001</v>
      </c>
      <c r="M461" s="15">
        <v>1153.44</v>
      </c>
      <c r="N461" s="14">
        <f t="shared" si="146"/>
        <v>1.1619711930000001</v>
      </c>
      <c r="O461" s="14">
        <f t="shared" si="147"/>
        <v>1.1808899999999998</v>
      </c>
      <c r="P461" s="14">
        <f t="shared" si="148"/>
        <v>1.8918806999999704E-2</v>
      </c>
      <c r="Q461" s="18">
        <f t="shared" si="149"/>
        <v>1.6020803800523085E-2</v>
      </c>
      <c r="R461" s="15">
        <f t="shared" ca="1" si="150"/>
        <v>4.2387621370262387</v>
      </c>
      <c r="S461" s="15">
        <f t="shared" si="151"/>
        <v>4.355325483870967</v>
      </c>
      <c r="T461" s="15">
        <f t="shared" ca="1" si="152"/>
        <v>0.11656334684472824</v>
      </c>
      <c r="U461" s="18">
        <f t="shared" ca="1" si="153"/>
        <v>2.6763406610228354E-2</v>
      </c>
      <c r="V461" s="15">
        <f t="shared" si="154"/>
        <v>3.8250000000000002</v>
      </c>
      <c r="W461" s="15">
        <f t="shared" ca="1" si="155"/>
        <v>3.7612378629737613</v>
      </c>
      <c r="X461" s="15">
        <f t="shared" ca="1" si="156"/>
        <v>6.3762137026238896E-2</v>
      </c>
      <c r="Y461" s="35">
        <f t="shared" ca="1" si="157"/>
        <v>1.6669839745421931E-2</v>
      </c>
      <c r="Z461" s="36">
        <f t="shared" ca="1" si="158"/>
        <v>65.134854000000004</v>
      </c>
      <c r="AA461" s="18">
        <f t="shared" ca="1" si="159"/>
        <v>1.1610713201820961E-2</v>
      </c>
      <c r="AB461" s="2"/>
    </row>
    <row r="462" spans="6:28" x14ac:dyDescent="0.25">
      <c r="F462" s="14">
        <v>460</v>
      </c>
      <c r="G462" s="14">
        <f t="shared" si="140"/>
        <v>66</v>
      </c>
      <c r="H462" s="14">
        <f t="shared" si="141"/>
        <v>339.15</v>
      </c>
      <c r="I462" s="15">
        <f t="shared" si="142"/>
        <v>3.8333330000000001</v>
      </c>
      <c r="J462" s="15">
        <f t="shared" si="143"/>
        <v>2012.7942210000001</v>
      </c>
      <c r="K462" s="15">
        <f t="shared" si="144"/>
        <v>1.0327942210000001</v>
      </c>
      <c r="L462" s="15">
        <f t="shared" si="145"/>
        <v>1159.683718</v>
      </c>
      <c r="M462" s="15">
        <v>1151.05</v>
      </c>
      <c r="N462" s="14">
        <f t="shared" si="146"/>
        <v>1.1596837179999999</v>
      </c>
      <c r="O462" s="14">
        <f t="shared" si="147"/>
        <v>1.1785999999999999</v>
      </c>
      <c r="P462" s="14">
        <f t="shared" si="148"/>
        <v>1.8916281999999951E-2</v>
      </c>
      <c r="Q462" s="18">
        <f t="shared" si="149"/>
        <v>1.6049789580858606E-2</v>
      </c>
      <c r="R462" s="15">
        <f t="shared" ca="1" si="150"/>
        <v>4.2300219999999999</v>
      </c>
      <c r="S462" s="15">
        <f t="shared" si="151"/>
        <v>4.3468795698924723</v>
      </c>
      <c r="T462" s="15">
        <f t="shared" ca="1" si="152"/>
        <v>0.11685756989247231</v>
      </c>
      <c r="U462" s="18">
        <f t="shared" ca="1" si="153"/>
        <v>2.6883093495816125E-2</v>
      </c>
      <c r="V462" s="15">
        <f t="shared" si="154"/>
        <v>3.8333333333333339</v>
      </c>
      <c r="W462" s="15">
        <f t="shared" ca="1" si="155"/>
        <v>3.7699780000000001</v>
      </c>
      <c r="X462" s="15">
        <f t="shared" ca="1" si="156"/>
        <v>6.3355333333333874E-2</v>
      </c>
      <c r="Y462" s="35">
        <f t="shared" ca="1" si="157"/>
        <v>1.6527478260869703E-2</v>
      </c>
      <c r="Z462" s="36">
        <f t="shared" ca="1" si="158"/>
        <v>65.239735999999994</v>
      </c>
      <c r="AA462" s="18">
        <f t="shared" ca="1" si="159"/>
        <v>1.1519151515151614E-2</v>
      </c>
      <c r="AB462" s="2"/>
    </row>
    <row r="463" spans="6:28" x14ac:dyDescent="0.25">
      <c r="F463" s="14">
        <v>461</v>
      </c>
      <c r="G463" s="14">
        <f t="shared" si="140"/>
        <v>66.099999999999994</v>
      </c>
      <c r="H463" s="14">
        <f t="shared" si="141"/>
        <v>339.25</v>
      </c>
      <c r="I463" s="15">
        <f t="shared" si="142"/>
        <v>3.8416670000000002</v>
      </c>
      <c r="J463" s="15">
        <f t="shared" si="143"/>
        <v>2005.7834519999999</v>
      </c>
      <c r="K463" s="15">
        <f t="shared" si="144"/>
        <v>1.0257834519999998</v>
      </c>
      <c r="L463" s="15">
        <f t="shared" si="145"/>
        <v>1157.3986359999999</v>
      </c>
      <c r="M463" s="15">
        <v>1148.79</v>
      </c>
      <c r="N463" s="14">
        <f t="shared" si="146"/>
        <v>1.1573986359999999</v>
      </c>
      <c r="O463" s="14">
        <f t="shared" si="147"/>
        <v>1.17631</v>
      </c>
      <c r="P463" s="14">
        <f t="shared" si="148"/>
        <v>1.8911364000000042E-2</v>
      </c>
      <c r="Q463" s="18">
        <f t="shared" si="149"/>
        <v>1.6076853890556096E-2</v>
      </c>
      <c r="R463" s="15">
        <f t="shared" ca="1" si="150"/>
        <v>4.2220723644314875</v>
      </c>
      <c r="S463" s="15">
        <f t="shared" si="151"/>
        <v>4.3384336559139784</v>
      </c>
      <c r="T463" s="15">
        <f t="shared" ca="1" si="152"/>
        <v>0.11636129148249097</v>
      </c>
      <c r="U463" s="18">
        <f t="shared" ca="1" si="153"/>
        <v>2.6821037432224401E-2</v>
      </c>
      <c r="V463" s="15">
        <f t="shared" si="154"/>
        <v>3.8416666666666659</v>
      </c>
      <c r="W463" s="15">
        <f t="shared" ca="1" si="155"/>
        <v>3.7779276355685125</v>
      </c>
      <c r="X463" s="15">
        <f t="shared" ca="1" si="156"/>
        <v>6.3739031098153376E-2</v>
      </c>
      <c r="Y463" s="35">
        <f t="shared" ca="1" si="157"/>
        <v>1.659150484116791E-2</v>
      </c>
      <c r="Z463" s="36">
        <f t="shared" ca="1" si="158"/>
        <v>65.335132000000002</v>
      </c>
      <c r="AA463" s="18">
        <f t="shared" ca="1" si="159"/>
        <v>1.1571376701966609E-2</v>
      </c>
      <c r="AB463" s="2"/>
    </row>
    <row r="464" spans="6:28" x14ac:dyDescent="0.25">
      <c r="F464" s="14">
        <v>462</v>
      </c>
      <c r="G464" s="14">
        <f t="shared" si="140"/>
        <v>66.2</v>
      </c>
      <c r="H464" s="14">
        <f t="shared" si="141"/>
        <v>339.34999999999997</v>
      </c>
      <c r="I464" s="15">
        <f t="shared" si="142"/>
        <v>3.85</v>
      </c>
      <c r="J464" s="15">
        <f t="shared" si="143"/>
        <v>1998.8007660000001</v>
      </c>
      <c r="K464" s="15">
        <f t="shared" si="144"/>
        <v>1.018800766</v>
      </c>
      <c r="L464" s="15">
        <f t="shared" si="145"/>
        <v>1155.1159580000001</v>
      </c>
      <c r="M464" s="15">
        <v>1146.4000000000001</v>
      </c>
      <c r="N464" s="14">
        <f t="shared" si="146"/>
        <v>1.1551159580000003</v>
      </c>
      <c r="O464" s="14">
        <f t="shared" si="147"/>
        <v>1.1740199999999998</v>
      </c>
      <c r="P464" s="14">
        <f t="shared" si="148"/>
        <v>1.890404199999951E-2</v>
      </c>
      <c r="Q464" s="18">
        <f t="shared" si="149"/>
        <v>1.6101976116249733E-2</v>
      </c>
      <c r="R464" s="15">
        <f t="shared" ca="1" si="150"/>
        <v>4.2129756355685126</v>
      </c>
      <c r="S464" s="15">
        <f t="shared" si="151"/>
        <v>4.3299877419354829</v>
      </c>
      <c r="T464" s="15">
        <f t="shared" ca="1" si="152"/>
        <v>0.11701210636697024</v>
      </c>
      <c r="U464" s="18">
        <f t="shared" ca="1" si="153"/>
        <v>2.7023657650048313E-2</v>
      </c>
      <c r="V464" s="15">
        <f t="shared" si="154"/>
        <v>3.8500000000000005</v>
      </c>
      <c r="W464" s="15">
        <f t="shared" ca="1" si="155"/>
        <v>3.7870243644314874</v>
      </c>
      <c r="X464" s="15">
        <f t="shared" ca="1" si="156"/>
        <v>6.2975635568513155E-2</v>
      </c>
      <c r="Y464" s="35">
        <f t="shared" ca="1" si="157"/>
        <v>1.6357307939873545E-2</v>
      </c>
      <c r="Z464" s="36">
        <f t="shared" ca="1" si="158"/>
        <v>65.444292000000004</v>
      </c>
      <c r="AA464" s="18">
        <f t="shared" ca="1" si="159"/>
        <v>1.1415528700906322E-2</v>
      </c>
      <c r="AB464" s="2"/>
    </row>
    <row r="465" spans="6:28" x14ac:dyDescent="0.25">
      <c r="F465" s="14">
        <v>463</v>
      </c>
      <c r="G465" s="14">
        <f t="shared" si="140"/>
        <v>66.300000000000011</v>
      </c>
      <c r="H465" s="14">
        <f t="shared" si="141"/>
        <v>339.45</v>
      </c>
      <c r="I465" s="15">
        <f t="shared" si="142"/>
        <v>3.858333</v>
      </c>
      <c r="J465" s="15">
        <f t="shared" si="143"/>
        <v>1991.846035</v>
      </c>
      <c r="K465" s="15">
        <f t="shared" si="144"/>
        <v>1.011846035</v>
      </c>
      <c r="L465" s="15">
        <f t="shared" si="145"/>
        <v>1152.8356940000001</v>
      </c>
      <c r="M465" s="15">
        <v>1144</v>
      </c>
      <c r="N465" s="14">
        <f t="shared" si="146"/>
        <v>1.152835694</v>
      </c>
      <c r="O465" s="14">
        <f t="shared" si="147"/>
        <v>1.1717299999999997</v>
      </c>
      <c r="P465" s="14">
        <f t="shared" si="148"/>
        <v>1.889430599999975E-2</v>
      </c>
      <c r="Q465" s="18">
        <f t="shared" si="149"/>
        <v>1.6125136336869204E-2</v>
      </c>
      <c r="R465" s="15">
        <f t="shared" ca="1" si="150"/>
        <v>4.2058245014577258</v>
      </c>
      <c r="S465" s="15">
        <f t="shared" si="151"/>
        <v>4.3215418279569882</v>
      </c>
      <c r="T465" s="15">
        <f t="shared" ca="1" si="152"/>
        <v>0.11571732649926236</v>
      </c>
      <c r="U465" s="18">
        <f t="shared" ca="1" si="153"/>
        <v>2.6776861385596679E-2</v>
      </c>
      <c r="V465" s="15">
        <f t="shared" si="154"/>
        <v>3.8583333333333334</v>
      </c>
      <c r="W465" s="15">
        <f t="shared" ca="1" si="155"/>
        <v>3.7941754985422742</v>
      </c>
      <c r="X465" s="15">
        <f t="shared" ca="1" si="156"/>
        <v>6.4157834791059187E-2</v>
      </c>
      <c r="Y465" s="35">
        <f t="shared" ca="1" si="157"/>
        <v>1.6628380507401948E-2</v>
      </c>
      <c r="Z465" s="36">
        <f t="shared" ca="1" si="158"/>
        <v>65.530106000000004</v>
      </c>
      <c r="AA465" s="18">
        <f t="shared" ca="1" si="159"/>
        <v>1.1612277526395289E-2</v>
      </c>
      <c r="AB465" s="2"/>
    </row>
    <row r="466" spans="6:28" x14ac:dyDescent="0.25">
      <c r="F466" s="14">
        <v>464</v>
      </c>
      <c r="G466" s="14">
        <f t="shared" si="140"/>
        <v>66.400000000000006</v>
      </c>
      <c r="H466" s="14">
        <f t="shared" si="141"/>
        <v>339.54999999999995</v>
      </c>
      <c r="I466" s="15">
        <f t="shared" si="142"/>
        <v>3.8666670000000001</v>
      </c>
      <c r="J466" s="15">
        <f t="shared" si="143"/>
        <v>1984.9191350000001</v>
      </c>
      <c r="K466" s="15">
        <f t="shared" si="144"/>
        <v>1.0049191350000002</v>
      </c>
      <c r="L466" s="15">
        <f t="shared" si="145"/>
        <v>1150.5578539999999</v>
      </c>
      <c r="M466" s="15">
        <v>1141.8699999999999</v>
      </c>
      <c r="N466" s="14">
        <f t="shared" si="146"/>
        <v>1.1505578539999999</v>
      </c>
      <c r="O466" s="14">
        <f t="shared" si="147"/>
        <v>1.1694399999999998</v>
      </c>
      <c r="P466" s="14">
        <f t="shared" si="148"/>
        <v>1.8882145999999933E-2</v>
      </c>
      <c r="Q466" s="18">
        <f t="shared" si="149"/>
        <v>1.6146314475304364E-2</v>
      </c>
      <c r="R466" s="15">
        <f t="shared" ca="1" si="150"/>
        <v>4.1963388629737617</v>
      </c>
      <c r="S466" s="15">
        <f t="shared" si="151"/>
        <v>4.3130959139784935</v>
      </c>
      <c r="T466" s="15">
        <f t="shared" ca="1" si="152"/>
        <v>0.11675705100473177</v>
      </c>
      <c r="U466" s="18">
        <f t="shared" ca="1" si="153"/>
        <v>2.7070358121721556E-2</v>
      </c>
      <c r="V466" s="15">
        <f t="shared" si="154"/>
        <v>3.8666666666666671</v>
      </c>
      <c r="W466" s="15">
        <f t="shared" ca="1" si="155"/>
        <v>3.8036611370262383</v>
      </c>
      <c r="X466" s="15">
        <f t="shared" ca="1" si="156"/>
        <v>6.3005529640428826E-2</v>
      </c>
      <c r="Y466" s="35">
        <f t="shared" ca="1" si="157"/>
        <v>1.6294533527697108E-2</v>
      </c>
      <c r="Z466" s="36">
        <f t="shared" ca="1" si="158"/>
        <v>65.643934000000002</v>
      </c>
      <c r="AA466" s="18">
        <f t="shared" ca="1" si="159"/>
        <v>1.1386536144578374E-2</v>
      </c>
      <c r="AB466" s="2"/>
    </row>
    <row r="467" spans="6:28" x14ac:dyDescent="0.25">
      <c r="F467" s="14">
        <v>465</v>
      </c>
      <c r="G467" s="14">
        <f t="shared" si="140"/>
        <v>66.5</v>
      </c>
      <c r="H467" s="14">
        <f t="shared" si="141"/>
        <v>339.65</v>
      </c>
      <c r="I467" s="15">
        <f t="shared" si="142"/>
        <v>3.875</v>
      </c>
      <c r="J467" s="15">
        <f t="shared" si="143"/>
        <v>1978.0199399999999</v>
      </c>
      <c r="K467" s="15">
        <f t="shared" si="144"/>
        <v>0.99801994000000005</v>
      </c>
      <c r="L467" s="15">
        <f t="shared" si="145"/>
        <v>1148.2824479999999</v>
      </c>
      <c r="M467" s="15">
        <v>1139.5999999999999</v>
      </c>
      <c r="N467" s="14">
        <f t="shared" si="146"/>
        <v>1.148282448</v>
      </c>
      <c r="O467" s="14">
        <f t="shared" si="147"/>
        <v>1.1671499999999999</v>
      </c>
      <c r="P467" s="14">
        <f t="shared" si="148"/>
        <v>1.8867551999999899E-2</v>
      </c>
      <c r="Q467" s="18">
        <f t="shared" si="149"/>
        <v>1.6165490296876923E-2</v>
      </c>
      <c r="R467" s="15">
        <f t="shared" ca="1" si="150"/>
        <v>4.1888203644314874</v>
      </c>
      <c r="S467" s="15">
        <f t="shared" si="151"/>
        <v>4.3046499999999996</v>
      </c>
      <c r="T467" s="15">
        <f t="shared" ca="1" si="152"/>
        <v>0.11582963556851222</v>
      </c>
      <c r="U467" s="18">
        <f t="shared" ca="1" si="153"/>
        <v>2.6908026336290344E-2</v>
      </c>
      <c r="V467" s="15">
        <f t="shared" si="154"/>
        <v>3.875</v>
      </c>
      <c r="W467" s="15">
        <f t="shared" ca="1" si="155"/>
        <v>3.8111796355685126</v>
      </c>
      <c r="X467" s="15">
        <f t="shared" ca="1" si="156"/>
        <v>6.382036443148742E-2</v>
      </c>
      <c r="Y467" s="35">
        <f t="shared" ca="1" si="157"/>
        <v>1.6469771466190303E-2</v>
      </c>
      <c r="Z467" s="36">
        <f t="shared" ca="1" si="158"/>
        <v>65.734155999999999</v>
      </c>
      <c r="AA467" s="18">
        <f t="shared" ca="1" si="159"/>
        <v>1.1516451127819568E-2</v>
      </c>
      <c r="AB467" s="2"/>
    </row>
    <row r="468" spans="6:28" x14ac:dyDescent="0.25">
      <c r="F468" s="14">
        <v>466</v>
      </c>
      <c r="G468" s="14">
        <f t="shared" si="140"/>
        <v>66.599999999999994</v>
      </c>
      <c r="H468" s="14">
        <f t="shared" si="141"/>
        <v>339.75</v>
      </c>
      <c r="I468" s="15">
        <f t="shared" si="142"/>
        <v>3.8833329999999999</v>
      </c>
      <c r="J468" s="15">
        <f t="shared" si="143"/>
        <v>1971.1483270000001</v>
      </c>
      <c r="K468" s="15">
        <f t="shared" si="144"/>
        <v>0.99114832700000011</v>
      </c>
      <c r="L468" s="15">
        <f t="shared" si="145"/>
        <v>1146.0094859999999</v>
      </c>
      <c r="M468" s="15">
        <v>1137.19</v>
      </c>
      <c r="N468" s="14">
        <f t="shared" si="146"/>
        <v>1.1460094859999999</v>
      </c>
      <c r="O468" s="14">
        <f t="shared" si="147"/>
        <v>1.16486</v>
      </c>
      <c r="P468" s="14">
        <f t="shared" si="148"/>
        <v>1.8850514000000151E-2</v>
      </c>
      <c r="Q468" s="18">
        <f t="shared" si="149"/>
        <v>1.6182643407791623E-2</v>
      </c>
      <c r="R468" s="15">
        <f t="shared" ca="1" si="150"/>
        <v>4.1801547725947517</v>
      </c>
      <c r="S468" s="15">
        <f t="shared" si="151"/>
        <v>4.2962040860215049</v>
      </c>
      <c r="T468" s="15">
        <f t="shared" ca="1" si="152"/>
        <v>0.11604931342675329</v>
      </c>
      <c r="U468" s="18">
        <f t="shared" ca="1" si="153"/>
        <v>2.7012057877869724E-2</v>
      </c>
      <c r="V468" s="15">
        <f t="shared" si="154"/>
        <v>3.8833333333333329</v>
      </c>
      <c r="W468" s="15">
        <f t="shared" ca="1" si="155"/>
        <v>3.8198452274052483</v>
      </c>
      <c r="X468" s="15">
        <f t="shared" ca="1" si="156"/>
        <v>6.3488105928084515E-2</v>
      </c>
      <c r="Y468" s="35">
        <f t="shared" ca="1" si="157"/>
        <v>1.6348868479335071E-2</v>
      </c>
      <c r="Z468" s="36">
        <f t="shared" ca="1" si="158"/>
        <v>65.838143000000002</v>
      </c>
      <c r="AA468" s="18">
        <f t="shared" ca="1" si="159"/>
        <v>1.1439294294294175E-2</v>
      </c>
      <c r="AB468" s="2"/>
    </row>
    <row r="469" spans="6:28" x14ac:dyDescent="0.25">
      <c r="F469" s="14">
        <v>467</v>
      </c>
      <c r="G469" s="14">
        <f t="shared" si="140"/>
        <v>66.7</v>
      </c>
      <c r="H469" s="14">
        <f t="shared" si="141"/>
        <v>339.84999999999997</v>
      </c>
      <c r="I469" s="15">
        <f t="shared" si="142"/>
        <v>3.891667</v>
      </c>
      <c r="J469" s="15">
        <f t="shared" si="143"/>
        <v>1964.304171</v>
      </c>
      <c r="K469" s="15">
        <f t="shared" si="144"/>
        <v>0.98430417100000001</v>
      </c>
      <c r="L469" s="15">
        <f t="shared" si="145"/>
        <v>1143.738977</v>
      </c>
      <c r="M469" s="15">
        <v>1135.05</v>
      </c>
      <c r="N469" s="14">
        <f t="shared" si="146"/>
        <v>1.1437389769999999</v>
      </c>
      <c r="O469" s="14">
        <f t="shared" si="147"/>
        <v>1.1625699999999999</v>
      </c>
      <c r="P469" s="14">
        <f t="shared" si="148"/>
        <v>1.8831022999999947E-2</v>
      </c>
      <c r="Q469" s="18">
        <f t="shared" si="149"/>
        <v>1.6197754113730742E-2</v>
      </c>
      <c r="R469" s="15">
        <f t="shared" ca="1" si="150"/>
        <v>4.1722483644314874</v>
      </c>
      <c r="S469" s="15">
        <f t="shared" si="151"/>
        <v>4.2877581720430102</v>
      </c>
      <c r="T469" s="15">
        <f t="shared" ca="1" si="152"/>
        <v>0.11550980761152285</v>
      </c>
      <c r="U469" s="18">
        <f t="shared" ca="1" si="153"/>
        <v>2.6939440839893566E-2</v>
      </c>
      <c r="V469" s="15">
        <f t="shared" si="154"/>
        <v>3.8916666666666666</v>
      </c>
      <c r="W469" s="15">
        <f t="shared" ca="1" si="155"/>
        <v>3.8277516355685126</v>
      </c>
      <c r="X469" s="15">
        <f t="shared" ca="1" si="156"/>
        <v>6.3915031098153996E-2</v>
      </c>
      <c r="Y469" s="35">
        <f t="shared" ca="1" si="157"/>
        <v>1.6423562594814731E-2</v>
      </c>
      <c r="Z469" s="36">
        <f t="shared" ca="1" si="158"/>
        <v>65.933019999999999</v>
      </c>
      <c r="AA469" s="18">
        <f t="shared" ca="1" si="159"/>
        <v>1.1498950524737686E-2</v>
      </c>
      <c r="AB469" s="2"/>
    </row>
    <row r="470" spans="6:28" x14ac:dyDescent="0.25">
      <c r="F470" s="14">
        <v>468</v>
      </c>
      <c r="G470" s="14">
        <f t="shared" si="140"/>
        <v>66.800000000000011</v>
      </c>
      <c r="H470" s="14">
        <f t="shared" si="141"/>
        <v>339.95</v>
      </c>
      <c r="I470" s="15">
        <f t="shared" si="142"/>
        <v>3.9</v>
      </c>
      <c r="J470" s="15">
        <f t="shared" si="143"/>
        <v>1957.4873500000001</v>
      </c>
      <c r="K470" s="15">
        <f t="shared" si="144"/>
        <v>0.97748735000000009</v>
      </c>
      <c r="L470" s="15">
        <f t="shared" si="145"/>
        <v>1141.4709319999999</v>
      </c>
      <c r="M470" s="15">
        <v>1132.6300000000001</v>
      </c>
      <c r="N470" s="14">
        <f t="shared" si="146"/>
        <v>1.141470932</v>
      </c>
      <c r="O470" s="14">
        <f t="shared" si="147"/>
        <v>1.1602799999999998</v>
      </c>
      <c r="P470" s="14">
        <f t="shared" si="148"/>
        <v>1.8809067999999707E-2</v>
      </c>
      <c r="Q470" s="18">
        <f t="shared" si="149"/>
        <v>1.6210800841176019E-2</v>
      </c>
      <c r="R470" s="15">
        <f t="shared" ca="1" si="150"/>
        <v>4.1639753644314874</v>
      </c>
      <c r="S470" s="15">
        <f t="shared" si="151"/>
        <v>4.2793122580645147</v>
      </c>
      <c r="T470" s="15">
        <f t="shared" ca="1" si="152"/>
        <v>0.11533689363302724</v>
      </c>
      <c r="U470" s="18">
        <f t="shared" ca="1" si="153"/>
        <v>2.6952203222765713E-2</v>
      </c>
      <c r="V470" s="15">
        <f t="shared" si="154"/>
        <v>3.9000000000000012</v>
      </c>
      <c r="W470" s="15">
        <f t="shared" ca="1" si="155"/>
        <v>3.8360246355685126</v>
      </c>
      <c r="X470" s="15">
        <f t="shared" ca="1" si="156"/>
        <v>6.3975364431488657E-2</v>
      </c>
      <c r="Y470" s="35">
        <f t="shared" ca="1" si="157"/>
        <v>1.64039395978176E-2</v>
      </c>
      <c r="Z470" s="36">
        <f t="shared" ca="1" si="158"/>
        <v>66.032296000000002</v>
      </c>
      <c r="AA470" s="18">
        <f t="shared" ca="1" si="159"/>
        <v>1.1492574850299534E-2</v>
      </c>
      <c r="AB470" s="2"/>
    </row>
    <row r="471" spans="6:28" x14ac:dyDescent="0.25">
      <c r="F471" s="14">
        <v>469</v>
      </c>
      <c r="G471" s="14">
        <f t="shared" si="140"/>
        <v>66.900000000000006</v>
      </c>
      <c r="H471" s="14">
        <f t="shared" si="141"/>
        <v>340.04999999999995</v>
      </c>
      <c r="I471" s="15">
        <f t="shared" si="142"/>
        <v>3.9083329999999998</v>
      </c>
      <c r="J471" s="15">
        <f t="shared" si="143"/>
        <v>1950.6977420000001</v>
      </c>
      <c r="K471" s="15">
        <f t="shared" si="144"/>
        <v>0.97069774200000003</v>
      </c>
      <c r="L471" s="15">
        <f t="shared" si="145"/>
        <v>1139.2053599999999</v>
      </c>
      <c r="M471" s="15">
        <v>1130.48</v>
      </c>
      <c r="N471" s="14">
        <f t="shared" si="146"/>
        <v>1.1392053600000001</v>
      </c>
      <c r="O471" s="14">
        <f t="shared" si="147"/>
        <v>1.1579899999999999</v>
      </c>
      <c r="P471" s="14">
        <f t="shared" si="148"/>
        <v>1.8784639999999797E-2</v>
      </c>
      <c r="Q471" s="18">
        <f t="shared" si="149"/>
        <v>1.6221763573087678E-2</v>
      </c>
      <c r="R471" s="15">
        <f t="shared" ca="1" si="150"/>
        <v>4.154929862973761</v>
      </c>
      <c r="S471" s="15">
        <f t="shared" si="151"/>
        <v>4.2708663440860208</v>
      </c>
      <c r="T471" s="15">
        <f t="shared" ca="1" si="152"/>
        <v>0.11593648111225985</v>
      </c>
      <c r="U471" s="18">
        <f t="shared" ca="1" si="153"/>
        <v>2.7145893074551512E-2</v>
      </c>
      <c r="V471" s="15">
        <f t="shared" si="154"/>
        <v>3.9083333333333332</v>
      </c>
      <c r="W471" s="15">
        <f t="shared" ca="1" si="155"/>
        <v>3.845070137026239</v>
      </c>
      <c r="X471" s="15">
        <f t="shared" ca="1" si="156"/>
        <v>6.3263196307094205E-2</v>
      </c>
      <c r="Y471" s="35">
        <f t="shared" ca="1" si="157"/>
        <v>1.6186745323776768E-2</v>
      </c>
      <c r="Z471" s="36">
        <f t="shared" ca="1" si="158"/>
        <v>66.140842000000006</v>
      </c>
      <c r="AA471" s="18">
        <f t="shared" ca="1" si="159"/>
        <v>1.1347653213751857E-2</v>
      </c>
      <c r="AB471" s="2"/>
    </row>
    <row r="472" spans="6:28" x14ac:dyDescent="0.25">
      <c r="F472" s="14">
        <v>470</v>
      </c>
      <c r="G472" s="14">
        <f t="shared" si="140"/>
        <v>67</v>
      </c>
      <c r="H472" s="14">
        <f t="shared" si="141"/>
        <v>340.15</v>
      </c>
      <c r="I472" s="15">
        <f t="shared" si="142"/>
        <v>3.9166669999999999</v>
      </c>
      <c r="J472" s="15">
        <f t="shared" si="143"/>
        <v>1943.935223</v>
      </c>
      <c r="K472" s="15">
        <f t="shared" si="144"/>
        <v>0.96393522300000001</v>
      </c>
      <c r="L472" s="15">
        <f t="shared" si="145"/>
        <v>1136.9422709999999</v>
      </c>
      <c r="M472" s="15">
        <v>1128.06</v>
      </c>
      <c r="N472" s="14">
        <f t="shared" si="146"/>
        <v>1.1369422710000001</v>
      </c>
      <c r="O472" s="14">
        <f t="shared" si="147"/>
        <v>1.1556999999999999</v>
      </c>
      <c r="P472" s="14">
        <f t="shared" si="148"/>
        <v>1.8757728999999834E-2</v>
      </c>
      <c r="Q472" s="18">
        <f t="shared" si="149"/>
        <v>1.623062126849514E-2</v>
      </c>
      <c r="R472" s="15">
        <f t="shared" ca="1" si="150"/>
        <v>4.1470817725947517</v>
      </c>
      <c r="S472" s="15">
        <f t="shared" si="151"/>
        <v>4.2624204301075261</v>
      </c>
      <c r="T472" s="15">
        <f t="shared" ca="1" si="152"/>
        <v>0.11533865751277439</v>
      </c>
      <c r="U472" s="18">
        <f t="shared" ca="1" si="153"/>
        <v>2.7059427713437643E-2</v>
      </c>
      <c r="V472" s="15">
        <f t="shared" si="154"/>
        <v>3.916666666666667</v>
      </c>
      <c r="W472" s="15">
        <f t="shared" ca="1" si="155"/>
        <v>3.8529182274052483</v>
      </c>
      <c r="X472" s="15">
        <f t="shared" ca="1" si="156"/>
        <v>6.374843926141871E-2</v>
      </c>
      <c r="Y472" s="35">
        <f t="shared" ca="1" si="157"/>
        <v>1.6276197258234561E-2</v>
      </c>
      <c r="Z472" s="36">
        <f t="shared" ca="1" si="158"/>
        <v>66.235018999999994</v>
      </c>
      <c r="AA472" s="18">
        <f t="shared" ca="1" si="159"/>
        <v>1.1417626865671731E-2</v>
      </c>
      <c r="AB472" s="2"/>
    </row>
    <row r="473" spans="6:28" x14ac:dyDescent="0.25">
      <c r="F473" s="14">
        <v>471</v>
      </c>
      <c r="G473" s="14">
        <f t="shared" si="140"/>
        <v>67.099999999999994</v>
      </c>
      <c r="H473" s="14">
        <f t="shared" si="141"/>
        <v>340.25</v>
      </c>
      <c r="I473" s="15">
        <f t="shared" si="142"/>
        <v>3.9249999999999998</v>
      </c>
      <c r="J473" s="15">
        <f t="shared" si="143"/>
        <v>1937.199674</v>
      </c>
      <c r="K473" s="15">
        <f t="shared" si="144"/>
        <v>0.95719967399999994</v>
      </c>
      <c r="L473" s="15">
        <f t="shared" si="145"/>
        <v>1134.681673</v>
      </c>
      <c r="M473" s="15">
        <v>1125.77</v>
      </c>
      <c r="N473" s="14">
        <f t="shared" si="146"/>
        <v>1.1346816730000002</v>
      </c>
      <c r="O473" s="14">
        <f t="shared" si="147"/>
        <v>1.15341</v>
      </c>
      <c r="P473" s="14">
        <f t="shared" si="148"/>
        <v>1.8728326999999823E-2</v>
      </c>
      <c r="Q473" s="18">
        <f t="shared" si="149"/>
        <v>1.6237354453316533E-2</v>
      </c>
      <c r="R473" s="15">
        <f t="shared" ca="1" si="150"/>
        <v>4.139210364431487</v>
      </c>
      <c r="S473" s="15">
        <f t="shared" si="151"/>
        <v>4.2539745161290323</v>
      </c>
      <c r="T473" s="15">
        <f t="shared" ca="1" si="152"/>
        <v>0.11476415169754528</v>
      </c>
      <c r="U473" s="18">
        <f t="shared" ca="1" si="153"/>
        <v>2.697810042406569E-2</v>
      </c>
      <c r="V473" s="15">
        <f t="shared" si="154"/>
        <v>3.9249999999999989</v>
      </c>
      <c r="W473" s="15">
        <f t="shared" ca="1" si="155"/>
        <v>3.860789635568513</v>
      </c>
      <c r="X473" s="15">
        <f t="shared" ca="1" si="156"/>
        <v>6.4210364431485978E-2</v>
      </c>
      <c r="Y473" s="35">
        <f t="shared" ca="1" si="157"/>
        <v>1.6359328517576051E-2</v>
      </c>
      <c r="Z473" s="36">
        <f t="shared" ca="1" si="158"/>
        <v>66.329476</v>
      </c>
      <c r="AA473" s="18">
        <f t="shared" ca="1" si="159"/>
        <v>1.1483219076005883E-2</v>
      </c>
      <c r="AB473" s="2"/>
    </row>
    <row r="474" spans="6:28" x14ac:dyDescent="0.25">
      <c r="F474" s="14">
        <v>472</v>
      </c>
      <c r="G474" s="14">
        <f t="shared" si="140"/>
        <v>67.2</v>
      </c>
      <c r="H474" s="14">
        <f t="shared" si="141"/>
        <v>340.34999999999997</v>
      </c>
      <c r="I474" s="15">
        <f t="shared" si="142"/>
        <v>3.9333330000000002</v>
      </c>
      <c r="J474" s="15">
        <f t="shared" si="143"/>
        <v>1930.4909740000001</v>
      </c>
      <c r="K474" s="15">
        <f t="shared" si="144"/>
        <v>0.95049097400000004</v>
      </c>
      <c r="L474" s="15">
        <f t="shared" si="145"/>
        <v>1132.4235779999999</v>
      </c>
      <c r="M474" s="15">
        <v>1123.48</v>
      </c>
      <c r="N474" s="14">
        <f t="shared" si="146"/>
        <v>1.132423578</v>
      </c>
      <c r="O474" s="14">
        <f t="shared" si="147"/>
        <v>1.1511199999999999</v>
      </c>
      <c r="P474" s="14">
        <f t="shared" si="148"/>
        <v>1.8696421999999879E-2</v>
      </c>
      <c r="Q474" s="18">
        <f t="shared" si="149"/>
        <v>1.6241940023629057E-2</v>
      </c>
      <c r="R474" s="15">
        <f t="shared" ca="1" si="150"/>
        <v>4.1313705014577256</v>
      </c>
      <c r="S474" s="15">
        <f t="shared" si="151"/>
        <v>4.2455286021505367</v>
      </c>
      <c r="T474" s="15">
        <f t="shared" ca="1" si="152"/>
        <v>0.11415810069281118</v>
      </c>
      <c r="U474" s="18">
        <f t="shared" ca="1" si="153"/>
        <v>2.68890193402502E-2</v>
      </c>
      <c r="V474" s="15">
        <f t="shared" si="154"/>
        <v>3.9333333333333336</v>
      </c>
      <c r="W474" s="15">
        <f t="shared" ca="1" si="155"/>
        <v>3.8686294985422744</v>
      </c>
      <c r="X474" s="15">
        <f t="shared" ca="1" si="156"/>
        <v>6.4703834791059123E-2</v>
      </c>
      <c r="Y474" s="35">
        <f t="shared" ca="1" si="157"/>
        <v>1.6450127489252318E-2</v>
      </c>
      <c r="Z474" s="36">
        <f t="shared" ca="1" si="158"/>
        <v>66.423553999999996</v>
      </c>
      <c r="AA474" s="18">
        <f t="shared" ca="1" si="159"/>
        <v>1.1554255952381057E-2</v>
      </c>
      <c r="AB474" s="2"/>
    </row>
    <row r="475" spans="6:28" x14ac:dyDescent="0.25">
      <c r="F475" s="14">
        <v>473</v>
      </c>
      <c r="G475" s="14">
        <f t="shared" si="140"/>
        <v>67.300000000000011</v>
      </c>
      <c r="H475" s="14">
        <f t="shared" si="141"/>
        <v>340.45</v>
      </c>
      <c r="I475" s="15">
        <f t="shared" si="142"/>
        <v>3.9416669999999998</v>
      </c>
      <c r="J475" s="15">
        <f t="shared" si="143"/>
        <v>1923.809002</v>
      </c>
      <c r="K475" s="15">
        <f t="shared" si="144"/>
        <v>0.94380900200000006</v>
      </c>
      <c r="L475" s="15">
        <f t="shared" si="145"/>
        <v>1130.1679939999999</v>
      </c>
      <c r="M475" s="15">
        <v>1121.31</v>
      </c>
      <c r="N475" s="14">
        <f t="shared" si="146"/>
        <v>1.1301679939999998</v>
      </c>
      <c r="O475" s="14">
        <f t="shared" si="147"/>
        <v>1.1488299999999996</v>
      </c>
      <c r="P475" s="14">
        <f t="shared" si="148"/>
        <v>1.8662005999999787E-2</v>
      </c>
      <c r="Q475" s="18">
        <f t="shared" si="149"/>
        <v>1.6244358173097669E-2</v>
      </c>
      <c r="R475" s="15">
        <f t="shared" ca="1" si="150"/>
        <v>4.1219658629737612</v>
      </c>
      <c r="S475" s="15">
        <f t="shared" si="151"/>
        <v>4.2370826881720411</v>
      </c>
      <c r="T475" s="15">
        <f t="shared" ca="1" si="152"/>
        <v>0.11511682519827993</v>
      </c>
      <c r="U475" s="18">
        <f t="shared" ca="1" si="153"/>
        <v>2.7168888046398627E-2</v>
      </c>
      <c r="V475" s="15">
        <f t="shared" si="154"/>
        <v>3.9416666666666682</v>
      </c>
      <c r="W475" s="15">
        <f t="shared" ca="1" si="155"/>
        <v>3.8780341370262388</v>
      </c>
      <c r="X475" s="15">
        <f t="shared" ca="1" si="156"/>
        <v>6.3632529640429425E-2</v>
      </c>
      <c r="Y475" s="35">
        <f t="shared" ca="1" si="157"/>
        <v>1.614355931681084E-2</v>
      </c>
      <c r="Z475" s="36">
        <f t="shared" ca="1" si="158"/>
        <v>66.536410000000004</v>
      </c>
      <c r="AA475" s="18">
        <f t="shared" ca="1" si="159"/>
        <v>1.1346062407132358E-2</v>
      </c>
      <c r="AB475" s="2"/>
    </row>
    <row r="476" spans="6:28" x14ac:dyDescent="0.25">
      <c r="F476" s="14">
        <v>474</v>
      </c>
      <c r="G476" s="14">
        <f t="shared" si="140"/>
        <v>67.400000000000006</v>
      </c>
      <c r="H476" s="14">
        <f t="shared" si="141"/>
        <v>340.54999999999995</v>
      </c>
      <c r="I476" s="15">
        <f t="shared" si="142"/>
        <v>3.95</v>
      </c>
      <c r="J476" s="15">
        <f t="shared" si="143"/>
        <v>1917.1536390000001</v>
      </c>
      <c r="K476" s="15">
        <f t="shared" si="144"/>
        <v>0.93715363900000015</v>
      </c>
      <c r="L476" s="15">
        <f t="shared" si="145"/>
        <v>1127.914931</v>
      </c>
      <c r="M476" s="15">
        <v>1119.1500000000001</v>
      </c>
      <c r="N476" s="14">
        <f t="shared" si="146"/>
        <v>1.1279149310000001</v>
      </c>
      <c r="O476" s="14">
        <f t="shared" si="147"/>
        <v>1.1465399999999999</v>
      </c>
      <c r="P476" s="14">
        <f t="shared" si="148"/>
        <v>1.8625068999999828E-2</v>
      </c>
      <c r="Q476" s="18">
        <f t="shared" si="149"/>
        <v>1.6244587192771144E-2</v>
      </c>
      <c r="R476" s="15">
        <f t="shared" ca="1" si="150"/>
        <v>4.1137468629737617</v>
      </c>
      <c r="S476" s="15">
        <f t="shared" si="151"/>
        <v>4.2286367741935482</v>
      </c>
      <c r="T476" s="15">
        <f t="shared" ca="1" si="152"/>
        <v>0.11488991121978653</v>
      </c>
      <c r="U476" s="18">
        <f t="shared" ca="1" si="153"/>
        <v>2.7169491577270177E-2</v>
      </c>
      <c r="V476" s="15">
        <f t="shared" si="154"/>
        <v>3.9499999999999993</v>
      </c>
      <c r="W476" s="15">
        <f t="shared" ca="1" si="155"/>
        <v>3.8862531370262383</v>
      </c>
      <c r="X476" s="15">
        <f t="shared" ca="1" si="156"/>
        <v>6.3746862973760976E-2</v>
      </c>
      <c r="Y476" s="35">
        <f t="shared" ca="1" si="157"/>
        <v>1.6138446322471137E-2</v>
      </c>
      <c r="Z476" s="36">
        <f t="shared" ca="1" si="158"/>
        <v>66.635037999999994</v>
      </c>
      <c r="AA476" s="18">
        <f t="shared" ca="1" si="159"/>
        <v>1.1349584569733104E-2</v>
      </c>
      <c r="AB476" s="2"/>
    </row>
    <row r="477" spans="6:28" x14ac:dyDescent="0.25">
      <c r="F477" s="14">
        <v>475</v>
      </c>
      <c r="G477" s="14">
        <f t="shared" si="140"/>
        <v>67.5</v>
      </c>
      <c r="H477" s="14">
        <f t="shared" si="141"/>
        <v>340.65</v>
      </c>
      <c r="I477" s="15">
        <f t="shared" si="142"/>
        <v>3.9583330000000001</v>
      </c>
      <c r="J477" s="15">
        <f t="shared" si="143"/>
        <v>1910.5247670000001</v>
      </c>
      <c r="K477" s="15">
        <f t="shared" si="144"/>
        <v>0.93052476700000009</v>
      </c>
      <c r="L477" s="15">
        <f t="shared" si="145"/>
        <v>1125.664397</v>
      </c>
      <c r="M477" s="15">
        <v>1116.8399999999999</v>
      </c>
      <c r="N477" s="14">
        <f t="shared" si="146"/>
        <v>1.125664397</v>
      </c>
      <c r="O477" s="14">
        <f t="shared" si="147"/>
        <v>1.14425</v>
      </c>
      <c r="P477" s="14">
        <f t="shared" si="148"/>
        <v>1.8585603000000006E-2</v>
      </c>
      <c r="Q477" s="18">
        <f t="shared" si="149"/>
        <v>1.6242606947782397E-2</v>
      </c>
      <c r="R477" s="15">
        <f t="shared" ca="1" si="150"/>
        <v>4.1059232274052491</v>
      </c>
      <c r="S477" s="15">
        <f t="shared" si="151"/>
        <v>4.2201908602150535</v>
      </c>
      <c r="T477" s="15">
        <f t="shared" ca="1" si="152"/>
        <v>0.11426763280980445</v>
      </c>
      <c r="U477" s="18">
        <f t="shared" ca="1" si="153"/>
        <v>2.7076413507037825E-2</v>
      </c>
      <c r="V477" s="15">
        <f t="shared" si="154"/>
        <v>3.958333333333333</v>
      </c>
      <c r="W477" s="15">
        <f t="shared" ca="1" si="155"/>
        <v>3.8940767725947509</v>
      </c>
      <c r="X477" s="15">
        <f t="shared" ca="1" si="156"/>
        <v>6.4256560738582102E-2</v>
      </c>
      <c r="Y477" s="35">
        <f t="shared" ca="1" si="157"/>
        <v>1.6233236397115481E-2</v>
      </c>
      <c r="Z477" s="36">
        <f t="shared" ca="1" si="158"/>
        <v>66.728921</v>
      </c>
      <c r="AA477" s="18">
        <f t="shared" ca="1" si="159"/>
        <v>1.1423392592592597E-2</v>
      </c>
      <c r="AB477" s="2"/>
    </row>
    <row r="478" spans="6:28" x14ac:dyDescent="0.25">
      <c r="F478" s="14">
        <v>476</v>
      </c>
      <c r="G478" s="14">
        <f t="shared" si="140"/>
        <v>67.599999999999994</v>
      </c>
      <c r="H478" s="14">
        <f t="shared" si="141"/>
        <v>340.75</v>
      </c>
      <c r="I478" s="15">
        <f t="shared" si="142"/>
        <v>3.9666670000000002</v>
      </c>
      <c r="J478" s="15">
        <f t="shared" si="143"/>
        <v>1903.9222669999999</v>
      </c>
      <c r="K478" s="15">
        <f t="shared" si="144"/>
        <v>0.92392226700000002</v>
      </c>
      <c r="L478" s="15">
        <f t="shared" si="145"/>
        <v>1123.4164029999999</v>
      </c>
      <c r="M478" s="15">
        <v>1114.4000000000001</v>
      </c>
      <c r="N478" s="14">
        <f t="shared" si="146"/>
        <v>1.123416403</v>
      </c>
      <c r="O478" s="14">
        <f t="shared" si="147"/>
        <v>1.1419600000000001</v>
      </c>
      <c r="P478" s="14">
        <f t="shared" si="148"/>
        <v>1.8543597000000078E-2</v>
      </c>
      <c r="Q478" s="18">
        <f t="shared" si="149"/>
        <v>1.6238394514694103E-2</v>
      </c>
      <c r="R478" s="15">
        <f t="shared" ca="1" si="150"/>
        <v>4.0977457725947515</v>
      </c>
      <c r="S478" s="15">
        <f t="shared" si="151"/>
        <v>4.2117449462365597</v>
      </c>
      <c r="T478" s="15">
        <f t="shared" ca="1" si="152"/>
        <v>0.11399917364180823</v>
      </c>
      <c r="U478" s="18">
        <f t="shared" ca="1" si="153"/>
        <v>2.7066969889445264E-2</v>
      </c>
      <c r="V478" s="15">
        <f t="shared" si="154"/>
        <v>3.966666666666665</v>
      </c>
      <c r="W478" s="15">
        <f t="shared" ca="1" si="155"/>
        <v>3.9022542274052485</v>
      </c>
      <c r="X478" s="15">
        <f t="shared" ca="1" si="156"/>
        <v>6.4412439261416488E-2</v>
      </c>
      <c r="Y478" s="35">
        <f t="shared" ca="1" si="157"/>
        <v>1.6238430065903323E-2</v>
      </c>
      <c r="Z478" s="36">
        <f t="shared" ca="1" si="158"/>
        <v>66.827050999999997</v>
      </c>
      <c r="AA478" s="18">
        <f t="shared" ca="1" si="159"/>
        <v>1.1434156804733685E-2</v>
      </c>
      <c r="AB478" s="2"/>
    </row>
    <row r="479" spans="6:28" x14ac:dyDescent="0.25">
      <c r="F479" s="14">
        <v>477</v>
      </c>
      <c r="G479" s="14">
        <f t="shared" si="140"/>
        <v>67.7</v>
      </c>
      <c r="H479" s="14">
        <f t="shared" si="141"/>
        <v>340.84999999999997</v>
      </c>
      <c r="I479" s="15">
        <f t="shared" si="142"/>
        <v>3.9750000000000001</v>
      </c>
      <c r="J479" s="15">
        <f t="shared" si="143"/>
        <v>1897.3460210000001</v>
      </c>
      <c r="K479" s="15">
        <f t="shared" si="144"/>
        <v>0.91734602100000018</v>
      </c>
      <c r="L479" s="15">
        <f t="shared" si="145"/>
        <v>1121.170957</v>
      </c>
      <c r="M479" s="15">
        <v>1112.49</v>
      </c>
      <c r="N479" s="14">
        <f t="shared" si="146"/>
        <v>1.1211709570000001</v>
      </c>
      <c r="O479" s="14">
        <f t="shared" si="147"/>
        <v>1.13967</v>
      </c>
      <c r="P479" s="14">
        <f t="shared" si="148"/>
        <v>1.8499042999999826E-2</v>
      </c>
      <c r="Q479" s="18">
        <f t="shared" si="149"/>
        <v>1.6231929418164755E-2</v>
      </c>
      <c r="R479" s="15">
        <f t="shared" ca="1" si="150"/>
        <v>4.0887624985422741</v>
      </c>
      <c r="S479" s="15">
        <f t="shared" si="151"/>
        <v>4.2032990322580641</v>
      </c>
      <c r="T479" s="15">
        <f t="shared" ca="1" si="152"/>
        <v>0.11453653371578998</v>
      </c>
      <c r="U479" s="18">
        <f t="shared" ca="1" si="153"/>
        <v>2.724919945899246E-2</v>
      </c>
      <c r="V479" s="15">
        <f t="shared" si="154"/>
        <v>3.9749999999999996</v>
      </c>
      <c r="W479" s="15">
        <f t="shared" ca="1" si="155"/>
        <v>3.9112375014577259</v>
      </c>
      <c r="X479" s="15">
        <f t="shared" ca="1" si="156"/>
        <v>6.3762498542273782E-2</v>
      </c>
      <c r="Y479" s="35">
        <f t="shared" ca="1" si="157"/>
        <v>1.604088013642108E-2</v>
      </c>
      <c r="Z479" s="36">
        <f t="shared" ca="1" si="158"/>
        <v>66.934849999999997</v>
      </c>
      <c r="AA479" s="18">
        <f t="shared" ca="1" si="159"/>
        <v>1.1302067946824305E-2</v>
      </c>
      <c r="AB479" s="2"/>
    </row>
    <row r="480" spans="6:28" x14ac:dyDescent="0.25">
      <c r="F480" s="14">
        <v>478</v>
      </c>
      <c r="G480" s="14">
        <f t="shared" si="140"/>
        <v>67.800000000000011</v>
      </c>
      <c r="H480" s="14">
        <f t="shared" si="141"/>
        <v>340.95</v>
      </c>
      <c r="I480" s="15">
        <f t="shared" si="142"/>
        <v>3.983333</v>
      </c>
      <c r="J480" s="15">
        <f t="shared" si="143"/>
        <v>1890.7959129999999</v>
      </c>
      <c r="K480" s="15">
        <f t="shared" si="144"/>
        <v>0.91079591300000007</v>
      </c>
      <c r="L480" s="15">
        <f t="shared" si="145"/>
        <v>1118.9280679999999</v>
      </c>
      <c r="M480" s="15">
        <v>1110.04</v>
      </c>
      <c r="N480" s="14">
        <f t="shared" si="146"/>
        <v>1.118928068</v>
      </c>
      <c r="O480" s="14">
        <f t="shared" si="147"/>
        <v>1.1373799999999996</v>
      </c>
      <c r="P480" s="14">
        <f t="shared" si="148"/>
        <v>1.8451931999999616E-2</v>
      </c>
      <c r="Q480" s="18">
        <f t="shared" si="149"/>
        <v>1.6223190138739577E-2</v>
      </c>
      <c r="R480" s="15">
        <f t="shared" ca="1" si="150"/>
        <v>4.0821445014577256</v>
      </c>
      <c r="S480" s="15">
        <f t="shared" si="151"/>
        <v>4.1948531182795685</v>
      </c>
      <c r="T480" s="15">
        <f t="shared" ca="1" si="152"/>
        <v>0.11270861682184297</v>
      </c>
      <c r="U480" s="18">
        <f t="shared" ca="1" si="153"/>
        <v>2.6868310675933284E-2</v>
      </c>
      <c r="V480" s="15">
        <f t="shared" si="154"/>
        <v>3.9833333333333343</v>
      </c>
      <c r="W480" s="15">
        <f t="shared" ca="1" si="155"/>
        <v>3.9178554985422744</v>
      </c>
      <c r="X480" s="15">
        <f t="shared" ca="1" si="156"/>
        <v>6.5477834791059841E-2</v>
      </c>
      <c r="Y480" s="35">
        <f t="shared" ca="1" si="157"/>
        <v>1.6437950156751421E-2</v>
      </c>
      <c r="Z480" s="36">
        <f t="shared" ca="1" si="158"/>
        <v>67.014266000000006</v>
      </c>
      <c r="AA480" s="18">
        <f t="shared" ca="1" si="159"/>
        <v>1.1588997050147565E-2</v>
      </c>
      <c r="AB480" s="2"/>
    </row>
    <row r="481" spans="6:28" x14ac:dyDescent="0.25">
      <c r="F481" s="14">
        <v>479</v>
      </c>
      <c r="G481" s="14">
        <f t="shared" si="140"/>
        <v>67.900000000000006</v>
      </c>
      <c r="H481" s="14">
        <f t="shared" si="141"/>
        <v>341.04999999999995</v>
      </c>
      <c r="I481" s="15">
        <f t="shared" si="142"/>
        <v>3.9916670000000001</v>
      </c>
      <c r="J481" s="15">
        <f t="shared" si="143"/>
        <v>1884.271825</v>
      </c>
      <c r="K481" s="15">
        <f t="shared" si="144"/>
        <v>0.90427182500000014</v>
      </c>
      <c r="L481" s="15">
        <f t="shared" si="145"/>
        <v>1116.6877460000001</v>
      </c>
      <c r="M481" s="15">
        <v>1107.73</v>
      </c>
      <c r="N481" s="14">
        <f t="shared" si="146"/>
        <v>1.1166877460000002</v>
      </c>
      <c r="O481" s="14">
        <f t="shared" si="147"/>
        <v>1.1350899999999997</v>
      </c>
      <c r="P481" s="14">
        <f t="shared" si="148"/>
        <v>1.8402253999999507E-2</v>
      </c>
      <c r="Q481" s="18">
        <f t="shared" si="149"/>
        <v>1.6212154102317449E-2</v>
      </c>
      <c r="R481" s="15">
        <f t="shared" ca="1" si="150"/>
        <v>4.0735871370262382</v>
      </c>
      <c r="S481" s="15">
        <f t="shared" si="151"/>
        <v>4.1864072043010738</v>
      </c>
      <c r="T481" s="15">
        <f t="shared" ca="1" si="152"/>
        <v>0.11282006727483562</v>
      </c>
      <c r="U481" s="18">
        <f t="shared" ca="1" si="153"/>
        <v>2.6949138430424395E-2</v>
      </c>
      <c r="V481" s="15">
        <f t="shared" si="154"/>
        <v>3.9916666666666671</v>
      </c>
      <c r="W481" s="15">
        <f t="shared" ca="1" si="155"/>
        <v>3.9264128629737618</v>
      </c>
      <c r="X481" s="15">
        <f t="shared" ca="1" si="156"/>
        <v>6.5253803692905343E-2</v>
      </c>
      <c r="Y481" s="35">
        <f t="shared" ca="1" si="157"/>
        <v>1.634750823204309E-2</v>
      </c>
      <c r="Z481" s="36">
        <f t="shared" ca="1" si="158"/>
        <v>67.116954000000007</v>
      </c>
      <c r="AA481" s="18">
        <f t="shared" ca="1" si="159"/>
        <v>1.1532341678939599E-2</v>
      </c>
      <c r="AB481" s="2"/>
    </row>
    <row r="482" spans="6:28" x14ac:dyDescent="0.25">
      <c r="F482" s="14">
        <v>480</v>
      </c>
      <c r="G482" s="14">
        <f t="shared" si="140"/>
        <v>68</v>
      </c>
      <c r="H482" s="14">
        <f t="shared" si="141"/>
        <v>341.15</v>
      </c>
      <c r="I482" s="15">
        <f t="shared" si="142"/>
        <v>4</v>
      </c>
      <c r="J482" s="15">
        <f t="shared" si="143"/>
        <v>1877.7736420000001</v>
      </c>
      <c r="K482" s="15">
        <f t="shared" si="144"/>
        <v>0.8977736420000002</v>
      </c>
      <c r="L482" s="15">
        <f t="shared" si="145"/>
        <v>1114.45</v>
      </c>
      <c r="M482" s="15">
        <v>1105.4100000000001</v>
      </c>
      <c r="N482" s="14">
        <f t="shared" si="146"/>
        <v>1.1144500000000002</v>
      </c>
      <c r="O482" s="14">
        <f t="shared" si="147"/>
        <v>1.1328</v>
      </c>
      <c r="P482" s="14">
        <f t="shared" si="148"/>
        <v>1.8349999999999866E-2</v>
      </c>
      <c r="Q482" s="18">
        <f t="shared" si="149"/>
        <v>1.6198799435028131E-2</v>
      </c>
      <c r="R482" s="15">
        <f t="shared" ca="1" si="150"/>
        <v>4.0650397725947514</v>
      </c>
      <c r="S482" s="15">
        <f t="shared" si="151"/>
        <v>4.1779612903225809</v>
      </c>
      <c r="T482" s="15">
        <f t="shared" ca="1" si="152"/>
        <v>0.11292151772782955</v>
      </c>
      <c r="U482" s="18">
        <f t="shared" ca="1" si="153"/>
        <v>2.7027899466036186E-2</v>
      </c>
      <c r="V482" s="15">
        <f t="shared" si="154"/>
        <v>3.9999999999999991</v>
      </c>
      <c r="W482" s="15">
        <f t="shared" ca="1" si="155"/>
        <v>3.9349602274052486</v>
      </c>
      <c r="X482" s="15">
        <f t="shared" ca="1" si="156"/>
        <v>6.5039772594750467E-2</v>
      </c>
      <c r="Y482" s="35">
        <f t="shared" ca="1" si="157"/>
        <v>1.625994314868762E-2</v>
      </c>
      <c r="Z482" s="36">
        <f t="shared" ca="1" si="158"/>
        <v>67.219522999999995</v>
      </c>
      <c r="AA482" s="18">
        <f t="shared" ca="1" si="159"/>
        <v>1.1477602941176541E-2</v>
      </c>
      <c r="AB482" s="2"/>
    </row>
    <row r="483" spans="6:28" x14ac:dyDescent="0.25">
      <c r="F483" s="14">
        <v>481</v>
      </c>
      <c r="G483" s="14">
        <f t="shared" si="140"/>
        <v>68.099999999999994</v>
      </c>
      <c r="H483" s="14">
        <f t="shared" si="141"/>
        <v>341.25</v>
      </c>
      <c r="I483" s="15">
        <f t="shared" si="142"/>
        <v>4.0083330000000004</v>
      </c>
      <c r="J483" s="15">
        <f t="shared" si="143"/>
        <v>1871.3012490000001</v>
      </c>
      <c r="K483" s="15">
        <f t="shared" si="144"/>
        <v>0.89130124900000007</v>
      </c>
      <c r="L483" s="15">
        <f t="shared" si="145"/>
        <v>1112.214837</v>
      </c>
      <c r="M483" s="15">
        <v>1103.21</v>
      </c>
      <c r="N483" s="14">
        <f t="shared" si="146"/>
        <v>1.1122148370000002</v>
      </c>
      <c r="O483" s="14">
        <f t="shared" si="147"/>
        <v>1.1305100000000001</v>
      </c>
      <c r="P483" s="14">
        <f t="shared" si="148"/>
        <v>1.8295162999999892E-2</v>
      </c>
      <c r="Q483" s="18">
        <f t="shared" si="149"/>
        <v>1.6183105854879559E-2</v>
      </c>
      <c r="R483" s="15">
        <f t="shared" ca="1" si="150"/>
        <v>4.0568867725947513</v>
      </c>
      <c r="S483" s="15">
        <f t="shared" si="151"/>
        <v>4.1695153763440862</v>
      </c>
      <c r="T483" s="15">
        <f t="shared" ca="1" si="152"/>
        <v>0.11262860374933492</v>
      </c>
      <c r="U483" s="18">
        <f t="shared" ca="1" si="153"/>
        <v>2.7012396785568379E-2</v>
      </c>
      <c r="V483" s="15">
        <f t="shared" si="154"/>
        <v>4.0083333333333329</v>
      </c>
      <c r="W483" s="15">
        <f t="shared" ca="1" si="155"/>
        <v>3.9431132274052487</v>
      </c>
      <c r="X483" s="15">
        <f t="shared" ca="1" si="156"/>
        <v>6.5220105928084138E-2</v>
      </c>
      <c r="Y483" s="35">
        <f t="shared" ca="1" si="157"/>
        <v>1.627112829806673E-2</v>
      </c>
      <c r="Z483" s="36">
        <f t="shared" ca="1" si="158"/>
        <v>67.317358999999996</v>
      </c>
      <c r="AA483" s="18">
        <f t="shared" ca="1" si="159"/>
        <v>1.1492525697503645E-2</v>
      </c>
      <c r="AB483" s="2"/>
    </row>
    <row r="484" spans="6:28" x14ac:dyDescent="0.25">
      <c r="F484" s="14">
        <v>482</v>
      </c>
      <c r="G484" s="14">
        <f t="shared" si="140"/>
        <v>68.2</v>
      </c>
      <c r="H484" s="14">
        <f t="shared" si="141"/>
        <v>341.34999999999997</v>
      </c>
      <c r="I484" s="15">
        <f t="shared" si="142"/>
        <v>4.016667</v>
      </c>
      <c r="J484" s="15">
        <f t="shared" si="143"/>
        <v>1864.8545300000001</v>
      </c>
      <c r="K484" s="15">
        <f t="shared" si="144"/>
        <v>0.88485453000000014</v>
      </c>
      <c r="L484" s="15">
        <f t="shared" si="145"/>
        <v>1109.982268</v>
      </c>
      <c r="M484" s="15">
        <v>1101.02</v>
      </c>
      <c r="N484" s="14">
        <f t="shared" si="146"/>
        <v>1.109982268</v>
      </c>
      <c r="O484" s="14">
        <f t="shared" si="147"/>
        <v>1.1282199999999998</v>
      </c>
      <c r="P484" s="14">
        <f t="shared" si="148"/>
        <v>1.8237731999999784E-2</v>
      </c>
      <c r="Q484" s="18">
        <f t="shared" si="149"/>
        <v>1.6165049369803574E-2</v>
      </c>
      <c r="R484" s="15">
        <f t="shared" ca="1" si="150"/>
        <v>4.0495145014577263</v>
      </c>
      <c r="S484" s="15">
        <f t="shared" si="151"/>
        <v>4.1610694623655906</v>
      </c>
      <c r="T484" s="15">
        <f t="shared" ca="1" si="152"/>
        <v>0.11155496090786432</v>
      </c>
      <c r="U484" s="18">
        <f t="shared" ca="1" si="153"/>
        <v>2.6809204200221336E-2</v>
      </c>
      <c r="V484" s="15">
        <f t="shared" si="154"/>
        <v>4.0166666666666666</v>
      </c>
      <c r="W484" s="15">
        <f t="shared" ca="1" si="155"/>
        <v>3.9504854985422737</v>
      </c>
      <c r="X484" s="15">
        <f t="shared" ca="1" si="156"/>
        <v>6.6181168124392897E-2</v>
      </c>
      <c r="Y484" s="35">
        <f t="shared" ca="1" si="157"/>
        <v>1.6476639367068772E-2</v>
      </c>
      <c r="Z484" s="36">
        <f t="shared" ca="1" si="158"/>
        <v>67.405826000000005</v>
      </c>
      <c r="AA484" s="18">
        <f t="shared" ca="1" si="159"/>
        <v>1.1644780058650999E-2</v>
      </c>
      <c r="AB484" s="2"/>
    </row>
    <row r="485" spans="6:28" x14ac:dyDescent="0.25">
      <c r="F485" s="14">
        <v>483</v>
      </c>
      <c r="G485" s="14">
        <f t="shared" si="140"/>
        <v>68.300000000000011</v>
      </c>
      <c r="H485" s="14">
        <f t="shared" si="141"/>
        <v>341.45</v>
      </c>
      <c r="I485" s="15">
        <f t="shared" si="142"/>
        <v>4.0250000000000004</v>
      </c>
      <c r="J485" s="15">
        <f t="shared" si="143"/>
        <v>1858.433372</v>
      </c>
      <c r="K485" s="15">
        <f t="shared" si="144"/>
        <v>0.87843337199999993</v>
      </c>
      <c r="L485" s="15">
        <f t="shared" si="145"/>
        <v>1107.752301</v>
      </c>
      <c r="M485" s="15">
        <v>1098.82</v>
      </c>
      <c r="N485" s="14">
        <f t="shared" si="146"/>
        <v>1.1077523010000001</v>
      </c>
      <c r="O485" s="14">
        <f t="shared" si="147"/>
        <v>1.1259299999999997</v>
      </c>
      <c r="P485" s="14">
        <f t="shared" si="148"/>
        <v>1.8177698999999548E-2</v>
      </c>
      <c r="Q485" s="18">
        <f t="shared" si="149"/>
        <v>1.6144608457008477E-2</v>
      </c>
      <c r="R485" s="15">
        <f t="shared" ca="1" si="150"/>
        <v>4.0406097725947516</v>
      </c>
      <c r="S485" s="15">
        <f t="shared" si="151"/>
        <v>4.152623548387095</v>
      </c>
      <c r="T485" s="15">
        <f t="shared" ca="1" si="152"/>
        <v>0.1120137757923434</v>
      </c>
      <c r="U485" s="18">
        <f t="shared" ca="1" si="153"/>
        <v>2.6974218704666895E-2</v>
      </c>
      <c r="V485" s="15">
        <f t="shared" si="154"/>
        <v>4.0250000000000012</v>
      </c>
      <c r="W485" s="15">
        <f t="shared" ca="1" si="155"/>
        <v>3.9593902274052484</v>
      </c>
      <c r="X485" s="15">
        <f t="shared" ca="1" si="156"/>
        <v>6.5609772594752869E-2</v>
      </c>
      <c r="Y485" s="35">
        <f t="shared" ca="1" si="157"/>
        <v>1.6300564619814373E-2</v>
      </c>
      <c r="Z485" s="36">
        <f t="shared" ca="1" si="158"/>
        <v>67.512682999999996</v>
      </c>
      <c r="AA485" s="18">
        <f t="shared" ca="1" si="159"/>
        <v>1.1527335285505353E-2</v>
      </c>
      <c r="AB485" s="2"/>
    </row>
    <row r="486" spans="6:28" x14ac:dyDescent="0.25">
      <c r="F486" s="14">
        <v>484</v>
      </c>
      <c r="G486" s="14">
        <f t="shared" si="140"/>
        <v>68.400000000000006</v>
      </c>
      <c r="H486" s="14">
        <f t="shared" si="141"/>
        <v>341.54999999999995</v>
      </c>
      <c r="I486" s="15">
        <f t="shared" si="142"/>
        <v>4.0333329999999998</v>
      </c>
      <c r="J486" s="15">
        <f t="shared" si="143"/>
        <v>1852.03766</v>
      </c>
      <c r="K486" s="15">
        <f t="shared" si="144"/>
        <v>0.87203765999999994</v>
      </c>
      <c r="L486" s="15">
        <f t="shared" si="145"/>
        <v>1105.5249449999999</v>
      </c>
      <c r="M486" s="15">
        <v>1096.49</v>
      </c>
      <c r="N486" s="14">
        <f t="shared" si="146"/>
        <v>1.1055249449999998</v>
      </c>
      <c r="O486" s="14">
        <f t="shared" si="147"/>
        <v>1.1236399999999998</v>
      </c>
      <c r="P486" s="14">
        <f t="shared" si="148"/>
        <v>1.8115054999999991E-2</v>
      </c>
      <c r="Q486" s="18">
        <f t="shared" si="149"/>
        <v>1.6121760528283076E-2</v>
      </c>
      <c r="R486" s="15">
        <f t="shared" ca="1" si="150"/>
        <v>4.032077862973761</v>
      </c>
      <c r="S486" s="15">
        <f t="shared" si="151"/>
        <v>4.1441776344086012</v>
      </c>
      <c r="T486" s="15">
        <f t="shared" ca="1" si="152"/>
        <v>0.11209977143484018</v>
      </c>
      <c r="U486" s="18">
        <f t="shared" ca="1" si="153"/>
        <v>2.7049943637572255E-2</v>
      </c>
      <c r="V486" s="15">
        <f t="shared" si="154"/>
        <v>4.0333333333333332</v>
      </c>
      <c r="W486" s="15">
        <f t="shared" ca="1" si="155"/>
        <v>3.967922137026239</v>
      </c>
      <c r="X486" s="15">
        <f t="shared" ca="1" si="156"/>
        <v>6.5411196307094244E-2</v>
      </c>
      <c r="Y486" s="35">
        <f t="shared" ca="1" si="157"/>
        <v>1.6217651976965515E-2</v>
      </c>
      <c r="Z486" s="36">
        <f t="shared" ca="1" si="158"/>
        <v>67.615065999999999</v>
      </c>
      <c r="AA486" s="18">
        <f t="shared" ca="1" si="159"/>
        <v>1.1475643274853901E-2</v>
      </c>
      <c r="AB486" s="2"/>
    </row>
    <row r="487" spans="6:28" x14ac:dyDescent="0.25">
      <c r="F487" s="14">
        <v>485</v>
      </c>
      <c r="G487" s="14">
        <f t="shared" si="140"/>
        <v>68.5</v>
      </c>
      <c r="H487" s="14">
        <f t="shared" si="141"/>
        <v>341.65</v>
      </c>
      <c r="I487" s="15">
        <f t="shared" si="142"/>
        <v>4.0416670000000003</v>
      </c>
      <c r="J487" s="15">
        <f t="shared" si="143"/>
        <v>1845.667283</v>
      </c>
      <c r="K487" s="15">
        <f t="shared" si="144"/>
        <v>0.86566728300000007</v>
      </c>
      <c r="L487" s="15">
        <f t="shared" si="145"/>
        <v>1103.3002080000001</v>
      </c>
      <c r="M487" s="15">
        <v>1094.28</v>
      </c>
      <c r="N487" s="14">
        <f t="shared" si="146"/>
        <v>1.1033002080000003</v>
      </c>
      <c r="O487" s="14">
        <f t="shared" si="147"/>
        <v>1.1213499999999998</v>
      </c>
      <c r="P487" s="14">
        <f t="shared" si="148"/>
        <v>1.8049791999999565E-2</v>
      </c>
      <c r="Q487" s="18">
        <f t="shared" si="149"/>
        <v>1.609648370267942E-2</v>
      </c>
      <c r="R487" s="15">
        <f t="shared" ca="1" si="150"/>
        <v>4.0239638629737611</v>
      </c>
      <c r="S487" s="15">
        <f t="shared" si="151"/>
        <v>4.1357317204301065</v>
      </c>
      <c r="T487" s="15">
        <f t="shared" ca="1" si="152"/>
        <v>0.11176785745634543</v>
      </c>
      <c r="U487" s="18">
        <f t="shared" ca="1" si="153"/>
        <v>2.7024929326102863E-2</v>
      </c>
      <c r="V487" s="15">
        <f t="shared" si="154"/>
        <v>4.041666666666667</v>
      </c>
      <c r="W487" s="15">
        <f t="shared" ca="1" si="155"/>
        <v>3.9760361370262389</v>
      </c>
      <c r="X487" s="15">
        <f t="shared" ca="1" si="156"/>
        <v>6.5630529640428037E-2</v>
      </c>
      <c r="Y487" s="35">
        <f t="shared" ca="1" si="157"/>
        <v>1.6238481560518277E-2</v>
      </c>
      <c r="Z487" s="36">
        <f t="shared" ca="1" si="158"/>
        <v>67.712434000000002</v>
      </c>
      <c r="AA487" s="18">
        <f t="shared" ca="1" si="159"/>
        <v>1.1497313868613112E-2</v>
      </c>
      <c r="AB487" s="2"/>
    </row>
    <row r="488" spans="6:28" x14ac:dyDescent="0.25">
      <c r="F488" s="14">
        <v>486</v>
      </c>
      <c r="G488" s="14">
        <f t="shared" si="140"/>
        <v>68.599999999999994</v>
      </c>
      <c r="H488" s="14">
        <f t="shared" si="141"/>
        <v>341.75</v>
      </c>
      <c r="I488" s="15">
        <f t="shared" si="142"/>
        <v>4.05</v>
      </c>
      <c r="J488" s="15">
        <f t="shared" si="143"/>
        <v>1839.322126</v>
      </c>
      <c r="K488" s="15">
        <f t="shared" si="144"/>
        <v>0.85932212600000013</v>
      </c>
      <c r="L488" s="15">
        <f t="shared" si="145"/>
        <v>1101.0780990000001</v>
      </c>
      <c r="M488" s="15">
        <v>1091.94</v>
      </c>
      <c r="N488" s="14">
        <f t="shared" si="146"/>
        <v>1.1010780990000002</v>
      </c>
      <c r="O488" s="14">
        <f t="shared" si="147"/>
        <v>1.1190600000000002</v>
      </c>
      <c r="P488" s="14">
        <f t="shared" si="148"/>
        <v>1.7981900999999967E-2</v>
      </c>
      <c r="Q488" s="18">
        <f t="shared" si="149"/>
        <v>1.6068755026540101E-2</v>
      </c>
      <c r="R488" s="15">
        <f t="shared" ca="1" si="150"/>
        <v>4.0158686355685127</v>
      </c>
      <c r="S488" s="15">
        <f t="shared" si="151"/>
        <v>4.1272858064516136</v>
      </c>
      <c r="T488" s="15">
        <f t="shared" ca="1" si="152"/>
        <v>0.11141717088310088</v>
      </c>
      <c r="U488" s="18">
        <f t="shared" ca="1" si="153"/>
        <v>2.6995264226416758E-2</v>
      </c>
      <c r="V488" s="15">
        <f t="shared" si="154"/>
        <v>4.0499999999999989</v>
      </c>
      <c r="W488" s="15">
        <f t="shared" ca="1" si="155"/>
        <v>3.9841313644314873</v>
      </c>
      <c r="X488" s="15">
        <f t="shared" ca="1" si="156"/>
        <v>6.5868635568511635E-2</v>
      </c>
      <c r="Y488" s="35">
        <f t="shared" ca="1" si="157"/>
        <v>1.6263860634200409E-2</v>
      </c>
      <c r="Z488" s="36">
        <f t="shared" ca="1" si="158"/>
        <v>67.809576000000007</v>
      </c>
      <c r="AA488" s="18">
        <f t="shared" ca="1" si="159"/>
        <v>1.152221574344005E-2</v>
      </c>
      <c r="AB488" s="2"/>
    </row>
    <row r="489" spans="6:28" x14ac:dyDescent="0.25">
      <c r="F489" s="14">
        <v>487</v>
      </c>
      <c r="G489" s="14">
        <f t="shared" si="140"/>
        <v>68.7</v>
      </c>
      <c r="H489" s="14">
        <f t="shared" si="141"/>
        <v>341.84999999999997</v>
      </c>
      <c r="I489" s="15">
        <f t="shared" si="142"/>
        <v>4.0583330000000002</v>
      </c>
      <c r="J489" s="15">
        <f t="shared" si="143"/>
        <v>1833.002078</v>
      </c>
      <c r="K489" s="15">
        <f t="shared" si="144"/>
        <v>0.85300207800000005</v>
      </c>
      <c r="L489" s="15">
        <f t="shared" si="145"/>
        <v>1098.8586270000001</v>
      </c>
      <c r="M489" s="15">
        <v>1089.73</v>
      </c>
      <c r="N489" s="14">
        <f t="shared" si="146"/>
        <v>1.0988586270000003</v>
      </c>
      <c r="O489" s="14">
        <f t="shared" si="147"/>
        <v>1.1167699999999998</v>
      </c>
      <c r="P489" s="14">
        <f t="shared" si="148"/>
        <v>1.7911372999999564E-2</v>
      </c>
      <c r="Q489" s="18">
        <f t="shared" si="149"/>
        <v>1.6038551357933653E-2</v>
      </c>
      <c r="R489" s="15">
        <f t="shared" ca="1" si="150"/>
        <v>4.008940501457726</v>
      </c>
      <c r="S489" s="15">
        <f t="shared" si="151"/>
        <v>4.1188398924731171</v>
      </c>
      <c r="T489" s="15">
        <f t="shared" ca="1" si="152"/>
        <v>0.10989939101539115</v>
      </c>
      <c r="U489" s="18">
        <f t="shared" ca="1" si="153"/>
        <v>2.6682122608413197E-2</v>
      </c>
      <c r="V489" s="15">
        <f t="shared" si="154"/>
        <v>4.0583333333333336</v>
      </c>
      <c r="W489" s="15">
        <f t="shared" ca="1" si="155"/>
        <v>3.991059498542274</v>
      </c>
      <c r="X489" s="15">
        <f t="shared" ca="1" si="156"/>
        <v>6.7273834791059528E-2</v>
      </c>
      <c r="Y489" s="35">
        <f t="shared" ca="1" si="157"/>
        <v>1.6576714938248752E-2</v>
      </c>
      <c r="Z489" s="36">
        <f t="shared" ca="1" si="158"/>
        <v>67.892713999999998</v>
      </c>
      <c r="AA489" s="18">
        <f t="shared" ca="1" si="159"/>
        <v>1.1750887918486242E-2</v>
      </c>
      <c r="AB489" s="2"/>
    </row>
    <row r="490" spans="6:28" x14ac:dyDescent="0.25">
      <c r="F490" s="14">
        <v>488</v>
      </c>
      <c r="G490" s="14">
        <f t="shared" si="140"/>
        <v>68.800000000000011</v>
      </c>
      <c r="H490" s="14">
        <f t="shared" si="141"/>
        <v>341.95</v>
      </c>
      <c r="I490" s="15">
        <f t="shared" si="142"/>
        <v>4.0666669999999998</v>
      </c>
      <c r="J490" s="15">
        <f t="shared" si="143"/>
        <v>1826.707028</v>
      </c>
      <c r="K490" s="15">
        <f t="shared" si="144"/>
        <v>0.84670702799999997</v>
      </c>
      <c r="L490" s="15">
        <f t="shared" si="145"/>
        <v>1096.641799</v>
      </c>
      <c r="M490" s="15">
        <v>1087.51</v>
      </c>
      <c r="N490" s="14">
        <f t="shared" si="146"/>
        <v>1.0966417989999999</v>
      </c>
      <c r="O490" s="14">
        <f t="shared" si="147"/>
        <v>1.1144799999999997</v>
      </c>
      <c r="P490" s="14">
        <f t="shared" si="148"/>
        <v>1.7838200999999776E-2</v>
      </c>
      <c r="Q490" s="18">
        <f t="shared" si="149"/>
        <v>1.6005851159284851E-2</v>
      </c>
      <c r="R490" s="15">
        <f t="shared" ca="1" si="150"/>
        <v>4.0004691370262391</v>
      </c>
      <c r="S490" s="15">
        <f t="shared" si="151"/>
        <v>4.1103939784946224</v>
      </c>
      <c r="T490" s="15">
        <f t="shared" ca="1" si="152"/>
        <v>0.10992484146838333</v>
      </c>
      <c r="U490" s="18">
        <f t="shared" ca="1" si="153"/>
        <v>2.6743139962617853E-2</v>
      </c>
      <c r="V490" s="15">
        <f t="shared" si="154"/>
        <v>4.0666666666666673</v>
      </c>
      <c r="W490" s="15">
        <f t="shared" ca="1" si="155"/>
        <v>3.9995308629737609</v>
      </c>
      <c r="X490" s="15">
        <f t="shared" ca="1" si="156"/>
        <v>6.7135803692906393E-2</v>
      </c>
      <c r="Y490" s="35">
        <f t="shared" ca="1" si="157"/>
        <v>1.6508804186780256E-2</v>
      </c>
      <c r="Z490" s="36">
        <f t="shared" ca="1" si="158"/>
        <v>67.994370000000004</v>
      </c>
      <c r="AA490" s="18">
        <f t="shared" ca="1" si="159"/>
        <v>1.1709738372093135E-2</v>
      </c>
      <c r="AB490" s="2"/>
    </row>
    <row r="491" spans="6:28" x14ac:dyDescent="0.25">
      <c r="F491" s="14">
        <v>489</v>
      </c>
      <c r="G491" s="14">
        <f t="shared" si="140"/>
        <v>68.900000000000006</v>
      </c>
      <c r="H491" s="14">
        <f t="shared" si="141"/>
        <v>342.04999999999995</v>
      </c>
      <c r="I491" s="15">
        <f t="shared" si="142"/>
        <v>4.0750000000000002</v>
      </c>
      <c r="J491" s="15">
        <f t="shared" si="143"/>
        <v>1820.4368649999999</v>
      </c>
      <c r="K491" s="15">
        <f t="shared" si="144"/>
        <v>0.84043686500000003</v>
      </c>
      <c r="L491" s="15">
        <f t="shared" si="145"/>
        <v>1094.427625</v>
      </c>
      <c r="M491" s="15">
        <v>1085.42</v>
      </c>
      <c r="N491" s="14">
        <f t="shared" si="146"/>
        <v>1.094427625</v>
      </c>
      <c r="O491" s="14">
        <f t="shared" si="147"/>
        <v>1.1121899999999998</v>
      </c>
      <c r="P491" s="14">
        <f t="shared" si="148"/>
        <v>1.7762374999999775E-2</v>
      </c>
      <c r="Q491" s="18">
        <f t="shared" si="149"/>
        <v>1.5970630018252076E-2</v>
      </c>
      <c r="R491" s="15">
        <f t="shared" ca="1" si="150"/>
        <v>3.992392137026239</v>
      </c>
      <c r="S491" s="15">
        <f t="shared" si="151"/>
        <v>4.1019480645161277</v>
      </c>
      <c r="T491" s="15">
        <f t="shared" ca="1" si="152"/>
        <v>0.10955592748988874</v>
      </c>
      <c r="U491" s="18">
        <f t="shared" ca="1" si="153"/>
        <v>2.6708267819771172E-2</v>
      </c>
      <c r="V491" s="15">
        <f t="shared" si="154"/>
        <v>4.0750000000000011</v>
      </c>
      <c r="W491" s="15">
        <f t="shared" ca="1" si="155"/>
        <v>4.007607862973761</v>
      </c>
      <c r="X491" s="15">
        <f t="shared" ca="1" si="156"/>
        <v>6.7392137026240029E-2</v>
      </c>
      <c r="Y491" s="35">
        <f t="shared" ca="1" si="157"/>
        <v>1.6537947736500615E-2</v>
      </c>
      <c r="Z491" s="36">
        <f t="shared" ca="1" si="158"/>
        <v>68.091294000000005</v>
      </c>
      <c r="AA491" s="18">
        <f t="shared" ca="1" si="159"/>
        <v>1.1737387518142246E-2</v>
      </c>
      <c r="AB491" s="2"/>
    </row>
    <row r="492" spans="6:28" x14ac:dyDescent="0.25">
      <c r="F492" s="14">
        <v>490</v>
      </c>
      <c r="G492" s="14">
        <f t="shared" si="140"/>
        <v>69</v>
      </c>
      <c r="H492" s="14">
        <f t="shared" si="141"/>
        <v>342.15</v>
      </c>
      <c r="I492" s="15">
        <f t="shared" si="142"/>
        <v>4.0833329999999997</v>
      </c>
      <c r="J492" s="15">
        <f t="shared" si="143"/>
        <v>1814.191478</v>
      </c>
      <c r="K492" s="15">
        <f t="shared" si="144"/>
        <v>0.83419147799999993</v>
      </c>
      <c r="L492" s="15">
        <f t="shared" si="145"/>
        <v>1092.216113</v>
      </c>
      <c r="M492" s="15">
        <v>1083.2</v>
      </c>
      <c r="N492" s="14">
        <f t="shared" si="146"/>
        <v>1.0922161130000001</v>
      </c>
      <c r="O492" s="14">
        <f t="shared" si="147"/>
        <v>1.1098999999999999</v>
      </c>
      <c r="P492" s="14">
        <f t="shared" si="148"/>
        <v>1.7683886999999787E-2</v>
      </c>
      <c r="Q492" s="18">
        <f t="shared" si="149"/>
        <v>1.5932865122983864E-2</v>
      </c>
      <c r="R492" s="15">
        <f t="shared" ca="1" si="150"/>
        <v>3.9843261370262391</v>
      </c>
      <c r="S492" s="15">
        <f t="shared" si="151"/>
        <v>4.0935021505376339</v>
      </c>
      <c r="T492" s="15">
        <f t="shared" ca="1" si="152"/>
        <v>0.10917601351139483</v>
      </c>
      <c r="U492" s="18">
        <f t="shared" ca="1" si="153"/>
        <v>2.6670564591508968E-2</v>
      </c>
      <c r="V492" s="15">
        <f t="shared" si="154"/>
        <v>4.083333333333333</v>
      </c>
      <c r="W492" s="15">
        <f t="shared" ca="1" si="155"/>
        <v>4.0156738629737614</v>
      </c>
      <c r="X492" s="15">
        <f t="shared" ca="1" si="156"/>
        <v>6.765947035957165E-2</v>
      </c>
      <c r="Y492" s="35">
        <f t="shared" ca="1" si="157"/>
        <v>1.6569666210507344E-2</v>
      </c>
      <c r="Z492" s="36">
        <f t="shared" ca="1" si="158"/>
        <v>68.188085999999998</v>
      </c>
      <c r="AA492" s="18">
        <f t="shared" ca="1" si="159"/>
        <v>1.1766869565217414E-2</v>
      </c>
      <c r="AB492" s="2"/>
    </row>
    <row r="493" spans="6:28" x14ac:dyDescent="0.25">
      <c r="F493" s="14">
        <v>491</v>
      </c>
      <c r="G493" s="14">
        <f t="shared" si="140"/>
        <v>69.099999999999994</v>
      </c>
      <c r="H493" s="14">
        <f t="shared" si="141"/>
        <v>342.25</v>
      </c>
      <c r="I493" s="15">
        <f t="shared" si="142"/>
        <v>4.0916670000000002</v>
      </c>
      <c r="J493" s="15">
        <f t="shared" si="143"/>
        <v>1807.970757</v>
      </c>
      <c r="K493" s="15">
        <f t="shared" si="144"/>
        <v>0.82797075700000011</v>
      </c>
      <c r="L493" s="15">
        <f t="shared" si="145"/>
        <v>1090.0072700000001</v>
      </c>
      <c r="M493" s="15">
        <v>1080.97</v>
      </c>
      <c r="N493" s="14">
        <f t="shared" si="146"/>
        <v>1.0900072700000001</v>
      </c>
      <c r="O493" s="14">
        <f t="shared" si="147"/>
        <v>1.10761</v>
      </c>
      <c r="P493" s="14">
        <f t="shared" si="148"/>
        <v>1.76027299999999E-2</v>
      </c>
      <c r="Q493" s="18">
        <f t="shared" si="149"/>
        <v>1.5892534375818113E-2</v>
      </c>
      <c r="R493" s="15">
        <f t="shared" ca="1" si="150"/>
        <v>3.9758837725947522</v>
      </c>
      <c r="S493" s="15">
        <f t="shared" si="151"/>
        <v>4.0850562365591392</v>
      </c>
      <c r="T493" s="15">
        <f t="shared" ca="1" si="152"/>
        <v>0.10917246396438696</v>
      </c>
      <c r="U493" s="18">
        <f t="shared" ca="1" si="153"/>
        <v>2.6724837466703618E-2</v>
      </c>
      <c r="V493" s="15">
        <f t="shared" si="154"/>
        <v>4.0916666666666668</v>
      </c>
      <c r="W493" s="15">
        <f t="shared" ca="1" si="155"/>
        <v>4.0241162274052478</v>
      </c>
      <c r="X493" s="15">
        <f t="shared" ca="1" si="156"/>
        <v>6.7550439261419015E-2</v>
      </c>
      <c r="Y493" s="35">
        <f t="shared" ca="1" si="157"/>
        <v>1.6509272324583057E-2</v>
      </c>
      <c r="Z493" s="36">
        <f t="shared" ca="1" si="158"/>
        <v>68.289394999999999</v>
      </c>
      <c r="AA493" s="18">
        <f t="shared" ca="1" si="159"/>
        <v>1.1730897250361728E-2</v>
      </c>
      <c r="AB493" s="2"/>
    </row>
    <row r="494" spans="6:28" x14ac:dyDescent="0.25">
      <c r="F494" s="14">
        <v>492</v>
      </c>
      <c r="G494" s="14">
        <f t="shared" si="140"/>
        <v>69.2</v>
      </c>
      <c r="H494" s="14">
        <f t="shared" si="141"/>
        <v>342.34999999999997</v>
      </c>
      <c r="I494" s="15">
        <f t="shared" si="142"/>
        <v>4.0999999999999996</v>
      </c>
      <c r="J494" s="15">
        <f t="shared" si="143"/>
        <v>1801.774594</v>
      </c>
      <c r="K494" s="15">
        <f t="shared" si="144"/>
        <v>0.82177459400000008</v>
      </c>
      <c r="L494" s="15">
        <f t="shared" si="145"/>
        <v>1087.8011059999999</v>
      </c>
      <c r="M494" s="15">
        <v>1078.74</v>
      </c>
      <c r="N494" s="14">
        <f t="shared" si="146"/>
        <v>1.0878011059999999</v>
      </c>
      <c r="O494" s="14">
        <f t="shared" si="147"/>
        <v>1.1053199999999999</v>
      </c>
      <c r="P494" s="14">
        <f t="shared" si="148"/>
        <v>1.7518893999999952E-2</v>
      </c>
      <c r="Q494" s="18">
        <f t="shared" si="149"/>
        <v>1.58496127818188E-2</v>
      </c>
      <c r="R494" s="15">
        <f t="shared" ca="1" si="150"/>
        <v>3.968607501457726</v>
      </c>
      <c r="S494" s="15">
        <f t="shared" si="151"/>
        <v>4.0766103225806445</v>
      </c>
      <c r="T494" s="15">
        <f t="shared" ca="1" si="152"/>
        <v>0.10800282112291848</v>
      </c>
      <c r="U494" s="18">
        <f t="shared" ca="1" si="153"/>
        <v>2.6493290399791931E-2</v>
      </c>
      <c r="V494" s="15">
        <f t="shared" si="154"/>
        <v>4.0999999999999996</v>
      </c>
      <c r="W494" s="15">
        <f t="shared" ca="1" si="155"/>
        <v>4.0313924985422744</v>
      </c>
      <c r="X494" s="15">
        <f t="shared" ca="1" si="156"/>
        <v>6.8607501457725206E-2</v>
      </c>
      <c r="Y494" s="35">
        <f t="shared" ca="1" si="157"/>
        <v>1.6733536940908587E-2</v>
      </c>
      <c r="Z494" s="36">
        <f t="shared" ca="1" si="158"/>
        <v>68.376710000000003</v>
      </c>
      <c r="AA494" s="18">
        <f t="shared" ca="1" si="159"/>
        <v>1.1897254335260116E-2</v>
      </c>
      <c r="AB494" s="2"/>
    </row>
    <row r="495" spans="6:28" x14ac:dyDescent="0.25">
      <c r="F495" s="14">
        <v>493</v>
      </c>
      <c r="G495" s="14">
        <f t="shared" si="140"/>
        <v>69.300000000000011</v>
      </c>
      <c r="H495" s="14">
        <f t="shared" si="141"/>
        <v>342.45</v>
      </c>
      <c r="I495" s="15">
        <f t="shared" si="142"/>
        <v>4.108333</v>
      </c>
      <c r="J495" s="15">
        <f t="shared" si="143"/>
        <v>1795.6028779999999</v>
      </c>
      <c r="K495" s="15">
        <f t="shared" si="144"/>
        <v>0.81560287799999998</v>
      </c>
      <c r="L495" s="15">
        <f t="shared" si="145"/>
        <v>1085.5976270000001</v>
      </c>
      <c r="M495" s="15">
        <v>1076.51</v>
      </c>
      <c r="N495" s="14">
        <f t="shared" si="146"/>
        <v>1.0855976270000003</v>
      </c>
      <c r="O495" s="14">
        <f t="shared" si="147"/>
        <v>1.1030299999999997</v>
      </c>
      <c r="P495" s="14">
        <f t="shared" si="148"/>
        <v>1.7432372999999446E-2</v>
      </c>
      <c r="Q495" s="18">
        <f t="shared" si="149"/>
        <v>1.5804078764856306E-2</v>
      </c>
      <c r="R495" s="15">
        <f t="shared" ca="1" si="150"/>
        <v>3.9594026355685132</v>
      </c>
      <c r="S495" s="15">
        <f t="shared" si="151"/>
        <v>4.0681644086021498</v>
      </c>
      <c r="T495" s="15">
        <f t="shared" ca="1" si="152"/>
        <v>0.10876177303363654</v>
      </c>
      <c r="U495" s="18">
        <f t="shared" ca="1" si="153"/>
        <v>2.6734851915930277E-2</v>
      </c>
      <c r="V495" s="15">
        <f t="shared" si="154"/>
        <v>4.1083333333333334</v>
      </c>
      <c r="W495" s="15">
        <f t="shared" ca="1" si="155"/>
        <v>4.0405973644314868</v>
      </c>
      <c r="X495" s="15">
        <f t="shared" ca="1" si="156"/>
        <v>6.7735968901846633E-2</v>
      </c>
      <c r="Y495" s="35">
        <f t="shared" ca="1" si="157"/>
        <v>1.6487456933512366E-2</v>
      </c>
      <c r="Z495" s="36">
        <f t="shared" ca="1" si="158"/>
        <v>68.487167999999997</v>
      </c>
      <c r="AA495" s="18">
        <f t="shared" ca="1" si="159"/>
        <v>1.1729177489177695E-2</v>
      </c>
      <c r="AB495" s="2"/>
    </row>
    <row r="496" spans="6:28" x14ac:dyDescent="0.25">
      <c r="F496" s="14">
        <v>494</v>
      </c>
      <c r="G496" s="14">
        <f t="shared" si="140"/>
        <v>69.400000000000006</v>
      </c>
      <c r="H496" s="14">
        <f t="shared" si="141"/>
        <v>342.54999999999995</v>
      </c>
      <c r="I496" s="15">
        <f t="shared" si="142"/>
        <v>4.1166669999999996</v>
      </c>
      <c r="J496" s="15">
        <f t="shared" si="143"/>
        <v>1789.4555029999999</v>
      </c>
      <c r="K496" s="15">
        <f t="shared" si="144"/>
        <v>0.80945550299999991</v>
      </c>
      <c r="L496" s="15">
        <f t="shared" si="145"/>
        <v>1083.3968440000001</v>
      </c>
      <c r="M496" s="15">
        <v>1074.28</v>
      </c>
      <c r="N496" s="14">
        <f t="shared" si="146"/>
        <v>1.0833968440000001</v>
      </c>
      <c r="O496" s="14">
        <f t="shared" si="147"/>
        <v>1.1007399999999998</v>
      </c>
      <c r="P496" s="14">
        <f t="shared" si="148"/>
        <v>1.7343155999999693E-2</v>
      </c>
      <c r="Q496" s="18">
        <f t="shared" si="149"/>
        <v>1.5755906026854383E-2</v>
      </c>
      <c r="R496" s="15">
        <f t="shared" ca="1" si="150"/>
        <v>3.9521463644314867</v>
      </c>
      <c r="S496" s="15">
        <f t="shared" si="151"/>
        <v>4.0597184946236551</v>
      </c>
      <c r="T496" s="15">
        <f t="shared" ca="1" si="152"/>
        <v>0.10757213019216838</v>
      </c>
      <c r="U496" s="18">
        <f t="shared" ca="1" si="153"/>
        <v>2.6497435803646913E-2</v>
      </c>
      <c r="V496" s="15">
        <f t="shared" si="154"/>
        <v>4.1166666666666671</v>
      </c>
      <c r="W496" s="15">
        <f t="shared" ca="1" si="155"/>
        <v>4.0478536355685133</v>
      </c>
      <c r="X496" s="15">
        <f t="shared" ca="1" si="156"/>
        <v>6.8813031098153843E-2</v>
      </c>
      <c r="Y496" s="35">
        <f t="shared" ca="1" si="157"/>
        <v>1.6715716056231702E-2</v>
      </c>
      <c r="Z496" s="36">
        <f t="shared" ca="1" si="158"/>
        <v>68.574243999999993</v>
      </c>
      <c r="AA496" s="18">
        <f t="shared" ca="1" si="159"/>
        <v>1.189850144092237E-2</v>
      </c>
      <c r="AB496" s="2"/>
    </row>
    <row r="497" spans="6:28" x14ac:dyDescent="0.25">
      <c r="F497" s="14">
        <v>495</v>
      </c>
      <c r="G497" s="14">
        <f t="shared" si="140"/>
        <v>69.5</v>
      </c>
      <c r="H497" s="14">
        <f t="shared" si="141"/>
        <v>342.65</v>
      </c>
      <c r="I497" s="15">
        <f t="shared" si="142"/>
        <v>4.125</v>
      </c>
      <c r="J497" s="15">
        <f t="shared" si="143"/>
        <v>1783.332361</v>
      </c>
      <c r="K497" s="15">
        <f t="shared" si="144"/>
        <v>0.80333236100000005</v>
      </c>
      <c r="L497" s="15">
        <f t="shared" si="145"/>
        <v>1081.198762</v>
      </c>
      <c r="M497" s="15">
        <v>1072.04</v>
      </c>
      <c r="N497" s="14">
        <f t="shared" si="146"/>
        <v>1.0811987619999999</v>
      </c>
      <c r="O497" s="14">
        <f t="shared" si="147"/>
        <v>1.0984499999999999</v>
      </c>
      <c r="P497" s="14">
        <f t="shared" si="148"/>
        <v>1.7251238000000058E-2</v>
      </c>
      <c r="Q497" s="18">
        <f t="shared" si="149"/>
        <v>1.5705073512677008E-2</v>
      </c>
      <c r="R497" s="15">
        <f t="shared" ca="1" si="150"/>
        <v>3.9437537725947522</v>
      </c>
      <c r="S497" s="15">
        <f t="shared" si="151"/>
        <v>4.0512725806451613</v>
      </c>
      <c r="T497" s="15">
        <f t="shared" ca="1" si="152"/>
        <v>0.10751880805040903</v>
      </c>
      <c r="U497" s="18">
        <f t="shared" ca="1" si="153"/>
        <v>2.6539514661165248E-2</v>
      </c>
      <c r="V497" s="15">
        <f t="shared" si="154"/>
        <v>4.125</v>
      </c>
      <c r="W497" s="15">
        <f t="shared" ca="1" si="155"/>
        <v>4.0562462274052482</v>
      </c>
      <c r="X497" s="15">
        <f t="shared" ca="1" si="156"/>
        <v>6.8753772594751794E-2</v>
      </c>
      <c r="Y497" s="35">
        <f t="shared" ca="1" si="157"/>
        <v>1.6667581235091343E-2</v>
      </c>
      <c r="Z497" s="36">
        <f t="shared" ca="1" si="158"/>
        <v>68.674954999999997</v>
      </c>
      <c r="AA497" s="18">
        <f t="shared" ca="1" si="159"/>
        <v>1.1871151079136732E-2</v>
      </c>
      <c r="AB497" s="2"/>
    </row>
    <row r="498" spans="6:28" x14ac:dyDescent="0.25">
      <c r="F498" s="14">
        <v>496</v>
      </c>
      <c r="G498" s="14">
        <f t="shared" si="140"/>
        <v>69.599999999999994</v>
      </c>
      <c r="H498" s="14">
        <f t="shared" si="141"/>
        <v>342.75</v>
      </c>
      <c r="I498" s="15">
        <f t="shared" si="142"/>
        <v>4.1333330000000004</v>
      </c>
      <c r="J498" s="15">
        <f t="shared" si="143"/>
        <v>1777.2333430000001</v>
      </c>
      <c r="K498" s="15">
        <f t="shared" si="144"/>
        <v>0.79723334300000004</v>
      </c>
      <c r="L498" s="15">
        <f t="shared" si="145"/>
        <v>1079.003391</v>
      </c>
      <c r="M498" s="15">
        <v>1069.92</v>
      </c>
      <c r="N498" s="14">
        <f t="shared" si="146"/>
        <v>1.0790033909999999</v>
      </c>
      <c r="O498" s="14">
        <f t="shared" si="147"/>
        <v>1.09616</v>
      </c>
      <c r="P498" s="14">
        <f t="shared" si="148"/>
        <v>1.7156609000000156E-2</v>
      </c>
      <c r="Q498" s="18">
        <f t="shared" si="149"/>
        <v>1.5651555429864395E-2</v>
      </c>
      <c r="R498" s="15">
        <f t="shared" ca="1" si="150"/>
        <v>3.9357350000000002</v>
      </c>
      <c r="S498" s="15">
        <f t="shared" si="151"/>
        <v>4.0428266666666666</v>
      </c>
      <c r="T498" s="15">
        <f t="shared" ca="1" si="152"/>
        <v>0.10709166666666636</v>
      </c>
      <c r="U498" s="18">
        <f t="shared" ca="1" si="153"/>
        <v>2.6489304513013921E-2</v>
      </c>
      <c r="V498" s="15">
        <f t="shared" si="154"/>
        <v>4.1333333333333329</v>
      </c>
      <c r="W498" s="15">
        <f t="shared" ca="1" si="155"/>
        <v>4.0642649999999998</v>
      </c>
      <c r="X498" s="15">
        <f t="shared" ca="1" si="156"/>
        <v>6.9068333333333065E-2</v>
      </c>
      <c r="Y498" s="35">
        <f t="shared" ca="1" si="157"/>
        <v>1.6710080645161229E-2</v>
      </c>
      <c r="Z498" s="36">
        <f t="shared" ca="1" si="158"/>
        <v>68.771180000000001</v>
      </c>
      <c r="AA498" s="18">
        <f t="shared" ca="1" si="159"/>
        <v>1.1908333333333238E-2</v>
      </c>
      <c r="AB498" s="2"/>
    </row>
    <row r="499" spans="6:28" x14ac:dyDescent="0.25">
      <c r="F499" s="14">
        <v>497</v>
      </c>
      <c r="G499" s="14">
        <f t="shared" si="140"/>
        <v>69.7</v>
      </c>
      <c r="H499" s="14">
        <f t="shared" si="141"/>
        <v>342.84999999999997</v>
      </c>
      <c r="I499" s="15">
        <f t="shared" si="142"/>
        <v>4.141667</v>
      </c>
      <c r="J499" s="15">
        <f t="shared" si="143"/>
        <v>1771.1583450000001</v>
      </c>
      <c r="K499" s="15">
        <f t="shared" si="144"/>
        <v>0.79115834500000015</v>
      </c>
      <c r="L499" s="15">
        <f t="shared" si="145"/>
        <v>1076.8107379999999</v>
      </c>
      <c r="M499" s="15">
        <v>1067.55</v>
      </c>
      <c r="N499" s="14">
        <f t="shared" si="146"/>
        <v>1.076810738</v>
      </c>
      <c r="O499" s="14">
        <f t="shared" si="147"/>
        <v>1.0938699999999999</v>
      </c>
      <c r="P499" s="14">
        <f t="shared" si="148"/>
        <v>1.7059261999999853E-2</v>
      </c>
      <c r="Q499" s="18">
        <f t="shared" si="149"/>
        <v>1.5595328512528778E-2</v>
      </c>
      <c r="R499" s="15">
        <f t="shared" ca="1" si="150"/>
        <v>3.928518501457726</v>
      </c>
      <c r="S499" s="15">
        <f t="shared" si="151"/>
        <v>4.0343807526881719</v>
      </c>
      <c r="T499" s="15">
        <f t="shared" ca="1" si="152"/>
        <v>0.1058622512304459</v>
      </c>
      <c r="U499" s="18">
        <f t="shared" ca="1" si="153"/>
        <v>2.6240024856332214E-2</v>
      </c>
      <c r="V499" s="15">
        <f t="shared" si="154"/>
        <v>4.1416666666666657</v>
      </c>
      <c r="W499" s="15">
        <f t="shared" ca="1" si="155"/>
        <v>4.0714814985422745</v>
      </c>
      <c r="X499" s="15">
        <f t="shared" ca="1" si="156"/>
        <v>7.018516812439124E-2</v>
      </c>
      <c r="Y499" s="35">
        <f t="shared" ca="1" si="157"/>
        <v>1.6946117052166903E-2</v>
      </c>
      <c r="Z499" s="36">
        <f t="shared" ca="1" si="158"/>
        <v>68.857777999999996</v>
      </c>
      <c r="AA499" s="18">
        <f t="shared" ca="1" si="159"/>
        <v>1.2083529411764802E-2</v>
      </c>
      <c r="AB499" s="2"/>
    </row>
    <row r="500" spans="6:28" x14ac:dyDescent="0.25">
      <c r="F500" s="14">
        <v>498</v>
      </c>
      <c r="G500" s="14">
        <f t="shared" si="140"/>
        <v>69.800000000000011</v>
      </c>
      <c r="H500" s="14">
        <f t="shared" si="141"/>
        <v>342.95</v>
      </c>
      <c r="I500" s="15">
        <f t="shared" si="142"/>
        <v>4.1500000000000004</v>
      </c>
      <c r="J500" s="15">
        <f t="shared" si="143"/>
        <v>1765.107258</v>
      </c>
      <c r="K500" s="15">
        <f t="shared" si="144"/>
        <v>0.78510725800000003</v>
      </c>
      <c r="L500" s="15">
        <f t="shared" si="145"/>
        <v>1074.6208099999999</v>
      </c>
      <c r="M500" s="15">
        <v>1065.3</v>
      </c>
      <c r="N500" s="14">
        <f t="shared" si="146"/>
        <v>1.0746208099999999</v>
      </c>
      <c r="O500" s="14">
        <f t="shared" si="147"/>
        <v>1.0915799999999998</v>
      </c>
      <c r="P500" s="14">
        <f t="shared" si="148"/>
        <v>1.6959189999999902E-2</v>
      </c>
      <c r="Q500" s="18">
        <f t="shared" si="149"/>
        <v>1.5536369299547359E-2</v>
      </c>
      <c r="R500" s="15">
        <f t="shared" ca="1" si="150"/>
        <v>3.9189684985422741</v>
      </c>
      <c r="S500" s="15">
        <f t="shared" si="151"/>
        <v>4.0259348387096763</v>
      </c>
      <c r="T500" s="15">
        <f t="shared" ca="1" si="152"/>
        <v>0.10696634016740214</v>
      </c>
      <c r="U500" s="18">
        <f t="shared" ca="1" si="153"/>
        <v>2.6569317302136256E-2</v>
      </c>
      <c r="V500" s="15">
        <f t="shared" si="154"/>
        <v>4.1500000000000004</v>
      </c>
      <c r="W500" s="15">
        <f t="shared" ca="1" si="155"/>
        <v>4.0810315014577263</v>
      </c>
      <c r="X500" s="15">
        <f t="shared" ca="1" si="156"/>
        <v>6.8968498542274048E-2</v>
      </c>
      <c r="Y500" s="35">
        <f t="shared" ca="1" si="157"/>
        <v>1.6618915311391334E-2</v>
      </c>
      <c r="Z500" s="36">
        <f t="shared" ca="1" si="158"/>
        <v>68.972378000000006</v>
      </c>
      <c r="AA500" s="18">
        <f t="shared" ca="1" si="159"/>
        <v>1.1857048710601791E-2</v>
      </c>
      <c r="AB500" s="2"/>
    </row>
    <row r="501" spans="6:28" x14ac:dyDescent="0.25">
      <c r="F501" s="14">
        <v>499</v>
      </c>
      <c r="G501" s="14">
        <f t="shared" si="140"/>
        <v>69.900000000000006</v>
      </c>
      <c r="H501" s="14">
        <f t="shared" si="141"/>
        <v>343.04999999999995</v>
      </c>
      <c r="I501" s="15">
        <f t="shared" si="142"/>
        <v>4.1583329999999998</v>
      </c>
      <c r="J501" s="15">
        <f t="shared" si="143"/>
        <v>1759.0799790000001</v>
      </c>
      <c r="K501" s="15">
        <f t="shared" si="144"/>
        <v>0.77907997900000003</v>
      </c>
      <c r="L501" s="15">
        <f t="shared" si="145"/>
        <v>1072.4336169999999</v>
      </c>
      <c r="M501" s="15">
        <v>1063.18</v>
      </c>
      <c r="N501" s="14">
        <f t="shared" si="146"/>
        <v>1.072433617</v>
      </c>
      <c r="O501" s="14">
        <f t="shared" si="147"/>
        <v>1.0892899999999999</v>
      </c>
      <c r="P501" s="14">
        <f t="shared" si="148"/>
        <v>1.6856382999999919E-2</v>
      </c>
      <c r="Q501" s="18">
        <f t="shared" si="149"/>
        <v>1.5474651378420735E-2</v>
      </c>
      <c r="R501" s="15">
        <f t="shared" ca="1" si="150"/>
        <v>3.9117827725947523</v>
      </c>
      <c r="S501" s="15">
        <f t="shared" si="151"/>
        <v>4.0174889247311825</v>
      </c>
      <c r="T501" s="15">
        <f t="shared" ca="1" si="152"/>
        <v>0.1057061521364302</v>
      </c>
      <c r="U501" s="18">
        <f t="shared" ca="1" si="153"/>
        <v>2.631149808172855E-2</v>
      </c>
      <c r="V501" s="15">
        <f t="shared" si="154"/>
        <v>4.1583333333333332</v>
      </c>
      <c r="W501" s="15">
        <f t="shared" ca="1" si="155"/>
        <v>4.0882172274052477</v>
      </c>
      <c r="X501" s="15">
        <f t="shared" ca="1" si="156"/>
        <v>7.0116105928085481E-2</v>
      </c>
      <c r="Y501" s="35">
        <f t="shared" ca="1" si="157"/>
        <v>1.6861588599940396E-2</v>
      </c>
      <c r="Z501" s="36">
        <f t="shared" ca="1" si="158"/>
        <v>69.058606999999995</v>
      </c>
      <c r="AA501" s="18">
        <f t="shared" ca="1" si="159"/>
        <v>1.2037095851216175E-2</v>
      </c>
      <c r="AB501" s="2"/>
    </row>
    <row r="502" spans="6:28" x14ac:dyDescent="0.25">
      <c r="F502" s="14">
        <v>500</v>
      </c>
      <c r="G502" s="14">
        <f t="shared" si="140"/>
        <v>70</v>
      </c>
      <c r="H502" s="14">
        <f t="shared" si="141"/>
        <v>343.15</v>
      </c>
      <c r="I502" s="15">
        <f t="shared" si="142"/>
        <v>4.1666670000000003</v>
      </c>
      <c r="J502" s="15">
        <f t="shared" si="143"/>
        <v>1753.076401</v>
      </c>
      <c r="K502" s="15">
        <f t="shared" si="144"/>
        <v>0.77307640099999997</v>
      </c>
      <c r="L502" s="15">
        <f t="shared" si="145"/>
        <v>1070.2491649999999</v>
      </c>
      <c r="M502" s="15">
        <v>1060.92</v>
      </c>
      <c r="N502" s="14">
        <f t="shared" si="146"/>
        <v>1.0702491650000001</v>
      </c>
      <c r="O502" s="14">
        <f t="shared" si="147"/>
        <v>1.087</v>
      </c>
      <c r="P502" s="14">
        <f t="shared" si="148"/>
        <v>1.6750834999999853E-2</v>
      </c>
      <c r="Q502" s="18">
        <f t="shared" si="149"/>
        <v>1.5410151793928108E-2</v>
      </c>
      <c r="R502" s="15">
        <f t="shared" ca="1" si="150"/>
        <v>3.9037932274052478</v>
      </c>
      <c r="S502" s="15">
        <f t="shared" si="151"/>
        <v>4.0090430107526878</v>
      </c>
      <c r="T502" s="15">
        <f t="shared" ca="1" si="152"/>
        <v>0.10524978334743995</v>
      </c>
      <c r="U502" s="18">
        <f t="shared" ca="1" si="153"/>
        <v>2.6253094083837122E-2</v>
      </c>
      <c r="V502" s="15">
        <f t="shared" si="154"/>
        <v>4.1666666666666661</v>
      </c>
      <c r="W502" s="15">
        <f t="shared" ca="1" si="155"/>
        <v>4.0962067725947522</v>
      </c>
      <c r="X502" s="15">
        <f t="shared" ca="1" si="156"/>
        <v>7.0459894071913887E-2</v>
      </c>
      <c r="Y502" s="35">
        <f t="shared" ca="1" si="157"/>
        <v>1.6910374577259336E-2</v>
      </c>
      <c r="Z502" s="36">
        <f t="shared" ca="1" si="158"/>
        <v>69.154481000000004</v>
      </c>
      <c r="AA502" s="18">
        <f t="shared" ca="1" si="159"/>
        <v>1.2078842857142799E-2</v>
      </c>
      <c r="AB502" s="2"/>
    </row>
    <row r="503" spans="6:28" x14ac:dyDescent="0.25">
      <c r="F503" s="14">
        <v>501</v>
      </c>
      <c r="G503" s="14">
        <f t="shared" si="140"/>
        <v>70.099999999999994</v>
      </c>
      <c r="H503" s="14">
        <f t="shared" si="141"/>
        <v>343.25</v>
      </c>
      <c r="I503" s="15">
        <f t="shared" si="142"/>
        <v>4.1749999999999998</v>
      </c>
      <c r="J503" s="15">
        <f t="shared" si="143"/>
        <v>1747.0964200000001</v>
      </c>
      <c r="K503" s="15">
        <f t="shared" si="144"/>
        <v>0.76709642000000011</v>
      </c>
      <c r="L503" s="15">
        <f t="shared" si="145"/>
        <v>1068.067462</v>
      </c>
      <c r="M503" s="15">
        <v>1058.92</v>
      </c>
      <c r="N503" s="14">
        <f t="shared" si="146"/>
        <v>1.0680674620000001</v>
      </c>
      <c r="O503" s="14">
        <f t="shared" si="147"/>
        <v>1.0847100000000001</v>
      </c>
      <c r="P503" s="14">
        <f t="shared" si="148"/>
        <v>1.6642537999999929E-2</v>
      </c>
      <c r="Q503" s="18">
        <f t="shared" si="149"/>
        <v>1.5342845553189266E-2</v>
      </c>
      <c r="R503" s="15">
        <f t="shared" ca="1" si="150"/>
        <v>3.8958352274052479</v>
      </c>
      <c r="S503" s="15">
        <f t="shared" si="151"/>
        <v>4.000597096774194</v>
      </c>
      <c r="T503" s="15">
        <f t="shared" ca="1" si="152"/>
        <v>0.10476186936894605</v>
      </c>
      <c r="U503" s="18">
        <f t="shared" ca="1" si="153"/>
        <v>2.6186558364854787E-2</v>
      </c>
      <c r="V503" s="15">
        <f t="shared" si="154"/>
        <v>4.1749999999999989</v>
      </c>
      <c r="W503" s="15">
        <f t="shared" ca="1" si="155"/>
        <v>4.1041647725947517</v>
      </c>
      <c r="X503" s="15">
        <f t="shared" ca="1" si="156"/>
        <v>7.0835227405247281E-2</v>
      </c>
      <c r="Y503" s="35">
        <f t="shared" ca="1" si="157"/>
        <v>1.6966521534190971E-2</v>
      </c>
      <c r="Z503" s="36">
        <f t="shared" ca="1" si="158"/>
        <v>69.249977000000001</v>
      </c>
      <c r="AA503" s="18">
        <f t="shared" ca="1" si="159"/>
        <v>1.2125863052781643E-2</v>
      </c>
      <c r="AB503" s="2"/>
    </row>
    <row r="504" spans="6:28" x14ac:dyDescent="0.25">
      <c r="F504" s="14">
        <v>502</v>
      </c>
      <c r="G504" s="14">
        <f t="shared" si="140"/>
        <v>70.2</v>
      </c>
      <c r="H504" s="14">
        <f t="shared" si="141"/>
        <v>343.34999999999997</v>
      </c>
      <c r="I504" s="15">
        <f t="shared" si="142"/>
        <v>4.1833330000000002</v>
      </c>
      <c r="J504" s="15">
        <f t="shared" si="143"/>
        <v>1741.1399329999999</v>
      </c>
      <c r="K504" s="15">
        <f t="shared" si="144"/>
        <v>0.76113993299999994</v>
      </c>
      <c r="L504" s="15">
        <f t="shared" si="145"/>
        <v>1065.8885150000001</v>
      </c>
      <c r="M504" s="15">
        <v>1056.53</v>
      </c>
      <c r="N504" s="14">
        <f t="shared" si="146"/>
        <v>1.0658885150000001</v>
      </c>
      <c r="O504" s="14">
        <f t="shared" si="147"/>
        <v>1.0824199999999999</v>
      </c>
      <c r="P504" s="14">
        <f t="shared" si="148"/>
        <v>1.653148499999979E-2</v>
      </c>
      <c r="Q504" s="18">
        <f t="shared" si="149"/>
        <v>1.5272708375676531E-2</v>
      </c>
      <c r="R504" s="15">
        <f t="shared" ca="1" si="150"/>
        <v>3.8886795014577258</v>
      </c>
      <c r="S504" s="15">
        <f t="shared" si="151"/>
        <v>3.9921511827956984</v>
      </c>
      <c r="T504" s="15">
        <f t="shared" ca="1" si="152"/>
        <v>0.10347168133797258</v>
      </c>
      <c r="U504" s="18">
        <f t="shared" ca="1" si="153"/>
        <v>2.5918778272698454E-2</v>
      </c>
      <c r="V504" s="15">
        <f t="shared" si="154"/>
        <v>4.1833333333333336</v>
      </c>
      <c r="W504" s="15">
        <f t="shared" ca="1" si="155"/>
        <v>4.1113204985422742</v>
      </c>
      <c r="X504" s="15">
        <f t="shared" ca="1" si="156"/>
        <v>7.2012834791059355E-2</v>
      </c>
      <c r="Y504" s="35">
        <f t="shared" ca="1" si="157"/>
        <v>1.7214223456030124E-2</v>
      </c>
      <c r="Z504" s="36">
        <f t="shared" ca="1" si="158"/>
        <v>69.335846000000004</v>
      </c>
      <c r="AA504" s="18">
        <f t="shared" ca="1" si="159"/>
        <v>1.2309886039886028E-2</v>
      </c>
      <c r="AB504" s="2"/>
    </row>
    <row r="505" spans="6:28" x14ac:dyDescent="0.25">
      <c r="F505" s="14">
        <v>503</v>
      </c>
      <c r="G505" s="14">
        <f t="shared" si="140"/>
        <v>70.300000000000011</v>
      </c>
      <c r="H505" s="14">
        <f t="shared" si="141"/>
        <v>343.45</v>
      </c>
      <c r="I505" s="15">
        <f t="shared" si="142"/>
        <v>4.1916669999999998</v>
      </c>
      <c r="J505" s="15">
        <f t="shared" si="143"/>
        <v>1735.2068340000001</v>
      </c>
      <c r="K505" s="15">
        <f t="shared" si="144"/>
        <v>0.75520683400000022</v>
      </c>
      <c r="L505" s="15">
        <f t="shared" si="145"/>
        <v>1063.7123320000001</v>
      </c>
      <c r="M505" s="15">
        <v>1054.3900000000001</v>
      </c>
      <c r="N505" s="14">
        <f t="shared" si="146"/>
        <v>1.0637123320000001</v>
      </c>
      <c r="O505" s="14">
        <f t="shared" si="147"/>
        <v>1.0801299999999996</v>
      </c>
      <c r="P505" s="14">
        <f t="shared" si="148"/>
        <v>1.6417667999999441E-2</v>
      </c>
      <c r="Q505" s="18">
        <f t="shared" si="149"/>
        <v>1.5199714849138018E-2</v>
      </c>
      <c r="R505" s="15">
        <f t="shared" ca="1" si="150"/>
        <v>3.8803453644314869</v>
      </c>
      <c r="S505" s="15">
        <f t="shared" si="151"/>
        <v>3.9837052688172028</v>
      </c>
      <c r="T505" s="15">
        <f t="shared" ca="1" si="152"/>
        <v>0.10335990438571585</v>
      </c>
      <c r="U505" s="18">
        <f t="shared" ca="1" si="153"/>
        <v>2.5945670528082092E-2</v>
      </c>
      <c r="V505" s="15">
        <f t="shared" si="154"/>
        <v>4.1916666666666673</v>
      </c>
      <c r="W505" s="15">
        <f t="shared" ca="1" si="155"/>
        <v>4.1196546355685131</v>
      </c>
      <c r="X505" s="15">
        <f t="shared" ca="1" si="156"/>
        <v>7.2012031098154239E-2</v>
      </c>
      <c r="Y505" s="35">
        <f t="shared" ca="1" si="157"/>
        <v>1.71798086118857E-2</v>
      </c>
      <c r="Z505" s="36">
        <f t="shared" ca="1" si="158"/>
        <v>69.435856000000001</v>
      </c>
      <c r="AA505" s="18">
        <f t="shared" ca="1" si="159"/>
        <v>1.229223328591764E-2</v>
      </c>
      <c r="AB505" s="2"/>
    </row>
    <row r="506" spans="6:28" x14ac:dyDescent="0.25">
      <c r="F506" s="14">
        <v>504</v>
      </c>
      <c r="G506" s="14">
        <f t="shared" si="140"/>
        <v>70.400000000000006</v>
      </c>
      <c r="H506" s="14">
        <f t="shared" si="141"/>
        <v>343.54999999999995</v>
      </c>
      <c r="I506" s="15">
        <f t="shared" si="142"/>
        <v>4.2</v>
      </c>
      <c r="J506" s="15">
        <f t="shared" si="143"/>
        <v>1729.2970230000001</v>
      </c>
      <c r="K506" s="15">
        <f t="shared" si="144"/>
        <v>0.74929702300000001</v>
      </c>
      <c r="L506" s="15">
        <f t="shared" si="145"/>
        <v>1061.5389210000001</v>
      </c>
      <c r="M506" s="15">
        <v>1052.3699999999999</v>
      </c>
      <c r="N506" s="14">
        <f t="shared" si="146"/>
        <v>1.0615389210000001</v>
      </c>
      <c r="O506" s="14">
        <f t="shared" si="147"/>
        <v>1.0778399999999999</v>
      </c>
      <c r="P506" s="14">
        <f t="shared" si="148"/>
        <v>1.6301078999999774E-2</v>
      </c>
      <c r="Q506" s="18">
        <f t="shared" si="149"/>
        <v>1.5123839345357173E-2</v>
      </c>
      <c r="R506" s="15">
        <f t="shared" ca="1" si="150"/>
        <v>3.8720319999999999</v>
      </c>
      <c r="S506" s="15">
        <f t="shared" si="151"/>
        <v>3.975259354838709</v>
      </c>
      <c r="T506" s="15">
        <f t="shared" ca="1" si="152"/>
        <v>0.10322735483870904</v>
      </c>
      <c r="U506" s="18">
        <f t="shared" ca="1" si="153"/>
        <v>2.5967451586035539E-2</v>
      </c>
      <c r="V506" s="15">
        <f t="shared" si="154"/>
        <v>4.2</v>
      </c>
      <c r="W506" s="15">
        <f t="shared" ca="1" si="155"/>
        <v>4.1279680000000001</v>
      </c>
      <c r="X506" s="15">
        <f t="shared" ca="1" si="156"/>
        <v>7.2032000000000096E-2</v>
      </c>
      <c r="Y506" s="35">
        <f t="shared" ca="1" si="157"/>
        <v>1.7150476190476212E-2</v>
      </c>
      <c r="Z506" s="36">
        <f t="shared" ca="1" si="158"/>
        <v>69.535616000000005</v>
      </c>
      <c r="AA506" s="18">
        <f t="shared" ca="1" si="159"/>
        <v>1.2278181818181834E-2</v>
      </c>
      <c r="AB506" s="2"/>
    </row>
    <row r="507" spans="6:28" x14ac:dyDescent="0.25">
      <c r="F507" s="14">
        <v>505</v>
      </c>
      <c r="G507" s="14">
        <f t="shared" si="140"/>
        <v>70.5</v>
      </c>
      <c r="H507" s="14">
        <f t="shared" si="141"/>
        <v>343.65</v>
      </c>
      <c r="I507" s="15">
        <f t="shared" si="142"/>
        <v>4.2083329999999997</v>
      </c>
      <c r="J507" s="15">
        <f t="shared" si="143"/>
        <v>1723.4103950000001</v>
      </c>
      <c r="K507" s="15">
        <f t="shared" si="144"/>
        <v>0.74341039500000017</v>
      </c>
      <c r="L507" s="15">
        <f t="shared" si="145"/>
        <v>1059.368289</v>
      </c>
      <c r="M507" s="15">
        <v>1050.1099999999999</v>
      </c>
      <c r="N507" s="14">
        <f t="shared" si="146"/>
        <v>1.0593682889999998</v>
      </c>
      <c r="O507" s="14">
        <f t="shared" si="147"/>
        <v>1.07555</v>
      </c>
      <c r="P507" s="14">
        <f t="shared" si="148"/>
        <v>1.618171100000021E-2</v>
      </c>
      <c r="Q507" s="18">
        <f t="shared" si="149"/>
        <v>1.5045056947608396E-2</v>
      </c>
      <c r="R507" s="15">
        <f t="shared" ca="1" si="150"/>
        <v>3.8645111370262391</v>
      </c>
      <c r="S507" s="15">
        <f t="shared" si="151"/>
        <v>3.9668134408602147</v>
      </c>
      <c r="T507" s="15">
        <f t="shared" ca="1" si="152"/>
        <v>0.10230230383397565</v>
      </c>
      <c r="U507" s="18">
        <f t="shared" ca="1" si="153"/>
        <v>2.5789542502858694E-2</v>
      </c>
      <c r="V507" s="15">
        <f t="shared" si="154"/>
        <v>4.208333333333333</v>
      </c>
      <c r="W507" s="15">
        <f t="shared" ca="1" si="155"/>
        <v>4.1354888629737605</v>
      </c>
      <c r="X507" s="15">
        <f t="shared" ca="1" si="156"/>
        <v>7.2844470359572533E-2</v>
      </c>
      <c r="Y507" s="35">
        <f t="shared" ca="1" si="157"/>
        <v>1.7309577115145948E-2</v>
      </c>
      <c r="Z507" s="36">
        <f t="shared" ca="1" si="158"/>
        <v>69.625866000000002</v>
      </c>
      <c r="AA507" s="18">
        <f t="shared" ca="1" si="159"/>
        <v>1.2399063829787206E-2</v>
      </c>
      <c r="AB507" s="2"/>
    </row>
    <row r="508" spans="6:28" x14ac:dyDescent="0.25">
      <c r="F508" s="14">
        <v>506</v>
      </c>
      <c r="G508" s="14">
        <f t="shared" si="140"/>
        <v>70.599999999999994</v>
      </c>
      <c r="H508" s="14">
        <f t="shared" si="141"/>
        <v>343.75</v>
      </c>
      <c r="I508" s="15">
        <f t="shared" si="142"/>
        <v>4.2166670000000002</v>
      </c>
      <c r="J508" s="15">
        <f t="shared" si="143"/>
        <v>1717.546848</v>
      </c>
      <c r="K508" s="15">
        <f t="shared" si="144"/>
        <v>0.73754684800000003</v>
      </c>
      <c r="L508" s="15">
        <f t="shared" si="145"/>
        <v>1057.2004420000001</v>
      </c>
      <c r="M508" s="15">
        <v>1047.83</v>
      </c>
      <c r="N508" s="14">
        <f t="shared" si="146"/>
        <v>1.0572004420000003</v>
      </c>
      <c r="O508" s="14">
        <f t="shared" si="147"/>
        <v>1.0732600000000001</v>
      </c>
      <c r="P508" s="14">
        <f t="shared" si="148"/>
        <v>1.6059557999999807E-2</v>
      </c>
      <c r="Q508" s="18">
        <f t="shared" si="149"/>
        <v>1.4963343458248519E-2</v>
      </c>
      <c r="R508" s="15">
        <f t="shared" ca="1" si="150"/>
        <v>3.856989501457726</v>
      </c>
      <c r="S508" s="15">
        <f t="shared" si="151"/>
        <v>3.9583675268817204</v>
      </c>
      <c r="T508" s="15">
        <f t="shared" ca="1" si="152"/>
        <v>0.10137802542399443</v>
      </c>
      <c r="U508" s="18">
        <f t="shared" ca="1" si="153"/>
        <v>2.5611069395533596E-2</v>
      </c>
      <c r="V508" s="15">
        <f t="shared" si="154"/>
        <v>4.2166666666666659</v>
      </c>
      <c r="W508" s="15">
        <f t="shared" ca="1" si="155"/>
        <v>4.1430104985422744</v>
      </c>
      <c r="X508" s="15">
        <f t="shared" ca="1" si="156"/>
        <v>7.3656168124391463E-2</v>
      </c>
      <c r="Y508" s="35">
        <f t="shared" ca="1" si="157"/>
        <v>1.7467865958353711E-2</v>
      </c>
      <c r="Z508" s="36">
        <f t="shared" ca="1" si="158"/>
        <v>69.716126000000003</v>
      </c>
      <c r="AA508" s="18">
        <f t="shared" ca="1" si="159"/>
        <v>1.251946175637382E-2</v>
      </c>
      <c r="AB508" s="2"/>
    </row>
    <row r="509" spans="6:28" x14ac:dyDescent="0.25">
      <c r="F509" s="14">
        <v>507</v>
      </c>
      <c r="G509" s="14">
        <f t="shared" si="140"/>
        <v>70.7</v>
      </c>
      <c r="H509" s="14">
        <f t="shared" si="141"/>
        <v>343.84999999999997</v>
      </c>
      <c r="I509" s="15">
        <f t="shared" si="142"/>
        <v>4.2249999999999996</v>
      </c>
      <c r="J509" s="15">
        <f t="shared" si="143"/>
        <v>1711.7062820000001</v>
      </c>
      <c r="K509" s="15">
        <f t="shared" si="144"/>
        <v>0.73170628200000021</v>
      </c>
      <c r="L509" s="15">
        <f t="shared" si="145"/>
        <v>1055.0353889999999</v>
      </c>
      <c r="M509" s="15">
        <v>1045.56</v>
      </c>
      <c r="N509" s="14">
        <f t="shared" si="146"/>
        <v>1.0550353889999997</v>
      </c>
      <c r="O509" s="14">
        <f t="shared" si="147"/>
        <v>1.0709699999999998</v>
      </c>
      <c r="P509" s="14">
        <f t="shared" si="148"/>
        <v>1.5934611000000043E-2</v>
      </c>
      <c r="Q509" s="18">
        <f t="shared" si="149"/>
        <v>1.4878671671475436E-2</v>
      </c>
      <c r="R509" s="15">
        <f t="shared" ca="1" si="150"/>
        <v>3.8479246355685133</v>
      </c>
      <c r="S509" s="15">
        <f t="shared" si="151"/>
        <v>3.9499216129032249</v>
      </c>
      <c r="T509" s="15">
        <f t="shared" ca="1" si="152"/>
        <v>0.10199697733471158</v>
      </c>
      <c r="U509" s="18">
        <f t="shared" ca="1" si="153"/>
        <v>2.5822532022285617E-2</v>
      </c>
      <c r="V509" s="15">
        <f t="shared" si="154"/>
        <v>4.2249999999999996</v>
      </c>
      <c r="W509" s="15">
        <f t="shared" ca="1" si="155"/>
        <v>4.1520753644314867</v>
      </c>
      <c r="X509" s="15">
        <f t="shared" ca="1" si="156"/>
        <v>7.2924635568512919E-2</v>
      </c>
      <c r="Y509" s="35">
        <f t="shared" ca="1" si="157"/>
        <v>1.7260268773612527E-2</v>
      </c>
      <c r="Z509" s="36">
        <f t="shared" ca="1" si="158"/>
        <v>69.824904000000004</v>
      </c>
      <c r="AA509" s="18">
        <f t="shared" ca="1" si="159"/>
        <v>1.2377595473833086E-2</v>
      </c>
      <c r="AB509" s="2"/>
    </row>
    <row r="510" spans="6:28" x14ac:dyDescent="0.25">
      <c r="F510" s="14">
        <v>508</v>
      </c>
      <c r="G510" s="14">
        <f t="shared" si="140"/>
        <v>70.800000000000011</v>
      </c>
      <c r="H510" s="14">
        <f t="shared" si="141"/>
        <v>343.95</v>
      </c>
      <c r="I510" s="15">
        <f t="shared" si="142"/>
        <v>4.233333</v>
      </c>
      <c r="J510" s="15">
        <f t="shared" si="143"/>
        <v>1705.8885949999999</v>
      </c>
      <c r="K510" s="15">
        <f t="shared" si="144"/>
        <v>0.72588859500000003</v>
      </c>
      <c r="L510" s="15">
        <f t="shared" si="145"/>
        <v>1052.8731359999999</v>
      </c>
      <c r="M510" s="15">
        <v>1043.53</v>
      </c>
      <c r="N510" s="14">
        <f t="shared" si="146"/>
        <v>1.0528731359999999</v>
      </c>
      <c r="O510" s="14">
        <f t="shared" si="147"/>
        <v>1.0686799999999996</v>
      </c>
      <c r="P510" s="14">
        <f t="shared" si="148"/>
        <v>1.5806863999999754E-2</v>
      </c>
      <c r="Q510" s="18">
        <f t="shared" si="149"/>
        <v>1.4791016955496275E-2</v>
      </c>
      <c r="R510" s="15">
        <f t="shared" ca="1" si="150"/>
        <v>3.8404229999999999</v>
      </c>
      <c r="S510" s="15">
        <f t="shared" si="151"/>
        <v>3.9414756989247297</v>
      </c>
      <c r="T510" s="15">
        <f t="shared" ca="1" si="152"/>
        <v>0.10105269892472979</v>
      </c>
      <c r="U510" s="18">
        <f t="shared" ca="1" si="153"/>
        <v>2.5638290489092164E-2</v>
      </c>
      <c r="V510" s="15">
        <f t="shared" si="154"/>
        <v>4.2333333333333343</v>
      </c>
      <c r="W510" s="15">
        <f t="shared" ca="1" si="155"/>
        <v>4.1595770000000005</v>
      </c>
      <c r="X510" s="15">
        <f t="shared" ca="1" si="156"/>
        <v>7.3756333333333757E-2</v>
      </c>
      <c r="Y510" s="35">
        <f t="shared" ca="1" si="157"/>
        <v>1.7422755905511907E-2</v>
      </c>
      <c r="Z510" s="36">
        <f t="shared" ca="1" si="158"/>
        <v>69.914923999999999</v>
      </c>
      <c r="AA510" s="18">
        <f t="shared" ca="1" si="159"/>
        <v>1.2501073446327855E-2</v>
      </c>
      <c r="AB510" s="2"/>
    </row>
    <row r="511" spans="6:28" x14ac:dyDescent="0.25">
      <c r="F511" s="14">
        <v>509</v>
      </c>
      <c r="G511" s="14">
        <f t="shared" si="140"/>
        <v>70.900000000000006</v>
      </c>
      <c r="H511" s="14">
        <f t="shared" si="141"/>
        <v>344.04999999999995</v>
      </c>
      <c r="I511" s="15">
        <f t="shared" si="142"/>
        <v>4.2416669999999996</v>
      </c>
      <c r="J511" s="15">
        <f t="shared" si="143"/>
        <v>1700.0936859999999</v>
      </c>
      <c r="K511" s="15">
        <f t="shared" si="144"/>
        <v>0.72009368600000001</v>
      </c>
      <c r="L511" s="15">
        <f t="shared" si="145"/>
        <v>1050.7136909999999</v>
      </c>
      <c r="M511" s="15">
        <v>1041.3699999999999</v>
      </c>
      <c r="N511" s="14">
        <f t="shared" si="146"/>
        <v>1.0507136909999999</v>
      </c>
      <c r="O511" s="14">
        <f t="shared" si="147"/>
        <v>1.0663899999999997</v>
      </c>
      <c r="P511" s="14">
        <f t="shared" si="148"/>
        <v>1.5676308999999833E-2</v>
      </c>
      <c r="Q511" s="18">
        <f t="shared" si="149"/>
        <v>1.4700352591453256E-2</v>
      </c>
      <c r="R511" s="15">
        <f t="shared" ca="1" si="150"/>
        <v>3.832943137026239</v>
      </c>
      <c r="S511" s="15">
        <f t="shared" si="151"/>
        <v>3.9330297849462355</v>
      </c>
      <c r="T511" s="15">
        <f t="shared" ca="1" si="152"/>
        <v>0.10008664791999644</v>
      </c>
      <c r="U511" s="18">
        <f t="shared" ca="1" si="153"/>
        <v>2.5447721830910219E-2</v>
      </c>
      <c r="V511" s="15">
        <f t="shared" si="154"/>
        <v>4.2416666666666671</v>
      </c>
      <c r="W511" s="15">
        <f t="shared" ca="1" si="155"/>
        <v>4.1670568629737605</v>
      </c>
      <c r="X511" s="15">
        <f t="shared" ca="1" si="156"/>
        <v>7.4609803692906596E-2</v>
      </c>
      <c r="Y511" s="35">
        <f t="shared" ca="1" si="157"/>
        <v>1.7589737609329647E-2</v>
      </c>
      <c r="Z511" s="36">
        <f t="shared" ca="1" si="158"/>
        <v>70.004682000000003</v>
      </c>
      <c r="AA511" s="18">
        <f t="shared" ca="1" si="159"/>
        <v>1.2627898448519085E-2</v>
      </c>
      <c r="AB511" s="2"/>
    </row>
    <row r="512" spans="6:28" x14ac:dyDescent="0.25">
      <c r="F512" s="14">
        <v>510</v>
      </c>
      <c r="G512" s="14">
        <f t="shared" si="140"/>
        <v>71</v>
      </c>
      <c r="H512" s="14">
        <f t="shared" si="141"/>
        <v>344.15</v>
      </c>
      <c r="I512" s="15">
        <f t="shared" si="142"/>
        <v>4.25</v>
      </c>
      <c r="J512" s="15">
        <f t="shared" si="143"/>
        <v>1694.3214559999999</v>
      </c>
      <c r="K512" s="15">
        <f t="shared" si="144"/>
        <v>0.71432145599999997</v>
      </c>
      <c r="L512" s="15">
        <f t="shared" si="145"/>
        <v>1048.557061</v>
      </c>
      <c r="M512" s="15">
        <v>1039.0899999999999</v>
      </c>
      <c r="N512" s="14">
        <f t="shared" si="146"/>
        <v>1.0485570609999999</v>
      </c>
      <c r="O512" s="14">
        <f t="shared" si="147"/>
        <v>1.0640999999999998</v>
      </c>
      <c r="P512" s="14">
        <f t="shared" si="148"/>
        <v>1.5542938999999922E-2</v>
      </c>
      <c r="Q512" s="18">
        <f t="shared" si="149"/>
        <v>1.4606652570247087E-2</v>
      </c>
      <c r="R512" s="15">
        <f t="shared" ca="1" si="150"/>
        <v>3.8246799999999999</v>
      </c>
      <c r="S512" s="15">
        <f t="shared" si="151"/>
        <v>3.9245838709677412</v>
      </c>
      <c r="T512" s="15">
        <f t="shared" ca="1" si="152"/>
        <v>9.9903870967741337E-2</v>
      </c>
      <c r="U512" s="18">
        <f t="shared" ca="1" si="153"/>
        <v>2.5455914372676306E-2</v>
      </c>
      <c r="V512" s="15">
        <f t="shared" si="154"/>
        <v>4.25</v>
      </c>
      <c r="W512" s="15">
        <f t="shared" ca="1" si="155"/>
        <v>4.1753200000000001</v>
      </c>
      <c r="X512" s="15">
        <f t="shared" ca="1" si="156"/>
        <v>7.4679999999999858E-2</v>
      </c>
      <c r="Y512" s="35">
        <f t="shared" ca="1" si="157"/>
        <v>1.7571764705882318E-2</v>
      </c>
      <c r="Z512" s="36">
        <f t="shared" ca="1" si="158"/>
        <v>70.103840000000005</v>
      </c>
      <c r="AA512" s="18">
        <f t="shared" ca="1" si="159"/>
        <v>1.2621971830985842E-2</v>
      </c>
      <c r="AB512" s="2"/>
    </row>
    <row r="513" spans="6:28" x14ac:dyDescent="0.25">
      <c r="F513" s="14">
        <v>511</v>
      </c>
      <c r="G513" s="14">
        <f t="shared" si="140"/>
        <v>71.099999999999994</v>
      </c>
      <c r="H513" s="14">
        <f t="shared" si="141"/>
        <v>344.25</v>
      </c>
      <c r="I513" s="15">
        <f t="shared" si="142"/>
        <v>4.2583330000000004</v>
      </c>
      <c r="J513" s="15">
        <f t="shared" si="143"/>
        <v>1688.5718039999999</v>
      </c>
      <c r="K513" s="15">
        <f t="shared" si="144"/>
        <v>0.70857180399999997</v>
      </c>
      <c r="L513" s="15">
        <f t="shared" si="145"/>
        <v>1046.4032520000001</v>
      </c>
      <c r="M513" s="15">
        <v>1036.92</v>
      </c>
      <c r="N513" s="14">
        <f t="shared" si="146"/>
        <v>1.0464032520000002</v>
      </c>
      <c r="O513" s="14">
        <f t="shared" si="147"/>
        <v>1.0618100000000001</v>
      </c>
      <c r="P513" s="14">
        <f t="shared" si="148"/>
        <v>1.540674799999997E-2</v>
      </c>
      <c r="Q513" s="18">
        <f t="shared" si="149"/>
        <v>1.4509891600192094E-2</v>
      </c>
      <c r="R513" s="15">
        <f t="shared" ca="1" si="150"/>
        <v>3.8172201370262391</v>
      </c>
      <c r="S513" s="15">
        <f t="shared" si="151"/>
        <v>3.9161379569892478</v>
      </c>
      <c r="T513" s="15">
        <f t="shared" ca="1" si="152"/>
        <v>9.8917819963008746E-2</v>
      </c>
      <c r="U513" s="18">
        <f t="shared" ca="1" si="153"/>
        <v>2.5259023315679464E-2</v>
      </c>
      <c r="V513" s="15">
        <f t="shared" si="154"/>
        <v>4.258333333333332</v>
      </c>
      <c r="W513" s="15">
        <f t="shared" ca="1" si="155"/>
        <v>4.1827798629737609</v>
      </c>
      <c r="X513" s="15">
        <f t="shared" ca="1" si="156"/>
        <v>7.5553470359571051E-2</v>
      </c>
      <c r="Y513" s="35">
        <f t="shared" ca="1" si="157"/>
        <v>1.7742497931797514E-2</v>
      </c>
      <c r="Z513" s="36">
        <f t="shared" ca="1" si="158"/>
        <v>70.193358000000003</v>
      </c>
      <c r="AA513" s="18">
        <f t="shared" ca="1" si="159"/>
        <v>1.2751645569620126E-2</v>
      </c>
      <c r="AB513" s="2"/>
    </row>
    <row r="514" spans="6:28" x14ac:dyDescent="0.25">
      <c r="F514" s="14">
        <v>512</v>
      </c>
      <c r="G514" s="14">
        <f t="shared" si="140"/>
        <v>71.2</v>
      </c>
      <c r="H514" s="14">
        <f t="shared" si="141"/>
        <v>344.34999999999997</v>
      </c>
      <c r="I514" s="15">
        <f t="shared" si="142"/>
        <v>4.266667</v>
      </c>
      <c r="J514" s="15">
        <f t="shared" si="143"/>
        <v>1682.844632</v>
      </c>
      <c r="K514" s="15">
        <f t="shared" si="144"/>
        <v>0.70284463200000014</v>
      </c>
      <c r="L514" s="15">
        <f t="shared" si="145"/>
        <v>1044.2522710000001</v>
      </c>
      <c r="M514" s="15">
        <v>1034.76</v>
      </c>
      <c r="N514" s="14">
        <f t="shared" si="146"/>
        <v>1.044252271</v>
      </c>
      <c r="O514" s="14">
        <f t="shared" si="147"/>
        <v>1.0595199999999998</v>
      </c>
      <c r="P514" s="14">
        <f t="shared" si="148"/>
        <v>1.5267728999999841E-2</v>
      </c>
      <c r="Q514" s="18">
        <f t="shared" si="149"/>
        <v>1.4410043227121569E-2</v>
      </c>
      <c r="R514" s="15">
        <f t="shared" ca="1" si="150"/>
        <v>3.8085818629737611</v>
      </c>
      <c r="S514" s="15">
        <f t="shared" si="151"/>
        <v>3.9076920430107518</v>
      </c>
      <c r="T514" s="15">
        <f t="shared" ca="1" si="152"/>
        <v>9.911018003699068E-2</v>
      </c>
      <c r="U514" s="18">
        <f t="shared" ca="1" si="153"/>
        <v>2.5362843065962141E-2</v>
      </c>
      <c r="V514" s="15">
        <f t="shared" si="154"/>
        <v>4.2666666666666675</v>
      </c>
      <c r="W514" s="15">
        <f t="shared" ca="1" si="155"/>
        <v>4.1914181370262389</v>
      </c>
      <c r="X514" s="15">
        <f t="shared" ca="1" si="156"/>
        <v>7.5248529640428607E-2</v>
      </c>
      <c r="Y514" s="35">
        <f t="shared" ca="1" si="157"/>
        <v>1.7636374134475451E-2</v>
      </c>
      <c r="Z514" s="36">
        <f t="shared" ca="1" si="158"/>
        <v>70.297017999999994</v>
      </c>
      <c r="AA514" s="18">
        <f t="shared" ca="1" si="159"/>
        <v>1.2682331460674278E-2</v>
      </c>
      <c r="AB514" s="2"/>
    </row>
    <row r="515" spans="6:28" x14ac:dyDescent="0.25">
      <c r="F515" s="14">
        <v>513</v>
      </c>
      <c r="G515" s="14">
        <f t="shared" ref="G515:G578" si="160">F515*0.1+20</f>
        <v>71.300000000000011</v>
      </c>
      <c r="H515" s="14">
        <f t="shared" ref="H515:H578" si="161">G515+273.15</f>
        <v>344.45</v>
      </c>
      <c r="I515" s="15">
        <f t="shared" ref="I515:I578" si="162">ROUND(1/12*G515-5/3,6)</f>
        <v>4.2750000000000004</v>
      </c>
      <c r="J515" s="15">
        <f t="shared" ref="J515:J578" si="163">ROUND(10000*EXP(($B$3)+($B$4/H515)+($B$5/(H515^2))+($B$6/(H515^3))),6)</f>
        <v>1677.1398409999999</v>
      </c>
      <c r="K515" s="15">
        <f t="shared" ref="K515:K578" si="164">$B$9*(2*$B$8+J515)-$B$9*$B$10</f>
        <v>0.69713984100000004</v>
      </c>
      <c r="L515" s="15">
        <f t="shared" ref="L515:L578" si="165">ROUND(1/(1/(J515+2*$B$8)+1/($B$7)),6)</f>
        <v>1042.104126</v>
      </c>
      <c r="M515" s="15">
        <v>1032.71</v>
      </c>
      <c r="N515" s="14">
        <f t="shared" ref="N515:N578" si="166">$B$9*(L515+$B$10)*(L515/(L515+$B$10))</f>
        <v>1.0421041259999999</v>
      </c>
      <c r="O515" s="14">
        <f t="shared" ref="O515:O578" si="167">$B$11*G515+$B$12</f>
        <v>1.0572299999999997</v>
      </c>
      <c r="P515" s="14">
        <f t="shared" ref="P515:P578" si="168">ABS(N515-O515)</f>
        <v>1.5125873999999762E-2</v>
      </c>
      <c r="Q515" s="18">
        <f t="shared" ref="Q515:Q578" si="169">ABS(O515-N515)/O515</f>
        <v>1.4307079821798253E-2</v>
      </c>
      <c r="R515" s="15">
        <f t="shared" ref="R515:R578" ca="1" si="170">ROUND(N515*$B$29,6)+RANDBETWEEN(-1,1)*$B$24+RANDBETWEEN(-1,1)*$B$25</f>
        <v>3.8007468629737611</v>
      </c>
      <c r="S515" s="15">
        <f t="shared" ref="S515:S578" si="171">O515*$B$23</f>
        <v>3.8992461290322566</v>
      </c>
      <c r="T515" s="15">
        <f t="shared" ref="T515:T578" ca="1" si="172">ABS(R515-S515)</f>
        <v>9.8499266058495571E-2</v>
      </c>
      <c r="U515" s="18">
        <f t="shared" ref="U515:U578" ca="1" si="173">ABS(S515-R515)/S515</f>
        <v>2.5261105044154224E-2</v>
      </c>
      <c r="V515" s="15">
        <f t="shared" ref="V515:V578" si="174">$B$44*S515+$B$45</f>
        <v>4.2750000000000004</v>
      </c>
      <c r="W515" s="15">
        <f t="shared" ref="W515:W578" ca="1" si="175">$B$46*R515+$B$47</f>
        <v>4.1992531370262389</v>
      </c>
      <c r="X515" s="15">
        <f t="shared" ref="X515:X578" ca="1" si="176">ABS(V515-W515)</f>
        <v>7.5746862973761431E-2</v>
      </c>
      <c r="Y515" s="35">
        <f t="shared" ref="Y515:Y578" ca="1" si="177">IF(V515 = 0, ABS(V515-W515)/(V515+0.0001), ABS(V515-W515)/V515)</f>
        <v>1.7718564438306765E-2</v>
      </c>
      <c r="Z515" s="36">
        <f t="shared" ref="Z515:Z578" ca="1" si="178">ROUND((W515+5/3)/(1/12),6)</f>
        <v>70.391037999999995</v>
      </c>
      <c r="AA515" s="18">
        <f t="shared" ref="AA515:AA578" ca="1" si="179">ABS(G515-Z515)/G515</f>
        <v>1.274841514726531E-2</v>
      </c>
      <c r="AB515" s="2"/>
    </row>
    <row r="516" spans="6:28" x14ac:dyDescent="0.25">
      <c r="F516" s="14">
        <v>514</v>
      </c>
      <c r="G516" s="14">
        <f t="shared" si="160"/>
        <v>71.400000000000006</v>
      </c>
      <c r="H516" s="14">
        <f t="shared" si="161"/>
        <v>344.54999999999995</v>
      </c>
      <c r="I516" s="15">
        <f t="shared" si="162"/>
        <v>4.2833329999999998</v>
      </c>
      <c r="J516" s="15">
        <f t="shared" si="163"/>
        <v>1671.4573330000001</v>
      </c>
      <c r="K516" s="15">
        <f t="shared" si="164"/>
        <v>0.69145733300000001</v>
      </c>
      <c r="L516" s="15">
        <f t="shared" si="165"/>
        <v>1039.9588229999999</v>
      </c>
      <c r="M516" s="15">
        <v>1030.4100000000001</v>
      </c>
      <c r="N516" s="14">
        <f t="shared" si="166"/>
        <v>1.0399588229999999</v>
      </c>
      <c r="O516" s="14">
        <f t="shared" si="167"/>
        <v>1.0549399999999998</v>
      </c>
      <c r="P516" s="14">
        <f t="shared" si="168"/>
        <v>1.4981176999999901E-2</v>
      </c>
      <c r="Q516" s="18">
        <f t="shared" si="169"/>
        <v>1.4200975410923753E-2</v>
      </c>
      <c r="R516" s="15">
        <f t="shared" ca="1" si="170"/>
        <v>3.7937141370262393</v>
      </c>
      <c r="S516" s="15">
        <f t="shared" si="171"/>
        <v>3.8908002150537624</v>
      </c>
      <c r="T516" s="15">
        <f t="shared" ca="1" si="172"/>
        <v>9.7086078027523115E-2</v>
      </c>
      <c r="U516" s="18">
        <f t="shared" ca="1" si="173"/>
        <v>2.4952727629625054E-2</v>
      </c>
      <c r="V516" s="15">
        <f t="shared" si="174"/>
        <v>4.2833333333333332</v>
      </c>
      <c r="W516" s="15">
        <f t="shared" ca="1" si="175"/>
        <v>4.2062858629737612</v>
      </c>
      <c r="X516" s="15">
        <f t="shared" ca="1" si="176"/>
        <v>7.7047470359572046E-2</v>
      </c>
      <c r="Y516" s="35">
        <f t="shared" ca="1" si="177"/>
        <v>1.798773627071721E-2</v>
      </c>
      <c r="Z516" s="36">
        <f t="shared" ca="1" si="178"/>
        <v>70.475430000000003</v>
      </c>
      <c r="AA516" s="18">
        <f t="shared" ca="1" si="179"/>
        <v>1.2949159663865584E-2</v>
      </c>
      <c r="AB516" s="2"/>
    </row>
    <row r="517" spans="6:28" x14ac:dyDescent="0.25">
      <c r="F517" s="14">
        <v>515</v>
      </c>
      <c r="G517" s="14">
        <f t="shared" si="160"/>
        <v>71.5</v>
      </c>
      <c r="H517" s="14">
        <f t="shared" si="161"/>
        <v>344.65</v>
      </c>
      <c r="I517" s="15">
        <f t="shared" si="162"/>
        <v>4.2916670000000003</v>
      </c>
      <c r="J517" s="15">
        <f t="shared" si="163"/>
        <v>1665.7970089999999</v>
      </c>
      <c r="K517" s="15">
        <f t="shared" si="164"/>
        <v>0.68579700899999985</v>
      </c>
      <c r="L517" s="15">
        <f t="shared" si="165"/>
        <v>1037.816368</v>
      </c>
      <c r="M517" s="15">
        <v>1028.1199999999999</v>
      </c>
      <c r="N517" s="14">
        <f t="shared" si="166"/>
        <v>1.0378163680000001</v>
      </c>
      <c r="O517" s="14">
        <f t="shared" si="167"/>
        <v>1.0526499999999999</v>
      </c>
      <c r="P517" s="14">
        <f t="shared" si="168"/>
        <v>1.4833631999999763E-2</v>
      </c>
      <c r="Q517" s="18">
        <f t="shared" si="169"/>
        <v>1.4091703795183361E-2</v>
      </c>
      <c r="R517" s="15">
        <f t="shared" ca="1" si="170"/>
        <v>3.7847214985422739</v>
      </c>
      <c r="S517" s="15">
        <f t="shared" si="171"/>
        <v>3.8823543010752681</v>
      </c>
      <c r="T517" s="15">
        <f t="shared" ca="1" si="172"/>
        <v>9.7632802532994223E-2</v>
      </c>
      <c r="U517" s="18">
        <f t="shared" ca="1" si="173"/>
        <v>2.5147834267973318E-2</v>
      </c>
      <c r="V517" s="15">
        <f t="shared" si="174"/>
        <v>4.2916666666666661</v>
      </c>
      <c r="W517" s="15">
        <f t="shared" ca="1" si="175"/>
        <v>4.2152785014577265</v>
      </c>
      <c r="X517" s="15">
        <f t="shared" ca="1" si="176"/>
        <v>7.638816520893954E-2</v>
      </c>
      <c r="Y517" s="35">
        <f t="shared" ca="1" si="177"/>
        <v>1.7799184126354846E-2</v>
      </c>
      <c r="Z517" s="36">
        <f t="shared" ca="1" si="178"/>
        <v>70.583342000000002</v>
      </c>
      <c r="AA517" s="18">
        <f t="shared" ca="1" si="179"/>
        <v>1.2820391608391582E-2</v>
      </c>
      <c r="AB517" s="2"/>
    </row>
    <row r="518" spans="6:28" x14ac:dyDescent="0.25">
      <c r="F518" s="14">
        <v>516</v>
      </c>
      <c r="G518" s="14">
        <f t="shared" si="160"/>
        <v>71.599999999999994</v>
      </c>
      <c r="H518" s="14">
        <f t="shared" si="161"/>
        <v>344.75</v>
      </c>
      <c r="I518" s="15">
        <f t="shared" si="162"/>
        <v>4.3</v>
      </c>
      <c r="J518" s="15">
        <f t="shared" si="163"/>
        <v>1660.158774</v>
      </c>
      <c r="K518" s="15">
        <f t="shared" si="164"/>
        <v>0.68015877400000013</v>
      </c>
      <c r="L518" s="15">
        <f t="shared" si="165"/>
        <v>1035.67677</v>
      </c>
      <c r="M518" s="15">
        <v>1026.06</v>
      </c>
      <c r="N518" s="14">
        <f t="shared" si="166"/>
        <v>1.0356767700000002</v>
      </c>
      <c r="O518" s="14">
        <f t="shared" si="167"/>
        <v>1.05036</v>
      </c>
      <c r="P518" s="14">
        <f t="shared" si="168"/>
        <v>1.4683229999999714E-2</v>
      </c>
      <c r="Q518" s="18">
        <f t="shared" si="169"/>
        <v>1.3979235690620087E-2</v>
      </c>
      <c r="R518" s="15">
        <f t="shared" ca="1" si="170"/>
        <v>3.7769174985422742</v>
      </c>
      <c r="S518" s="15">
        <f t="shared" si="171"/>
        <v>3.8739083870967739</v>
      </c>
      <c r="T518" s="15">
        <f t="shared" ca="1" si="172"/>
        <v>9.6990888554499666E-2</v>
      </c>
      <c r="U518" s="18">
        <f t="shared" ca="1" si="173"/>
        <v>2.5036959799451433E-2</v>
      </c>
      <c r="V518" s="15">
        <f t="shared" si="174"/>
        <v>4.3</v>
      </c>
      <c r="W518" s="15">
        <f t="shared" ca="1" si="175"/>
        <v>4.2230825014577258</v>
      </c>
      <c r="X518" s="15">
        <f t="shared" ca="1" si="176"/>
        <v>7.6917498542274032E-2</v>
      </c>
      <c r="Y518" s="35">
        <f t="shared" ca="1" si="177"/>
        <v>1.788779035866838E-2</v>
      </c>
      <c r="Z518" s="36">
        <f t="shared" ca="1" si="178"/>
        <v>70.676990000000004</v>
      </c>
      <c r="AA518" s="18">
        <f t="shared" ca="1" si="179"/>
        <v>1.2891201117318308E-2</v>
      </c>
      <c r="AB518" s="2"/>
    </row>
    <row r="519" spans="6:28" x14ac:dyDescent="0.25">
      <c r="F519" s="14">
        <v>517</v>
      </c>
      <c r="G519" s="14">
        <f t="shared" si="160"/>
        <v>71.7</v>
      </c>
      <c r="H519" s="14">
        <f t="shared" si="161"/>
        <v>344.84999999999997</v>
      </c>
      <c r="I519" s="15">
        <f t="shared" si="162"/>
        <v>4.3083330000000002</v>
      </c>
      <c r="J519" s="15">
        <f t="shared" si="163"/>
        <v>1654.5425290000001</v>
      </c>
      <c r="K519" s="15">
        <f t="shared" si="164"/>
        <v>0.674542529</v>
      </c>
      <c r="L519" s="15">
        <f t="shared" si="165"/>
        <v>1033.540033</v>
      </c>
      <c r="M519" s="15">
        <v>1023.88</v>
      </c>
      <c r="N519" s="14">
        <f t="shared" si="166"/>
        <v>1.033540033</v>
      </c>
      <c r="O519" s="14">
        <f t="shared" si="167"/>
        <v>1.0480699999999998</v>
      </c>
      <c r="P519" s="14">
        <f t="shared" si="168"/>
        <v>1.4529966999999866E-2</v>
      </c>
      <c r="Q519" s="18">
        <f t="shared" si="169"/>
        <v>1.3863546328012316E-2</v>
      </c>
      <c r="R519" s="15">
        <f t="shared" ca="1" si="170"/>
        <v>3.7699050000000001</v>
      </c>
      <c r="S519" s="15">
        <f t="shared" si="171"/>
        <v>3.8654624731182787</v>
      </c>
      <c r="T519" s="15">
        <f t="shared" ca="1" si="172"/>
        <v>9.5557473118278669E-2</v>
      </c>
      <c r="U519" s="18">
        <f t="shared" ca="1" si="173"/>
        <v>2.4720838394582112E-2</v>
      </c>
      <c r="V519" s="15">
        <f t="shared" si="174"/>
        <v>4.3083333333333336</v>
      </c>
      <c r="W519" s="15">
        <f t="shared" ca="1" si="175"/>
        <v>4.2300950000000004</v>
      </c>
      <c r="X519" s="15">
        <f t="shared" ca="1" si="176"/>
        <v>7.8238333333333188E-2</v>
      </c>
      <c r="Y519" s="35">
        <f t="shared" ca="1" si="177"/>
        <v>1.8159767891682752E-2</v>
      </c>
      <c r="Z519" s="36">
        <f t="shared" ca="1" si="178"/>
        <v>70.761139999999997</v>
      </c>
      <c r="AA519" s="18">
        <f t="shared" ca="1" si="179"/>
        <v>1.3094281729428248E-2</v>
      </c>
      <c r="AB519" s="2"/>
    </row>
    <row r="520" spans="6:28" x14ac:dyDescent="0.25">
      <c r="F520" s="14">
        <v>518</v>
      </c>
      <c r="G520" s="14">
        <f t="shared" si="160"/>
        <v>71.800000000000011</v>
      </c>
      <c r="H520" s="14">
        <f t="shared" si="161"/>
        <v>344.95</v>
      </c>
      <c r="I520" s="15">
        <f t="shared" si="162"/>
        <v>4.3166669999999998</v>
      </c>
      <c r="J520" s="15">
        <f t="shared" si="163"/>
        <v>1648.9481800000001</v>
      </c>
      <c r="K520" s="15">
        <f t="shared" si="164"/>
        <v>0.66894818000000011</v>
      </c>
      <c r="L520" s="15">
        <f t="shared" si="165"/>
        <v>1031.4061650000001</v>
      </c>
      <c r="M520" s="15">
        <v>1021.69</v>
      </c>
      <c r="N520" s="14">
        <f t="shared" si="166"/>
        <v>1.0314061650000002</v>
      </c>
      <c r="O520" s="14">
        <f t="shared" si="167"/>
        <v>1.0457799999999997</v>
      </c>
      <c r="P520" s="14">
        <f t="shared" si="168"/>
        <v>1.4373834999999557E-2</v>
      </c>
      <c r="Q520" s="18">
        <f t="shared" si="169"/>
        <v>1.3744606896287519E-2</v>
      </c>
      <c r="R520" s="15">
        <f t="shared" ca="1" si="170"/>
        <v>3.762902501457726</v>
      </c>
      <c r="S520" s="15">
        <f t="shared" si="171"/>
        <v>3.8570165591397836</v>
      </c>
      <c r="T520" s="15">
        <f t="shared" ca="1" si="172"/>
        <v>9.4114057682057606E-2</v>
      </c>
      <c r="U520" s="18">
        <f t="shared" ca="1" si="173"/>
        <v>2.4400739856571298E-2</v>
      </c>
      <c r="V520" s="15">
        <f t="shared" si="174"/>
        <v>4.3166666666666673</v>
      </c>
      <c r="W520" s="15">
        <f t="shared" ca="1" si="175"/>
        <v>4.2370974985422745</v>
      </c>
      <c r="X520" s="15">
        <f t="shared" ca="1" si="176"/>
        <v>7.9569168124392853E-2</v>
      </c>
      <c r="Y520" s="35">
        <f t="shared" ca="1" si="177"/>
        <v>1.8433011920708765E-2</v>
      </c>
      <c r="Z520" s="36">
        <f t="shared" ca="1" si="178"/>
        <v>70.845169999999996</v>
      </c>
      <c r="AA520" s="18">
        <f t="shared" ca="1" si="179"/>
        <v>1.3298467966574029E-2</v>
      </c>
      <c r="AB520" s="2"/>
    </row>
    <row r="521" spans="6:28" x14ac:dyDescent="0.25">
      <c r="F521" s="14">
        <v>519</v>
      </c>
      <c r="G521" s="14">
        <f t="shared" si="160"/>
        <v>71.900000000000006</v>
      </c>
      <c r="H521" s="14">
        <f t="shared" si="161"/>
        <v>345.04999999999995</v>
      </c>
      <c r="I521" s="15">
        <f t="shared" si="162"/>
        <v>4.3250000000000002</v>
      </c>
      <c r="J521" s="15">
        <f t="shared" si="163"/>
        <v>1643.3756289999999</v>
      </c>
      <c r="K521" s="15">
        <f t="shared" si="164"/>
        <v>0.66337562899999991</v>
      </c>
      <c r="L521" s="15">
        <f t="shared" si="165"/>
        <v>1029.275171</v>
      </c>
      <c r="M521" s="15">
        <v>1019.62</v>
      </c>
      <c r="N521" s="14">
        <f t="shared" si="166"/>
        <v>1.0292751710000001</v>
      </c>
      <c r="O521" s="14">
        <f t="shared" si="167"/>
        <v>1.0434899999999998</v>
      </c>
      <c r="P521" s="14">
        <f t="shared" si="168"/>
        <v>1.4214828999999707E-2</v>
      </c>
      <c r="Q521" s="18">
        <f t="shared" si="169"/>
        <v>1.3622391206431982E-2</v>
      </c>
      <c r="R521" s="15">
        <f t="shared" ca="1" si="170"/>
        <v>3.754358772594752</v>
      </c>
      <c r="S521" s="15">
        <f t="shared" si="171"/>
        <v>3.8485706451612893</v>
      </c>
      <c r="T521" s="15">
        <f t="shared" ca="1" si="172"/>
        <v>9.4211872566537291E-2</v>
      </c>
      <c r="U521" s="18">
        <f t="shared" ca="1" si="173"/>
        <v>2.4479704610590299E-2</v>
      </c>
      <c r="V521" s="15">
        <f t="shared" si="174"/>
        <v>4.3250000000000002</v>
      </c>
      <c r="W521" s="15">
        <f t="shared" ca="1" si="175"/>
        <v>4.2456412274052475</v>
      </c>
      <c r="X521" s="15">
        <f t="shared" ca="1" si="176"/>
        <v>7.9358772594752658E-2</v>
      </c>
      <c r="Y521" s="35">
        <f t="shared" ca="1" si="177"/>
        <v>1.8348849154856104E-2</v>
      </c>
      <c r="Z521" s="36">
        <f t="shared" ca="1" si="178"/>
        <v>70.947694999999996</v>
      </c>
      <c r="AA521" s="18">
        <f t="shared" ca="1" si="179"/>
        <v>1.32448539638388E-2</v>
      </c>
      <c r="AB521" s="2"/>
    </row>
    <row r="522" spans="6:28" x14ac:dyDescent="0.25">
      <c r="F522" s="14">
        <v>520</v>
      </c>
      <c r="G522" s="14">
        <f t="shared" si="160"/>
        <v>72</v>
      </c>
      <c r="H522" s="14">
        <f t="shared" si="161"/>
        <v>345.15</v>
      </c>
      <c r="I522" s="15">
        <f t="shared" si="162"/>
        <v>4.3333329999999997</v>
      </c>
      <c r="J522" s="15">
        <f t="shared" si="163"/>
        <v>1637.824781</v>
      </c>
      <c r="K522" s="15">
        <f t="shared" si="164"/>
        <v>0.65782478099999997</v>
      </c>
      <c r="L522" s="15">
        <f t="shared" si="165"/>
        <v>1027.1470589999999</v>
      </c>
      <c r="M522" s="15">
        <v>1017.67</v>
      </c>
      <c r="N522" s="14">
        <f t="shared" si="166"/>
        <v>1.0271470589999998</v>
      </c>
      <c r="O522" s="14">
        <f t="shared" si="167"/>
        <v>1.0411999999999999</v>
      </c>
      <c r="P522" s="14">
        <f t="shared" si="168"/>
        <v>1.4052941000000096E-2</v>
      </c>
      <c r="Q522" s="18">
        <f t="shared" si="169"/>
        <v>1.3496869957741162E-2</v>
      </c>
      <c r="R522" s="15">
        <f t="shared" ca="1" si="170"/>
        <v>3.7461898629737611</v>
      </c>
      <c r="S522" s="15">
        <f t="shared" si="171"/>
        <v>3.8401247311827951</v>
      </c>
      <c r="T522" s="15">
        <f t="shared" ca="1" si="172"/>
        <v>9.3934868209033962E-2</v>
      </c>
      <c r="U522" s="18">
        <f t="shared" ca="1" si="173"/>
        <v>2.4461410705297879E-2</v>
      </c>
      <c r="V522" s="15">
        <f t="shared" si="174"/>
        <v>4.3333333333333339</v>
      </c>
      <c r="W522" s="15">
        <f t="shared" ca="1" si="175"/>
        <v>4.2538101370262389</v>
      </c>
      <c r="X522" s="15">
        <f t="shared" ca="1" si="176"/>
        <v>7.9523196307095034E-2</v>
      </c>
      <c r="Y522" s="35">
        <f t="shared" ca="1" si="177"/>
        <v>1.8351506840098852E-2</v>
      </c>
      <c r="Z522" s="36">
        <f t="shared" ca="1" si="178"/>
        <v>71.045721999999998</v>
      </c>
      <c r="AA522" s="18">
        <f t="shared" ca="1" si="179"/>
        <v>1.3253861111111142E-2</v>
      </c>
      <c r="AB522" s="2"/>
    </row>
    <row r="523" spans="6:28" x14ac:dyDescent="0.25">
      <c r="F523" s="14">
        <v>521</v>
      </c>
      <c r="G523" s="14">
        <f t="shared" si="160"/>
        <v>72.099999999999994</v>
      </c>
      <c r="H523" s="14">
        <f t="shared" si="161"/>
        <v>345.25</v>
      </c>
      <c r="I523" s="15">
        <f t="shared" si="162"/>
        <v>4.3416670000000002</v>
      </c>
      <c r="J523" s="15">
        <f t="shared" si="163"/>
        <v>1632.295543</v>
      </c>
      <c r="K523" s="15">
        <f t="shared" si="164"/>
        <v>0.65229554299999992</v>
      </c>
      <c r="L523" s="15">
        <f t="shared" si="165"/>
        <v>1025.021835</v>
      </c>
      <c r="M523" s="15">
        <v>1015.48</v>
      </c>
      <c r="N523" s="14">
        <f t="shared" si="166"/>
        <v>1.025021835</v>
      </c>
      <c r="O523" s="14">
        <f t="shared" si="167"/>
        <v>1.03891</v>
      </c>
      <c r="P523" s="14">
        <f t="shared" si="168"/>
        <v>1.3888165000000008E-2</v>
      </c>
      <c r="Q523" s="18">
        <f t="shared" si="169"/>
        <v>1.3368015516262243E-2</v>
      </c>
      <c r="R523" s="15">
        <f t="shared" ca="1" si="170"/>
        <v>3.7384486355685134</v>
      </c>
      <c r="S523" s="15">
        <f t="shared" si="171"/>
        <v>3.8316788172043008</v>
      </c>
      <c r="T523" s="15">
        <f t="shared" ca="1" si="172"/>
        <v>9.3230181635787446E-2</v>
      </c>
      <c r="U523" s="18">
        <f t="shared" ca="1" si="173"/>
        <v>2.4331418702732182E-2</v>
      </c>
      <c r="V523" s="15">
        <f t="shared" si="174"/>
        <v>4.3416666666666668</v>
      </c>
      <c r="W523" s="15">
        <f t="shared" ca="1" si="175"/>
        <v>4.2615513644314866</v>
      </c>
      <c r="X523" s="15">
        <f t="shared" ca="1" si="176"/>
        <v>8.0115302235180152E-2</v>
      </c>
      <c r="Y523" s="35">
        <f t="shared" ca="1" si="177"/>
        <v>1.8452660783534774E-2</v>
      </c>
      <c r="Z523" s="36">
        <f t="shared" ca="1" si="178"/>
        <v>71.138615999999999</v>
      </c>
      <c r="AA523" s="18">
        <f t="shared" ca="1" si="179"/>
        <v>1.3334036061026289E-2</v>
      </c>
      <c r="AB523" s="2"/>
    </row>
    <row r="524" spans="6:28" x14ac:dyDescent="0.25">
      <c r="F524" s="14">
        <v>522</v>
      </c>
      <c r="G524" s="14">
        <f t="shared" si="160"/>
        <v>72.2</v>
      </c>
      <c r="H524" s="14">
        <f t="shared" si="161"/>
        <v>345.34999999999997</v>
      </c>
      <c r="I524" s="15">
        <f t="shared" si="162"/>
        <v>4.3499999999999996</v>
      </c>
      <c r="J524" s="15">
        <f t="shared" si="163"/>
        <v>1626.787818</v>
      </c>
      <c r="K524" s="15">
        <f t="shared" si="164"/>
        <v>0.64678781799999996</v>
      </c>
      <c r="L524" s="15">
        <f t="shared" si="165"/>
        <v>1022.899505</v>
      </c>
      <c r="M524" s="15">
        <v>1013.28</v>
      </c>
      <c r="N524" s="14">
        <f t="shared" si="166"/>
        <v>1.0228995049999998</v>
      </c>
      <c r="O524" s="14">
        <f t="shared" si="167"/>
        <v>1.0366199999999999</v>
      </c>
      <c r="P524" s="14">
        <f t="shared" si="168"/>
        <v>1.3720495000000055E-2</v>
      </c>
      <c r="Q524" s="18">
        <f t="shared" si="169"/>
        <v>1.3235800003858749E-2</v>
      </c>
      <c r="R524" s="15">
        <f t="shared" ca="1" si="170"/>
        <v>3.731093</v>
      </c>
      <c r="S524" s="15">
        <f t="shared" si="171"/>
        <v>3.8232329032258057</v>
      </c>
      <c r="T524" s="15">
        <f t="shared" ca="1" si="172"/>
        <v>9.2139903225805675E-2</v>
      </c>
      <c r="U524" s="18">
        <f t="shared" ca="1" si="173"/>
        <v>2.4099997451911381E-2</v>
      </c>
      <c r="V524" s="15">
        <f t="shared" si="174"/>
        <v>4.3499999999999996</v>
      </c>
      <c r="W524" s="15">
        <f t="shared" ca="1" si="175"/>
        <v>4.2689070000000005</v>
      </c>
      <c r="X524" s="15">
        <f t="shared" ca="1" si="176"/>
        <v>8.1092999999999194E-2</v>
      </c>
      <c r="Y524" s="35">
        <f t="shared" ca="1" si="177"/>
        <v>1.8642068965517056E-2</v>
      </c>
      <c r="Z524" s="36">
        <f t="shared" ca="1" si="178"/>
        <v>71.226883999999998</v>
      </c>
      <c r="AA524" s="18">
        <f t="shared" ca="1" si="179"/>
        <v>1.3478060941828317E-2</v>
      </c>
      <c r="AB524" s="2"/>
    </row>
    <row r="525" spans="6:28" x14ac:dyDescent="0.25">
      <c r="F525" s="14">
        <v>523</v>
      </c>
      <c r="G525" s="14">
        <f t="shared" si="160"/>
        <v>72.300000000000011</v>
      </c>
      <c r="H525" s="14">
        <f t="shared" si="161"/>
        <v>345.45</v>
      </c>
      <c r="I525" s="15">
        <f t="shared" si="162"/>
        <v>4.358333</v>
      </c>
      <c r="J525" s="15">
        <f t="shared" si="163"/>
        <v>1621.301514</v>
      </c>
      <c r="K525" s="15">
        <f t="shared" si="164"/>
        <v>0.64130151400000002</v>
      </c>
      <c r="L525" s="15">
        <f t="shared" si="165"/>
        <v>1020.780076</v>
      </c>
      <c r="M525" s="15">
        <v>1011.2</v>
      </c>
      <c r="N525" s="14">
        <f t="shared" si="166"/>
        <v>1.0207800759999999</v>
      </c>
      <c r="O525" s="14">
        <f t="shared" si="167"/>
        <v>1.0343299999999997</v>
      </c>
      <c r="P525" s="14">
        <f t="shared" si="168"/>
        <v>1.354992399999988E-2</v>
      </c>
      <c r="Q525" s="18">
        <f t="shared" si="169"/>
        <v>1.3100194328695757E-2</v>
      </c>
      <c r="R525" s="15">
        <f t="shared" ca="1" si="170"/>
        <v>3.7241435014577258</v>
      </c>
      <c r="S525" s="15">
        <f t="shared" si="171"/>
        <v>3.8147869892473105</v>
      </c>
      <c r="T525" s="15">
        <f t="shared" ca="1" si="172"/>
        <v>9.0643487789584754E-2</v>
      </c>
      <c r="U525" s="18">
        <f t="shared" ca="1" si="173"/>
        <v>2.3761087590232523E-2</v>
      </c>
      <c r="V525" s="15">
        <f t="shared" si="174"/>
        <v>4.3583333333333343</v>
      </c>
      <c r="W525" s="15">
        <f t="shared" ca="1" si="175"/>
        <v>4.2758564985422742</v>
      </c>
      <c r="X525" s="15">
        <f t="shared" ca="1" si="176"/>
        <v>8.247683479106005E-2</v>
      </c>
      <c r="Y525" s="35">
        <f t="shared" ca="1" si="177"/>
        <v>1.8923939149000389E-2</v>
      </c>
      <c r="Z525" s="36">
        <f t="shared" ca="1" si="178"/>
        <v>71.310277999999997</v>
      </c>
      <c r="AA525" s="18">
        <f t="shared" ca="1" si="179"/>
        <v>1.3689100968188305E-2</v>
      </c>
      <c r="AB525" s="2"/>
    </row>
    <row r="526" spans="6:28" x14ac:dyDescent="0.25">
      <c r="F526" s="14">
        <v>524</v>
      </c>
      <c r="G526" s="14">
        <f t="shared" si="160"/>
        <v>72.400000000000006</v>
      </c>
      <c r="H526" s="14">
        <f t="shared" si="161"/>
        <v>345.54999999999995</v>
      </c>
      <c r="I526" s="15">
        <f t="shared" si="162"/>
        <v>4.3666669999999996</v>
      </c>
      <c r="J526" s="15">
        <f t="shared" si="163"/>
        <v>1615.836536</v>
      </c>
      <c r="K526" s="15">
        <f t="shared" si="164"/>
        <v>0.63583653600000001</v>
      </c>
      <c r="L526" s="15">
        <f t="shared" si="165"/>
        <v>1018.663552</v>
      </c>
      <c r="M526" s="15">
        <v>1009.11</v>
      </c>
      <c r="N526" s="14">
        <f t="shared" si="166"/>
        <v>1.018663552</v>
      </c>
      <c r="O526" s="14">
        <f t="shared" si="167"/>
        <v>1.0320399999999998</v>
      </c>
      <c r="P526" s="14">
        <f t="shared" si="168"/>
        <v>1.3376447999999819E-2</v>
      </c>
      <c r="Q526" s="18">
        <f t="shared" si="169"/>
        <v>1.2961172047594881E-2</v>
      </c>
      <c r="R526" s="15">
        <f t="shared" ca="1" si="170"/>
        <v>3.715256635568513</v>
      </c>
      <c r="S526" s="15">
        <f t="shared" si="171"/>
        <v>3.8063410752688163</v>
      </c>
      <c r="T526" s="15">
        <f t="shared" ca="1" si="172"/>
        <v>9.1084439700303221E-2</v>
      </c>
      <c r="U526" s="18">
        <f t="shared" ca="1" si="173"/>
        <v>2.3929657878562691E-2</v>
      </c>
      <c r="V526" s="15">
        <f t="shared" si="174"/>
        <v>4.3666666666666671</v>
      </c>
      <c r="W526" s="15">
        <f t="shared" ca="1" si="175"/>
        <v>4.2847433644314865</v>
      </c>
      <c r="X526" s="15">
        <f t="shared" ca="1" si="176"/>
        <v>8.1923302235180628E-2</v>
      </c>
      <c r="Y526" s="35">
        <f t="shared" ca="1" si="177"/>
        <v>1.8761061580575715E-2</v>
      </c>
      <c r="Z526" s="36">
        <f t="shared" ca="1" si="178"/>
        <v>71.416920000000005</v>
      </c>
      <c r="AA526" s="18">
        <f t="shared" ca="1" si="179"/>
        <v>1.3578453038674047E-2</v>
      </c>
      <c r="AB526" s="2"/>
    </row>
    <row r="527" spans="6:28" x14ac:dyDescent="0.25">
      <c r="F527" s="14">
        <v>525</v>
      </c>
      <c r="G527" s="14">
        <f t="shared" si="160"/>
        <v>72.5</v>
      </c>
      <c r="H527" s="14">
        <f t="shared" si="161"/>
        <v>345.65</v>
      </c>
      <c r="I527" s="15">
        <f t="shared" si="162"/>
        <v>4.375</v>
      </c>
      <c r="J527" s="15">
        <f t="shared" si="163"/>
        <v>1610.3927920000001</v>
      </c>
      <c r="K527" s="15">
        <f t="shared" si="164"/>
        <v>0.63039279200000009</v>
      </c>
      <c r="L527" s="15">
        <f t="shared" si="165"/>
        <v>1016.549941</v>
      </c>
      <c r="M527" s="15">
        <v>1006.79</v>
      </c>
      <c r="N527" s="14">
        <f t="shared" si="166"/>
        <v>1.0165499409999998</v>
      </c>
      <c r="O527" s="14">
        <f t="shared" si="167"/>
        <v>1.0297499999999999</v>
      </c>
      <c r="P527" s="14">
        <f t="shared" si="168"/>
        <v>1.3200059000000097E-2</v>
      </c>
      <c r="Q527" s="18">
        <f t="shared" si="169"/>
        <v>1.2818702597717987E-2</v>
      </c>
      <c r="R527" s="15">
        <f t="shared" ca="1" si="170"/>
        <v>3.7079427725947522</v>
      </c>
      <c r="S527" s="15">
        <f t="shared" si="171"/>
        <v>3.797895161290322</v>
      </c>
      <c r="T527" s="15">
        <f t="shared" ca="1" si="172"/>
        <v>8.9952388695569763E-2</v>
      </c>
      <c r="U527" s="18">
        <f t="shared" ca="1" si="173"/>
        <v>2.3684800363211907E-2</v>
      </c>
      <c r="V527" s="15">
        <f t="shared" si="174"/>
        <v>4.375</v>
      </c>
      <c r="W527" s="15">
        <f t="shared" ca="1" si="175"/>
        <v>4.2920572274052482</v>
      </c>
      <c r="X527" s="15">
        <f t="shared" ca="1" si="176"/>
        <v>8.2942772594751801E-2</v>
      </c>
      <c r="Y527" s="35">
        <f t="shared" ca="1" si="177"/>
        <v>1.8958348021657554E-2</v>
      </c>
      <c r="Z527" s="36">
        <f t="shared" ca="1" si="178"/>
        <v>71.504687000000004</v>
      </c>
      <c r="AA527" s="18">
        <f t="shared" ca="1" si="179"/>
        <v>1.3728455172413737E-2</v>
      </c>
      <c r="AB527" s="2"/>
    </row>
    <row r="528" spans="6:28" x14ac:dyDescent="0.25">
      <c r="F528" s="14">
        <v>526</v>
      </c>
      <c r="G528" s="14">
        <f t="shared" si="160"/>
        <v>72.599999999999994</v>
      </c>
      <c r="H528" s="14">
        <f t="shared" si="161"/>
        <v>345.75</v>
      </c>
      <c r="I528" s="15">
        <f t="shared" si="162"/>
        <v>4.3833330000000004</v>
      </c>
      <c r="J528" s="15">
        <f t="shared" si="163"/>
        <v>1604.9701889999999</v>
      </c>
      <c r="K528" s="15">
        <f t="shared" si="164"/>
        <v>0.6249701889999999</v>
      </c>
      <c r="L528" s="15">
        <f t="shared" si="165"/>
        <v>1014.439249</v>
      </c>
      <c r="M528" s="15">
        <v>1004.94</v>
      </c>
      <c r="N528" s="14">
        <f t="shared" si="166"/>
        <v>1.014439249</v>
      </c>
      <c r="O528" s="14">
        <f t="shared" si="167"/>
        <v>1.02746</v>
      </c>
      <c r="P528" s="14">
        <f t="shared" si="168"/>
        <v>1.3020750999999997E-2</v>
      </c>
      <c r="Q528" s="18">
        <f t="shared" si="169"/>
        <v>1.2672757090300349E-2</v>
      </c>
      <c r="R528" s="15">
        <f t="shared" ca="1" si="170"/>
        <v>3.700629137026239</v>
      </c>
      <c r="S528" s="15">
        <f t="shared" si="171"/>
        <v>3.7894492473118278</v>
      </c>
      <c r="T528" s="15">
        <f t="shared" ca="1" si="172"/>
        <v>8.8820110285588783E-2</v>
      </c>
      <c r="U528" s="18">
        <f t="shared" ca="1" si="173"/>
        <v>2.3438791362253047E-2</v>
      </c>
      <c r="V528" s="15">
        <f t="shared" si="174"/>
        <v>4.3833333333333329</v>
      </c>
      <c r="W528" s="15">
        <f t="shared" ca="1" si="175"/>
        <v>4.2993708629737615</v>
      </c>
      <c r="X528" s="15">
        <f t="shared" ca="1" si="176"/>
        <v>8.3962470359571384E-2</v>
      </c>
      <c r="Y528" s="35">
        <f t="shared" ca="1" si="177"/>
        <v>1.9154936203704499E-2</v>
      </c>
      <c r="Z528" s="36">
        <f t="shared" ca="1" si="178"/>
        <v>71.592449999999999</v>
      </c>
      <c r="AA528" s="18">
        <f t="shared" ca="1" si="179"/>
        <v>1.3878099173553649E-2</v>
      </c>
      <c r="AB528" s="2"/>
    </row>
    <row r="529" spans="6:28" x14ac:dyDescent="0.25">
      <c r="F529" s="14">
        <v>527</v>
      </c>
      <c r="G529" s="14">
        <f t="shared" si="160"/>
        <v>72.7</v>
      </c>
      <c r="H529" s="14">
        <f t="shared" si="161"/>
        <v>345.84999999999997</v>
      </c>
      <c r="I529" s="15">
        <f t="shared" si="162"/>
        <v>4.391667</v>
      </c>
      <c r="J529" s="15">
        <f t="shared" si="163"/>
        <v>1599.568634</v>
      </c>
      <c r="K529" s="15">
        <f t="shared" si="164"/>
        <v>0.61956863399999995</v>
      </c>
      <c r="L529" s="15">
        <f t="shared" si="165"/>
        <v>1012.3314810000001</v>
      </c>
      <c r="M529" s="15">
        <v>1002.61</v>
      </c>
      <c r="N529" s="14">
        <f t="shared" si="166"/>
        <v>1.0123314810000001</v>
      </c>
      <c r="O529" s="14">
        <f t="shared" si="167"/>
        <v>1.0251699999999999</v>
      </c>
      <c r="P529" s="14">
        <f t="shared" si="168"/>
        <v>1.2838518999999771E-2</v>
      </c>
      <c r="Q529" s="18">
        <f t="shared" si="169"/>
        <v>1.2523307353902056E-2</v>
      </c>
      <c r="R529" s="15">
        <f t="shared" ca="1" si="170"/>
        <v>3.691763498542274</v>
      </c>
      <c r="S529" s="15">
        <f t="shared" si="171"/>
        <v>3.781003333333333</v>
      </c>
      <c r="T529" s="15">
        <f t="shared" ca="1" si="172"/>
        <v>8.9239834791059014E-2</v>
      </c>
      <c r="U529" s="18">
        <f t="shared" ca="1" si="173"/>
        <v>2.360215713229355E-2</v>
      </c>
      <c r="V529" s="15">
        <f t="shared" si="174"/>
        <v>4.3916666666666657</v>
      </c>
      <c r="W529" s="15">
        <f t="shared" ca="1" si="175"/>
        <v>4.308236501457726</v>
      </c>
      <c r="X529" s="15">
        <f t="shared" ca="1" si="176"/>
        <v>8.3430165208939755E-2</v>
      </c>
      <c r="Y529" s="35">
        <f t="shared" ca="1" si="177"/>
        <v>1.899738107224435E-2</v>
      </c>
      <c r="Z529" s="36">
        <f t="shared" ca="1" si="178"/>
        <v>71.698837999999995</v>
      </c>
      <c r="AA529" s="18">
        <f t="shared" ca="1" si="179"/>
        <v>1.3771141678129406E-2</v>
      </c>
      <c r="AB529" s="2"/>
    </row>
    <row r="530" spans="6:28" x14ac:dyDescent="0.25">
      <c r="F530" s="14">
        <v>528</v>
      </c>
      <c r="G530" s="14">
        <f t="shared" si="160"/>
        <v>72.800000000000011</v>
      </c>
      <c r="H530" s="14">
        <f t="shared" si="161"/>
        <v>345.95</v>
      </c>
      <c r="I530" s="15">
        <f t="shared" si="162"/>
        <v>4.4000000000000004</v>
      </c>
      <c r="J530" s="15">
        <f t="shared" si="163"/>
        <v>1594.1880369999999</v>
      </c>
      <c r="K530" s="15">
        <f t="shared" si="164"/>
        <v>0.61418803699999991</v>
      </c>
      <c r="L530" s="15">
        <f t="shared" si="165"/>
        <v>1010.226643</v>
      </c>
      <c r="M530" s="15">
        <v>1000.51</v>
      </c>
      <c r="N530" s="14">
        <f t="shared" si="166"/>
        <v>1.010226643</v>
      </c>
      <c r="O530" s="14">
        <f t="shared" si="167"/>
        <v>1.0228799999999996</v>
      </c>
      <c r="P530" s="14">
        <f t="shared" si="168"/>
        <v>1.2653356999999588E-2</v>
      </c>
      <c r="Q530" s="18">
        <f t="shared" si="169"/>
        <v>1.2370323987173073E-2</v>
      </c>
      <c r="R530" s="15">
        <f t="shared" ca="1" si="170"/>
        <v>3.6848679999999998</v>
      </c>
      <c r="S530" s="15">
        <f t="shared" si="171"/>
        <v>3.772557419354837</v>
      </c>
      <c r="T530" s="15">
        <f t="shared" ca="1" si="172"/>
        <v>8.7689419354837206E-2</v>
      </c>
      <c r="U530" s="18">
        <f t="shared" ca="1" si="173"/>
        <v>2.3244025102163557E-2</v>
      </c>
      <c r="V530" s="15">
        <f t="shared" si="174"/>
        <v>4.4000000000000004</v>
      </c>
      <c r="W530" s="15">
        <f t="shared" ca="1" si="175"/>
        <v>4.3151320000000002</v>
      </c>
      <c r="X530" s="15">
        <f t="shared" ca="1" si="176"/>
        <v>8.4868000000000166E-2</v>
      </c>
      <c r="Y530" s="35">
        <f t="shared" ca="1" si="177"/>
        <v>1.9288181818181854E-2</v>
      </c>
      <c r="Z530" s="36">
        <f t="shared" ca="1" si="178"/>
        <v>71.781583999999995</v>
      </c>
      <c r="AA530" s="18">
        <f t="shared" ca="1" si="179"/>
        <v>1.398923076923099E-2</v>
      </c>
      <c r="AB530" s="2"/>
    </row>
    <row r="531" spans="6:28" x14ac:dyDescent="0.25">
      <c r="F531" s="14">
        <v>529</v>
      </c>
      <c r="G531" s="14">
        <f t="shared" si="160"/>
        <v>72.900000000000006</v>
      </c>
      <c r="H531" s="14">
        <f t="shared" si="161"/>
        <v>346.04999999999995</v>
      </c>
      <c r="I531" s="15">
        <f t="shared" si="162"/>
        <v>4.4083329999999998</v>
      </c>
      <c r="J531" s="15">
        <f t="shared" si="163"/>
        <v>1588.828305</v>
      </c>
      <c r="K531" s="15">
        <f t="shared" si="164"/>
        <v>0.60882830500000007</v>
      </c>
      <c r="L531" s="15">
        <f t="shared" si="165"/>
        <v>1008.124742</v>
      </c>
      <c r="M531" s="15">
        <v>998.41249000000005</v>
      </c>
      <c r="N531" s="14">
        <f t="shared" si="166"/>
        <v>1.0081247419999999</v>
      </c>
      <c r="O531" s="14">
        <f t="shared" si="167"/>
        <v>1.0205899999999999</v>
      </c>
      <c r="P531" s="14">
        <f t="shared" si="168"/>
        <v>1.2465257999999979E-2</v>
      </c>
      <c r="Q531" s="18">
        <f t="shared" si="169"/>
        <v>1.2213776345055292E-2</v>
      </c>
      <c r="R531" s="15">
        <f t="shared" ca="1" si="170"/>
        <v>3.6772010000000002</v>
      </c>
      <c r="S531" s="15">
        <f t="shared" si="171"/>
        <v>3.7641115053763436</v>
      </c>
      <c r="T531" s="15">
        <f t="shared" ca="1" si="172"/>
        <v>8.6910505376343483E-2</v>
      </c>
      <c r="U531" s="18">
        <f t="shared" ca="1" si="173"/>
        <v>2.3089248353086178E-2</v>
      </c>
      <c r="V531" s="15">
        <f t="shared" si="174"/>
        <v>4.4083333333333332</v>
      </c>
      <c r="W531" s="15">
        <f t="shared" ca="1" si="175"/>
        <v>4.3227989999999998</v>
      </c>
      <c r="X531" s="15">
        <f t="shared" ca="1" si="176"/>
        <v>8.5534333333333379E-2</v>
      </c>
      <c r="Y531" s="35">
        <f t="shared" ca="1" si="177"/>
        <v>1.9402873345935739E-2</v>
      </c>
      <c r="Z531" s="36">
        <f t="shared" ca="1" si="178"/>
        <v>71.873587999999998</v>
      </c>
      <c r="AA531" s="18">
        <f t="shared" ca="1" si="179"/>
        <v>1.4079725651577607E-2</v>
      </c>
      <c r="AB531" s="2"/>
    </row>
    <row r="532" spans="6:28" x14ac:dyDescent="0.25">
      <c r="F532" s="14">
        <v>530</v>
      </c>
      <c r="G532" s="14">
        <f t="shared" si="160"/>
        <v>73</v>
      </c>
      <c r="H532" s="14">
        <f t="shared" si="161"/>
        <v>346.15</v>
      </c>
      <c r="I532" s="15">
        <f t="shared" si="162"/>
        <v>4.4166670000000003</v>
      </c>
      <c r="J532" s="15">
        <f t="shared" si="163"/>
        <v>1583.4893480000001</v>
      </c>
      <c r="K532" s="15">
        <f t="shared" si="164"/>
        <v>0.60348934800000009</v>
      </c>
      <c r="L532" s="15">
        <f t="shared" si="165"/>
        <v>1006.025783</v>
      </c>
      <c r="M532" s="15">
        <v>996.19325000000003</v>
      </c>
      <c r="N532" s="14">
        <f t="shared" si="166"/>
        <v>1.0060257829999999</v>
      </c>
      <c r="O532" s="14">
        <f t="shared" si="167"/>
        <v>1.0183</v>
      </c>
      <c r="P532" s="14">
        <f t="shared" si="168"/>
        <v>1.2274217000000087E-2</v>
      </c>
      <c r="Q532" s="18">
        <f t="shared" si="169"/>
        <v>1.205363547088293E-2</v>
      </c>
      <c r="R532" s="15">
        <f t="shared" ca="1" si="170"/>
        <v>3.6687634985422739</v>
      </c>
      <c r="S532" s="15">
        <f t="shared" si="171"/>
        <v>3.7556655913978494</v>
      </c>
      <c r="T532" s="15">
        <f t="shared" ca="1" si="172"/>
        <v>8.6902092855575486E-2</v>
      </c>
      <c r="U532" s="18">
        <f t="shared" ca="1" si="173"/>
        <v>2.3138932564874804E-2</v>
      </c>
      <c r="V532" s="15">
        <f t="shared" si="174"/>
        <v>4.4166666666666661</v>
      </c>
      <c r="W532" s="15">
        <f t="shared" ca="1" si="175"/>
        <v>4.3312365014577257</v>
      </c>
      <c r="X532" s="15">
        <f t="shared" ca="1" si="176"/>
        <v>8.5430165208940423E-2</v>
      </c>
      <c r="Y532" s="35">
        <f t="shared" ca="1" si="177"/>
        <v>1.9342678915231795E-2</v>
      </c>
      <c r="Z532" s="36">
        <f t="shared" ca="1" si="178"/>
        <v>71.974838000000005</v>
      </c>
      <c r="AA532" s="18">
        <f t="shared" ca="1" si="179"/>
        <v>1.4043315068493076E-2</v>
      </c>
      <c r="AB532" s="2"/>
    </row>
    <row r="533" spans="6:28" x14ac:dyDescent="0.25">
      <c r="F533" s="14">
        <v>531</v>
      </c>
      <c r="G533" s="14">
        <f t="shared" si="160"/>
        <v>73.099999999999994</v>
      </c>
      <c r="H533" s="14">
        <f t="shared" si="161"/>
        <v>346.25</v>
      </c>
      <c r="I533" s="15">
        <f t="shared" si="162"/>
        <v>4.4249999999999998</v>
      </c>
      <c r="J533" s="15">
        <f t="shared" si="163"/>
        <v>1578.171075</v>
      </c>
      <c r="K533" s="15">
        <f t="shared" si="164"/>
        <v>0.598171075</v>
      </c>
      <c r="L533" s="15">
        <f t="shared" si="165"/>
        <v>1003.929771</v>
      </c>
      <c r="M533" s="15">
        <v>994.08821999999998</v>
      </c>
      <c r="N533" s="14">
        <f t="shared" si="166"/>
        <v>1.0039297709999999</v>
      </c>
      <c r="O533" s="14">
        <f t="shared" si="167"/>
        <v>1.0160100000000001</v>
      </c>
      <c r="P533" s="14">
        <f t="shared" si="168"/>
        <v>1.2080229000000164E-2</v>
      </c>
      <c r="Q533" s="18">
        <f t="shared" si="169"/>
        <v>1.1889872146927849E-2</v>
      </c>
      <c r="R533" s="15">
        <f t="shared" ca="1" si="170"/>
        <v>3.6611174985422741</v>
      </c>
      <c r="S533" s="15">
        <f t="shared" si="171"/>
        <v>3.7472196774193551</v>
      </c>
      <c r="T533" s="15">
        <f t="shared" ca="1" si="172"/>
        <v>8.6102178877081048E-2</v>
      </c>
      <c r="U533" s="18">
        <f t="shared" ca="1" si="173"/>
        <v>2.2977617083922371E-2</v>
      </c>
      <c r="V533" s="15">
        <f t="shared" si="174"/>
        <v>4.4249999999999989</v>
      </c>
      <c r="W533" s="15">
        <f t="shared" ca="1" si="175"/>
        <v>4.3388825014577259</v>
      </c>
      <c r="X533" s="15">
        <f t="shared" ca="1" si="176"/>
        <v>8.6117498542273019E-2</v>
      </c>
      <c r="Y533" s="35">
        <f t="shared" ca="1" si="177"/>
        <v>1.9461581591474132E-2</v>
      </c>
      <c r="Z533" s="36">
        <f t="shared" ca="1" si="178"/>
        <v>72.066590000000005</v>
      </c>
      <c r="AA533" s="18">
        <f t="shared" ca="1" si="179"/>
        <v>1.4136935704514218E-2</v>
      </c>
      <c r="AB533" s="2"/>
    </row>
    <row r="534" spans="6:28" x14ac:dyDescent="0.25">
      <c r="F534" s="14">
        <v>532</v>
      </c>
      <c r="G534" s="14">
        <f t="shared" si="160"/>
        <v>73.2</v>
      </c>
      <c r="H534" s="14">
        <f t="shared" si="161"/>
        <v>346.34999999999997</v>
      </c>
      <c r="I534" s="15">
        <f t="shared" si="162"/>
        <v>4.4333330000000002</v>
      </c>
      <c r="J534" s="15">
        <f t="shared" si="163"/>
        <v>1572.8733970000001</v>
      </c>
      <c r="K534" s="15">
        <f t="shared" si="164"/>
        <v>0.59287339700000019</v>
      </c>
      <c r="L534" s="15">
        <f t="shared" si="165"/>
        <v>1001.836713</v>
      </c>
      <c r="M534" s="15">
        <v>991.98022000000003</v>
      </c>
      <c r="N534" s="14">
        <f t="shared" si="166"/>
        <v>1.0018367130000001</v>
      </c>
      <c r="O534" s="14">
        <f t="shared" si="167"/>
        <v>1.01372</v>
      </c>
      <c r="P534" s="14">
        <f t="shared" si="168"/>
        <v>1.1883286999999854E-2</v>
      </c>
      <c r="Q534" s="18">
        <f t="shared" si="169"/>
        <v>1.172245491851779E-2</v>
      </c>
      <c r="R534" s="15">
        <f t="shared" ca="1" si="170"/>
        <v>3.6542757725947523</v>
      </c>
      <c r="S534" s="15">
        <f t="shared" si="171"/>
        <v>3.73877376344086</v>
      </c>
      <c r="T534" s="15">
        <f t="shared" ca="1" si="172"/>
        <v>8.4497990846107651E-2</v>
      </c>
      <c r="U534" s="18">
        <f t="shared" ca="1" si="173"/>
        <v>2.2600455708863928E-2</v>
      </c>
      <c r="V534" s="15">
        <f t="shared" si="174"/>
        <v>4.4333333333333327</v>
      </c>
      <c r="W534" s="15">
        <f t="shared" ca="1" si="175"/>
        <v>4.3457242274052472</v>
      </c>
      <c r="X534" s="15">
        <f t="shared" ca="1" si="176"/>
        <v>8.7609105928085462E-2</v>
      </c>
      <c r="Y534" s="35">
        <f t="shared" ca="1" si="177"/>
        <v>1.9761452464981687E-2</v>
      </c>
      <c r="Z534" s="36">
        <f t="shared" ca="1" si="178"/>
        <v>72.148690999999999</v>
      </c>
      <c r="AA534" s="18">
        <f t="shared" ca="1" si="179"/>
        <v>1.4362144808743215E-2</v>
      </c>
      <c r="AB534" s="2"/>
    </row>
    <row r="535" spans="6:28" x14ac:dyDescent="0.25">
      <c r="F535" s="14">
        <v>533</v>
      </c>
      <c r="G535" s="14">
        <f t="shared" si="160"/>
        <v>73.300000000000011</v>
      </c>
      <c r="H535" s="14">
        <f t="shared" si="161"/>
        <v>346.45</v>
      </c>
      <c r="I535" s="15">
        <f t="shared" si="162"/>
        <v>4.4416669999999998</v>
      </c>
      <c r="J535" s="15">
        <f t="shared" si="163"/>
        <v>1567.596223</v>
      </c>
      <c r="K535" s="15">
        <f t="shared" si="164"/>
        <v>0.58759622300000003</v>
      </c>
      <c r="L535" s="15">
        <f t="shared" si="165"/>
        <v>999.74661300000002</v>
      </c>
      <c r="M535" s="15">
        <v>989.86924999999997</v>
      </c>
      <c r="N535" s="14">
        <f t="shared" si="166"/>
        <v>0.99974661300000012</v>
      </c>
      <c r="O535" s="14">
        <f t="shared" si="167"/>
        <v>1.0114299999999996</v>
      </c>
      <c r="P535" s="14">
        <f t="shared" si="168"/>
        <v>1.168338699999949E-2</v>
      </c>
      <c r="Q535" s="18">
        <f t="shared" si="169"/>
        <v>1.1551355012209935E-2</v>
      </c>
      <c r="R535" s="15">
        <f t="shared" ca="1" si="170"/>
        <v>3.6474225014577257</v>
      </c>
      <c r="S535" s="15">
        <f t="shared" si="171"/>
        <v>3.730327849462364</v>
      </c>
      <c r="T535" s="15">
        <f t="shared" ca="1" si="172"/>
        <v>8.2905348004638224E-2</v>
      </c>
      <c r="U535" s="18">
        <f t="shared" ca="1" si="173"/>
        <v>2.2224681408790119E-2</v>
      </c>
      <c r="V535" s="15">
        <f t="shared" si="174"/>
        <v>4.4416666666666682</v>
      </c>
      <c r="W535" s="15">
        <f t="shared" ca="1" si="175"/>
        <v>4.3525774985422743</v>
      </c>
      <c r="X535" s="15">
        <f t="shared" ca="1" si="176"/>
        <v>8.9089168124393936E-2</v>
      </c>
      <c r="Y535" s="35">
        <f t="shared" ca="1" si="177"/>
        <v>2.0057598827255663E-2</v>
      </c>
      <c r="Z535" s="36">
        <f t="shared" ca="1" si="178"/>
        <v>72.230930000000001</v>
      </c>
      <c r="AA535" s="18">
        <f t="shared" ca="1" si="179"/>
        <v>1.458485675306972E-2</v>
      </c>
      <c r="AB535" s="2"/>
    </row>
    <row r="536" spans="6:28" x14ac:dyDescent="0.25">
      <c r="F536" s="14">
        <v>534</v>
      </c>
      <c r="G536" s="14">
        <f t="shared" si="160"/>
        <v>73.400000000000006</v>
      </c>
      <c r="H536" s="14">
        <f t="shared" si="161"/>
        <v>346.54999999999995</v>
      </c>
      <c r="I536" s="15">
        <f t="shared" si="162"/>
        <v>4.45</v>
      </c>
      <c r="J536" s="15">
        <f t="shared" si="163"/>
        <v>1562.339465</v>
      </c>
      <c r="K536" s="15">
        <f t="shared" si="164"/>
        <v>0.582339465</v>
      </c>
      <c r="L536" s="15">
        <f t="shared" si="165"/>
        <v>997.65947800000004</v>
      </c>
      <c r="M536" s="15">
        <v>987.75537999999995</v>
      </c>
      <c r="N536" s="14">
        <f t="shared" si="166"/>
        <v>0.9976594780000001</v>
      </c>
      <c r="O536" s="14">
        <f t="shared" si="167"/>
        <v>1.0091399999999997</v>
      </c>
      <c r="P536" s="14">
        <f t="shared" si="168"/>
        <v>1.1480521999999604E-2</v>
      </c>
      <c r="Q536" s="18">
        <f t="shared" si="169"/>
        <v>1.1376540420555728E-2</v>
      </c>
      <c r="R536" s="15">
        <f t="shared" ca="1" si="170"/>
        <v>3.6382464985422742</v>
      </c>
      <c r="S536" s="15">
        <f t="shared" si="171"/>
        <v>3.7218819354838697</v>
      </c>
      <c r="T536" s="15">
        <f t="shared" ca="1" si="172"/>
        <v>8.3635436941595476E-2</v>
      </c>
      <c r="U536" s="18">
        <f t="shared" ca="1" si="173"/>
        <v>2.2471276196116712E-2</v>
      </c>
      <c r="V536" s="15">
        <f t="shared" si="174"/>
        <v>4.4500000000000011</v>
      </c>
      <c r="W536" s="15">
        <f t="shared" ca="1" si="175"/>
        <v>4.3617535014577253</v>
      </c>
      <c r="X536" s="15">
        <f t="shared" ca="1" si="176"/>
        <v>8.8246498542275731E-2</v>
      </c>
      <c r="Y536" s="35">
        <f t="shared" ca="1" si="177"/>
        <v>1.9830673829724879E-2</v>
      </c>
      <c r="Z536" s="36">
        <f t="shared" ca="1" si="178"/>
        <v>72.341042000000002</v>
      </c>
      <c r="AA536" s="18">
        <f t="shared" ca="1" si="179"/>
        <v>1.442722070844692E-2</v>
      </c>
      <c r="AB536" s="2"/>
    </row>
    <row r="537" spans="6:28" x14ac:dyDescent="0.25">
      <c r="F537" s="14">
        <v>535</v>
      </c>
      <c r="G537" s="14">
        <f t="shared" si="160"/>
        <v>73.5</v>
      </c>
      <c r="H537" s="14">
        <f t="shared" si="161"/>
        <v>346.65</v>
      </c>
      <c r="I537" s="15">
        <f t="shared" si="162"/>
        <v>4.4583329999999997</v>
      </c>
      <c r="J537" s="15">
        <f t="shared" si="163"/>
        <v>1557.103034</v>
      </c>
      <c r="K537" s="15">
        <f t="shared" si="164"/>
        <v>0.57710303400000007</v>
      </c>
      <c r="L537" s="15">
        <f t="shared" si="165"/>
        <v>995.57531300000005</v>
      </c>
      <c r="M537" s="15">
        <v>985.87000999999998</v>
      </c>
      <c r="N537" s="14">
        <f t="shared" si="166"/>
        <v>0.99557531300000002</v>
      </c>
      <c r="O537" s="14">
        <f t="shared" si="167"/>
        <v>1.00685</v>
      </c>
      <c r="P537" s="14">
        <f t="shared" si="168"/>
        <v>1.1274687000000005E-2</v>
      </c>
      <c r="Q537" s="18">
        <f t="shared" si="169"/>
        <v>1.1197980831305562E-2</v>
      </c>
      <c r="R537" s="15">
        <f t="shared" ca="1" si="170"/>
        <v>3.6314152274052476</v>
      </c>
      <c r="S537" s="15">
        <f t="shared" si="171"/>
        <v>3.7134360215053763</v>
      </c>
      <c r="T537" s="15">
        <f t="shared" ca="1" si="172"/>
        <v>8.2020794100128747E-2</v>
      </c>
      <c r="U537" s="18">
        <f t="shared" ca="1" si="173"/>
        <v>2.2087574317997443E-2</v>
      </c>
      <c r="V537" s="15">
        <f t="shared" si="174"/>
        <v>4.4583333333333321</v>
      </c>
      <c r="W537" s="15">
        <f t="shared" ca="1" si="175"/>
        <v>4.3685847725947529</v>
      </c>
      <c r="X537" s="15">
        <f t="shared" ca="1" si="176"/>
        <v>8.9748560738579286E-2</v>
      </c>
      <c r="Y537" s="35">
        <f t="shared" ca="1" si="177"/>
        <v>2.0130518296503769E-2</v>
      </c>
      <c r="Z537" s="36">
        <f t="shared" ca="1" si="178"/>
        <v>72.423017000000002</v>
      </c>
      <c r="AA537" s="18">
        <f t="shared" ca="1" si="179"/>
        <v>1.4652829931972769E-2</v>
      </c>
      <c r="AB537" s="2"/>
    </row>
    <row r="538" spans="6:28" x14ac:dyDescent="0.25">
      <c r="F538" s="14">
        <v>536</v>
      </c>
      <c r="G538" s="14">
        <f t="shared" si="160"/>
        <v>73.599999999999994</v>
      </c>
      <c r="H538" s="14">
        <f t="shared" si="161"/>
        <v>346.75</v>
      </c>
      <c r="I538" s="15">
        <f t="shared" si="162"/>
        <v>4.4666670000000002</v>
      </c>
      <c r="J538" s="15">
        <f t="shared" si="163"/>
        <v>1551.8868419999999</v>
      </c>
      <c r="K538" s="15">
        <f t="shared" si="164"/>
        <v>0.57188684199999984</v>
      </c>
      <c r="L538" s="15">
        <f t="shared" si="165"/>
        <v>993.49412299999995</v>
      </c>
      <c r="M538" s="15">
        <v>983.74994000000004</v>
      </c>
      <c r="N538" s="14">
        <f t="shared" si="166"/>
        <v>0.99349412300000006</v>
      </c>
      <c r="O538" s="14">
        <f t="shared" si="167"/>
        <v>1.0045600000000001</v>
      </c>
      <c r="P538" s="14">
        <f t="shared" si="168"/>
        <v>1.1065877000000057E-2</v>
      </c>
      <c r="Q538" s="18">
        <f t="shared" si="169"/>
        <v>1.1015645655809564E-2</v>
      </c>
      <c r="R538" s="15">
        <f t="shared" ca="1" si="170"/>
        <v>3.6234388629737611</v>
      </c>
      <c r="S538" s="15">
        <f t="shared" si="171"/>
        <v>3.7049901075268821</v>
      </c>
      <c r="T538" s="15">
        <f t="shared" ca="1" si="172"/>
        <v>8.1551244553121016E-2</v>
      </c>
      <c r="U538" s="18">
        <f t="shared" ca="1" si="173"/>
        <v>2.2011190903707241E-2</v>
      </c>
      <c r="V538" s="15">
        <f t="shared" si="174"/>
        <v>4.466666666666665</v>
      </c>
      <c r="W538" s="15">
        <f t="shared" ca="1" si="175"/>
        <v>4.3765611370262389</v>
      </c>
      <c r="X538" s="15">
        <f t="shared" ca="1" si="176"/>
        <v>9.0105529640426063E-2</v>
      </c>
      <c r="Y538" s="35">
        <f t="shared" ca="1" si="177"/>
        <v>2.0172879770244647E-2</v>
      </c>
      <c r="Z538" s="36">
        <f t="shared" ca="1" si="178"/>
        <v>72.518733999999995</v>
      </c>
      <c r="AA538" s="18">
        <f t="shared" ca="1" si="179"/>
        <v>1.4691114130434776E-2</v>
      </c>
      <c r="AB538" s="2"/>
    </row>
    <row r="539" spans="6:28" x14ac:dyDescent="0.25">
      <c r="F539" s="14">
        <v>537</v>
      </c>
      <c r="G539" s="14">
        <f t="shared" si="160"/>
        <v>73.7</v>
      </c>
      <c r="H539" s="14">
        <f t="shared" si="161"/>
        <v>346.84999999999997</v>
      </c>
      <c r="I539" s="15">
        <f t="shared" si="162"/>
        <v>4.4749999999999996</v>
      </c>
      <c r="J539" s="15">
        <f t="shared" si="163"/>
        <v>1546.6908000000001</v>
      </c>
      <c r="K539" s="15">
        <f t="shared" si="164"/>
        <v>0.56669080000000016</v>
      </c>
      <c r="L539" s="15">
        <f t="shared" si="165"/>
        <v>991.41591400000004</v>
      </c>
      <c r="M539" s="15">
        <v>981.62701000000004</v>
      </c>
      <c r="N539" s="14">
        <f t="shared" si="166"/>
        <v>0.99141591400000018</v>
      </c>
      <c r="O539" s="14">
        <f t="shared" si="167"/>
        <v>1.0022699999999998</v>
      </c>
      <c r="P539" s="14">
        <f t="shared" si="168"/>
        <v>1.0854085999999596E-2</v>
      </c>
      <c r="Q539" s="18">
        <f t="shared" si="169"/>
        <v>1.0829503028125754E-2</v>
      </c>
      <c r="R539" s="15">
        <f t="shared" ca="1" si="170"/>
        <v>3.6158686355685132</v>
      </c>
      <c r="S539" s="15">
        <f t="shared" si="171"/>
        <v>3.696544193548386</v>
      </c>
      <c r="T539" s="15">
        <f t="shared" ca="1" si="172"/>
        <v>8.0675557979872803E-2</v>
      </c>
      <c r="U539" s="18">
        <f t="shared" ca="1" si="173"/>
        <v>2.1824589063665634E-2</v>
      </c>
      <c r="V539" s="15">
        <f t="shared" si="174"/>
        <v>4.4750000000000005</v>
      </c>
      <c r="W539" s="15">
        <f t="shared" ca="1" si="175"/>
        <v>4.3841313644314868</v>
      </c>
      <c r="X539" s="15">
        <f t="shared" ca="1" si="176"/>
        <v>9.0868635568513767E-2</v>
      </c>
      <c r="Y539" s="35">
        <f t="shared" ca="1" si="177"/>
        <v>2.0305840350505866E-2</v>
      </c>
      <c r="Z539" s="36">
        <f t="shared" ca="1" si="178"/>
        <v>72.609576000000004</v>
      </c>
      <c r="AA539" s="18">
        <f t="shared" ca="1" si="179"/>
        <v>1.4795440976933496E-2</v>
      </c>
      <c r="AB539" s="2"/>
    </row>
    <row r="540" spans="6:28" x14ac:dyDescent="0.25">
      <c r="F540" s="14">
        <v>538</v>
      </c>
      <c r="G540" s="14">
        <f t="shared" si="160"/>
        <v>73.800000000000011</v>
      </c>
      <c r="H540" s="14">
        <f t="shared" si="161"/>
        <v>346.95</v>
      </c>
      <c r="I540" s="15">
        <f t="shared" si="162"/>
        <v>4.483333</v>
      </c>
      <c r="J540" s="15">
        <f t="shared" si="163"/>
        <v>1541.5148220000001</v>
      </c>
      <c r="K540" s="15">
        <f t="shared" si="164"/>
        <v>0.56151482200000014</v>
      </c>
      <c r="L540" s="15">
        <f t="shared" si="165"/>
        <v>989.34069099999999</v>
      </c>
      <c r="M540" s="15">
        <v>979.50129000000004</v>
      </c>
      <c r="N540" s="14">
        <f t="shared" si="166"/>
        <v>0.98934069100000011</v>
      </c>
      <c r="O540" s="14">
        <f t="shared" si="167"/>
        <v>0.99997999999999965</v>
      </c>
      <c r="P540" s="14">
        <f t="shared" si="168"/>
        <v>1.0639308999999542E-2</v>
      </c>
      <c r="Q540" s="18">
        <f t="shared" si="169"/>
        <v>1.0639521790435353E-2</v>
      </c>
      <c r="R540" s="15">
        <f t="shared" ca="1" si="170"/>
        <v>3.607903498542274</v>
      </c>
      <c r="S540" s="15">
        <f t="shared" si="171"/>
        <v>3.6880982795698909</v>
      </c>
      <c r="T540" s="15">
        <f t="shared" ca="1" si="172"/>
        <v>8.0194781027616902E-2</v>
      </c>
      <c r="U540" s="18">
        <f t="shared" ca="1" si="173"/>
        <v>2.1744209331907849E-2</v>
      </c>
      <c r="V540" s="15">
        <f t="shared" si="174"/>
        <v>4.4833333333333343</v>
      </c>
      <c r="W540" s="15">
        <f t="shared" ca="1" si="175"/>
        <v>4.3920965014577256</v>
      </c>
      <c r="X540" s="15">
        <f t="shared" ca="1" si="176"/>
        <v>9.1236831875608715E-2</v>
      </c>
      <c r="Y540" s="35">
        <f t="shared" ca="1" si="177"/>
        <v>2.0350222723184097E-2</v>
      </c>
      <c r="Z540" s="36">
        <f t="shared" ca="1" si="178"/>
        <v>72.705157999999997</v>
      </c>
      <c r="AA540" s="18">
        <f t="shared" ca="1" si="179"/>
        <v>1.4835257452574715E-2</v>
      </c>
      <c r="AB540" s="2"/>
    </row>
    <row r="541" spans="6:28" x14ac:dyDescent="0.25">
      <c r="F541" s="14">
        <v>539</v>
      </c>
      <c r="G541" s="14">
        <f t="shared" si="160"/>
        <v>73.900000000000006</v>
      </c>
      <c r="H541" s="14">
        <f t="shared" si="161"/>
        <v>347.04999999999995</v>
      </c>
      <c r="I541" s="15">
        <f t="shared" si="162"/>
        <v>4.4916669999999996</v>
      </c>
      <c r="J541" s="15">
        <f t="shared" si="163"/>
        <v>1536.3588199999999</v>
      </c>
      <c r="K541" s="15">
        <f t="shared" si="164"/>
        <v>0.55635882000000003</v>
      </c>
      <c r="L541" s="15">
        <f t="shared" si="165"/>
        <v>987.26845900000001</v>
      </c>
      <c r="M541" s="15">
        <v>977.25810999999999</v>
      </c>
      <c r="N541" s="14">
        <f t="shared" si="166"/>
        <v>0.98726845900000004</v>
      </c>
      <c r="O541" s="14">
        <f t="shared" si="167"/>
        <v>0.99768999999999974</v>
      </c>
      <c r="P541" s="14">
        <f t="shared" si="168"/>
        <v>1.0421540999999701E-2</v>
      </c>
      <c r="Q541" s="18">
        <f t="shared" si="169"/>
        <v>1.0445670498852052E-2</v>
      </c>
      <c r="R541" s="15">
        <f t="shared" ca="1" si="170"/>
        <v>3.6011367725947521</v>
      </c>
      <c r="S541" s="15">
        <f t="shared" si="171"/>
        <v>3.6796523655913966</v>
      </c>
      <c r="T541" s="15">
        <f t="shared" ca="1" si="172"/>
        <v>7.8515592996644568E-2</v>
      </c>
      <c r="U541" s="18">
        <f t="shared" ca="1" si="173"/>
        <v>2.1337774657967039E-2</v>
      </c>
      <c r="V541" s="15">
        <f t="shared" si="174"/>
        <v>4.4916666666666671</v>
      </c>
      <c r="W541" s="15">
        <f t="shared" ca="1" si="175"/>
        <v>4.3988632274052479</v>
      </c>
      <c r="X541" s="15">
        <f t="shared" ca="1" si="176"/>
        <v>9.2803439261419207E-2</v>
      </c>
      <c r="Y541" s="35">
        <f t="shared" ca="1" si="177"/>
        <v>2.0661248073043235E-2</v>
      </c>
      <c r="Z541" s="36">
        <f t="shared" ca="1" si="178"/>
        <v>72.786359000000004</v>
      </c>
      <c r="AA541" s="18">
        <f t="shared" ca="1" si="179"/>
        <v>1.5069566982408675E-2</v>
      </c>
      <c r="AB541" s="2"/>
    </row>
    <row r="542" spans="6:28" x14ac:dyDescent="0.25">
      <c r="F542" s="14">
        <v>540</v>
      </c>
      <c r="G542" s="14">
        <f t="shared" si="160"/>
        <v>74</v>
      </c>
      <c r="H542" s="14">
        <f t="shared" si="161"/>
        <v>347.15</v>
      </c>
      <c r="I542" s="15">
        <f t="shared" si="162"/>
        <v>4.5</v>
      </c>
      <c r="J542" s="15">
        <f t="shared" si="163"/>
        <v>1531.222708</v>
      </c>
      <c r="K542" s="15">
        <f t="shared" si="164"/>
        <v>0.55122270800000006</v>
      </c>
      <c r="L542" s="15">
        <f t="shared" si="165"/>
        <v>985.19922399999996</v>
      </c>
      <c r="M542" s="15">
        <v>975.24158999999997</v>
      </c>
      <c r="N542" s="14">
        <f t="shared" si="166"/>
        <v>0.98519922400000004</v>
      </c>
      <c r="O542" s="14">
        <f t="shared" si="167"/>
        <v>0.99539999999999984</v>
      </c>
      <c r="P542" s="14">
        <f t="shared" si="168"/>
        <v>1.02007759999998E-2</v>
      </c>
      <c r="Q542" s="18">
        <f t="shared" si="169"/>
        <v>1.0247916415511153E-2</v>
      </c>
      <c r="R542" s="15">
        <f t="shared" ca="1" si="170"/>
        <v>3.5935779999999999</v>
      </c>
      <c r="S542" s="15">
        <f t="shared" si="171"/>
        <v>3.6712064516129024</v>
      </c>
      <c r="T542" s="15">
        <f t="shared" ca="1" si="172"/>
        <v>7.7628451612902438E-2</v>
      </c>
      <c r="U542" s="18">
        <f t="shared" ca="1" si="173"/>
        <v>2.1145215513226522E-2</v>
      </c>
      <c r="V542" s="15">
        <f t="shared" si="174"/>
        <v>4.5</v>
      </c>
      <c r="W542" s="15">
        <f t="shared" ca="1" si="175"/>
        <v>4.4064220000000001</v>
      </c>
      <c r="X542" s="15">
        <f t="shared" ca="1" si="176"/>
        <v>9.3577999999999939E-2</v>
      </c>
      <c r="Y542" s="35">
        <f t="shared" ca="1" si="177"/>
        <v>2.0795111111111098E-2</v>
      </c>
      <c r="Z542" s="36">
        <f t="shared" ca="1" si="178"/>
        <v>72.877064000000004</v>
      </c>
      <c r="AA542" s="18">
        <f t="shared" ca="1" si="179"/>
        <v>1.5174810810810752E-2</v>
      </c>
      <c r="AB542" s="2"/>
    </row>
    <row r="543" spans="6:28" x14ac:dyDescent="0.25">
      <c r="F543" s="14">
        <v>541</v>
      </c>
      <c r="G543" s="14">
        <f t="shared" si="160"/>
        <v>74.099999999999994</v>
      </c>
      <c r="H543" s="14">
        <f t="shared" si="161"/>
        <v>347.25</v>
      </c>
      <c r="I543" s="15">
        <f t="shared" si="162"/>
        <v>4.5083330000000004</v>
      </c>
      <c r="J543" s="15">
        <f t="shared" si="163"/>
        <v>1526.106399</v>
      </c>
      <c r="K543" s="15">
        <f t="shared" si="164"/>
        <v>0.54610639900000013</v>
      </c>
      <c r="L543" s="15">
        <f t="shared" si="165"/>
        <v>983.13298899999995</v>
      </c>
      <c r="M543" s="15">
        <v>973.22189000000003</v>
      </c>
      <c r="N543" s="14">
        <f t="shared" si="166"/>
        <v>0.98313298900000001</v>
      </c>
      <c r="O543" s="14">
        <f t="shared" si="167"/>
        <v>0.99311000000000016</v>
      </c>
      <c r="P543" s="14">
        <f t="shared" si="168"/>
        <v>9.9770110000001466E-3</v>
      </c>
      <c r="Q543" s="18">
        <f t="shared" si="169"/>
        <v>1.0046229521402609E-2</v>
      </c>
      <c r="R543" s="15">
        <f t="shared" ca="1" si="170"/>
        <v>3.5864273644314868</v>
      </c>
      <c r="S543" s="15">
        <f t="shared" si="171"/>
        <v>3.662760537634409</v>
      </c>
      <c r="T543" s="15">
        <f t="shared" ca="1" si="172"/>
        <v>7.6333173202922211E-2</v>
      </c>
      <c r="U543" s="18">
        <f t="shared" ca="1" si="173"/>
        <v>2.0840339524958933E-2</v>
      </c>
      <c r="V543" s="15">
        <f t="shared" si="174"/>
        <v>4.5083333333333329</v>
      </c>
      <c r="W543" s="15">
        <f t="shared" ca="1" si="175"/>
        <v>4.4135726355685136</v>
      </c>
      <c r="X543" s="15">
        <f t="shared" ca="1" si="176"/>
        <v>9.4760697764819213E-2</v>
      </c>
      <c r="Y543" s="35">
        <f t="shared" ca="1" si="177"/>
        <v>2.1019008746355466E-2</v>
      </c>
      <c r="Z543" s="36">
        <f t="shared" ca="1" si="178"/>
        <v>72.962872000000004</v>
      </c>
      <c r="AA543" s="18">
        <f t="shared" ca="1" si="179"/>
        <v>1.5345856950067342E-2</v>
      </c>
      <c r="AB543" s="2"/>
    </row>
    <row r="544" spans="6:28" x14ac:dyDescent="0.25">
      <c r="F544" s="14">
        <v>542</v>
      </c>
      <c r="G544" s="14">
        <f t="shared" si="160"/>
        <v>74.2</v>
      </c>
      <c r="H544" s="14">
        <f t="shared" si="161"/>
        <v>347.34999999999997</v>
      </c>
      <c r="I544" s="15">
        <f t="shared" si="162"/>
        <v>4.516667</v>
      </c>
      <c r="J544" s="15">
        <f t="shared" si="163"/>
        <v>1521.009808</v>
      </c>
      <c r="K544" s="15">
        <f t="shared" si="164"/>
        <v>0.54100980800000009</v>
      </c>
      <c r="L544" s="15">
        <f t="shared" si="165"/>
        <v>981.06976199999997</v>
      </c>
      <c r="M544" s="15">
        <v>971.31295999999998</v>
      </c>
      <c r="N544" s="14">
        <f t="shared" si="166"/>
        <v>0.98106976199999996</v>
      </c>
      <c r="O544" s="14">
        <f t="shared" si="167"/>
        <v>0.99081999999999981</v>
      </c>
      <c r="P544" s="14">
        <f t="shared" si="168"/>
        <v>9.7502379999998556E-3</v>
      </c>
      <c r="Q544" s="18">
        <f t="shared" si="169"/>
        <v>9.8405744736681303E-3</v>
      </c>
      <c r="R544" s="15">
        <f t="shared" ca="1" si="170"/>
        <v>3.578516</v>
      </c>
      <c r="S544" s="15">
        <f t="shared" si="171"/>
        <v>3.654314623655913</v>
      </c>
      <c r="T544" s="15">
        <f t="shared" ca="1" si="172"/>
        <v>7.5798623655912944E-2</v>
      </c>
      <c r="U544" s="18">
        <f t="shared" ca="1" si="173"/>
        <v>2.0742227055447451E-2</v>
      </c>
      <c r="V544" s="15">
        <f t="shared" si="174"/>
        <v>4.5166666666666675</v>
      </c>
      <c r="W544" s="15">
        <f t="shared" ca="1" si="175"/>
        <v>4.4214839999999995</v>
      </c>
      <c r="X544" s="15">
        <f t="shared" ca="1" si="176"/>
        <v>9.518266666666797E-2</v>
      </c>
      <c r="Y544" s="35">
        <f t="shared" ca="1" si="177"/>
        <v>2.1073653136531648E-2</v>
      </c>
      <c r="Z544" s="36">
        <f t="shared" ca="1" si="178"/>
        <v>73.057807999999994</v>
      </c>
      <c r="AA544" s="18">
        <f t="shared" ca="1" si="179"/>
        <v>1.5393423180593106E-2</v>
      </c>
      <c r="AB544" s="2"/>
    </row>
    <row r="545" spans="6:28" x14ac:dyDescent="0.25">
      <c r="F545" s="14">
        <v>543</v>
      </c>
      <c r="G545" s="14">
        <f t="shared" si="160"/>
        <v>74.300000000000011</v>
      </c>
      <c r="H545" s="14">
        <f t="shared" si="161"/>
        <v>347.45</v>
      </c>
      <c r="I545" s="15">
        <f t="shared" si="162"/>
        <v>4.5250000000000004</v>
      </c>
      <c r="J545" s="15">
        <f t="shared" si="163"/>
        <v>1515.9328499999999</v>
      </c>
      <c r="K545" s="15">
        <f t="shared" si="164"/>
        <v>0.53593285000000002</v>
      </c>
      <c r="L545" s="15">
        <f t="shared" si="165"/>
        <v>979.009546</v>
      </c>
      <c r="M545" s="15">
        <v>969.05927999999994</v>
      </c>
      <c r="N545" s="14">
        <f t="shared" si="166"/>
        <v>0.97900954600000001</v>
      </c>
      <c r="O545" s="14">
        <f t="shared" si="167"/>
        <v>0.98852999999999969</v>
      </c>
      <c r="P545" s="14">
        <f t="shared" si="168"/>
        <v>9.5204539999996785E-3</v>
      </c>
      <c r="Q545" s="18">
        <f t="shared" si="169"/>
        <v>9.6309206599695316E-3</v>
      </c>
      <c r="R545" s="15">
        <f t="shared" ca="1" si="170"/>
        <v>3.5710117725947521</v>
      </c>
      <c r="S545" s="15">
        <f t="shared" si="171"/>
        <v>3.6458687096774178</v>
      </c>
      <c r="T545" s="15">
        <f t="shared" ca="1" si="172"/>
        <v>7.485693708266572E-2</v>
      </c>
      <c r="U545" s="18">
        <f t="shared" ca="1" si="173"/>
        <v>2.053198923043199E-2</v>
      </c>
      <c r="V545" s="15">
        <f t="shared" si="174"/>
        <v>4.5250000000000004</v>
      </c>
      <c r="W545" s="15">
        <f t="shared" ca="1" si="175"/>
        <v>4.4289882274052479</v>
      </c>
      <c r="X545" s="15">
        <f t="shared" ca="1" si="176"/>
        <v>9.6011772594752465E-2</v>
      </c>
      <c r="Y545" s="35">
        <f t="shared" ca="1" si="177"/>
        <v>2.1218071291658001E-2</v>
      </c>
      <c r="Z545" s="36">
        <f t="shared" ca="1" si="178"/>
        <v>73.147858999999997</v>
      </c>
      <c r="AA545" s="18">
        <f t="shared" ca="1" si="179"/>
        <v>1.5506608344549318E-2</v>
      </c>
      <c r="AB545" s="2"/>
    </row>
    <row r="546" spans="6:28" x14ac:dyDescent="0.25">
      <c r="F546" s="14">
        <v>544</v>
      </c>
      <c r="G546" s="14">
        <f t="shared" si="160"/>
        <v>74.400000000000006</v>
      </c>
      <c r="H546" s="14">
        <f t="shared" si="161"/>
        <v>347.54999999999995</v>
      </c>
      <c r="I546" s="15">
        <f t="shared" si="162"/>
        <v>4.5333329999999998</v>
      </c>
      <c r="J546" s="15">
        <f t="shared" si="163"/>
        <v>1510.8754389999999</v>
      </c>
      <c r="K546" s="15">
        <f t="shared" si="164"/>
        <v>0.53087543899999989</v>
      </c>
      <c r="L546" s="15">
        <f t="shared" si="165"/>
        <v>976.95234600000003</v>
      </c>
      <c r="M546" s="15">
        <v>967.03039000000001</v>
      </c>
      <c r="N546" s="14">
        <f t="shared" si="166"/>
        <v>0.97695234600000003</v>
      </c>
      <c r="O546" s="14">
        <f t="shared" si="167"/>
        <v>0.98623999999999978</v>
      </c>
      <c r="P546" s="14">
        <f t="shared" si="168"/>
        <v>9.2876539999997565E-3</v>
      </c>
      <c r="Q546" s="18">
        <f t="shared" si="169"/>
        <v>9.4172351557427793E-3</v>
      </c>
      <c r="R546" s="15">
        <f t="shared" ca="1" si="170"/>
        <v>3.5634862274052477</v>
      </c>
      <c r="S546" s="15">
        <f t="shared" si="171"/>
        <v>3.6374227956989236</v>
      </c>
      <c r="T546" s="15">
        <f t="shared" ca="1" si="172"/>
        <v>7.3936568293675897E-2</v>
      </c>
      <c r="U546" s="18">
        <f t="shared" ca="1" si="173"/>
        <v>2.0326635765603687E-2</v>
      </c>
      <c r="V546" s="15">
        <f t="shared" si="174"/>
        <v>4.5333333333333332</v>
      </c>
      <c r="W546" s="15">
        <f t="shared" ca="1" si="175"/>
        <v>4.4365137725947523</v>
      </c>
      <c r="X546" s="15">
        <f t="shared" ca="1" si="176"/>
        <v>9.681956073858089E-2</v>
      </c>
      <c r="Y546" s="35">
        <f t="shared" ca="1" si="177"/>
        <v>2.1357256045275198E-2</v>
      </c>
      <c r="Z546" s="36">
        <f t="shared" ca="1" si="178"/>
        <v>73.238164999999995</v>
      </c>
      <c r="AA546" s="18">
        <f t="shared" ca="1" si="179"/>
        <v>1.561606182795713E-2</v>
      </c>
      <c r="AB546" s="2"/>
    </row>
    <row r="547" spans="6:28" x14ac:dyDescent="0.25">
      <c r="F547" s="14">
        <v>545</v>
      </c>
      <c r="G547" s="14">
        <f t="shared" si="160"/>
        <v>74.5</v>
      </c>
      <c r="H547" s="14">
        <f t="shared" si="161"/>
        <v>347.65</v>
      </c>
      <c r="I547" s="15">
        <f t="shared" si="162"/>
        <v>4.5416670000000003</v>
      </c>
      <c r="J547" s="15">
        <f t="shared" si="163"/>
        <v>1505.837491</v>
      </c>
      <c r="K547" s="15">
        <f t="shared" si="164"/>
        <v>0.5258374910000001</v>
      </c>
      <c r="L547" s="15">
        <f t="shared" si="165"/>
        <v>974.89816699999994</v>
      </c>
      <c r="M547" s="15">
        <v>964.88523999999995</v>
      </c>
      <c r="N547" s="14">
        <f t="shared" si="166"/>
        <v>0.97489816699999998</v>
      </c>
      <c r="O547" s="14">
        <f t="shared" si="167"/>
        <v>0.98394999999999988</v>
      </c>
      <c r="P547" s="14">
        <f t="shared" si="168"/>
        <v>9.0518329999998981E-3</v>
      </c>
      <c r="Q547" s="18">
        <f t="shared" si="169"/>
        <v>9.1994847299150355E-3</v>
      </c>
      <c r="R547" s="15">
        <f t="shared" ca="1" si="170"/>
        <v>3.5559942274052476</v>
      </c>
      <c r="S547" s="15">
        <f t="shared" si="171"/>
        <v>3.6289768817204293</v>
      </c>
      <c r="T547" s="15">
        <f t="shared" ca="1" si="172"/>
        <v>7.2982654315181694E-2</v>
      </c>
      <c r="U547" s="18">
        <f t="shared" ca="1" si="173"/>
        <v>2.0111082735964413E-2</v>
      </c>
      <c r="V547" s="15">
        <f t="shared" si="174"/>
        <v>4.5416666666666661</v>
      </c>
      <c r="W547" s="15">
        <f t="shared" ca="1" si="175"/>
        <v>4.4440057725947524</v>
      </c>
      <c r="X547" s="15">
        <f t="shared" ca="1" si="176"/>
        <v>9.7660894071913695E-2</v>
      </c>
      <c r="Y547" s="35">
        <f t="shared" ca="1" si="177"/>
        <v>2.1503316125925955E-2</v>
      </c>
      <c r="Z547" s="36">
        <f t="shared" ca="1" si="178"/>
        <v>73.328068999999999</v>
      </c>
      <c r="AA547" s="18">
        <f t="shared" ca="1" si="179"/>
        <v>1.573061744966444E-2</v>
      </c>
      <c r="AB547" s="2"/>
    </row>
    <row r="548" spans="6:28" x14ac:dyDescent="0.25">
      <c r="F548" s="14">
        <v>546</v>
      </c>
      <c r="G548" s="14">
        <f t="shared" si="160"/>
        <v>74.599999999999994</v>
      </c>
      <c r="H548" s="14">
        <f t="shared" si="161"/>
        <v>347.75</v>
      </c>
      <c r="I548" s="15">
        <f t="shared" si="162"/>
        <v>4.55</v>
      </c>
      <c r="J548" s="15">
        <f t="shared" si="163"/>
        <v>1500.818921</v>
      </c>
      <c r="K548" s="15">
        <f t="shared" si="164"/>
        <v>0.52081892100000005</v>
      </c>
      <c r="L548" s="15">
        <f t="shared" si="165"/>
        <v>972.84701500000006</v>
      </c>
      <c r="M548" s="15">
        <v>962.73749999999995</v>
      </c>
      <c r="N548" s="14">
        <f t="shared" si="166"/>
        <v>0.97284701500000004</v>
      </c>
      <c r="O548" s="14">
        <f t="shared" si="167"/>
        <v>0.98165999999999998</v>
      </c>
      <c r="P548" s="14">
        <f t="shared" si="168"/>
        <v>8.8129849999999399E-3</v>
      </c>
      <c r="Q548" s="18">
        <f t="shared" si="169"/>
        <v>8.9776348226472923E-3</v>
      </c>
      <c r="R548" s="15">
        <f t="shared" ca="1" si="170"/>
        <v>3.5485122274052476</v>
      </c>
      <c r="S548" s="15">
        <f t="shared" si="171"/>
        <v>3.6205309677419351</v>
      </c>
      <c r="T548" s="15">
        <f t="shared" ca="1" si="172"/>
        <v>7.2018740336687426E-2</v>
      </c>
      <c r="U548" s="18">
        <f t="shared" ca="1" si="173"/>
        <v>1.9891762003517489E-2</v>
      </c>
      <c r="V548" s="15">
        <f t="shared" si="174"/>
        <v>4.55</v>
      </c>
      <c r="W548" s="15">
        <f t="shared" ca="1" si="175"/>
        <v>4.4514877725947528</v>
      </c>
      <c r="X548" s="15">
        <f t="shared" ca="1" si="176"/>
        <v>9.851222740524701E-2</v>
      </c>
      <c r="Y548" s="35">
        <f t="shared" ca="1" si="177"/>
        <v>2.1651038990164177E-2</v>
      </c>
      <c r="Z548" s="36">
        <f t="shared" ca="1" si="178"/>
        <v>73.417852999999994</v>
      </c>
      <c r="AA548" s="18">
        <f t="shared" ca="1" si="179"/>
        <v>1.5846474530831108E-2</v>
      </c>
      <c r="AB548" s="2"/>
    </row>
    <row r="549" spans="6:28" x14ac:dyDescent="0.25">
      <c r="F549" s="14">
        <v>547</v>
      </c>
      <c r="G549" s="14">
        <f t="shared" si="160"/>
        <v>74.7</v>
      </c>
      <c r="H549" s="14">
        <f t="shared" si="161"/>
        <v>347.84999999999997</v>
      </c>
      <c r="I549" s="15">
        <f t="shared" si="162"/>
        <v>4.5583330000000002</v>
      </c>
      <c r="J549" s="15">
        <f t="shared" si="163"/>
        <v>1495.819647</v>
      </c>
      <c r="K549" s="15">
        <f t="shared" si="164"/>
        <v>0.51581964700000005</v>
      </c>
      <c r="L549" s="15">
        <f t="shared" si="165"/>
        <v>970.79889300000002</v>
      </c>
      <c r="M549" s="15">
        <v>960.81273999999996</v>
      </c>
      <c r="N549" s="14">
        <f t="shared" si="166"/>
        <v>0.97079889300000011</v>
      </c>
      <c r="O549" s="14">
        <f t="shared" si="167"/>
        <v>0.97936999999999985</v>
      </c>
      <c r="P549" s="14">
        <f t="shared" si="168"/>
        <v>8.5711069999997447E-3</v>
      </c>
      <c r="Q549" s="18">
        <f t="shared" si="169"/>
        <v>8.7516536140577576E-3</v>
      </c>
      <c r="R549" s="15">
        <f t="shared" ca="1" si="170"/>
        <v>3.5402704985422742</v>
      </c>
      <c r="S549" s="15">
        <f t="shared" si="171"/>
        <v>3.6120850537634404</v>
      </c>
      <c r="T549" s="15">
        <f t="shared" ca="1" si="172"/>
        <v>7.1814555221166199E-2</v>
      </c>
      <c r="U549" s="18">
        <f t="shared" ca="1" si="173"/>
        <v>1.988174534991706E-2</v>
      </c>
      <c r="V549" s="15">
        <f t="shared" si="174"/>
        <v>4.5583333333333336</v>
      </c>
      <c r="W549" s="15">
        <f t="shared" ca="1" si="175"/>
        <v>4.4597295014577263</v>
      </c>
      <c r="X549" s="15">
        <f t="shared" ca="1" si="176"/>
        <v>9.8603831875607284E-2</v>
      </c>
      <c r="Y549" s="35">
        <f t="shared" ca="1" si="177"/>
        <v>2.1631553610736515E-2</v>
      </c>
      <c r="Z549" s="36">
        <f t="shared" ca="1" si="178"/>
        <v>73.516754000000006</v>
      </c>
      <c r="AA549" s="18">
        <f t="shared" ca="1" si="179"/>
        <v>1.5839973226238244E-2</v>
      </c>
      <c r="AB549" s="2"/>
    </row>
    <row r="550" spans="6:28" x14ac:dyDescent="0.25">
      <c r="F550" s="14">
        <v>548</v>
      </c>
      <c r="G550" s="14">
        <f t="shared" si="160"/>
        <v>74.800000000000011</v>
      </c>
      <c r="H550" s="14">
        <f t="shared" si="161"/>
        <v>347.95</v>
      </c>
      <c r="I550" s="15">
        <f t="shared" si="162"/>
        <v>4.5666669999999998</v>
      </c>
      <c r="J550" s="15">
        <f t="shared" si="163"/>
        <v>1490.8395840000001</v>
      </c>
      <c r="K550" s="15">
        <f t="shared" si="164"/>
        <v>0.51083958400000018</v>
      </c>
      <c r="L550" s="15">
        <f t="shared" si="165"/>
        <v>968.75380700000005</v>
      </c>
      <c r="M550" s="15">
        <v>958.65949000000001</v>
      </c>
      <c r="N550" s="14">
        <f t="shared" si="166"/>
        <v>0.96875380700000002</v>
      </c>
      <c r="O550" s="14">
        <f t="shared" si="167"/>
        <v>0.97707999999999973</v>
      </c>
      <c r="P550" s="14">
        <f t="shared" si="168"/>
        <v>8.3261929999997042E-3</v>
      </c>
      <c r="Q550" s="18">
        <f t="shared" si="169"/>
        <v>8.5215059155849121E-3</v>
      </c>
      <c r="R550" s="15">
        <f t="shared" ca="1" si="170"/>
        <v>3.5339783644314871</v>
      </c>
      <c r="S550" s="15">
        <f t="shared" si="171"/>
        <v>3.6036391397849452</v>
      </c>
      <c r="T550" s="15">
        <f t="shared" ca="1" si="172"/>
        <v>6.966077535345816E-2</v>
      </c>
      <c r="U550" s="18">
        <f t="shared" ca="1" si="173"/>
        <v>1.9330674535190922E-2</v>
      </c>
      <c r="V550" s="15">
        <f t="shared" si="174"/>
        <v>4.5666666666666664</v>
      </c>
      <c r="W550" s="15">
        <f t="shared" ca="1" si="175"/>
        <v>4.4660216355685129</v>
      </c>
      <c r="X550" s="15">
        <f t="shared" ca="1" si="176"/>
        <v>0.10064503109815348</v>
      </c>
      <c r="Y550" s="35">
        <f t="shared" ca="1" si="177"/>
        <v>2.2039057904705141E-2</v>
      </c>
      <c r="Z550" s="36">
        <f t="shared" ca="1" si="178"/>
        <v>73.592259999999996</v>
      </c>
      <c r="AA550" s="18">
        <f t="shared" ca="1" si="179"/>
        <v>1.6146256684492183E-2</v>
      </c>
      <c r="AB550" s="2"/>
    </row>
    <row r="551" spans="6:28" x14ac:dyDescent="0.25">
      <c r="F551" s="14">
        <v>549</v>
      </c>
      <c r="G551" s="14">
        <f t="shared" si="160"/>
        <v>74.900000000000006</v>
      </c>
      <c r="H551" s="14">
        <f t="shared" si="161"/>
        <v>348.04999999999995</v>
      </c>
      <c r="I551" s="15">
        <f t="shared" si="162"/>
        <v>4.5750000000000002</v>
      </c>
      <c r="J551" s="15">
        <f t="shared" si="163"/>
        <v>1485.8786500000001</v>
      </c>
      <c r="K551" s="15">
        <f t="shared" si="164"/>
        <v>0.5058786500000001</v>
      </c>
      <c r="L551" s="15">
        <f t="shared" si="165"/>
        <v>966.71176100000002</v>
      </c>
      <c r="M551" s="15">
        <v>956.72829000000002</v>
      </c>
      <c r="N551" s="14">
        <f t="shared" si="166"/>
        <v>0.966711761</v>
      </c>
      <c r="O551" s="14">
        <f t="shared" si="167"/>
        <v>0.97478999999999982</v>
      </c>
      <c r="P551" s="14">
        <f t="shared" si="168"/>
        <v>8.0782389999998205E-3</v>
      </c>
      <c r="Q551" s="18">
        <f t="shared" si="169"/>
        <v>8.287158259727553E-3</v>
      </c>
      <c r="R551" s="15">
        <f t="shared" ca="1" si="170"/>
        <v>3.5261332274052477</v>
      </c>
      <c r="S551" s="15">
        <f t="shared" si="171"/>
        <v>3.595193225806451</v>
      </c>
      <c r="T551" s="15">
        <f t="shared" ca="1" si="172"/>
        <v>6.9059998401203249E-2</v>
      </c>
      <c r="U551" s="18">
        <f t="shared" ca="1" si="173"/>
        <v>1.9208981009834914E-2</v>
      </c>
      <c r="V551" s="15">
        <f t="shared" si="174"/>
        <v>4.5749999999999993</v>
      </c>
      <c r="W551" s="15">
        <f t="shared" ca="1" si="175"/>
        <v>4.4738667725947519</v>
      </c>
      <c r="X551" s="15">
        <f t="shared" ca="1" si="176"/>
        <v>0.10113322740524744</v>
      </c>
      <c r="Y551" s="35">
        <f t="shared" ca="1" si="177"/>
        <v>2.210562347655682E-2</v>
      </c>
      <c r="Z551" s="36">
        <f t="shared" ca="1" si="178"/>
        <v>73.686401000000004</v>
      </c>
      <c r="AA551" s="18">
        <f t="shared" ca="1" si="179"/>
        <v>1.6202923898531403E-2</v>
      </c>
      <c r="AB551" s="2"/>
    </row>
    <row r="552" spans="6:28" x14ac:dyDescent="0.25">
      <c r="F552" s="14">
        <v>550</v>
      </c>
      <c r="G552" s="14">
        <f t="shared" si="160"/>
        <v>75</v>
      </c>
      <c r="H552" s="14">
        <f t="shared" si="161"/>
        <v>348.15</v>
      </c>
      <c r="I552" s="15">
        <f t="shared" si="162"/>
        <v>4.5833329999999997</v>
      </c>
      <c r="J552" s="15">
        <f t="shared" si="163"/>
        <v>1480.936762</v>
      </c>
      <c r="K552" s="15">
        <f t="shared" si="164"/>
        <v>0.50093676200000004</v>
      </c>
      <c r="L552" s="15">
        <f t="shared" si="165"/>
        <v>964.67275900000004</v>
      </c>
      <c r="M552" s="15">
        <v>954.68165999999997</v>
      </c>
      <c r="N552" s="14">
        <f t="shared" si="166"/>
        <v>0.96467275900000016</v>
      </c>
      <c r="O552" s="14">
        <f t="shared" si="167"/>
        <v>0.97249999999999992</v>
      </c>
      <c r="P552" s="14">
        <f t="shared" si="168"/>
        <v>7.8272409999997627E-3</v>
      </c>
      <c r="Q552" s="18">
        <f t="shared" si="169"/>
        <v>8.0485768637529702E-3</v>
      </c>
      <c r="R552" s="15">
        <f t="shared" ca="1" si="170"/>
        <v>3.5183216355685132</v>
      </c>
      <c r="S552" s="15">
        <f t="shared" si="171"/>
        <v>3.5867473118279567</v>
      </c>
      <c r="T552" s="15">
        <f t="shared" ca="1" si="172"/>
        <v>6.8425676259443513E-2</v>
      </c>
      <c r="U552" s="18">
        <f t="shared" ca="1" si="173"/>
        <v>1.9077361829699376E-2</v>
      </c>
      <c r="V552" s="15">
        <f t="shared" si="174"/>
        <v>4.583333333333333</v>
      </c>
      <c r="W552" s="15">
        <f t="shared" ca="1" si="175"/>
        <v>4.4816783644314864</v>
      </c>
      <c r="X552" s="15">
        <f t="shared" ca="1" si="176"/>
        <v>0.10165496890184667</v>
      </c>
      <c r="Y552" s="35">
        <f t="shared" ca="1" si="177"/>
        <v>2.2179265942221093E-2</v>
      </c>
      <c r="Z552" s="36">
        <f t="shared" ca="1" si="178"/>
        <v>73.780140000000003</v>
      </c>
      <c r="AA552" s="18">
        <f t="shared" ca="1" si="179"/>
        <v>1.6264799999999961E-2</v>
      </c>
      <c r="AB552" s="2"/>
    </row>
    <row r="553" spans="6:28" x14ac:dyDescent="0.25">
      <c r="F553" s="14">
        <v>551</v>
      </c>
      <c r="G553" s="14">
        <f t="shared" si="160"/>
        <v>75.099999999999994</v>
      </c>
      <c r="H553" s="14">
        <f t="shared" si="161"/>
        <v>348.25</v>
      </c>
      <c r="I553" s="15">
        <f t="shared" si="162"/>
        <v>4.5916670000000002</v>
      </c>
      <c r="J553" s="15">
        <f t="shared" si="163"/>
        <v>1476.0138380000001</v>
      </c>
      <c r="K553" s="15">
        <f t="shared" si="164"/>
        <v>0.4960138380000001</v>
      </c>
      <c r="L553" s="15">
        <f t="shared" si="165"/>
        <v>962.63680699999998</v>
      </c>
      <c r="M553" s="15">
        <v>952.63211000000001</v>
      </c>
      <c r="N553" s="14">
        <f t="shared" si="166"/>
        <v>0.96263680700000009</v>
      </c>
      <c r="O553" s="14">
        <f t="shared" si="167"/>
        <v>0.97021000000000002</v>
      </c>
      <c r="P553" s="14">
        <f t="shared" si="168"/>
        <v>7.5731929999999226E-3</v>
      </c>
      <c r="Q553" s="18">
        <f t="shared" si="169"/>
        <v>7.8057255645684158E-3</v>
      </c>
      <c r="R553" s="15">
        <f t="shared" ca="1" si="170"/>
        <v>3.5108848629737608</v>
      </c>
      <c r="S553" s="15">
        <f t="shared" si="171"/>
        <v>3.5783013978494624</v>
      </c>
      <c r="T553" s="15">
        <f t="shared" ca="1" si="172"/>
        <v>6.741653487570165E-2</v>
      </c>
      <c r="U553" s="18">
        <f t="shared" ca="1" si="173"/>
        <v>1.884037351247678E-2</v>
      </c>
      <c r="V553" s="15">
        <f t="shared" si="174"/>
        <v>4.5916666666666659</v>
      </c>
      <c r="W553" s="15">
        <f t="shared" ca="1" si="175"/>
        <v>4.4891151370262392</v>
      </c>
      <c r="X553" s="15">
        <f t="shared" ca="1" si="176"/>
        <v>0.10255152964042669</v>
      </c>
      <c r="Y553" s="35">
        <f t="shared" ca="1" si="177"/>
        <v>2.2334271428042115E-2</v>
      </c>
      <c r="Z553" s="36">
        <f t="shared" ca="1" si="178"/>
        <v>73.869382000000002</v>
      </c>
      <c r="AA553" s="18">
        <f t="shared" ca="1" si="179"/>
        <v>1.6386391478029196E-2</v>
      </c>
      <c r="AB553" s="2"/>
    </row>
    <row r="554" spans="6:28" x14ac:dyDescent="0.25">
      <c r="F554" s="14">
        <v>552</v>
      </c>
      <c r="G554" s="14">
        <f t="shared" si="160"/>
        <v>75.2</v>
      </c>
      <c r="H554" s="14">
        <f t="shared" si="161"/>
        <v>348.34999999999997</v>
      </c>
      <c r="I554" s="15">
        <f t="shared" si="162"/>
        <v>4.5999999999999996</v>
      </c>
      <c r="J554" s="15">
        <f t="shared" si="163"/>
        <v>1471.109796</v>
      </c>
      <c r="K554" s="15">
        <f t="shared" si="164"/>
        <v>0.49110979599999993</v>
      </c>
      <c r="L554" s="15">
        <f t="shared" si="165"/>
        <v>960.60390800000005</v>
      </c>
      <c r="M554" s="15">
        <v>950.57971999999995</v>
      </c>
      <c r="N554" s="14">
        <f t="shared" si="166"/>
        <v>0.96060390800000006</v>
      </c>
      <c r="O554" s="14">
        <f t="shared" si="167"/>
        <v>0.96791999999999989</v>
      </c>
      <c r="P554" s="14">
        <f t="shared" si="168"/>
        <v>7.3160919999998297E-3</v>
      </c>
      <c r="Q554" s="18">
        <f t="shared" si="169"/>
        <v>7.558570956277203E-3</v>
      </c>
      <c r="R554" s="15">
        <f t="shared" ca="1" si="170"/>
        <v>3.503875772594752</v>
      </c>
      <c r="S554" s="15">
        <f t="shared" si="171"/>
        <v>3.5698554838709673</v>
      </c>
      <c r="T554" s="15">
        <f t="shared" ca="1" si="172"/>
        <v>6.5979711276215269E-2</v>
      </c>
      <c r="U554" s="18">
        <f t="shared" ca="1" si="173"/>
        <v>1.848246002515213E-2</v>
      </c>
      <c r="V554" s="15">
        <f t="shared" si="174"/>
        <v>4.5999999999999996</v>
      </c>
      <c r="W554" s="15">
        <f t="shared" ca="1" si="175"/>
        <v>4.4961242274052484</v>
      </c>
      <c r="X554" s="15">
        <f t="shared" ca="1" si="176"/>
        <v>0.10387577259475123</v>
      </c>
      <c r="Y554" s="35">
        <f t="shared" ca="1" si="177"/>
        <v>2.2581689694511138E-2</v>
      </c>
      <c r="Z554" s="36">
        <f t="shared" ca="1" si="178"/>
        <v>73.953491</v>
      </c>
      <c r="AA554" s="18">
        <f t="shared" ca="1" si="179"/>
        <v>1.657591755319153E-2</v>
      </c>
      <c r="AB554" s="2"/>
    </row>
    <row r="555" spans="6:28" x14ac:dyDescent="0.25">
      <c r="F555" s="14">
        <v>553</v>
      </c>
      <c r="G555" s="14">
        <f t="shared" si="160"/>
        <v>75.300000000000011</v>
      </c>
      <c r="H555" s="14">
        <f t="shared" si="161"/>
        <v>348.45</v>
      </c>
      <c r="I555" s="15">
        <f t="shared" si="162"/>
        <v>4.608333</v>
      </c>
      <c r="J555" s="15">
        <f t="shared" si="163"/>
        <v>1466.224555</v>
      </c>
      <c r="K555" s="15">
        <f t="shared" si="164"/>
        <v>0.48622455499999995</v>
      </c>
      <c r="L555" s="15">
        <f t="shared" si="165"/>
        <v>958.57406700000001</v>
      </c>
      <c r="M555" s="15">
        <v>948.52450999999996</v>
      </c>
      <c r="N555" s="14">
        <f t="shared" si="166"/>
        <v>0.95857406700000003</v>
      </c>
      <c r="O555" s="14">
        <f t="shared" si="167"/>
        <v>0.96562999999999977</v>
      </c>
      <c r="P555" s="14">
        <f t="shared" si="168"/>
        <v>7.0559329999997367E-3</v>
      </c>
      <c r="Q555" s="18">
        <f t="shared" si="169"/>
        <v>7.3070772449071991E-3</v>
      </c>
      <c r="R555" s="15">
        <f t="shared" ca="1" si="170"/>
        <v>3.496461</v>
      </c>
      <c r="S555" s="15">
        <f t="shared" si="171"/>
        <v>3.5614095698924721</v>
      </c>
      <c r="T555" s="15">
        <f t="shared" ca="1" si="172"/>
        <v>6.4948569892472108E-2</v>
      </c>
      <c r="U555" s="18">
        <f t="shared" ca="1" si="173"/>
        <v>1.8236759523963728E-2</v>
      </c>
      <c r="V555" s="15">
        <f t="shared" si="174"/>
        <v>4.6083333333333334</v>
      </c>
      <c r="W555" s="15">
        <f t="shared" ca="1" si="175"/>
        <v>4.503539</v>
      </c>
      <c r="X555" s="15">
        <f t="shared" ca="1" si="176"/>
        <v>0.10479433333333343</v>
      </c>
      <c r="Y555" s="35">
        <f t="shared" ca="1" si="177"/>
        <v>2.2740180831826422E-2</v>
      </c>
      <c r="Z555" s="36">
        <f t="shared" ca="1" si="178"/>
        <v>74.042468</v>
      </c>
      <c r="AA555" s="18">
        <f t="shared" ca="1" si="179"/>
        <v>1.670029216467479E-2</v>
      </c>
      <c r="AB555" s="2"/>
    </row>
    <row r="556" spans="6:28" x14ac:dyDescent="0.25">
      <c r="F556" s="14">
        <v>554</v>
      </c>
      <c r="G556" s="14">
        <f t="shared" si="160"/>
        <v>75.400000000000006</v>
      </c>
      <c r="H556" s="14">
        <f t="shared" si="161"/>
        <v>348.54999999999995</v>
      </c>
      <c r="I556" s="15">
        <f t="shared" si="162"/>
        <v>4.6166669999999996</v>
      </c>
      <c r="J556" s="15">
        <f t="shared" si="163"/>
        <v>1461.3580340000001</v>
      </c>
      <c r="K556" s="15">
        <f t="shared" si="164"/>
        <v>0.4813580340000001</v>
      </c>
      <c r="L556" s="15">
        <f t="shared" si="165"/>
        <v>956.54728899999998</v>
      </c>
      <c r="M556" s="15">
        <v>946.46646999999996</v>
      </c>
      <c r="N556" s="14">
        <f t="shared" si="166"/>
        <v>0.95654728900000008</v>
      </c>
      <c r="O556" s="14">
        <f t="shared" si="167"/>
        <v>0.96333999999999986</v>
      </c>
      <c r="P556" s="14">
        <f t="shared" si="168"/>
        <v>6.7927109999997848E-3</v>
      </c>
      <c r="Q556" s="18">
        <f t="shared" si="169"/>
        <v>7.0512082961361362E-3</v>
      </c>
      <c r="R556" s="15">
        <f t="shared" ca="1" si="170"/>
        <v>3.4890797725947524</v>
      </c>
      <c r="S556" s="15">
        <f t="shared" si="171"/>
        <v>3.5529636559139779</v>
      </c>
      <c r="T556" s="15">
        <f t="shared" ca="1" si="172"/>
        <v>6.3883883319225454E-2</v>
      </c>
      <c r="U556" s="18">
        <f t="shared" ca="1" si="173"/>
        <v>1.7980449423649316E-2</v>
      </c>
      <c r="V556" s="15">
        <f t="shared" si="174"/>
        <v>4.6166666666666671</v>
      </c>
      <c r="W556" s="15">
        <f t="shared" ca="1" si="175"/>
        <v>4.5109202274052471</v>
      </c>
      <c r="X556" s="15">
        <f t="shared" ca="1" si="176"/>
        <v>0.10574643926142002</v>
      </c>
      <c r="Y556" s="35">
        <f t="shared" ca="1" si="177"/>
        <v>2.2905365905000724E-2</v>
      </c>
      <c r="Z556" s="36">
        <f t="shared" ca="1" si="178"/>
        <v>74.131043000000005</v>
      </c>
      <c r="AA556" s="18">
        <f t="shared" ca="1" si="179"/>
        <v>1.6829668435013267E-2</v>
      </c>
      <c r="AB556" s="2"/>
    </row>
    <row r="557" spans="6:28" x14ac:dyDescent="0.25">
      <c r="F557" s="14">
        <v>555</v>
      </c>
      <c r="G557" s="14">
        <f t="shared" si="160"/>
        <v>75.5</v>
      </c>
      <c r="H557" s="14">
        <f t="shared" si="161"/>
        <v>348.65</v>
      </c>
      <c r="I557" s="15">
        <f t="shared" si="162"/>
        <v>4.625</v>
      </c>
      <c r="J557" s="15">
        <f t="shared" si="163"/>
        <v>1456.5101520000001</v>
      </c>
      <c r="K557" s="15">
        <f t="shared" si="164"/>
        <v>0.47651015200000013</v>
      </c>
      <c r="L557" s="15">
        <f t="shared" si="165"/>
        <v>954.52357700000005</v>
      </c>
      <c r="M557" s="15">
        <v>944.51649999999995</v>
      </c>
      <c r="N557" s="14">
        <f t="shared" si="166"/>
        <v>0.95452357700000012</v>
      </c>
      <c r="O557" s="14">
        <f t="shared" si="167"/>
        <v>0.96104999999999996</v>
      </c>
      <c r="P557" s="14">
        <f t="shared" si="168"/>
        <v>6.5264229999998369E-3</v>
      </c>
      <c r="Q557" s="18">
        <f t="shared" si="169"/>
        <v>6.7909297122936757E-3</v>
      </c>
      <c r="R557" s="15">
        <f t="shared" ca="1" si="170"/>
        <v>3.480905498542274</v>
      </c>
      <c r="S557" s="15">
        <f t="shared" si="171"/>
        <v>3.5445177419354836</v>
      </c>
      <c r="T557" s="15">
        <f t="shared" ca="1" si="172"/>
        <v>6.3612243393209589E-2</v>
      </c>
      <c r="U557" s="18">
        <f t="shared" ca="1" si="173"/>
        <v>1.7946656787920075E-2</v>
      </c>
      <c r="V557" s="15">
        <f t="shared" si="174"/>
        <v>4.625</v>
      </c>
      <c r="W557" s="15">
        <f t="shared" ca="1" si="175"/>
        <v>4.519094501457726</v>
      </c>
      <c r="X557" s="15">
        <f t="shared" ca="1" si="176"/>
        <v>0.10590549854227405</v>
      </c>
      <c r="Y557" s="35">
        <f t="shared" ca="1" si="177"/>
        <v>2.2898486171302496E-2</v>
      </c>
      <c r="Z557" s="36">
        <f t="shared" ca="1" si="178"/>
        <v>74.229134000000002</v>
      </c>
      <c r="AA557" s="18">
        <f t="shared" ca="1" si="179"/>
        <v>1.6832662251655604E-2</v>
      </c>
      <c r="AB557" s="2"/>
    </row>
    <row r="558" spans="6:28" x14ac:dyDescent="0.25">
      <c r="F558" s="14">
        <v>556</v>
      </c>
      <c r="G558" s="14">
        <f t="shared" si="160"/>
        <v>75.599999999999994</v>
      </c>
      <c r="H558" s="14">
        <f t="shared" si="161"/>
        <v>348.75</v>
      </c>
      <c r="I558" s="15">
        <f t="shared" si="162"/>
        <v>4.6333330000000004</v>
      </c>
      <c r="J558" s="15">
        <f t="shared" si="163"/>
        <v>1451.6808289999999</v>
      </c>
      <c r="K558" s="15">
        <f t="shared" si="164"/>
        <v>0.47168082899999986</v>
      </c>
      <c r="L558" s="15">
        <f t="shared" si="165"/>
        <v>952.50293599999998</v>
      </c>
      <c r="M558" s="15">
        <v>942.34213</v>
      </c>
      <c r="N558" s="14">
        <f t="shared" si="166"/>
        <v>0.95250293600000002</v>
      </c>
      <c r="O558" s="14">
        <f t="shared" si="167"/>
        <v>0.95876000000000006</v>
      </c>
      <c r="P558" s="14">
        <f t="shared" si="168"/>
        <v>6.2570640000000344E-3</v>
      </c>
      <c r="Q558" s="18">
        <f t="shared" si="169"/>
        <v>6.5262046810463867E-3</v>
      </c>
      <c r="R558" s="15">
        <f t="shared" ca="1" si="170"/>
        <v>3.4743277725947523</v>
      </c>
      <c r="S558" s="15">
        <f t="shared" si="171"/>
        <v>3.5360718279569894</v>
      </c>
      <c r="T558" s="15">
        <f t="shared" ca="1" si="172"/>
        <v>6.1744055362237038E-2</v>
      </c>
      <c r="U558" s="18">
        <f t="shared" ca="1" si="173"/>
        <v>1.7461199423064452E-2</v>
      </c>
      <c r="V558" s="15">
        <f t="shared" si="174"/>
        <v>4.6333333333333329</v>
      </c>
      <c r="W558" s="15">
        <f t="shared" ca="1" si="175"/>
        <v>4.5256722274052477</v>
      </c>
      <c r="X558" s="15">
        <f t="shared" ca="1" si="176"/>
        <v>0.1076611059280852</v>
      </c>
      <c r="Y558" s="35">
        <f t="shared" ca="1" si="177"/>
        <v>2.3236209912536377E-2</v>
      </c>
      <c r="Z558" s="36">
        <f t="shared" ca="1" si="178"/>
        <v>74.308066999999994</v>
      </c>
      <c r="AA558" s="18">
        <f t="shared" ca="1" si="179"/>
        <v>1.7089060846560852E-2</v>
      </c>
      <c r="AB558" s="2"/>
    </row>
    <row r="559" spans="6:28" x14ac:dyDescent="0.25">
      <c r="F559" s="14">
        <v>557</v>
      </c>
      <c r="G559" s="14">
        <f t="shared" si="160"/>
        <v>75.7</v>
      </c>
      <c r="H559" s="14">
        <f t="shared" si="161"/>
        <v>348.84999999999997</v>
      </c>
      <c r="I559" s="15">
        <f t="shared" si="162"/>
        <v>4.641667</v>
      </c>
      <c r="J559" s="15">
        <f t="shared" si="163"/>
        <v>1446.869985</v>
      </c>
      <c r="K559" s="15">
        <f t="shared" si="164"/>
        <v>0.46686998499999999</v>
      </c>
      <c r="L559" s="15">
        <f t="shared" si="165"/>
        <v>950.48536999999999</v>
      </c>
      <c r="M559" s="15">
        <v>940.27588000000003</v>
      </c>
      <c r="N559" s="14">
        <f t="shared" si="166"/>
        <v>0.95048537000000011</v>
      </c>
      <c r="O559" s="14">
        <f t="shared" si="167"/>
        <v>0.95646999999999993</v>
      </c>
      <c r="P559" s="14">
        <f t="shared" si="168"/>
        <v>5.9846299999998243E-3</v>
      </c>
      <c r="Q559" s="18">
        <f t="shared" si="169"/>
        <v>6.2569970830238528E-3</v>
      </c>
      <c r="R559" s="15">
        <f t="shared" ca="1" si="170"/>
        <v>3.4669462274052476</v>
      </c>
      <c r="S559" s="15">
        <f t="shared" si="171"/>
        <v>3.5276259139784942</v>
      </c>
      <c r="T559" s="15">
        <f t="shared" ca="1" si="172"/>
        <v>6.0679686573246627E-2</v>
      </c>
      <c r="U559" s="18">
        <f t="shared" ca="1" si="173"/>
        <v>1.7201281556754249E-2</v>
      </c>
      <c r="V559" s="15">
        <f t="shared" si="174"/>
        <v>4.6416666666666657</v>
      </c>
      <c r="W559" s="15">
        <f t="shared" ca="1" si="175"/>
        <v>4.5330537725947524</v>
      </c>
      <c r="X559" s="15">
        <f t="shared" ca="1" si="176"/>
        <v>0.10861289407191332</v>
      </c>
      <c r="Y559" s="35">
        <f t="shared" ca="1" si="177"/>
        <v>2.3399546299155478E-2</v>
      </c>
      <c r="Z559" s="36">
        <f t="shared" ca="1" si="178"/>
        <v>74.396645000000007</v>
      </c>
      <c r="AA559" s="18">
        <f t="shared" ca="1" si="179"/>
        <v>1.7217371202113557E-2</v>
      </c>
      <c r="AB559" s="2"/>
    </row>
    <row r="560" spans="6:28" x14ac:dyDescent="0.25">
      <c r="F560" s="14">
        <v>558</v>
      </c>
      <c r="G560" s="14">
        <f t="shared" si="160"/>
        <v>75.800000000000011</v>
      </c>
      <c r="H560" s="14">
        <f t="shared" si="161"/>
        <v>348.95</v>
      </c>
      <c r="I560" s="15">
        <f t="shared" si="162"/>
        <v>4.6500000000000004</v>
      </c>
      <c r="J560" s="15">
        <f t="shared" si="163"/>
        <v>1442.07754</v>
      </c>
      <c r="K560" s="15">
        <f t="shared" si="164"/>
        <v>0.46207754000000012</v>
      </c>
      <c r="L560" s="15">
        <f t="shared" si="165"/>
        <v>948.47088299999996</v>
      </c>
      <c r="M560" s="15">
        <v>938.20690000000002</v>
      </c>
      <c r="N560" s="14">
        <f t="shared" si="166"/>
        <v>0.94847088299999993</v>
      </c>
      <c r="O560" s="14">
        <f t="shared" si="167"/>
        <v>0.95417999999999958</v>
      </c>
      <c r="P560" s="14">
        <f t="shared" si="168"/>
        <v>5.7091169999996527E-3</v>
      </c>
      <c r="Q560" s="18">
        <f t="shared" si="169"/>
        <v>5.9832704521155912E-3</v>
      </c>
      <c r="R560" s="15">
        <f t="shared" ca="1" si="170"/>
        <v>3.460005137026239</v>
      </c>
      <c r="S560" s="15">
        <f t="shared" si="171"/>
        <v>3.5191799999999982</v>
      </c>
      <c r="T560" s="15">
        <f t="shared" ca="1" si="172"/>
        <v>5.9174862973759179E-2</v>
      </c>
      <c r="U560" s="18">
        <f t="shared" ca="1" si="173"/>
        <v>1.6814957738382014E-2</v>
      </c>
      <c r="V560" s="15">
        <f t="shared" si="174"/>
        <v>4.6500000000000012</v>
      </c>
      <c r="W560" s="15">
        <f t="shared" ca="1" si="175"/>
        <v>4.539994862973761</v>
      </c>
      <c r="X560" s="15">
        <f t="shared" ca="1" si="176"/>
        <v>0.11000513702624026</v>
      </c>
      <c r="Y560" s="35">
        <f t="shared" ca="1" si="177"/>
        <v>2.3657018715320482E-2</v>
      </c>
      <c r="Z560" s="36">
        <f t="shared" ca="1" si="178"/>
        <v>74.479938000000004</v>
      </c>
      <c r="AA560" s="18">
        <f t="shared" ca="1" si="179"/>
        <v>1.7415065963060777E-2</v>
      </c>
      <c r="AB560" s="2"/>
    </row>
    <row r="561" spans="6:28" x14ac:dyDescent="0.25">
      <c r="F561" s="14">
        <v>559</v>
      </c>
      <c r="G561" s="14">
        <f t="shared" si="160"/>
        <v>75.900000000000006</v>
      </c>
      <c r="H561" s="14">
        <f t="shared" si="161"/>
        <v>349.04999999999995</v>
      </c>
      <c r="I561" s="15">
        <f t="shared" si="162"/>
        <v>4.6583329999999998</v>
      </c>
      <c r="J561" s="15">
        <f t="shared" si="163"/>
        <v>1437.3034170000001</v>
      </c>
      <c r="K561" s="15">
        <f t="shared" si="164"/>
        <v>0.4573034170000001</v>
      </c>
      <c r="L561" s="15">
        <f t="shared" si="165"/>
        <v>946.45947899999999</v>
      </c>
      <c r="M561" s="15">
        <v>936.13529000000005</v>
      </c>
      <c r="N561" s="14">
        <f t="shared" si="166"/>
        <v>0.94645947899999994</v>
      </c>
      <c r="O561" s="14">
        <f t="shared" si="167"/>
        <v>0.9518899999999999</v>
      </c>
      <c r="P561" s="14">
        <f t="shared" si="168"/>
        <v>5.430520999999966E-3</v>
      </c>
      <c r="Q561" s="18">
        <f t="shared" si="169"/>
        <v>5.7049879712991695E-3</v>
      </c>
      <c r="R561" s="15">
        <f t="shared" ca="1" si="170"/>
        <v>3.4518876355685131</v>
      </c>
      <c r="S561" s="15">
        <f t="shared" si="171"/>
        <v>3.5107340860215048</v>
      </c>
      <c r="T561" s="15">
        <f t="shared" ca="1" si="172"/>
        <v>5.884645045299175E-2</v>
      </c>
      <c r="U561" s="18">
        <f t="shared" ca="1" si="173"/>
        <v>1.6761864900932656E-2</v>
      </c>
      <c r="V561" s="15">
        <f t="shared" si="174"/>
        <v>4.6583333333333332</v>
      </c>
      <c r="W561" s="15">
        <f t="shared" ca="1" si="175"/>
        <v>4.5481123644314874</v>
      </c>
      <c r="X561" s="15">
        <f t="shared" ca="1" si="176"/>
        <v>0.11022096890184585</v>
      </c>
      <c r="Y561" s="35">
        <f t="shared" ca="1" si="177"/>
        <v>2.3661030891272812E-2</v>
      </c>
      <c r="Z561" s="36">
        <f t="shared" ca="1" si="178"/>
        <v>74.577348000000001</v>
      </c>
      <c r="AA561" s="18">
        <f t="shared" ca="1" si="179"/>
        <v>1.7426245059288602E-2</v>
      </c>
      <c r="AB561" s="2"/>
    </row>
    <row r="562" spans="6:28" x14ac:dyDescent="0.25">
      <c r="F562" s="14">
        <v>560</v>
      </c>
      <c r="G562" s="14">
        <f t="shared" si="160"/>
        <v>76</v>
      </c>
      <c r="H562" s="14">
        <f t="shared" si="161"/>
        <v>349.15</v>
      </c>
      <c r="I562" s="15">
        <f t="shared" si="162"/>
        <v>4.6666670000000003</v>
      </c>
      <c r="J562" s="15">
        <f t="shared" si="163"/>
        <v>1432.5475349999999</v>
      </c>
      <c r="K562" s="15">
        <f t="shared" si="164"/>
        <v>0.45254753499999989</v>
      </c>
      <c r="L562" s="15">
        <f t="shared" si="165"/>
        <v>944.45116199999995</v>
      </c>
      <c r="M562" s="15">
        <v>934.28021999999999</v>
      </c>
      <c r="N562" s="14">
        <f t="shared" si="166"/>
        <v>0.94445116200000001</v>
      </c>
      <c r="O562" s="14">
        <f t="shared" si="167"/>
        <v>0.9496</v>
      </c>
      <c r="P562" s="14">
        <f t="shared" si="168"/>
        <v>5.1488379999999889E-3</v>
      </c>
      <c r="Q562" s="18">
        <f t="shared" si="169"/>
        <v>5.4221124684077386E-3</v>
      </c>
      <c r="R562" s="15">
        <f t="shared" ca="1" si="170"/>
        <v>3.4453431370262391</v>
      </c>
      <c r="S562" s="15">
        <f t="shared" si="171"/>
        <v>3.5022881720430106</v>
      </c>
      <c r="T562" s="15">
        <f t="shared" ca="1" si="172"/>
        <v>5.6945035016771506E-2</v>
      </c>
      <c r="U562" s="18">
        <f t="shared" ca="1" si="173"/>
        <v>1.6259380216435308E-2</v>
      </c>
      <c r="V562" s="15">
        <f t="shared" si="174"/>
        <v>4.6666666666666661</v>
      </c>
      <c r="W562" s="15">
        <f t="shared" ca="1" si="175"/>
        <v>4.5546568629737614</v>
      </c>
      <c r="X562" s="15">
        <f t="shared" ca="1" si="176"/>
        <v>0.1120098036929047</v>
      </c>
      <c r="Y562" s="35">
        <f t="shared" ca="1" si="177"/>
        <v>2.4002100791336724E-2</v>
      </c>
      <c r="Z562" s="36">
        <f t="shared" ca="1" si="178"/>
        <v>74.655882000000005</v>
      </c>
      <c r="AA562" s="18">
        <f t="shared" ca="1" si="179"/>
        <v>1.7685763157894666E-2</v>
      </c>
      <c r="AB562" s="2"/>
    </row>
    <row r="563" spans="6:28" x14ac:dyDescent="0.25">
      <c r="F563" s="14">
        <v>561</v>
      </c>
      <c r="G563" s="14">
        <f t="shared" si="160"/>
        <v>76.099999999999994</v>
      </c>
      <c r="H563" s="14">
        <f t="shared" si="161"/>
        <v>349.25</v>
      </c>
      <c r="I563" s="15">
        <f t="shared" si="162"/>
        <v>4.6749999999999998</v>
      </c>
      <c r="J563" s="15">
        <f t="shared" si="163"/>
        <v>1427.8098170000001</v>
      </c>
      <c r="K563" s="15">
        <f t="shared" si="164"/>
        <v>0.447809817</v>
      </c>
      <c r="L563" s="15">
        <f t="shared" si="165"/>
        <v>942.44593599999996</v>
      </c>
      <c r="M563" s="15">
        <v>932.20288000000005</v>
      </c>
      <c r="N563" s="14">
        <f t="shared" si="166"/>
        <v>0.94244593599999993</v>
      </c>
      <c r="O563" s="14">
        <f t="shared" si="167"/>
        <v>0.9473100000000001</v>
      </c>
      <c r="P563" s="14">
        <f t="shared" si="168"/>
        <v>4.8640640000001678E-3</v>
      </c>
      <c r="Q563" s="18">
        <f t="shared" si="169"/>
        <v>5.1346064118400177E-3</v>
      </c>
      <c r="R563" s="15">
        <f t="shared" ca="1" si="170"/>
        <v>3.436851498542274</v>
      </c>
      <c r="S563" s="15">
        <f t="shared" si="171"/>
        <v>3.4938422580645163</v>
      </c>
      <c r="T563" s="15">
        <f t="shared" ca="1" si="172"/>
        <v>5.6990759522242307E-2</v>
      </c>
      <c r="U563" s="18">
        <f t="shared" ca="1" si="173"/>
        <v>1.6311772344814866E-2</v>
      </c>
      <c r="V563" s="15">
        <f t="shared" si="174"/>
        <v>4.6749999999999989</v>
      </c>
      <c r="W563" s="15">
        <f t="shared" ca="1" si="175"/>
        <v>4.563148501457726</v>
      </c>
      <c r="X563" s="15">
        <f t="shared" ca="1" si="176"/>
        <v>0.11185149854227294</v>
      </c>
      <c r="Y563" s="35">
        <f t="shared" ca="1" si="177"/>
        <v>2.3925454233641275E-2</v>
      </c>
      <c r="Z563" s="36">
        <f t="shared" ca="1" si="178"/>
        <v>74.757782000000006</v>
      </c>
      <c r="AA563" s="18">
        <f t="shared" ca="1" si="179"/>
        <v>1.7637555847568837E-2</v>
      </c>
      <c r="AB563" s="2"/>
    </row>
    <row r="564" spans="6:28" x14ac:dyDescent="0.25">
      <c r="F564" s="14">
        <v>562</v>
      </c>
      <c r="G564" s="14">
        <f t="shared" si="160"/>
        <v>76.2</v>
      </c>
      <c r="H564" s="14">
        <f t="shared" si="161"/>
        <v>349.34999999999997</v>
      </c>
      <c r="I564" s="15">
        <f t="shared" si="162"/>
        <v>4.6833330000000002</v>
      </c>
      <c r="J564" s="15">
        <f t="shared" si="163"/>
        <v>1423.0901839999999</v>
      </c>
      <c r="K564" s="15">
        <f t="shared" si="164"/>
        <v>0.44309018399999989</v>
      </c>
      <c r="L564" s="15">
        <f t="shared" si="165"/>
        <v>940.443805</v>
      </c>
      <c r="M564" s="15">
        <v>930.23212000000001</v>
      </c>
      <c r="N564" s="14">
        <f t="shared" si="166"/>
        <v>0.94044380500000002</v>
      </c>
      <c r="O564" s="14">
        <f t="shared" si="167"/>
        <v>0.94501999999999997</v>
      </c>
      <c r="P564" s="14">
        <f t="shared" si="168"/>
        <v>4.5761949999999496E-3</v>
      </c>
      <c r="Q564" s="18">
        <f t="shared" si="169"/>
        <v>4.8424319062029897E-3</v>
      </c>
      <c r="R564" s="15">
        <f t="shared" ca="1" si="170"/>
        <v>3.4299446355685133</v>
      </c>
      <c r="S564" s="15">
        <f t="shared" si="171"/>
        <v>3.4853963440860212</v>
      </c>
      <c r="T564" s="15">
        <f t="shared" ca="1" si="172"/>
        <v>5.5451708517507914E-2</v>
      </c>
      <c r="U564" s="18">
        <f t="shared" ca="1" si="173"/>
        <v>1.5909728203966734E-2</v>
      </c>
      <c r="V564" s="15">
        <f t="shared" si="174"/>
        <v>4.6833333333333336</v>
      </c>
      <c r="W564" s="15">
        <f t="shared" ca="1" si="175"/>
        <v>4.5700553644314867</v>
      </c>
      <c r="X564" s="15">
        <f t="shared" ca="1" si="176"/>
        <v>0.11327796890184683</v>
      </c>
      <c r="Y564" s="35">
        <f t="shared" ca="1" si="177"/>
        <v>2.4187466669433486E-2</v>
      </c>
      <c r="Z564" s="36">
        <f t="shared" ca="1" si="178"/>
        <v>74.840664000000004</v>
      </c>
      <c r="AA564" s="18">
        <f t="shared" ca="1" si="179"/>
        <v>1.7839055118110222E-2</v>
      </c>
      <c r="AB564" s="2"/>
    </row>
    <row r="565" spans="6:28" x14ac:dyDescent="0.25">
      <c r="F565" s="14">
        <v>563</v>
      </c>
      <c r="G565" s="14">
        <f t="shared" si="160"/>
        <v>76.300000000000011</v>
      </c>
      <c r="H565" s="14">
        <f t="shared" si="161"/>
        <v>349.45</v>
      </c>
      <c r="I565" s="15">
        <f t="shared" si="162"/>
        <v>4.6916669999999998</v>
      </c>
      <c r="J565" s="15">
        <f t="shared" si="163"/>
        <v>1418.3885600000001</v>
      </c>
      <c r="K565" s="15">
        <f t="shared" si="164"/>
        <v>0.43838856000000015</v>
      </c>
      <c r="L565" s="15">
        <f t="shared" si="165"/>
        <v>938.44477300000005</v>
      </c>
      <c r="M565" s="15">
        <v>928.04055000000005</v>
      </c>
      <c r="N565" s="14">
        <f t="shared" si="166"/>
        <v>0.93844477300000007</v>
      </c>
      <c r="O565" s="14">
        <f t="shared" si="167"/>
        <v>0.94272999999999962</v>
      </c>
      <c r="P565" s="14">
        <f t="shared" si="168"/>
        <v>4.2852269999995585E-3</v>
      </c>
      <c r="Q565" s="18">
        <f t="shared" si="169"/>
        <v>4.5455506878953255E-3</v>
      </c>
      <c r="R565" s="15">
        <f t="shared" ca="1" si="170"/>
        <v>3.4226536355685133</v>
      </c>
      <c r="S565" s="15">
        <f t="shared" si="171"/>
        <v>3.4769504301075251</v>
      </c>
      <c r="T565" s="15">
        <f t="shared" ca="1" si="172"/>
        <v>5.4296794539011817E-2</v>
      </c>
      <c r="U565" s="18">
        <f t="shared" ca="1" si="173"/>
        <v>1.5616211858773229E-2</v>
      </c>
      <c r="V565" s="15">
        <f t="shared" si="174"/>
        <v>4.6916666666666682</v>
      </c>
      <c r="W565" s="15">
        <f t="shared" ca="1" si="175"/>
        <v>4.5773463644314862</v>
      </c>
      <c r="X565" s="15">
        <f t="shared" ca="1" si="176"/>
        <v>0.11432030223518197</v>
      </c>
      <c r="Y565" s="35">
        <f t="shared" ca="1" si="177"/>
        <v>2.436667187961249E-2</v>
      </c>
      <c r="Z565" s="36">
        <f t="shared" ca="1" si="178"/>
        <v>74.928156000000001</v>
      </c>
      <c r="AA565" s="18">
        <f t="shared" ca="1" si="179"/>
        <v>1.7979606815203275E-2</v>
      </c>
      <c r="AB565" s="2"/>
    </row>
    <row r="566" spans="6:28" x14ac:dyDescent="0.25">
      <c r="F566" s="14">
        <v>564</v>
      </c>
      <c r="G566" s="14">
        <f t="shared" si="160"/>
        <v>76.400000000000006</v>
      </c>
      <c r="H566" s="14">
        <f t="shared" si="161"/>
        <v>349.54999999999995</v>
      </c>
      <c r="I566" s="15">
        <f t="shared" si="162"/>
        <v>4.7</v>
      </c>
      <c r="J566" s="15">
        <f t="shared" si="163"/>
        <v>1413.704866</v>
      </c>
      <c r="K566" s="15">
        <f t="shared" si="164"/>
        <v>0.43370486600000002</v>
      </c>
      <c r="L566" s="15">
        <f t="shared" si="165"/>
        <v>936.44884300000001</v>
      </c>
      <c r="M566" s="15">
        <v>926.28150000000005</v>
      </c>
      <c r="N566" s="14">
        <f t="shared" si="166"/>
        <v>0.93644884299999998</v>
      </c>
      <c r="O566" s="14">
        <f t="shared" si="167"/>
        <v>0.94043999999999972</v>
      </c>
      <c r="P566" s="14">
        <f t="shared" si="168"/>
        <v>3.9911569999997454E-3</v>
      </c>
      <c r="Q566" s="18">
        <f t="shared" si="169"/>
        <v>4.2439251839561766E-3</v>
      </c>
      <c r="R566" s="15">
        <f t="shared" ca="1" si="170"/>
        <v>3.4161541370262389</v>
      </c>
      <c r="S566" s="15">
        <f t="shared" si="171"/>
        <v>3.4685045161290309</v>
      </c>
      <c r="T566" s="15">
        <f t="shared" ca="1" si="172"/>
        <v>5.2350379102791944E-2</v>
      </c>
      <c r="U566" s="18">
        <f t="shared" ca="1" si="173"/>
        <v>1.5093069321188819E-2</v>
      </c>
      <c r="V566" s="15">
        <f t="shared" si="174"/>
        <v>4.7000000000000011</v>
      </c>
      <c r="W566" s="15">
        <f t="shared" ca="1" si="175"/>
        <v>4.5838458629737611</v>
      </c>
      <c r="X566" s="15">
        <f t="shared" ca="1" si="176"/>
        <v>0.11615413702624</v>
      </c>
      <c r="Y566" s="35">
        <f t="shared" ca="1" si="177"/>
        <v>2.4713646175795738E-2</v>
      </c>
      <c r="Z566" s="36">
        <f t="shared" ca="1" si="178"/>
        <v>75.006150000000005</v>
      </c>
      <c r="AA566" s="18">
        <f t="shared" ca="1" si="179"/>
        <v>1.8244109947643986E-2</v>
      </c>
      <c r="AB566" s="2"/>
    </row>
    <row r="567" spans="6:28" x14ac:dyDescent="0.25">
      <c r="F567" s="14">
        <v>565</v>
      </c>
      <c r="G567" s="14">
        <f t="shared" si="160"/>
        <v>76.5</v>
      </c>
      <c r="H567" s="14">
        <f t="shared" si="161"/>
        <v>349.65</v>
      </c>
      <c r="I567" s="15">
        <f t="shared" si="162"/>
        <v>4.7083329999999997</v>
      </c>
      <c r="J567" s="15">
        <f t="shared" si="163"/>
        <v>1409.0390259999999</v>
      </c>
      <c r="K567" s="15">
        <f t="shared" si="164"/>
        <v>0.42903902599999988</v>
      </c>
      <c r="L567" s="15">
        <f t="shared" si="165"/>
        <v>934.45601899999997</v>
      </c>
      <c r="M567" s="15">
        <v>924.08496000000002</v>
      </c>
      <c r="N567" s="14">
        <f t="shared" si="166"/>
        <v>0.93445601899999997</v>
      </c>
      <c r="O567" s="14">
        <f t="shared" si="167"/>
        <v>0.93815000000000004</v>
      </c>
      <c r="P567" s="14">
        <f t="shared" si="168"/>
        <v>3.6939810000000683E-3</v>
      </c>
      <c r="Q567" s="18">
        <f t="shared" si="169"/>
        <v>3.9375163886372841E-3</v>
      </c>
      <c r="R567" s="15">
        <f t="shared" ca="1" si="170"/>
        <v>3.4084889999999999</v>
      </c>
      <c r="S567" s="15">
        <f t="shared" si="171"/>
        <v>3.4600586021505375</v>
      </c>
      <c r="T567" s="15">
        <f t="shared" ca="1" si="172"/>
        <v>5.156960215053763E-2</v>
      </c>
      <c r="U567" s="18">
        <f t="shared" ca="1" si="173"/>
        <v>1.4904256858102191E-2</v>
      </c>
      <c r="V567" s="15">
        <f t="shared" si="174"/>
        <v>4.7083333333333321</v>
      </c>
      <c r="W567" s="15">
        <f t="shared" ca="1" si="175"/>
        <v>4.5915110000000006</v>
      </c>
      <c r="X567" s="15">
        <f t="shared" ca="1" si="176"/>
        <v>0.11682233333333158</v>
      </c>
      <c r="Y567" s="35">
        <f t="shared" ca="1" si="177"/>
        <v>2.4811823008849192E-2</v>
      </c>
      <c r="Z567" s="36">
        <f t="shared" ca="1" si="178"/>
        <v>75.098132000000007</v>
      </c>
      <c r="AA567" s="18">
        <f t="shared" ca="1" si="179"/>
        <v>1.8325071895424747E-2</v>
      </c>
      <c r="AB567" s="2"/>
    </row>
    <row r="568" spans="6:28" x14ac:dyDescent="0.25">
      <c r="F568" s="14">
        <v>566</v>
      </c>
      <c r="G568" s="14">
        <f t="shared" si="160"/>
        <v>76.599999999999994</v>
      </c>
      <c r="H568" s="14">
        <f t="shared" si="161"/>
        <v>349.75</v>
      </c>
      <c r="I568" s="15">
        <f t="shared" si="162"/>
        <v>4.7166670000000002</v>
      </c>
      <c r="J568" s="15">
        <f t="shared" si="163"/>
        <v>1404.3909630000001</v>
      </c>
      <c r="K568" s="15">
        <f t="shared" si="164"/>
        <v>0.42439096300000001</v>
      </c>
      <c r="L568" s="15">
        <f t="shared" si="165"/>
        <v>932.46630500000003</v>
      </c>
      <c r="M568" s="15">
        <v>922.10275999999999</v>
      </c>
      <c r="N568" s="14">
        <f t="shared" si="166"/>
        <v>0.93246630500000005</v>
      </c>
      <c r="O568" s="14">
        <f t="shared" si="167"/>
        <v>0.93586000000000014</v>
      </c>
      <c r="P568" s="14">
        <f t="shared" si="168"/>
        <v>3.3936950000000854E-3</v>
      </c>
      <c r="Q568" s="18">
        <f t="shared" si="169"/>
        <v>3.6262849144103656E-3</v>
      </c>
      <c r="R568" s="15">
        <f t="shared" ca="1" si="170"/>
        <v>3.4016173644314867</v>
      </c>
      <c r="S568" s="15">
        <f t="shared" si="171"/>
        <v>3.4516126881720433</v>
      </c>
      <c r="T568" s="15">
        <f t="shared" ca="1" si="172"/>
        <v>4.9995323740556596E-2</v>
      </c>
      <c r="U568" s="18">
        <f t="shared" ca="1" si="173"/>
        <v>1.4484627406742404E-2</v>
      </c>
      <c r="V568" s="15">
        <f t="shared" si="174"/>
        <v>4.7166666666666659</v>
      </c>
      <c r="W568" s="15">
        <f t="shared" ca="1" si="175"/>
        <v>4.5983826355685133</v>
      </c>
      <c r="X568" s="15">
        <f t="shared" ca="1" si="176"/>
        <v>0.11828403109815255</v>
      </c>
      <c r="Y568" s="35">
        <f t="shared" ca="1" si="177"/>
        <v>2.5077886451905139E-2</v>
      </c>
      <c r="Z568" s="36">
        <f t="shared" ca="1" si="178"/>
        <v>75.180592000000004</v>
      </c>
      <c r="AA568" s="18">
        <f t="shared" ca="1" si="179"/>
        <v>1.8530130548302742E-2</v>
      </c>
      <c r="AB568" s="2"/>
    </row>
    <row r="569" spans="6:28" x14ac:dyDescent="0.25">
      <c r="F569" s="14">
        <v>567</v>
      </c>
      <c r="G569" s="14">
        <f t="shared" si="160"/>
        <v>76.7</v>
      </c>
      <c r="H569" s="14">
        <f t="shared" si="161"/>
        <v>349.84999999999997</v>
      </c>
      <c r="I569" s="15">
        <f t="shared" si="162"/>
        <v>4.7249999999999996</v>
      </c>
      <c r="J569" s="15">
        <f t="shared" si="163"/>
        <v>1399.7606020000001</v>
      </c>
      <c r="K569" s="15">
        <f t="shared" si="164"/>
        <v>0.41976060199999998</v>
      </c>
      <c r="L569" s="15">
        <f t="shared" si="165"/>
        <v>930.47970399999997</v>
      </c>
      <c r="M569" s="15">
        <v>920.11761999999999</v>
      </c>
      <c r="N569" s="14">
        <f t="shared" si="166"/>
        <v>0.93047970400000002</v>
      </c>
      <c r="O569" s="14">
        <f t="shared" si="167"/>
        <v>0.93356999999999979</v>
      </c>
      <c r="P569" s="14">
        <f t="shared" si="168"/>
        <v>3.0902959999997703E-3</v>
      </c>
      <c r="Q569" s="18">
        <f t="shared" si="169"/>
        <v>3.3101920584420784E-3</v>
      </c>
      <c r="R569" s="15">
        <f t="shared" ca="1" si="170"/>
        <v>3.393599635568513</v>
      </c>
      <c r="S569" s="15">
        <f t="shared" si="171"/>
        <v>3.4431667741935477</v>
      </c>
      <c r="T569" s="15">
        <f t="shared" ca="1" si="172"/>
        <v>4.9567138625034701E-2</v>
      </c>
      <c r="U569" s="18">
        <f t="shared" ca="1" si="173"/>
        <v>1.4395799528660422E-2</v>
      </c>
      <c r="V569" s="15">
        <f t="shared" si="174"/>
        <v>4.7249999999999996</v>
      </c>
      <c r="W569" s="15">
        <f t="shared" ca="1" si="175"/>
        <v>4.6064003644314866</v>
      </c>
      <c r="X569" s="15">
        <f t="shared" ca="1" si="176"/>
        <v>0.11859963556851305</v>
      </c>
      <c r="Y569" s="35">
        <f t="shared" ca="1" si="177"/>
        <v>2.5100451972172075E-2</v>
      </c>
      <c r="Z569" s="36">
        <f t="shared" ca="1" si="178"/>
        <v>75.276803999999998</v>
      </c>
      <c r="AA569" s="18">
        <f t="shared" ca="1" si="179"/>
        <v>1.8555358539765376E-2</v>
      </c>
      <c r="AB569" s="2"/>
    </row>
    <row r="570" spans="6:28" x14ac:dyDescent="0.25">
      <c r="F570" s="14">
        <v>568</v>
      </c>
      <c r="G570" s="14">
        <f t="shared" si="160"/>
        <v>76.800000000000011</v>
      </c>
      <c r="H570" s="14">
        <f t="shared" si="161"/>
        <v>349.95</v>
      </c>
      <c r="I570" s="15">
        <f t="shared" si="162"/>
        <v>4.733333</v>
      </c>
      <c r="J570" s="15">
        <f t="shared" si="163"/>
        <v>1395.147866</v>
      </c>
      <c r="K570" s="15">
        <f t="shared" si="164"/>
        <v>0.41514786600000009</v>
      </c>
      <c r="L570" s="15">
        <f t="shared" si="165"/>
        <v>928.49621999999999</v>
      </c>
      <c r="M570" s="15">
        <v>918.23735999999997</v>
      </c>
      <c r="N570" s="14">
        <f t="shared" si="166"/>
        <v>0.92849621999999998</v>
      </c>
      <c r="O570" s="14">
        <f t="shared" si="167"/>
        <v>0.93127999999999966</v>
      </c>
      <c r="P570" s="14">
        <f t="shared" si="168"/>
        <v>2.7837799999996804E-3</v>
      </c>
      <c r="Q570" s="18">
        <f t="shared" si="169"/>
        <v>2.9891976634306345E-3</v>
      </c>
      <c r="R570" s="15">
        <f t="shared" ca="1" si="170"/>
        <v>3.3867617725947521</v>
      </c>
      <c r="S570" s="15">
        <f t="shared" si="171"/>
        <v>3.4347208602150525</v>
      </c>
      <c r="T570" s="15">
        <f t="shared" ca="1" si="172"/>
        <v>4.7959087620300433E-2</v>
      </c>
      <c r="U570" s="18">
        <f t="shared" ca="1" si="173"/>
        <v>1.3963023364087191E-2</v>
      </c>
      <c r="V570" s="15">
        <f t="shared" si="174"/>
        <v>4.7333333333333343</v>
      </c>
      <c r="W570" s="15">
        <f t="shared" ca="1" si="175"/>
        <v>4.6132382274052475</v>
      </c>
      <c r="X570" s="15">
        <f t="shared" ca="1" si="176"/>
        <v>0.12009510592808681</v>
      </c>
      <c r="Y570" s="35">
        <f t="shared" ca="1" si="177"/>
        <v>2.5372205477764812E-2</v>
      </c>
      <c r="Z570" s="36">
        <f t="shared" ca="1" si="178"/>
        <v>75.358858999999995</v>
      </c>
      <c r="AA570" s="18">
        <f t="shared" ca="1" si="179"/>
        <v>1.8764856770833539E-2</v>
      </c>
      <c r="AB570" s="2"/>
    </row>
    <row r="571" spans="6:28" x14ac:dyDescent="0.25">
      <c r="F571" s="14">
        <v>569</v>
      </c>
      <c r="G571" s="14">
        <f t="shared" si="160"/>
        <v>76.900000000000006</v>
      </c>
      <c r="H571" s="14">
        <f t="shared" si="161"/>
        <v>350.04999999999995</v>
      </c>
      <c r="I571" s="15">
        <f t="shared" si="162"/>
        <v>4.7416669999999996</v>
      </c>
      <c r="J571" s="15">
        <f t="shared" si="163"/>
        <v>1390.55268</v>
      </c>
      <c r="K571" s="15">
        <f t="shared" si="164"/>
        <v>0.41055268000000011</v>
      </c>
      <c r="L571" s="15">
        <f t="shared" si="165"/>
        <v>926.51585599999999</v>
      </c>
      <c r="M571" s="15">
        <v>916.13886000000002</v>
      </c>
      <c r="N571" s="14">
        <f t="shared" si="166"/>
        <v>0.92651585599999997</v>
      </c>
      <c r="O571" s="14">
        <f t="shared" si="167"/>
        <v>0.92898999999999976</v>
      </c>
      <c r="P571" s="14">
        <f t="shared" si="168"/>
        <v>2.4741439999997894E-3</v>
      </c>
      <c r="Q571" s="18">
        <f t="shared" si="169"/>
        <v>2.663262252553623E-3</v>
      </c>
      <c r="R571" s="15">
        <f t="shared" ca="1" si="170"/>
        <v>3.3799123644314868</v>
      </c>
      <c r="S571" s="15">
        <f t="shared" si="171"/>
        <v>3.4262749462365583</v>
      </c>
      <c r="T571" s="15">
        <f t="shared" ca="1" si="172"/>
        <v>4.6362581805071468E-2</v>
      </c>
      <c r="U571" s="18">
        <f t="shared" ca="1" si="173"/>
        <v>1.3531483180004692E-2</v>
      </c>
      <c r="V571" s="15">
        <f t="shared" si="174"/>
        <v>4.7416666666666671</v>
      </c>
      <c r="W571" s="15">
        <f t="shared" ca="1" si="175"/>
        <v>4.6200876355685132</v>
      </c>
      <c r="X571" s="15">
        <f t="shared" ca="1" si="176"/>
        <v>0.12157903109815393</v>
      </c>
      <c r="Y571" s="35">
        <f t="shared" ca="1" si="177"/>
        <v>2.5640568948644062E-2</v>
      </c>
      <c r="Z571" s="36">
        <f t="shared" ca="1" si="178"/>
        <v>75.441051999999999</v>
      </c>
      <c r="AA571" s="18">
        <f t="shared" ca="1" si="179"/>
        <v>1.8972015604681487E-2</v>
      </c>
      <c r="AB571" s="2"/>
    </row>
    <row r="572" spans="6:28" x14ac:dyDescent="0.25">
      <c r="F572" s="14">
        <v>570</v>
      </c>
      <c r="G572" s="14">
        <f t="shared" si="160"/>
        <v>77</v>
      </c>
      <c r="H572" s="14">
        <f t="shared" si="161"/>
        <v>350.15</v>
      </c>
      <c r="I572" s="15">
        <f t="shared" si="162"/>
        <v>4.75</v>
      </c>
      <c r="J572" s="15">
        <f t="shared" si="163"/>
        <v>1385.97497</v>
      </c>
      <c r="K572" s="15">
        <f t="shared" si="164"/>
        <v>0.40597496999999994</v>
      </c>
      <c r="L572" s="15">
        <f t="shared" si="165"/>
        <v>924.53861700000004</v>
      </c>
      <c r="M572" s="15">
        <v>914.25242000000003</v>
      </c>
      <c r="N572" s="14">
        <f t="shared" si="166"/>
        <v>0.92453861700000017</v>
      </c>
      <c r="O572" s="14">
        <f t="shared" si="167"/>
        <v>0.92669999999999986</v>
      </c>
      <c r="P572" s="14">
        <f t="shared" si="168"/>
        <v>2.1613829999996836E-3</v>
      </c>
      <c r="Q572" s="18">
        <f t="shared" si="169"/>
        <v>2.3323438005823718E-3</v>
      </c>
      <c r="R572" s="15">
        <f t="shared" ca="1" si="170"/>
        <v>3.3727003644314868</v>
      </c>
      <c r="S572" s="15">
        <f t="shared" si="171"/>
        <v>3.417829032258064</v>
      </c>
      <c r="T572" s="15">
        <f t="shared" ca="1" si="172"/>
        <v>4.5128667826577207E-2</v>
      </c>
      <c r="U572" s="18">
        <f t="shared" ca="1" si="173"/>
        <v>1.3203898556845589E-2</v>
      </c>
      <c r="V572" s="15">
        <f t="shared" si="174"/>
        <v>4.75</v>
      </c>
      <c r="W572" s="15">
        <f t="shared" ca="1" si="175"/>
        <v>4.6272996355685132</v>
      </c>
      <c r="X572" s="15">
        <f t="shared" ca="1" si="176"/>
        <v>0.1227003644314868</v>
      </c>
      <c r="Y572" s="35">
        <f t="shared" ca="1" si="177"/>
        <v>2.5831655669786693E-2</v>
      </c>
      <c r="Z572" s="36">
        <f t="shared" ca="1" si="178"/>
        <v>75.527596000000003</v>
      </c>
      <c r="AA572" s="18">
        <f t="shared" ca="1" si="179"/>
        <v>1.9122129870129838E-2</v>
      </c>
      <c r="AB572" s="2"/>
    </row>
    <row r="573" spans="6:28" x14ac:dyDescent="0.25">
      <c r="F573" s="14">
        <v>571</v>
      </c>
      <c r="G573" s="14">
        <f t="shared" si="160"/>
        <v>77.099999999999994</v>
      </c>
      <c r="H573" s="14">
        <f t="shared" si="161"/>
        <v>350.25</v>
      </c>
      <c r="I573" s="15">
        <f t="shared" si="162"/>
        <v>4.7583330000000004</v>
      </c>
      <c r="J573" s="15">
        <f t="shared" si="163"/>
        <v>1381.414659</v>
      </c>
      <c r="K573" s="15">
        <f t="shared" si="164"/>
        <v>0.40141465900000006</v>
      </c>
      <c r="L573" s="15">
        <f t="shared" si="165"/>
        <v>922.56450400000006</v>
      </c>
      <c r="M573" s="15">
        <v>912.36276999999995</v>
      </c>
      <c r="N573" s="14">
        <f t="shared" si="166"/>
        <v>0.92256450400000012</v>
      </c>
      <c r="O573" s="14">
        <f t="shared" si="167"/>
        <v>0.92440999999999995</v>
      </c>
      <c r="P573" s="14">
        <f t="shared" si="168"/>
        <v>1.8454959999998355E-3</v>
      </c>
      <c r="Q573" s="18">
        <f t="shared" si="169"/>
        <v>1.9964041929445113E-3</v>
      </c>
      <c r="R573" s="15">
        <f t="shared" ca="1" si="170"/>
        <v>3.3647178629737611</v>
      </c>
      <c r="S573" s="15">
        <f t="shared" si="171"/>
        <v>3.4093831182795697</v>
      </c>
      <c r="T573" s="15">
        <f t="shared" ca="1" si="172"/>
        <v>4.4665255305808671E-2</v>
      </c>
      <c r="U573" s="18">
        <f t="shared" ca="1" si="173"/>
        <v>1.3100685301787816E-2</v>
      </c>
      <c r="V573" s="15">
        <f t="shared" si="174"/>
        <v>4.7583333333333329</v>
      </c>
      <c r="W573" s="15">
        <f t="shared" ca="1" si="175"/>
        <v>4.6352821370262394</v>
      </c>
      <c r="X573" s="15">
        <f t="shared" ca="1" si="176"/>
        <v>0.12305119630709349</v>
      </c>
      <c r="Y573" s="35">
        <f t="shared" ca="1" si="177"/>
        <v>2.5860146334240317E-2</v>
      </c>
      <c r="Z573" s="36">
        <f t="shared" ca="1" si="178"/>
        <v>75.623385999999996</v>
      </c>
      <c r="AA573" s="18">
        <f t="shared" ca="1" si="179"/>
        <v>1.915193255512319E-2</v>
      </c>
      <c r="AB573" s="2"/>
    </row>
    <row r="574" spans="6:28" x14ac:dyDescent="0.25">
      <c r="F574" s="14">
        <v>572</v>
      </c>
      <c r="G574" s="14">
        <f t="shared" si="160"/>
        <v>77.2</v>
      </c>
      <c r="H574" s="14">
        <f t="shared" si="161"/>
        <v>350.34999999999997</v>
      </c>
      <c r="I574" s="15">
        <f t="shared" si="162"/>
        <v>4.766667</v>
      </c>
      <c r="J574" s="15">
        <f t="shared" si="163"/>
        <v>1376.8716750000001</v>
      </c>
      <c r="K574" s="15">
        <f t="shared" si="164"/>
        <v>0.39687167500000009</v>
      </c>
      <c r="L574" s="15">
        <f t="shared" si="165"/>
        <v>920.59352200000001</v>
      </c>
      <c r="M574" s="15">
        <v>910.25636999999995</v>
      </c>
      <c r="N574" s="14">
        <f t="shared" si="166"/>
        <v>0.920593522</v>
      </c>
      <c r="O574" s="14">
        <f t="shared" si="167"/>
        <v>0.92211999999999983</v>
      </c>
      <c r="P574" s="14">
        <f t="shared" si="168"/>
        <v>1.5264779999998312E-3</v>
      </c>
      <c r="Q574" s="18">
        <f t="shared" si="169"/>
        <v>1.6554005986203872E-3</v>
      </c>
      <c r="R574" s="15">
        <f t="shared" ca="1" si="170"/>
        <v>3.3575288629737607</v>
      </c>
      <c r="S574" s="15">
        <f t="shared" si="171"/>
        <v>3.4009372043010746</v>
      </c>
      <c r="T574" s="15">
        <f t="shared" ca="1" si="172"/>
        <v>4.340834132731386E-2</v>
      </c>
      <c r="U574" s="18">
        <f t="shared" ca="1" si="173"/>
        <v>1.2763640937685203E-2</v>
      </c>
      <c r="V574" s="15">
        <f t="shared" si="174"/>
        <v>4.7666666666666666</v>
      </c>
      <c r="W574" s="15">
        <f t="shared" ca="1" si="175"/>
        <v>4.6424711370262397</v>
      </c>
      <c r="X574" s="15">
        <f t="shared" ca="1" si="176"/>
        <v>0.1241955296404269</v>
      </c>
      <c r="Y574" s="35">
        <f t="shared" ca="1" si="177"/>
        <v>2.6055006218271379E-2</v>
      </c>
      <c r="Z574" s="36">
        <f t="shared" ca="1" si="178"/>
        <v>75.709654</v>
      </c>
      <c r="AA574" s="18">
        <f t="shared" ca="1" si="179"/>
        <v>1.930500000000003E-2</v>
      </c>
      <c r="AB574" s="2"/>
    </row>
    <row r="575" spans="6:28" x14ac:dyDescent="0.25">
      <c r="F575" s="14">
        <v>573</v>
      </c>
      <c r="G575" s="14">
        <f t="shared" si="160"/>
        <v>77.300000000000011</v>
      </c>
      <c r="H575" s="14">
        <f t="shared" si="161"/>
        <v>350.45</v>
      </c>
      <c r="I575" s="15">
        <f t="shared" si="162"/>
        <v>4.7750000000000004</v>
      </c>
      <c r="J575" s="15">
        <f t="shared" si="163"/>
        <v>1372.3459419999999</v>
      </c>
      <c r="K575" s="15">
        <f t="shared" si="164"/>
        <v>0.39234594199999995</v>
      </c>
      <c r="L575" s="15">
        <f t="shared" si="165"/>
        <v>918.62567300000001</v>
      </c>
      <c r="M575" s="15">
        <v>908.25426000000004</v>
      </c>
      <c r="N575" s="14">
        <f t="shared" si="166"/>
        <v>0.91862567299999998</v>
      </c>
      <c r="O575" s="14">
        <f t="shared" si="167"/>
        <v>0.9198299999999997</v>
      </c>
      <c r="P575" s="14">
        <f t="shared" si="168"/>
        <v>1.2043269999997275E-3</v>
      </c>
      <c r="Q575" s="18">
        <f t="shared" si="169"/>
        <v>1.3092930215362925E-3</v>
      </c>
      <c r="R575" s="15">
        <f t="shared" ca="1" si="170"/>
        <v>3.3507362274052479</v>
      </c>
      <c r="S575" s="15">
        <f t="shared" si="171"/>
        <v>3.3924912903225795</v>
      </c>
      <c r="T575" s="15">
        <f t="shared" ca="1" si="172"/>
        <v>4.1755062917331554E-2</v>
      </c>
      <c r="U575" s="18">
        <f t="shared" ca="1" si="173"/>
        <v>1.2308082569420899E-2</v>
      </c>
      <c r="V575" s="15">
        <f t="shared" si="174"/>
        <v>4.7750000000000004</v>
      </c>
      <c r="W575" s="15">
        <f t="shared" ca="1" si="175"/>
        <v>4.6492637725947521</v>
      </c>
      <c r="X575" s="15">
        <f t="shared" ca="1" si="176"/>
        <v>0.12573622740524826</v>
      </c>
      <c r="Y575" s="35">
        <f t="shared" ca="1" si="177"/>
        <v>2.6332194220994396E-2</v>
      </c>
      <c r="Z575" s="36">
        <f t="shared" ca="1" si="178"/>
        <v>75.791165000000007</v>
      </c>
      <c r="AA575" s="18">
        <f t="shared" ca="1" si="179"/>
        <v>1.951921086675297E-2</v>
      </c>
      <c r="AB575" s="2"/>
    </row>
    <row r="576" spans="6:28" x14ac:dyDescent="0.25">
      <c r="F576" s="14">
        <v>574</v>
      </c>
      <c r="G576" s="14">
        <f t="shared" si="160"/>
        <v>77.400000000000006</v>
      </c>
      <c r="H576" s="14">
        <f t="shared" si="161"/>
        <v>350.54999999999995</v>
      </c>
      <c r="I576" s="15">
        <f t="shared" si="162"/>
        <v>4.7833329999999998</v>
      </c>
      <c r="J576" s="15">
        <f t="shared" si="163"/>
        <v>1367.837387</v>
      </c>
      <c r="K576" s="15">
        <f t="shared" si="164"/>
        <v>0.38783738700000003</v>
      </c>
      <c r="L576" s="15">
        <f t="shared" si="165"/>
        <v>916.66096000000005</v>
      </c>
      <c r="M576" s="15">
        <v>906.24941000000001</v>
      </c>
      <c r="N576" s="14">
        <f t="shared" si="166"/>
        <v>0.91666095999999997</v>
      </c>
      <c r="O576" s="14">
        <f t="shared" si="167"/>
        <v>0.9175399999999998</v>
      </c>
      <c r="P576" s="14">
        <f t="shared" si="168"/>
        <v>8.7903999999983107E-4</v>
      </c>
      <c r="Q576" s="18">
        <f t="shared" si="169"/>
        <v>9.5803997645860803E-4</v>
      </c>
      <c r="R576" s="15">
        <f t="shared" ca="1" si="170"/>
        <v>3.343977137026239</v>
      </c>
      <c r="S576" s="15">
        <f t="shared" si="171"/>
        <v>3.3840453763440852</v>
      </c>
      <c r="T576" s="15">
        <f t="shared" ca="1" si="172"/>
        <v>4.0068239317846199E-2</v>
      </c>
      <c r="U576" s="18">
        <f t="shared" ca="1" si="173"/>
        <v>1.1840337484225305E-2</v>
      </c>
      <c r="V576" s="15">
        <f t="shared" si="174"/>
        <v>4.7833333333333332</v>
      </c>
      <c r="W576" s="15">
        <f t="shared" ca="1" si="175"/>
        <v>4.656022862973761</v>
      </c>
      <c r="X576" s="15">
        <f t="shared" ca="1" si="176"/>
        <v>0.12731047035957221</v>
      </c>
      <c r="Y576" s="35">
        <f t="shared" ca="1" si="177"/>
        <v>2.6615429343464576E-2</v>
      </c>
      <c r="Z576" s="36">
        <f t="shared" ca="1" si="178"/>
        <v>75.872274000000004</v>
      </c>
      <c r="AA576" s="18">
        <f t="shared" ca="1" si="179"/>
        <v>1.9738062015503891E-2</v>
      </c>
      <c r="AB576" s="2"/>
    </row>
    <row r="577" spans="6:28" x14ac:dyDescent="0.25">
      <c r="F577" s="14">
        <v>575</v>
      </c>
      <c r="G577" s="14">
        <f t="shared" si="160"/>
        <v>77.5</v>
      </c>
      <c r="H577" s="14">
        <f t="shared" si="161"/>
        <v>350.65</v>
      </c>
      <c r="I577" s="15">
        <f t="shared" si="162"/>
        <v>4.7916670000000003</v>
      </c>
      <c r="J577" s="15">
        <f t="shared" si="163"/>
        <v>1363.3459379999999</v>
      </c>
      <c r="K577" s="15">
        <f t="shared" si="164"/>
        <v>0.38334593799999994</v>
      </c>
      <c r="L577" s="15">
        <f t="shared" si="165"/>
        <v>914.699389</v>
      </c>
      <c r="M577" s="15">
        <v>904.24194</v>
      </c>
      <c r="N577" s="14">
        <f t="shared" si="166"/>
        <v>0.91469938900000003</v>
      </c>
      <c r="O577" s="14">
        <f t="shared" si="167"/>
        <v>0.9152499999999999</v>
      </c>
      <c r="P577" s="14">
        <f t="shared" si="168"/>
        <v>5.5061099999986762E-4</v>
      </c>
      <c r="Q577" s="18">
        <f t="shared" si="169"/>
        <v>6.0159628516784228E-4</v>
      </c>
      <c r="R577" s="15">
        <f t="shared" ca="1" si="170"/>
        <v>3.335644498542274</v>
      </c>
      <c r="S577" s="15">
        <f t="shared" si="171"/>
        <v>3.3755994623655909</v>
      </c>
      <c r="T577" s="15">
        <f t="shared" ca="1" si="172"/>
        <v>3.995496382331698E-2</v>
      </c>
      <c r="U577" s="18">
        <f t="shared" ca="1" si="173"/>
        <v>1.1836405435174731E-2</v>
      </c>
      <c r="V577" s="15">
        <f t="shared" si="174"/>
        <v>4.7916666666666661</v>
      </c>
      <c r="W577" s="15">
        <f t="shared" ca="1" si="175"/>
        <v>4.6643555014577256</v>
      </c>
      <c r="X577" s="15">
        <f t="shared" ca="1" si="176"/>
        <v>0.12731116520894048</v>
      </c>
      <c r="Y577" s="35">
        <f t="shared" ca="1" si="177"/>
        <v>2.6569286652300624E-2</v>
      </c>
      <c r="Z577" s="36">
        <f t="shared" ca="1" si="178"/>
        <v>75.972266000000005</v>
      </c>
      <c r="AA577" s="18">
        <f t="shared" ca="1" si="179"/>
        <v>1.9712696774193489E-2</v>
      </c>
      <c r="AB577" s="2"/>
    </row>
    <row r="578" spans="6:28" x14ac:dyDescent="0.25">
      <c r="F578" s="14">
        <v>576</v>
      </c>
      <c r="G578" s="14">
        <f t="shared" si="160"/>
        <v>77.599999999999994</v>
      </c>
      <c r="H578" s="14">
        <f t="shared" si="161"/>
        <v>350.75</v>
      </c>
      <c r="I578" s="15">
        <f t="shared" si="162"/>
        <v>4.8</v>
      </c>
      <c r="J578" s="15">
        <f t="shared" si="163"/>
        <v>1358.871521</v>
      </c>
      <c r="K578" s="15">
        <f t="shared" si="164"/>
        <v>0.37887152099999999</v>
      </c>
      <c r="L578" s="15">
        <f t="shared" si="165"/>
        <v>912.74095999999997</v>
      </c>
      <c r="M578" s="15">
        <v>902.44344000000001</v>
      </c>
      <c r="N578" s="14">
        <f t="shared" si="166"/>
        <v>0.91274095999999993</v>
      </c>
      <c r="O578" s="14">
        <f t="shared" si="167"/>
        <v>0.91295999999999999</v>
      </c>
      <c r="P578" s="14">
        <f t="shared" si="168"/>
        <v>2.1904000000005919E-4</v>
      </c>
      <c r="Q578" s="18">
        <f t="shared" si="169"/>
        <v>2.3992288818793726E-4</v>
      </c>
      <c r="R578" s="15">
        <f t="shared" ca="1" si="170"/>
        <v>3.328885862973761</v>
      </c>
      <c r="S578" s="15">
        <f t="shared" si="171"/>
        <v>3.3671535483870967</v>
      </c>
      <c r="T578" s="15">
        <f t="shared" ca="1" si="172"/>
        <v>3.8267685413335695E-2</v>
      </c>
      <c r="U578" s="18">
        <f t="shared" ca="1" si="173"/>
        <v>1.1364995644961405E-2</v>
      </c>
      <c r="V578" s="15">
        <f t="shared" si="174"/>
        <v>4.7999999999999989</v>
      </c>
      <c r="W578" s="15">
        <f t="shared" ca="1" si="175"/>
        <v>4.6711141370262386</v>
      </c>
      <c r="X578" s="15">
        <f t="shared" ca="1" si="176"/>
        <v>0.12888586297376037</v>
      </c>
      <c r="Y578" s="35">
        <f t="shared" ca="1" si="177"/>
        <v>2.6851221452866749E-2</v>
      </c>
      <c r="Z578" s="36">
        <f t="shared" ca="1" si="178"/>
        <v>76.053370000000001</v>
      </c>
      <c r="AA578" s="18">
        <f t="shared" ca="1" si="179"/>
        <v>1.9930798969072079E-2</v>
      </c>
      <c r="AB578" s="2"/>
    </row>
    <row r="579" spans="6:28" x14ac:dyDescent="0.25">
      <c r="F579" s="14">
        <v>577</v>
      </c>
      <c r="G579" s="14">
        <f t="shared" ref="G579:G602" si="180">F579*0.1+20</f>
        <v>77.7</v>
      </c>
      <c r="H579" s="14">
        <f t="shared" ref="H579:H602" si="181">G579+273.15</f>
        <v>350.84999999999997</v>
      </c>
      <c r="I579" s="15">
        <f t="shared" ref="I579:I602" si="182">ROUND(1/12*G579-5/3,6)</f>
        <v>4.8083330000000002</v>
      </c>
      <c r="J579" s="15">
        <f t="shared" ref="J579:J602" si="183">ROUND(10000*EXP(($B$3)+($B$4/H579)+($B$5/(H579^2))+($B$6/(H579^3))),6)</f>
        <v>1354.4140629999999</v>
      </c>
      <c r="K579" s="15">
        <f t="shared" ref="K579:K602" si="184">$B$9*(2*$B$8+J579)-$B$9*$B$10</f>
        <v>0.37441406299999991</v>
      </c>
      <c r="L579" s="15">
        <f t="shared" ref="L579:L602" si="185">ROUND(1/(1/(J579+2*$B$8)+1/($B$7)),6)</f>
        <v>910.78567699999996</v>
      </c>
      <c r="M579" s="15">
        <v>900.21909000000005</v>
      </c>
      <c r="N579" s="14">
        <f t="shared" ref="N579:N602" si="186">$B$9*(L579+$B$10)*(L579/(L579+$B$10))</f>
        <v>0.9107856769999999</v>
      </c>
      <c r="O579" s="14">
        <f t="shared" ref="O579:O602" si="187">$B$11*G579+$B$12</f>
        <v>0.91066999999999987</v>
      </c>
      <c r="P579" s="14">
        <f t="shared" ref="P579:P602" si="188">ABS(N579-O579)</f>
        <v>1.1567700000003622E-4</v>
      </c>
      <c r="Q579" s="18">
        <f t="shared" ref="Q579:Q602" si="189">ABS(O579-N579)/O579</f>
        <v>1.2702405920919351E-4</v>
      </c>
      <c r="R579" s="15">
        <f t="shared" ref="R579:R602" ca="1" si="190">ROUND(N579*$B$29,6)+RANDBETWEEN(-1,1)*$B$24+RANDBETWEEN(-1,1)*$B$25</f>
        <v>3.3217538629737611</v>
      </c>
      <c r="S579" s="15">
        <f t="shared" ref="S579:S602" si="191">O579*$B$23</f>
        <v>3.3587076344086015</v>
      </c>
      <c r="T579" s="15">
        <f t="shared" ref="T579:T602" ca="1" si="192">ABS(R579-S579)</f>
        <v>3.6953771434840466E-2</v>
      </c>
      <c r="U579" s="18">
        <f t="shared" ref="U579:U602" ca="1" si="193">ABS(S579-R579)/S579</f>
        <v>1.1002378133858398E-2</v>
      </c>
      <c r="V579" s="15">
        <f t="shared" ref="V579:V602" si="194">$B$44*S579+$B$45</f>
        <v>4.8083333333333336</v>
      </c>
      <c r="W579" s="15">
        <f t="shared" ref="W579:W602" ca="1" si="195">$B$46*R579+$B$47</f>
        <v>4.6782461370262389</v>
      </c>
      <c r="X579" s="15">
        <f t="shared" ref="X579:X602" ca="1" si="196">ABS(V579-W579)</f>
        <v>0.13008719630709464</v>
      </c>
      <c r="Y579" s="35">
        <f t="shared" ref="Y579:Y602" ca="1" si="197">IF(V579 = 0, ABS(V579-W579)/(V579+0.0001), ABS(V579-W579)/V579)</f>
        <v>2.7054529561267516E-2</v>
      </c>
      <c r="Z579" s="36">
        <f t="shared" ref="Z579:Z602" ca="1" si="198">ROUND((W579+5/3)/(1/12),6)</f>
        <v>76.138953999999998</v>
      </c>
      <c r="AA579" s="18">
        <f t="shared" ref="AA579:AA602" ca="1" si="199">ABS(G579-Z579)/G579</f>
        <v>2.009068211068217E-2</v>
      </c>
      <c r="AB579" s="2"/>
    </row>
    <row r="580" spans="6:28" x14ac:dyDescent="0.25">
      <c r="F580" s="14">
        <v>578</v>
      </c>
      <c r="G580" s="14">
        <f t="shared" si="180"/>
        <v>77.800000000000011</v>
      </c>
      <c r="H580" s="14">
        <f t="shared" si="181"/>
        <v>350.95</v>
      </c>
      <c r="I580" s="15">
        <f t="shared" si="182"/>
        <v>4.8166669999999998</v>
      </c>
      <c r="J580" s="15">
        <f t="shared" si="183"/>
        <v>1349.9734920000001</v>
      </c>
      <c r="K580" s="15">
        <f t="shared" si="184"/>
        <v>0.36997349200000018</v>
      </c>
      <c r="L580" s="15">
        <f t="shared" si="185"/>
        <v>908.83354299999996</v>
      </c>
      <c r="M580" s="15">
        <v>898.30911000000003</v>
      </c>
      <c r="N580" s="14">
        <f t="shared" si="186"/>
        <v>0.90883354300000008</v>
      </c>
      <c r="O580" s="14">
        <f t="shared" si="187"/>
        <v>0.90837999999999974</v>
      </c>
      <c r="P580" s="14">
        <f t="shared" si="188"/>
        <v>4.5354300000033376E-4</v>
      </c>
      <c r="Q580" s="18">
        <f t="shared" si="189"/>
        <v>4.9928774301540534E-4</v>
      </c>
      <c r="R580" s="15">
        <f t="shared" ca="1" si="190"/>
        <v>3.315415364431487</v>
      </c>
      <c r="S580" s="15">
        <f t="shared" si="191"/>
        <v>3.3502617204301064</v>
      </c>
      <c r="T580" s="15">
        <f t="shared" ca="1" si="192"/>
        <v>3.4846355998619405E-2</v>
      </c>
      <c r="U580" s="18">
        <f t="shared" ca="1" si="193"/>
        <v>1.0401084723060332E-2</v>
      </c>
      <c r="V580" s="15">
        <f t="shared" si="194"/>
        <v>4.8166666666666664</v>
      </c>
      <c r="W580" s="15">
        <f t="shared" ca="1" si="195"/>
        <v>4.6845846355685126</v>
      </c>
      <c r="X580" s="15">
        <f t="shared" ca="1" si="196"/>
        <v>0.13208203109815386</v>
      </c>
      <c r="Y580" s="35">
        <f t="shared" ca="1" si="197"/>
        <v>2.7421874968474851E-2</v>
      </c>
      <c r="Z580" s="36">
        <f t="shared" ca="1" si="198"/>
        <v>76.215016000000006</v>
      </c>
      <c r="AA580" s="18">
        <f t="shared" ca="1" si="199"/>
        <v>2.03725449871466E-2</v>
      </c>
      <c r="AB580" s="2"/>
    </row>
    <row r="581" spans="6:28" x14ac:dyDescent="0.25">
      <c r="F581" s="14">
        <v>579</v>
      </c>
      <c r="G581" s="14">
        <f t="shared" si="180"/>
        <v>77.900000000000006</v>
      </c>
      <c r="H581" s="14">
        <f t="shared" si="181"/>
        <v>351.04999999999995</v>
      </c>
      <c r="I581" s="15">
        <f t="shared" si="182"/>
        <v>4.8250000000000002</v>
      </c>
      <c r="J581" s="15">
        <f t="shared" si="183"/>
        <v>1345.5497359999999</v>
      </c>
      <c r="K581" s="15">
        <f t="shared" si="184"/>
        <v>0.36554973599999996</v>
      </c>
      <c r="L581" s="15">
        <f t="shared" si="185"/>
        <v>906.88456099999996</v>
      </c>
      <c r="M581" s="15">
        <v>896.39612999999997</v>
      </c>
      <c r="N581" s="14">
        <f t="shared" si="186"/>
        <v>0.90688456099999992</v>
      </c>
      <c r="O581" s="14">
        <f t="shared" si="187"/>
        <v>0.90608999999999984</v>
      </c>
      <c r="P581" s="14">
        <f t="shared" si="188"/>
        <v>7.9456100000008245E-4</v>
      </c>
      <c r="Q581" s="18">
        <f t="shared" si="189"/>
        <v>8.7691178580503331E-4</v>
      </c>
      <c r="R581" s="15">
        <f t="shared" ca="1" si="190"/>
        <v>3.308317137026239</v>
      </c>
      <c r="S581" s="15">
        <f t="shared" si="191"/>
        <v>3.3418158064516121</v>
      </c>
      <c r="T581" s="15">
        <f t="shared" ca="1" si="192"/>
        <v>3.3498669425373162E-2</v>
      </c>
      <c r="U581" s="18">
        <f t="shared" ca="1" si="193"/>
        <v>1.0024092100079726E-2</v>
      </c>
      <c r="V581" s="15">
        <f t="shared" si="194"/>
        <v>4.8250000000000002</v>
      </c>
      <c r="W581" s="15">
        <f t="shared" ca="1" si="195"/>
        <v>4.691682862973761</v>
      </c>
      <c r="X581" s="15">
        <f t="shared" ca="1" si="196"/>
        <v>0.13331713702623915</v>
      </c>
      <c r="Y581" s="35">
        <f t="shared" ca="1" si="197"/>
        <v>2.7630494720464072E-2</v>
      </c>
      <c r="Z581" s="36">
        <f t="shared" ca="1" si="198"/>
        <v>76.300194000000005</v>
      </c>
      <c r="AA581" s="18">
        <f t="shared" ca="1" si="199"/>
        <v>2.053666238767652E-2</v>
      </c>
      <c r="AB581" s="2"/>
    </row>
    <row r="582" spans="6:28" x14ac:dyDescent="0.25">
      <c r="F582" s="14">
        <v>580</v>
      </c>
      <c r="G582" s="14">
        <f t="shared" si="180"/>
        <v>78</v>
      </c>
      <c r="H582" s="14">
        <f t="shared" si="181"/>
        <v>351.15</v>
      </c>
      <c r="I582" s="15">
        <f t="shared" si="182"/>
        <v>4.8333329999999997</v>
      </c>
      <c r="J582" s="15">
        <f t="shared" si="183"/>
        <v>1341.142724</v>
      </c>
      <c r="K582" s="15">
        <f t="shared" si="184"/>
        <v>0.36114272400000003</v>
      </c>
      <c r="L582" s="15">
        <f t="shared" si="185"/>
        <v>904.93873399999995</v>
      </c>
      <c r="M582" s="15">
        <v>894.27039000000002</v>
      </c>
      <c r="N582" s="14">
        <f t="shared" si="186"/>
        <v>0.90493873400000002</v>
      </c>
      <c r="O582" s="14">
        <f t="shared" si="187"/>
        <v>0.90379999999999994</v>
      </c>
      <c r="P582" s="14">
        <f t="shared" si="188"/>
        <v>1.1387340000000856E-3</v>
      </c>
      <c r="Q582" s="18">
        <f t="shared" si="189"/>
        <v>1.2599402522682959E-3</v>
      </c>
      <c r="R582" s="15">
        <f t="shared" ca="1" si="190"/>
        <v>3.3008122274052476</v>
      </c>
      <c r="S582" s="15">
        <f t="shared" si="191"/>
        <v>3.3333698924731179</v>
      </c>
      <c r="T582" s="15">
        <f t="shared" ca="1" si="192"/>
        <v>3.2557665067870278E-2</v>
      </c>
      <c r="U582" s="18">
        <f t="shared" ca="1" si="193"/>
        <v>9.7671923963154484E-3</v>
      </c>
      <c r="V582" s="15">
        <f t="shared" si="194"/>
        <v>4.833333333333333</v>
      </c>
      <c r="W582" s="15">
        <f t="shared" ca="1" si="195"/>
        <v>4.6991877725947528</v>
      </c>
      <c r="X582" s="15">
        <f t="shared" ca="1" si="196"/>
        <v>0.13414556073858019</v>
      </c>
      <c r="Y582" s="35">
        <f t="shared" ca="1" si="197"/>
        <v>2.7754253945913146E-2</v>
      </c>
      <c r="Z582" s="36">
        <f t="shared" ca="1" si="198"/>
        <v>76.390253000000001</v>
      </c>
      <c r="AA582" s="18">
        <f t="shared" ca="1" si="199"/>
        <v>2.0637782051282035E-2</v>
      </c>
      <c r="AB582" s="2"/>
    </row>
    <row r="583" spans="6:28" x14ac:dyDescent="0.25">
      <c r="F583" s="14">
        <v>581</v>
      </c>
      <c r="G583" s="14">
        <f t="shared" si="180"/>
        <v>78.099999999999994</v>
      </c>
      <c r="H583" s="14">
        <f t="shared" si="181"/>
        <v>351.25</v>
      </c>
      <c r="I583" s="15">
        <f t="shared" si="182"/>
        <v>4.8416670000000002</v>
      </c>
      <c r="J583" s="15">
        <f t="shared" si="183"/>
        <v>1336.7523839999999</v>
      </c>
      <c r="K583" s="15">
        <f t="shared" si="184"/>
        <v>0.35675238399999998</v>
      </c>
      <c r="L583" s="15">
        <f t="shared" si="185"/>
        <v>902.99606400000005</v>
      </c>
      <c r="M583" s="15">
        <v>892.45658000000003</v>
      </c>
      <c r="N583" s="14">
        <f t="shared" si="186"/>
        <v>0.90299606399999999</v>
      </c>
      <c r="O583" s="14">
        <f t="shared" si="187"/>
        <v>0.90151000000000003</v>
      </c>
      <c r="P583" s="14">
        <f t="shared" si="188"/>
        <v>1.4860639999999536E-3</v>
      </c>
      <c r="Q583" s="18">
        <f t="shared" si="189"/>
        <v>1.6484165455734863E-3</v>
      </c>
      <c r="R583" s="15">
        <f t="shared" ca="1" si="190"/>
        <v>3.294122364431487</v>
      </c>
      <c r="S583" s="15">
        <f t="shared" si="191"/>
        <v>3.3249239784946236</v>
      </c>
      <c r="T583" s="15">
        <f t="shared" ca="1" si="192"/>
        <v>3.080161406313664E-2</v>
      </c>
      <c r="U583" s="18">
        <f t="shared" ca="1" si="193"/>
        <v>9.2638551324359091E-3</v>
      </c>
      <c r="V583" s="15">
        <f t="shared" si="194"/>
        <v>4.8416666666666659</v>
      </c>
      <c r="W583" s="15">
        <f t="shared" ca="1" si="195"/>
        <v>4.7058776355685126</v>
      </c>
      <c r="X583" s="15">
        <f t="shared" ca="1" si="196"/>
        <v>0.13578903109815332</v>
      </c>
      <c r="Y583" s="35">
        <f t="shared" ca="1" si="197"/>
        <v>2.8045927249188297E-2</v>
      </c>
      <c r="Z583" s="36">
        <f t="shared" ca="1" si="198"/>
        <v>76.470532000000006</v>
      </c>
      <c r="AA583" s="18">
        <f t="shared" ca="1" si="199"/>
        <v>2.0863866837387821E-2</v>
      </c>
      <c r="AB583" s="2"/>
    </row>
    <row r="584" spans="6:28" x14ac:dyDescent="0.25">
      <c r="F584" s="14">
        <v>582</v>
      </c>
      <c r="G584" s="14">
        <f t="shared" si="180"/>
        <v>78.2</v>
      </c>
      <c r="H584" s="14">
        <f t="shared" si="181"/>
        <v>351.34999999999997</v>
      </c>
      <c r="I584" s="15">
        <f t="shared" si="182"/>
        <v>4.8499999999999996</v>
      </c>
      <c r="J584" s="15">
        <f t="shared" si="183"/>
        <v>1332.378645</v>
      </c>
      <c r="K584" s="15">
        <f t="shared" si="184"/>
        <v>0.35237864499999993</v>
      </c>
      <c r="L584" s="15">
        <f t="shared" si="185"/>
        <v>901.056555</v>
      </c>
      <c r="M584" s="15">
        <v>890.63933999999995</v>
      </c>
      <c r="N584" s="14">
        <f t="shared" si="186"/>
        <v>0.90105655500000015</v>
      </c>
      <c r="O584" s="14">
        <f t="shared" si="187"/>
        <v>0.89921999999999991</v>
      </c>
      <c r="P584" s="14">
        <f t="shared" si="188"/>
        <v>1.8365550000002395E-3</v>
      </c>
      <c r="Q584" s="18">
        <f t="shared" si="189"/>
        <v>2.0423867351707478E-3</v>
      </c>
      <c r="R584" s="15">
        <f t="shared" ca="1" si="190"/>
        <v>3.2862668629737608</v>
      </c>
      <c r="S584" s="15">
        <f t="shared" si="191"/>
        <v>3.3164780645161285</v>
      </c>
      <c r="T584" s="15">
        <f t="shared" ca="1" si="192"/>
        <v>3.0211201542367672E-2</v>
      </c>
      <c r="U584" s="18">
        <f t="shared" ca="1" si="193"/>
        <v>9.1094229947139612E-3</v>
      </c>
      <c r="V584" s="15">
        <f t="shared" si="194"/>
        <v>4.8499999999999996</v>
      </c>
      <c r="W584" s="15">
        <f t="shared" ca="1" si="195"/>
        <v>4.7137331370262388</v>
      </c>
      <c r="X584" s="15">
        <f t="shared" ca="1" si="196"/>
        <v>0.13626686297376089</v>
      </c>
      <c r="Y584" s="35">
        <f t="shared" ca="1" si="197"/>
        <v>2.8096260406961011E-2</v>
      </c>
      <c r="Z584" s="36">
        <f t="shared" ca="1" si="198"/>
        <v>76.564797999999996</v>
      </c>
      <c r="AA584" s="18">
        <f t="shared" ca="1" si="199"/>
        <v>2.0910511508951492E-2</v>
      </c>
      <c r="AB584" s="2"/>
    </row>
    <row r="585" spans="6:28" x14ac:dyDescent="0.25">
      <c r="F585" s="14">
        <v>583</v>
      </c>
      <c r="G585" s="14">
        <f t="shared" si="180"/>
        <v>78.300000000000011</v>
      </c>
      <c r="H585" s="14">
        <f t="shared" si="181"/>
        <v>351.45</v>
      </c>
      <c r="I585" s="15">
        <f t="shared" si="182"/>
        <v>4.858333</v>
      </c>
      <c r="J585" s="15">
        <f t="shared" si="183"/>
        <v>1328.021438</v>
      </c>
      <c r="K585" s="15">
        <f t="shared" si="184"/>
        <v>0.34802143799999996</v>
      </c>
      <c r="L585" s="15">
        <f t="shared" si="185"/>
        <v>899.12020900000005</v>
      </c>
      <c r="M585" s="15">
        <v>888.40206000000001</v>
      </c>
      <c r="N585" s="14">
        <f t="shared" si="186"/>
        <v>0.899120209</v>
      </c>
      <c r="O585" s="14">
        <f t="shared" si="187"/>
        <v>0.89692999999999956</v>
      </c>
      <c r="P585" s="14">
        <f t="shared" si="188"/>
        <v>2.1902090000004426E-3</v>
      </c>
      <c r="Q585" s="18">
        <f t="shared" si="189"/>
        <v>2.441895131170151E-3</v>
      </c>
      <c r="R585" s="15">
        <f t="shared" ca="1" si="190"/>
        <v>3.2799961370262389</v>
      </c>
      <c r="S585" s="15">
        <f t="shared" si="191"/>
        <v>3.3080321505376324</v>
      </c>
      <c r="T585" s="15">
        <f t="shared" ca="1" si="192"/>
        <v>2.8036013511393509E-2</v>
      </c>
      <c r="U585" s="18">
        <f t="shared" ca="1" si="193"/>
        <v>8.4751333226422854E-3</v>
      </c>
      <c r="V585" s="15">
        <f t="shared" si="194"/>
        <v>4.8583333333333343</v>
      </c>
      <c r="W585" s="15">
        <f t="shared" ca="1" si="195"/>
        <v>4.7200038629737611</v>
      </c>
      <c r="X585" s="15">
        <f t="shared" ca="1" si="196"/>
        <v>0.13832947035957321</v>
      </c>
      <c r="Y585" s="35">
        <f t="shared" ca="1" si="197"/>
        <v>2.8472618255829817E-2</v>
      </c>
      <c r="Z585" s="36">
        <f t="shared" ca="1" si="198"/>
        <v>76.640045999999998</v>
      </c>
      <c r="AA585" s="18">
        <f t="shared" ca="1" si="199"/>
        <v>2.1199923371647677E-2</v>
      </c>
      <c r="AB585" s="2"/>
    </row>
    <row r="586" spans="6:28" x14ac:dyDescent="0.25">
      <c r="F586" s="14">
        <v>584</v>
      </c>
      <c r="G586" s="14">
        <f t="shared" si="180"/>
        <v>78.400000000000006</v>
      </c>
      <c r="H586" s="14">
        <f t="shared" si="181"/>
        <v>351.54999999999995</v>
      </c>
      <c r="I586" s="15">
        <f t="shared" si="182"/>
        <v>4.8666669999999996</v>
      </c>
      <c r="J586" s="15">
        <f t="shared" si="183"/>
        <v>1323.6806899999999</v>
      </c>
      <c r="K586" s="15">
        <f t="shared" si="184"/>
        <v>0.34368069000000001</v>
      </c>
      <c r="L586" s="15">
        <f t="shared" si="185"/>
        <v>897.18702900000005</v>
      </c>
      <c r="M586" s="15">
        <v>886.57910000000004</v>
      </c>
      <c r="N586" s="14">
        <f t="shared" si="186"/>
        <v>0.89718702900000002</v>
      </c>
      <c r="O586" s="14">
        <f t="shared" si="187"/>
        <v>0.89463999999999988</v>
      </c>
      <c r="P586" s="14">
        <f t="shared" si="188"/>
        <v>2.547029000000145E-3</v>
      </c>
      <c r="Q586" s="18">
        <f t="shared" si="189"/>
        <v>2.8469876151302705E-3</v>
      </c>
      <c r="R586" s="15">
        <f t="shared" ca="1" si="190"/>
        <v>3.272548</v>
      </c>
      <c r="S586" s="15">
        <f t="shared" si="191"/>
        <v>3.2995862365591391</v>
      </c>
      <c r="T586" s="15">
        <f t="shared" ca="1" si="192"/>
        <v>2.7038236559139062E-2</v>
      </c>
      <c r="U586" s="18">
        <f t="shared" ca="1" si="193"/>
        <v>8.194432459305857E-3</v>
      </c>
      <c r="V586" s="15">
        <f t="shared" si="194"/>
        <v>4.8666666666666671</v>
      </c>
      <c r="W586" s="15">
        <f t="shared" ca="1" si="195"/>
        <v>4.7274519999999995</v>
      </c>
      <c r="X586" s="15">
        <f t="shared" ca="1" si="196"/>
        <v>0.1392146666666676</v>
      </c>
      <c r="Y586" s="35">
        <f t="shared" ca="1" si="197"/>
        <v>2.8605753424657723E-2</v>
      </c>
      <c r="Z586" s="36">
        <f t="shared" ca="1" si="198"/>
        <v>76.729423999999995</v>
      </c>
      <c r="AA586" s="18">
        <f t="shared" ca="1" si="199"/>
        <v>2.1308367346938917E-2</v>
      </c>
      <c r="AB586" s="2"/>
    </row>
    <row r="587" spans="6:28" x14ac:dyDescent="0.25">
      <c r="F587" s="14">
        <v>585</v>
      </c>
      <c r="G587" s="14">
        <f t="shared" si="180"/>
        <v>78.5</v>
      </c>
      <c r="H587" s="14">
        <f t="shared" si="181"/>
        <v>351.65</v>
      </c>
      <c r="I587" s="15">
        <f t="shared" si="182"/>
        <v>4.875</v>
      </c>
      <c r="J587" s="15">
        <f t="shared" si="183"/>
        <v>1319.3563340000001</v>
      </c>
      <c r="K587" s="15">
        <f t="shared" si="184"/>
        <v>0.33935633400000009</v>
      </c>
      <c r="L587" s="15">
        <f t="shared" si="185"/>
        <v>895.25701700000002</v>
      </c>
      <c r="M587" s="15">
        <v>884.75280999999995</v>
      </c>
      <c r="N587" s="14">
        <f t="shared" si="186"/>
        <v>0.89525701700000015</v>
      </c>
      <c r="O587" s="14">
        <f t="shared" si="187"/>
        <v>0.89234999999999998</v>
      </c>
      <c r="P587" s="14">
        <f t="shared" si="188"/>
        <v>2.9070170000001783E-3</v>
      </c>
      <c r="Q587" s="18">
        <f t="shared" si="189"/>
        <v>3.2577094189501633E-3</v>
      </c>
      <c r="R587" s="15">
        <f t="shared" ca="1" si="190"/>
        <v>3.2659041370262392</v>
      </c>
      <c r="S587" s="15">
        <f t="shared" si="191"/>
        <v>3.2911403225806448</v>
      </c>
      <c r="T587" s="15">
        <f t="shared" ca="1" si="192"/>
        <v>2.5236185554405655E-2</v>
      </c>
      <c r="U587" s="18">
        <f t="shared" ca="1" si="193"/>
        <v>7.6679153973652171E-3</v>
      </c>
      <c r="V587" s="15">
        <f t="shared" si="194"/>
        <v>4.875</v>
      </c>
      <c r="W587" s="15">
        <f t="shared" ca="1" si="195"/>
        <v>4.7340958629737608</v>
      </c>
      <c r="X587" s="15">
        <f t="shared" ca="1" si="196"/>
        <v>0.14090413702623916</v>
      </c>
      <c r="Y587" s="35">
        <f t="shared" ca="1" si="197"/>
        <v>2.890341272333111E-2</v>
      </c>
      <c r="Z587" s="36">
        <f t="shared" ca="1" si="198"/>
        <v>76.809150000000002</v>
      </c>
      <c r="AA587" s="18">
        <f t="shared" ca="1" si="199"/>
        <v>2.153949044585984E-2</v>
      </c>
      <c r="AB587" s="2"/>
    </row>
    <row r="588" spans="6:28" x14ac:dyDescent="0.25">
      <c r="F588" s="14">
        <v>586</v>
      </c>
      <c r="G588" s="14">
        <f t="shared" si="180"/>
        <v>78.599999999999994</v>
      </c>
      <c r="H588" s="14">
        <f t="shared" si="181"/>
        <v>351.75</v>
      </c>
      <c r="I588" s="15">
        <f t="shared" si="182"/>
        <v>4.8833330000000004</v>
      </c>
      <c r="J588" s="15">
        <f t="shared" si="183"/>
        <v>1315.0482979999999</v>
      </c>
      <c r="K588" s="15">
        <f t="shared" si="184"/>
        <v>0.33504829800000002</v>
      </c>
      <c r="L588" s="15">
        <f t="shared" si="185"/>
        <v>893.33017600000005</v>
      </c>
      <c r="M588" s="15">
        <v>882.81978000000004</v>
      </c>
      <c r="N588" s="14">
        <f t="shared" si="186"/>
        <v>0.89333017600000009</v>
      </c>
      <c r="O588" s="14">
        <f t="shared" si="187"/>
        <v>0.89006000000000007</v>
      </c>
      <c r="P588" s="14">
        <f t="shared" si="188"/>
        <v>3.2701760000000135E-3</v>
      </c>
      <c r="Q588" s="18">
        <f t="shared" si="189"/>
        <v>3.6741073635485396E-3</v>
      </c>
      <c r="R588" s="15">
        <f t="shared" ca="1" si="190"/>
        <v>3.25848</v>
      </c>
      <c r="S588" s="15">
        <f t="shared" si="191"/>
        <v>3.2826944086021506</v>
      </c>
      <c r="T588" s="15">
        <f t="shared" ca="1" si="192"/>
        <v>2.4214408602150517E-2</v>
      </c>
      <c r="U588" s="18">
        <f t="shared" ca="1" si="193"/>
        <v>7.3763821995424753E-3</v>
      </c>
      <c r="V588" s="15">
        <f t="shared" si="194"/>
        <v>4.8833333333333329</v>
      </c>
      <c r="W588" s="15">
        <f t="shared" ca="1" si="195"/>
        <v>4.7415199999999995</v>
      </c>
      <c r="X588" s="15">
        <f t="shared" ca="1" si="196"/>
        <v>0.14181333333333335</v>
      </c>
      <c r="Y588" s="35">
        <f t="shared" ca="1" si="197"/>
        <v>2.9040273037542669E-2</v>
      </c>
      <c r="Z588" s="36">
        <f t="shared" ca="1" si="198"/>
        <v>76.898240000000001</v>
      </c>
      <c r="AA588" s="18">
        <f t="shared" ca="1" si="199"/>
        <v>2.1650890585241642E-2</v>
      </c>
      <c r="AB588" s="2"/>
    </row>
    <row r="589" spans="6:28" x14ac:dyDescent="0.25">
      <c r="F589" s="14">
        <v>587</v>
      </c>
      <c r="G589" s="14">
        <f t="shared" si="180"/>
        <v>78.7</v>
      </c>
      <c r="H589" s="14">
        <f t="shared" si="181"/>
        <v>351.84999999999997</v>
      </c>
      <c r="I589" s="15">
        <f t="shared" si="182"/>
        <v>4.891667</v>
      </c>
      <c r="J589" s="15">
        <f t="shared" si="183"/>
        <v>1310.756515</v>
      </c>
      <c r="K589" s="15">
        <f t="shared" si="184"/>
        <v>0.33075651500000003</v>
      </c>
      <c r="L589" s="15">
        <f t="shared" si="185"/>
        <v>891.40650800000003</v>
      </c>
      <c r="M589" s="15">
        <v>880.88396</v>
      </c>
      <c r="N589" s="14">
        <f t="shared" si="186"/>
        <v>0.89140650799999999</v>
      </c>
      <c r="O589" s="14">
        <f t="shared" si="187"/>
        <v>0.88776999999999995</v>
      </c>
      <c r="P589" s="14">
        <f t="shared" si="188"/>
        <v>3.6365080000000383E-3</v>
      </c>
      <c r="Q589" s="18">
        <f t="shared" si="189"/>
        <v>4.0962276265249318E-3</v>
      </c>
      <c r="R589" s="15">
        <f t="shared" ca="1" si="190"/>
        <v>3.2522445014577261</v>
      </c>
      <c r="S589" s="15">
        <f t="shared" si="191"/>
        <v>3.2742484946236554</v>
      </c>
      <c r="T589" s="15">
        <f t="shared" ca="1" si="192"/>
        <v>2.200399316592927E-2</v>
      </c>
      <c r="U589" s="18">
        <f t="shared" ca="1" si="193"/>
        <v>6.7203186325228582E-3</v>
      </c>
      <c r="V589" s="15">
        <f t="shared" si="194"/>
        <v>4.8916666666666666</v>
      </c>
      <c r="W589" s="15">
        <f t="shared" ca="1" si="195"/>
        <v>4.7477554985422739</v>
      </c>
      <c r="X589" s="15">
        <f t="shared" ca="1" si="196"/>
        <v>0.14391116812439275</v>
      </c>
      <c r="Y589" s="35">
        <f t="shared" ca="1" si="197"/>
        <v>2.9419659582499369E-2</v>
      </c>
      <c r="Z589" s="36">
        <f t="shared" ca="1" si="198"/>
        <v>76.973066000000003</v>
      </c>
      <c r="AA589" s="18">
        <f t="shared" ca="1" si="199"/>
        <v>2.1943252858958068E-2</v>
      </c>
      <c r="AB589" s="2"/>
    </row>
    <row r="590" spans="6:28" x14ac:dyDescent="0.25">
      <c r="F590" s="14">
        <v>588</v>
      </c>
      <c r="G590" s="14">
        <f t="shared" si="180"/>
        <v>78.800000000000011</v>
      </c>
      <c r="H590" s="14">
        <f t="shared" si="181"/>
        <v>351.95</v>
      </c>
      <c r="I590" s="15">
        <f t="shared" si="182"/>
        <v>4.9000000000000004</v>
      </c>
      <c r="J590" s="15">
        <f t="shared" si="183"/>
        <v>1306.480914</v>
      </c>
      <c r="K590" s="15">
        <f t="shared" si="184"/>
        <v>0.32648091400000001</v>
      </c>
      <c r="L590" s="15">
        <f t="shared" si="185"/>
        <v>889.48601599999995</v>
      </c>
      <c r="M590" s="15">
        <v>878.94538</v>
      </c>
      <c r="N590" s="14">
        <f t="shared" si="186"/>
        <v>0.88948601599999988</v>
      </c>
      <c r="O590" s="14">
        <f t="shared" si="187"/>
        <v>0.8854799999999996</v>
      </c>
      <c r="P590" s="14">
        <f t="shared" si="188"/>
        <v>4.0060160000002787E-3</v>
      </c>
      <c r="Q590" s="18">
        <f t="shared" si="189"/>
        <v>4.5241179925015586E-3</v>
      </c>
      <c r="R590" s="15">
        <f t="shared" ca="1" si="190"/>
        <v>3.244072635568513</v>
      </c>
      <c r="S590" s="15">
        <f t="shared" si="191"/>
        <v>3.2658025806451598</v>
      </c>
      <c r="T590" s="15">
        <f t="shared" ca="1" si="192"/>
        <v>2.1729945076646828E-2</v>
      </c>
      <c r="U590" s="18">
        <f t="shared" ca="1" si="193"/>
        <v>6.6537840362518403E-3</v>
      </c>
      <c r="V590" s="15">
        <f t="shared" si="194"/>
        <v>4.9000000000000004</v>
      </c>
      <c r="W590" s="15">
        <f t="shared" ca="1" si="195"/>
        <v>4.7559273644314874</v>
      </c>
      <c r="X590" s="15">
        <f t="shared" ca="1" si="196"/>
        <v>0.14407263556851291</v>
      </c>
      <c r="Y590" s="35">
        <f t="shared" ca="1" si="197"/>
        <v>2.9402578687451612E-2</v>
      </c>
      <c r="Z590" s="36">
        <f t="shared" ca="1" si="198"/>
        <v>77.071128000000002</v>
      </c>
      <c r="AA590" s="18">
        <f t="shared" ca="1" si="199"/>
        <v>2.1940000000000119E-2</v>
      </c>
      <c r="AB590" s="2"/>
    </row>
    <row r="591" spans="6:28" x14ac:dyDescent="0.25">
      <c r="F591" s="14">
        <v>589</v>
      </c>
      <c r="G591" s="14">
        <f t="shared" si="180"/>
        <v>78.900000000000006</v>
      </c>
      <c r="H591" s="14">
        <f t="shared" si="181"/>
        <v>352.04999999999995</v>
      </c>
      <c r="I591" s="15">
        <f t="shared" si="182"/>
        <v>4.9083329999999998</v>
      </c>
      <c r="J591" s="15">
        <f t="shared" si="183"/>
        <v>1302.2214269999999</v>
      </c>
      <c r="K591" s="15">
        <f t="shared" si="184"/>
        <v>0.32222142699999989</v>
      </c>
      <c r="L591" s="15">
        <f t="shared" si="185"/>
        <v>887.56870200000003</v>
      </c>
      <c r="M591" s="15">
        <v>876.90125999999998</v>
      </c>
      <c r="N591" s="14">
        <f t="shared" si="186"/>
        <v>0.88756870200000004</v>
      </c>
      <c r="O591" s="14">
        <f t="shared" si="187"/>
        <v>0.8831899999999997</v>
      </c>
      <c r="P591" s="14">
        <f t="shared" si="188"/>
        <v>4.3787020000003452E-3</v>
      </c>
      <c r="Q591" s="18">
        <f t="shared" si="189"/>
        <v>4.9578256094389055E-3</v>
      </c>
      <c r="R591" s="15">
        <f t="shared" ca="1" si="190"/>
        <v>3.2382465014577257</v>
      </c>
      <c r="S591" s="15">
        <f t="shared" si="191"/>
        <v>3.2573566666666656</v>
      </c>
      <c r="T591" s="15">
        <f t="shared" ca="1" si="192"/>
        <v>1.9110165208939822E-2</v>
      </c>
      <c r="U591" s="18">
        <f t="shared" ca="1" si="193"/>
        <v>5.8667708711480256E-3</v>
      </c>
      <c r="V591" s="15">
        <f t="shared" si="194"/>
        <v>4.9083333333333332</v>
      </c>
      <c r="W591" s="15">
        <f t="shared" ca="1" si="195"/>
        <v>4.7617534985422747</v>
      </c>
      <c r="X591" s="15">
        <f t="shared" ca="1" si="196"/>
        <v>0.14657983479105852</v>
      </c>
      <c r="Y591" s="35">
        <f t="shared" ca="1" si="197"/>
        <v>2.986346379444316E-2</v>
      </c>
      <c r="Z591" s="36">
        <f t="shared" ca="1" si="198"/>
        <v>77.141041999999999</v>
      </c>
      <c r="AA591" s="18">
        <f t="shared" ca="1" si="199"/>
        <v>2.2293510773130631E-2</v>
      </c>
      <c r="AB591" s="2"/>
    </row>
    <row r="592" spans="6:28" x14ac:dyDescent="0.25">
      <c r="F592" s="14">
        <v>590</v>
      </c>
      <c r="G592" s="14">
        <f t="shared" si="180"/>
        <v>79</v>
      </c>
      <c r="H592" s="14">
        <f t="shared" si="181"/>
        <v>352.15</v>
      </c>
      <c r="I592" s="15">
        <f t="shared" si="182"/>
        <v>4.9166670000000003</v>
      </c>
      <c r="J592" s="15">
        <f t="shared" si="183"/>
        <v>1297.9779860000001</v>
      </c>
      <c r="K592" s="15">
        <f t="shared" si="184"/>
        <v>0.31797798600000005</v>
      </c>
      <c r="L592" s="15">
        <f t="shared" si="185"/>
        <v>885.65456900000004</v>
      </c>
      <c r="M592" s="15">
        <v>875.06008999999995</v>
      </c>
      <c r="N592" s="14">
        <f t="shared" si="186"/>
        <v>0.88565456900000006</v>
      </c>
      <c r="O592" s="14">
        <f t="shared" si="187"/>
        <v>0.88090000000000002</v>
      </c>
      <c r="P592" s="14">
        <f t="shared" si="188"/>
        <v>4.7545690000000418E-3</v>
      </c>
      <c r="Q592" s="18">
        <f t="shared" si="189"/>
        <v>5.3973992507663094E-3</v>
      </c>
      <c r="R592" s="15">
        <f t="shared" ca="1" si="190"/>
        <v>3.2300976355685131</v>
      </c>
      <c r="S592" s="15">
        <f t="shared" si="191"/>
        <v>3.2489107526881718</v>
      </c>
      <c r="T592" s="15">
        <f t="shared" ca="1" si="192"/>
        <v>1.8813117119658607E-2</v>
      </c>
      <c r="U592" s="18">
        <f t="shared" ca="1" si="193"/>
        <v>5.7905921558763966E-3</v>
      </c>
      <c r="V592" s="15">
        <f t="shared" si="194"/>
        <v>4.9166666666666661</v>
      </c>
      <c r="W592" s="15">
        <f t="shared" ca="1" si="195"/>
        <v>4.7699023644314869</v>
      </c>
      <c r="X592" s="15">
        <f t="shared" ca="1" si="196"/>
        <v>0.14676430223517922</v>
      </c>
      <c r="Y592" s="35">
        <f t="shared" ca="1" si="197"/>
        <v>2.9850366556307642E-2</v>
      </c>
      <c r="Z592" s="36">
        <f t="shared" ca="1" si="198"/>
        <v>77.238827999999998</v>
      </c>
      <c r="AA592" s="18">
        <f t="shared" ca="1" si="199"/>
        <v>2.2293316455696228E-2</v>
      </c>
      <c r="AB592" s="2"/>
    </row>
    <row r="593" spans="6:28" x14ac:dyDescent="0.25">
      <c r="F593" s="14">
        <v>591</v>
      </c>
      <c r="G593" s="14">
        <f t="shared" si="180"/>
        <v>79.099999999999994</v>
      </c>
      <c r="H593" s="14">
        <f t="shared" si="181"/>
        <v>352.25</v>
      </c>
      <c r="I593" s="15">
        <f t="shared" si="182"/>
        <v>4.9249999999999998</v>
      </c>
      <c r="J593" s="15">
        <f t="shared" si="183"/>
        <v>1293.750522</v>
      </c>
      <c r="K593" s="15">
        <f t="shared" si="184"/>
        <v>0.31375052200000009</v>
      </c>
      <c r="L593" s="15">
        <f t="shared" si="185"/>
        <v>883.74361799999997</v>
      </c>
      <c r="M593" s="15">
        <v>873.21577000000002</v>
      </c>
      <c r="N593" s="14">
        <f t="shared" si="186"/>
        <v>0.88374361800000001</v>
      </c>
      <c r="O593" s="14">
        <f t="shared" si="187"/>
        <v>0.87861000000000011</v>
      </c>
      <c r="P593" s="14">
        <f t="shared" si="188"/>
        <v>5.1336179999998954E-3</v>
      </c>
      <c r="Q593" s="18">
        <f t="shared" si="189"/>
        <v>5.8428859220813496E-3</v>
      </c>
      <c r="R593" s="15">
        <f t="shared" ca="1" si="190"/>
        <v>3.223116862973761</v>
      </c>
      <c r="S593" s="15">
        <f t="shared" si="191"/>
        <v>3.2404648387096775</v>
      </c>
      <c r="T593" s="15">
        <f t="shared" ca="1" si="192"/>
        <v>1.734797573591651E-2</v>
      </c>
      <c r="U593" s="18">
        <f t="shared" ca="1" si="193"/>
        <v>5.353545432335044E-3</v>
      </c>
      <c r="V593" s="15">
        <f t="shared" si="194"/>
        <v>4.9249999999999989</v>
      </c>
      <c r="W593" s="15">
        <f t="shared" ca="1" si="195"/>
        <v>4.776883137026239</v>
      </c>
      <c r="X593" s="15">
        <f t="shared" ca="1" si="196"/>
        <v>0.14811686297375992</v>
      </c>
      <c r="Y593" s="35">
        <f t="shared" ca="1" si="197"/>
        <v>3.007448994391065E-2</v>
      </c>
      <c r="Z593" s="36">
        <f t="shared" ca="1" si="198"/>
        <v>77.322597999999999</v>
      </c>
      <c r="AA593" s="18">
        <f t="shared" ca="1" si="199"/>
        <v>2.247031605562573E-2</v>
      </c>
      <c r="AB593" s="2"/>
    </row>
    <row r="594" spans="6:28" x14ac:dyDescent="0.25">
      <c r="F594" s="14">
        <v>592</v>
      </c>
      <c r="G594" s="14">
        <f t="shared" si="180"/>
        <v>79.2</v>
      </c>
      <c r="H594" s="14">
        <f t="shared" si="181"/>
        <v>352.34999999999997</v>
      </c>
      <c r="I594" s="15">
        <f t="shared" si="182"/>
        <v>4.9333330000000002</v>
      </c>
      <c r="J594" s="15">
        <f t="shared" si="183"/>
        <v>1289.538969</v>
      </c>
      <c r="K594" s="15">
        <f t="shared" si="184"/>
        <v>0.30953896899999989</v>
      </c>
      <c r="L594" s="15">
        <f t="shared" si="185"/>
        <v>881.83585300000004</v>
      </c>
      <c r="M594" s="15">
        <v>871.16413</v>
      </c>
      <c r="N594" s="14">
        <f t="shared" si="186"/>
        <v>0.88183585300000011</v>
      </c>
      <c r="O594" s="14">
        <f t="shared" si="187"/>
        <v>0.87631999999999977</v>
      </c>
      <c r="P594" s="14">
        <f t="shared" si="188"/>
        <v>5.5158530000003481E-3</v>
      </c>
      <c r="Q594" s="18">
        <f t="shared" si="189"/>
        <v>6.2943365437287176E-3</v>
      </c>
      <c r="R594" s="15">
        <f t="shared" ca="1" si="190"/>
        <v>3.2165432274052477</v>
      </c>
      <c r="S594" s="15">
        <f t="shared" si="191"/>
        <v>3.2320189247311819</v>
      </c>
      <c r="T594" s="15">
        <f t="shared" ca="1" si="192"/>
        <v>1.5475697325934235E-2</v>
      </c>
      <c r="U594" s="18">
        <f t="shared" ca="1" si="193"/>
        <v>4.7882446502758025E-3</v>
      </c>
      <c r="V594" s="15">
        <f t="shared" si="194"/>
        <v>4.9333333333333336</v>
      </c>
      <c r="W594" s="15">
        <f t="shared" ca="1" si="195"/>
        <v>4.7834567725947519</v>
      </c>
      <c r="X594" s="15">
        <f t="shared" ca="1" si="196"/>
        <v>0.14987656073858169</v>
      </c>
      <c r="Y594" s="35">
        <f t="shared" ca="1" si="197"/>
        <v>3.0380383933496288E-2</v>
      </c>
      <c r="Z594" s="36">
        <f t="shared" ca="1" si="198"/>
        <v>77.401481000000004</v>
      </c>
      <c r="AA594" s="18">
        <f t="shared" ca="1" si="199"/>
        <v>2.2708573232323219E-2</v>
      </c>
      <c r="AB594" s="2"/>
    </row>
    <row r="595" spans="6:28" x14ac:dyDescent="0.25">
      <c r="F595" s="14">
        <v>593</v>
      </c>
      <c r="G595" s="14">
        <f t="shared" si="180"/>
        <v>79.300000000000011</v>
      </c>
      <c r="H595" s="14">
        <f t="shared" si="181"/>
        <v>352.45</v>
      </c>
      <c r="I595" s="15">
        <f t="shared" si="182"/>
        <v>4.9416669999999998</v>
      </c>
      <c r="J595" s="15">
        <f t="shared" si="183"/>
        <v>1285.343259</v>
      </c>
      <c r="K595" s="15">
        <f t="shared" si="184"/>
        <v>0.30534325900000003</v>
      </c>
      <c r="L595" s="15">
        <f t="shared" si="185"/>
        <v>879.93127500000003</v>
      </c>
      <c r="M595" s="15">
        <v>869.31413999999995</v>
      </c>
      <c r="N595" s="14">
        <f t="shared" si="186"/>
        <v>0.87993127500000001</v>
      </c>
      <c r="O595" s="14">
        <f t="shared" si="187"/>
        <v>0.87402999999999964</v>
      </c>
      <c r="P595" s="14">
        <f t="shared" si="188"/>
        <v>5.9012750000003722E-3</v>
      </c>
      <c r="Q595" s="18">
        <f t="shared" si="189"/>
        <v>6.7517991373298109E-3</v>
      </c>
      <c r="R595" s="15">
        <f t="shared" ca="1" si="190"/>
        <v>3.2096070000000001</v>
      </c>
      <c r="S595" s="15">
        <f t="shared" si="191"/>
        <v>3.2235730107526868</v>
      </c>
      <c r="T595" s="15">
        <f t="shared" ca="1" si="192"/>
        <v>1.3966010752686664E-2</v>
      </c>
      <c r="U595" s="18">
        <f t="shared" ca="1" si="193"/>
        <v>4.3324629862891411E-3</v>
      </c>
      <c r="V595" s="15">
        <f t="shared" si="194"/>
        <v>4.9416666666666673</v>
      </c>
      <c r="W595" s="15">
        <f t="shared" ca="1" si="195"/>
        <v>4.7903929999999999</v>
      </c>
      <c r="X595" s="15">
        <f t="shared" ca="1" si="196"/>
        <v>0.15127366666666742</v>
      </c>
      <c r="Y595" s="35">
        <f t="shared" ca="1" si="197"/>
        <v>3.0611871838111447E-2</v>
      </c>
      <c r="Z595" s="36">
        <f t="shared" ca="1" si="198"/>
        <v>77.484716000000006</v>
      </c>
      <c r="AA595" s="18">
        <f t="shared" ca="1" si="199"/>
        <v>2.289134930643134E-2</v>
      </c>
      <c r="AB595" s="2"/>
    </row>
    <row r="596" spans="6:28" x14ac:dyDescent="0.25">
      <c r="F596" s="14">
        <v>594</v>
      </c>
      <c r="G596" s="14">
        <f t="shared" si="180"/>
        <v>79.400000000000006</v>
      </c>
      <c r="H596" s="14">
        <f t="shared" si="181"/>
        <v>352.54999999999995</v>
      </c>
      <c r="I596" s="15">
        <f t="shared" si="182"/>
        <v>4.95</v>
      </c>
      <c r="J596" s="15">
        <f t="shared" si="183"/>
        <v>1281.163325</v>
      </c>
      <c r="K596" s="15">
        <f t="shared" si="184"/>
        <v>0.30116332500000009</v>
      </c>
      <c r="L596" s="15">
        <f t="shared" si="185"/>
        <v>878.02988600000003</v>
      </c>
      <c r="M596" s="15">
        <v>867.46108000000004</v>
      </c>
      <c r="N596" s="14">
        <f t="shared" si="186"/>
        <v>0.87802988599999998</v>
      </c>
      <c r="O596" s="14">
        <f t="shared" si="187"/>
        <v>0.87173999999999974</v>
      </c>
      <c r="P596" s="14">
        <f t="shared" si="188"/>
        <v>6.2898860000002443E-3</v>
      </c>
      <c r="Q596" s="18">
        <f t="shared" si="189"/>
        <v>7.2153233762363165E-3</v>
      </c>
      <c r="R596" s="15">
        <f t="shared" ca="1" si="190"/>
        <v>3.2030563644314869</v>
      </c>
      <c r="S596" s="15">
        <f t="shared" si="191"/>
        <v>3.2151270967741925</v>
      </c>
      <c r="T596" s="15">
        <f t="shared" ca="1" si="192"/>
        <v>1.2070732342705615E-2</v>
      </c>
      <c r="U596" s="18">
        <f t="shared" ca="1" si="193"/>
        <v>3.7543561978674016E-3</v>
      </c>
      <c r="V596" s="15">
        <f t="shared" si="194"/>
        <v>4.95</v>
      </c>
      <c r="W596" s="15">
        <f t="shared" ca="1" si="195"/>
        <v>4.7969436355685131</v>
      </c>
      <c r="X596" s="15">
        <f t="shared" ca="1" si="196"/>
        <v>0.15305636443148707</v>
      </c>
      <c r="Y596" s="35">
        <f t="shared" ca="1" si="197"/>
        <v>3.0920477662926681E-2</v>
      </c>
      <c r="Z596" s="36">
        <f t="shared" ca="1" si="198"/>
        <v>77.563323999999994</v>
      </c>
      <c r="AA596" s="18">
        <f t="shared" ca="1" si="199"/>
        <v>2.3131939546599638E-2</v>
      </c>
      <c r="AB596" s="2"/>
    </row>
    <row r="597" spans="6:28" x14ac:dyDescent="0.25">
      <c r="F597" s="14">
        <v>595</v>
      </c>
      <c r="G597" s="14">
        <f t="shared" si="180"/>
        <v>79.5</v>
      </c>
      <c r="H597" s="14">
        <f t="shared" si="181"/>
        <v>352.65</v>
      </c>
      <c r="I597" s="15">
        <f t="shared" si="182"/>
        <v>4.9583329999999997</v>
      </c>
      <c r="J597" s="15">
        <f t="shared" si="183"/>
        <v>1276.9991</v>
      </c>
      <c r="K597" s="15">
        <f t="shared" si="184"/>
        <v>0.29699910000000007</v>
      </c>
      <c r="L597" s="15">
        <f t="shared" si="185"/>
        <v>876.13168800000005</v>
      </c>
      <c r="M597" s="15">
        <v>865.50359000000003</v>
      </c>
      <c r="N597" s="14">
        <f t="shared" si="186"/>
        <v>0.87613168800000008</v>
      </c>
      <c r="O597" s="14">
        <f t="shared" si="187"/>
        <v>0.86944999999999983</v>
      </c>
      <c r="P597" s="14">
        <f t="shared" si="188"/>
        <v>6.681688000000241E-3</v>
      </c>
      <c r="Q597" s="18">
        <f t="shared" si="189"/>
        <v>7.6849594571283481E-3</v>
      </c>
      <c r="R597" s="15">
        <f t="shared" ca="1" si="190"/>
        <v>3.1957587725947523</v>
      </c>
      <c r="S597" s="15">
        <f t="shared" si="191"/>
        <v>3.2066811827956982</v>
      </c>
      <c r="T597" s="15">
        <f t="shared" ca="1" si="192"/>
        <v>1.0922410200945976E-2</v>
      </c>
      <c r="U597" s="18">
        <f t="shared" ca="1" si="193"/>
        <v>3.4061416081979912E-3</v>
      </c>
      <c r="V597" s="15">
        <f t="shared" si="194"/>
        <v>4.958333333333333</v>
      </c>
      <c r="W597" s="15">
        <f t="shared" ca="1" si="195"/>
        <v>4.8042412274052477</v>
      </c>
      <c r="X597" s="15">
        <f t="shared" ca="1" si="196"/>
        <v>0.15409210592808531</v>
      </c>
      <c r="Y597" s="35">
        <f t="shared" ca="1" si="197"/>
        <v>3.1077399514907962E-2</v>
      </c>
      <c r="Z597" s="36">
        <f t="shared" ca="1" si="198"/>
        <v>77.650895000000006</v>
      </c>
      <c r="AA597" s="18">
        <f t="shared" ca="1" si="199"/>
        <v>2.3259182389937037E-2</v>
      </c>
      <c r="AB597" s="2"/>
    </row>
    <row r="598" spans="6:28" x14ac:dyDescent="0.25">
      <c r="F598" s="14">
        <v>596</v>
      </c>
      <c r="G598" s="14">
        <f t="shared" si="180"/>
        <v>79.599999999999994</v>
      </c>
      <c r="H598" s="14">
        <f t="shared" si="181"/>
        <v>352.75</v>
      </c>
      <c r="I598" s="15">
        <f t="shared" si="182"/>
        <v>4.9666670000000002</v>
      </c>
      <c r="J598" s="15">
        <f t="shared" si="183"/>
        <v>1272.8505170000001</v>
      </c>
      <c r="K598" s="15">
        <f t="shared" si="184"/>
        <v>0.2928505170000002</v>
      </c>
      <c r="L598" s="15">
        <f t="shared" si="185"/>
        <v>874.23668399999997</v>
      </c>
      <c r="M598" s="15">
        <v>863.44237999999996</v>
      </c>
      <c r="N598" s="14">
        <f t="shared" si="186"/>
        <v>0.87423668399999999</v>
      </c>
      <c r="O598" s="14">
        <f t="shared" si="187"/>
        <v>0.86716000000000015</v>
      </c>
      <c r="P598" s="14">
        <f t="shared" si="188"/>
        <v>7.0766839999998332E-3</v>
      </c>
      <c r="Q598" s="18">
        <f t="shared" si="189"/>
        <v>8.1607592601132799E-3</v>
      </c>
      <c r="R598" s="15">
        <f t="shared" ca="1" si="190"/>
        <v>3.1888242274052478</v>
      </c>
      <c r="S598" s="15">
        <f t="shared" si="191"/>
        <v>3.1982352688172049</v>
      </c>
      <c r="T598" s="15">
        <f t="shared" ca="1" si="192"/>
        <v>9.4110414119570329E-3</v>
      </c>
      <c r="U598" s="18">
        <f t="shared" ca="1" si="193"/>
        <v>2.942573207079132E-3</v>
      </c>
      <c r="V598" s="15">
        <f t="shared" si="194"/>
        <v>4.966666666666665</v>
      </c>
      <c r="W598" s="15">
        <f t="shared" ca="1" si="195"/>
        <v>4.8111757725947522</v>
      </c>
      <c r="X598" s="15">
        <f t="shared" ca="1" si="196"/>
        <v>0.15549089407191286</v>
      </c>
      <c r="Y598" s="35">
        <f t="shared" ca="1" si="197"/>
        <v>3.1306891423875084E-2</v>
      </c>
      <c r="Z598" s="36">
        <f t="shared" ca="1" si="198"/>
        <v>77.734109000000004</v>
      </c>
      <c r="AA598" s="18">
        <f t="shared" ca="1" si="199"/>
        <v>2.3440841708542597E-2</v>
      </c>
      <c r="AB598" s="2"/>
    </row>
    <row r="599" spans="6:28" x14ac:dyDescent="0.25">
      <c r="F599" s="14">
        <v>597</v>
      </c>
      <c r="G599" s="14">
        <f t="shared" si="180"/>
        <v>79.7</v>
      </c>
      <c r="H599" s="14">
        <f t="shared" si="181"/>
        <v>352.84999999999997</v>
      </c>
      <c r="I599" s="15">
        <f t="shared" si="182"/>
        <v>4.9749999999999996</v>
      </c>
      <c r="J599" s="15">
        <f t="shared" si="183"/>
        <v>1268.7175110000001</v>
      </c>
      <c r="K599" s="15">
        <f t="shared" si="184"/>
        <v>0.28871751099999998</v>
      </c>
      <c r="L599" s="15">
        <f t="shared" si="185"/>
        <v>872.344875</v>
      </c>
      <c r="M599" s="15">
        <v>861.48009000000002</v>
      </c>
      <c r="N599" s="14">
        <f t="shared" si="186"/>
        <v>0.87234487500000002</v>
      </c>
      <c r="O599" s="14">
        <f t="shared" si="187"/>
        <v>0.86486999999999981</v>
      </c>
      <c r="P599" s="14">
        <f t="shared" si="188"/>
        <v>7.474875000000214E-3</v>
      </c>
      <c r="Q599" s="18">
        <f t="shared" si="189"/>
        <v>8.6427729022861416E-3</v>
      </c>
      <c r="R599" s="15">
        <f t="shared" ca="1" si="190"/>
        <v>3.1815496355685133</v>
      </c>
      <c r="S599" s="15">
        <f t="shared" si="191"/>
        <v>3.1897893548387088</v>
      </c>
      <c r="T599" s="15">
        <f t="shared" ca="1" si="192"/>
        <v>8.2397192701955113E-3</v>
      </c>
      <c r="U599" s="18">
        <f t="shared" ca="1" si="193"/>
        <v>2.5831546706043076E-3</v>
      </c>
      <c r="V599" s="15">
        <f t="shared" si="194"/>
        <v>4.9749999999999996</v>
      </c>
      <c r="W599" s="15">
        <f t="shared" ca="1" si="195"/>
        <v>4.8184503644314862</v>
      </c>
      <c r="X599" s="15">
        <f t="shared" ca="1" si="196"/>
        <v>0.15654963556851342</v>
      </c>
      <c r="Y599" s="35">
        <f t="shared" ca="1" si="197"/>
        <v>3.146726343085697E-2</v>
      </c>
      <c r="Z599" s="36">
        <f t="shared" ca="1" si="198"/>
        <v>77.821404000000001</v>
      </c>
      <c r="AA599" s="18">
        <f t="shared" ca="1" si="199"/>
        <v>2.3570840652446697E-2</v>
      </c>
      <c r="AB599" s="2"/>
    </row>
    <row r="600" spans="6:28" x14ac:dyDescent="0.25">
      <c r="F600" s="14">
        <v>598</v>
      </c>
      <c r="G600" s="14">
        <f t="shared" si="180"/>
        <v>79.800000000000011</v>
      </c>
      <c r="H600" s="14">
        <f t="shared" si="181"/>
        <v>352.95</v>
      </c>
      <c r="I600" s="15">
        <f t="shared" si="182"/>
        <v>4.983333</v>
      </c>
      <c r="J600" s="15">
        <f t="shared" si="183"/>
        <v>1264.6000160000001</v>
      </c>
      <c r="K600" s="15">
        <f t="shared" si="184"/>
        <v>0.28460001600000018</v>
      </c>
      <c r="L600" s="15">
        <f t="shared" si="185"/>
        <v>870.45626400000003</v>
      </c>
      <c r="M600" s="15">
        <v>859.71689000000003</v>
      </c>
      <c r="N600" s="14">
        <f t="shared" si="186"/>
        <v>0.87045626400000009</v>
      </c>
      <c r="O600" s="14">
        <f t="shared" si="187"/>
        <v>0.86257999999999968</v>
      </c>
      <c r="P600" s="14">
        <f t="shared" si="188"/>
        <v>7.8762640000004103E-3</v>
      </c>
      <c r="Q600" s="18">
        <f t="shared" si="189"/>
        <v>9.1310533515736661E-3</v>
      </c>
      <c r="R600" s="15">
        <f t="shared" ca="1" si="190"/>
        <v>3.1746606355685132</v>
      </c>
      <c r="S600" s="15">
        <f t="shared" si="191"/>
        <v>3.1813434408602137</v>
      </c>
      <c r="T600" s="15">
        <f t="shared" ca="1" si="192"/>
        <v>6.682805291700511E-3</v>
      </c>
      <c r="U600" s="18">
        <f t="shared" ca="1" si="193"/>
        <v>2.1006236566189552E-3</v>
      </c>
      <c r="V600" s="15">
        <f t="shared" si="194"/>
        <v>4.9833333333333343</v>
      </c>
      <c r="W600" s="15">
        <f t="shared" ca="1" si="195"/>
        <v>4.8253393644314873</v>
      </c>
      <c r="X600" s="15">
        <f t="shared" ca="1" si="196"/>
        <v>0.15799396890184703</v>
      </c>
      <c r="Y600" s="35">
        <f t="shared" ca="1" si="197"/>
        <v>3.1704475364919132E-2</v>
      </c>
      <c r="Z600" s="36">
        <f t="shared" ca="1" si="198"/>
        <v>77.904071999999999</v>
      </c>
      <c r="AA600" s="18">
        <f t="shared" ca="1" si="199"/>
        <v>2.375849624060165E-2</v>
      </c>
      <c r="AB600" s="2"/>
    </row>
    <row r="601" spans="6:28" x14ac:dyDescent="0.25">
      <c r="F601" s="14">
        <v>599</v>
      </c>
      <c r="G601" s="14">
        <f t="shared" si="180"/>
        <v>79.900000000000006</v>
      </c>
      <c r="H601" s="14">
        <f t="shared" si="181"/>
        <v>353.04999999999995</v>
      </c>
      <c r="I601" s="15">
        <f t="shared" si="182"/>
        <v>4.9916669999999996</v>
      </c>
      <c r="J601" s="15">
        <f t="shared" si="183"/>
        <v>1260.4979659999999</v>
      </c>
      <c r="K601" s="15">
        <f t="shared" si="184"/>
        <v>0.28049796599999999</v>
      </c>
      <c r="L601" s="15">
        <f t="shared" si="185"/>
        <v>868.57085199999995</v>
      </c>
      <c r="M601" s="15">
        <v>857.64869999999996</v>
      </c>
      <c r="N601" s="14">
        <f t="shared" si="186"/>
        <v>0.86857085200000006</v>
      </c>
      <c r="O601" s="14">
        <f t="shared" si="187"/>
        <v>0.86028999999999978</v>
      </c>
      <c r="P601" s="14">
        <f t="shared" si="188"/>
        <v>8.2808520000002828E-3</v>
      </c>
      <c r="Q601" s="18">
        <f t="shared" si="189"/>
        <v>9.6256518150859421E-3</v>
      </c>
      <c r="R601" s="15">
        <f t="shared" ca="1" si="190"/>
        <v>3.1673874985422739</v>
      </c>
      <c r="S601" s="15">
        <f t="shared" si="191"/>
        <v>3.1728975268817194</v>
      </c>
      <c r="T601" s="15">
        <f t="shared" ca="1" si="192"/>
        <v>5.5100283394455829E-3</v>
      </c>
      <c r="U601" s="18">
        <f t="shared" ca="1" si="193"/>
        <v>1.7365919613737933E-3</v>
      </c>
      <c r="V601" s="15">
        <f t="shared" si="194"/>
        <v>4.9916666666666671</v>
      </c>
      <c r="W601" s="15">
        <f t="shared" ca="1" si="195"/>
        <v>4.8326125014577261</v>
      </c>
      <c r="X601" s="15">
        <f t="shared" ca="1" si="196"/>
        <v>0.159054165208941</v>
      </c>
      <c r="Y601" s="35">
        <f t="shared" ca="1" si="197"/>
        <v>3.1863939607801199E-2</v>
      </c>
      <c r="Z601" s="36">
        <f t="shared" ca="1" si="198"/>
        <v>77.991349999999997</v>
      </c>
      <c r="AA601" s="18">
        <f t="shared" ca="1" si="199"/>
        <v>2.3887984981226639E-2</v>
      </c>
      <c r="AB601" s="2"/>
    </row>
    <row r="602" spans="6:28" x14ac:dyDescent="0.25">
      <c r="F602" s="14">
        <v>600</v>
      </c>
      <c r="G602" s="14">
        <f t="shared" si="180"/>
        <v>80</v>
      </c>
      <c r="H602" s="14">
        <f t="shared" si="181"/>
        <v>353.15</v>
      </c>
      <c r="I602" s="15">
        <f t="shared" si="182"/>
        <v>5</v>
      </c>
      <c r="J602" s="15">
        <f t="shared" si="183"/>
        <v>1256.411296</v>
      </c>
      <c r="K602" s="15">
        <f t="shared" si="184"/>
        <v>0.27641129600000003</v>
      </c>
      <c r="L602" s="15">
        <f t="shared" si="185"/>
        <v>866.68863999999996</v>
      </c>
      <c r="M602" s="15">
        <v>855.97986000000003</v>
      </c>
      <c r="N602" s="14">
        <f t="shared" si="186"/>
        <v>0.8666886399999999</v>
      </c>
      <c r="O602" s="14">
        <f t="shared" si="187"/>
        <v>0.85799999999999987</v>
      </c>
      <c r="P602" s="14">
        <f t="shared" si="188"/>
        <v>8.6886400000000252E-3</v>
      </c>
      <c r="Q602" s="18">
        <f t="shared" si="189"/>
        <v>1.0126620046620077E-2</v>
      </c>
      <c r="R602" s="15">
        <f t="shared" ca="1" si="190"/>
        <v>3.161292227405248</v>
      </c>
      <c r="S602" s="15">
        <f t="shared" si="191"/>
        <v>3.1644516129032252</v>
      </c>
      <c r="T602" s="15">
        <f t="shared" ca="1" si="192"/>
        <v>3.1593854979772296E-3</v>
      </c>
      <c r="U602" s="18">
        <f t="shared" ca="1" si="193"/>
        <v>9.9839905438738942E-4</v>
      </c>
      <c r="V602" s="15">
        <f t="shared" si="194"/>
        <v>5</v>
      </c>
      <c r="W602" s="15">
        <f t="shared" ca="1" si="195"/>
        <v>4.838707772594752</v>
      </c>
      <c r="X602" s="15">
        <f t="shared" ca="1" si="196"/>
        <v>0.16129222740524796</v>
      </c>
      <c r="Y602" s="35">
        <f t="shared" ca="1" si="197"/>
        <v>3.2258445481049593E-2</v>
      </c>
      <c r="Z602" s="36">
        <f t="shared" ca="1" si="198"/>
        <v>78.064492999999999</v>
      </c>
      <c r="AA602" s="18">
        <f t="shared" ca="1" si="199"/>
        <v>2.4193837500000016E-2</v>
      </c>
      <c r="AB602" s="2"/>
    </row>
  </sheetData>
  <mergeCells count="4">
    <mergeCell ref="A20:C20"/>
    <mergeCell ref="C26:C28"/>
    <mergeCell ref="A40:C40"/>
    <mergeCell ref="A1:C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A383-ED84-4AD0-97EF-5ABAC74CC455}">
  <dimension ref="A1:K602"/>
  <sheetViews>
    <sheetView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9.140625" style="3"/>
    <col min="2" max="2" width="14.28515625" style="3" customWidth="1"/>
    <col min="3" max="3" width="11.42578125" style="3" customWidth="1"/>
    <col min="4" max="4" width="11.42578125" customWidth="1"/>
    <col min="5" max="5" width="9.140625" style="10"/>
    <col min="6" max="6" width="18.42578125" style="10" customWidth="1"/>
    <col min="7" max="8" width="18.42578125" customWidth="1"/>
    <col min="9" max="9" width="14.85546875" style="10" customWidth="1"/>
    <col min="10" max="10" width="16.5703125" customWidth="1"/>
    <col min="11" max="11" width="13.5703125" customWidth="1"/>
  </cols>
  <sheetData>
    <row r="1" spans="1:11" x14ac:dyDescent="0.25">
      <c r="A1" s="3" t="s">
        <v>0</v>
      </c>
      <c r="B1" s="3" t="s">
        <v>71</v>
      </c>
      <c r="C1" s="3" t="s">
        <v>72</v>
      </c>
      <c r="E1" s="10" t="s">
        <v>73</v>
      </c>
      <c r="F1" s="10" t="s">
        <v>74</v>
      </c>
      <c r="I1" s="10" t="s">
        <v>75</v>
      </c>
    </row>
    <row r="2" spans="1:11" x14ac:dyDescent="0.25">
      <c r="A2" s="3" cm="1">
        <f t="array" ref="A2:A602">_xlfn.SEQUENCE(601,1,0,1)</f>
        <v>0</v>
      </c>
      <c r="B2" s="3">
        <f>0.1*A2+20</f>
        <v>20</v>
      </c>
      <c r="C2" s="12">
        <f>ROUND(1/12*B2-5/3,6)</f>
        <v>0</v>
      </c>
      <c r="D2" s="7"/>
      <c r="E2" s="10">
        <f>(ADC!I2+5/3)/(1/12)</f>
        <v>19.923496400000001</v>
      </c>
      <c r="F2" s="11">
        <f t="shared" ref="F2:F65" si="0">ABS(B2-E2)/B2</f>
        <v>3.8251799999999394E-3</v>
      </c>
      <c r="G2" s="8" t="s">
        <v>76</v>
      </c>
      <c r="H2" s="8">
        <f>MAX(F:F)</f>
        <v>3.767485794817315E-2</v>
      </c>
      <c r="I2" s="10">
        <f>ABS(C2-ADC!I2)</f>
        <v>6.3753000000000004E-3</v>
      </c>
      <c r="J2" s="9" t="s">
        <v>78</v>
      </c>
      <c r="K2" s="9">
        <f>MAX(I:I)</f>
        <v>9.9134977986247819E-2</v>
      </c>
    </row>
    <row r="3" spans="1:11" x14ac:dyDescent="0.25">
      <c r="A3" s="3">
        <v>1</v>
      </c>
      <c r="B3" s="3">
        <f t="shared" ref="B3:B66" si="1">0.1*A3+20</f>
        <v>20.100000000000001</v>
      </c>
      <c r="C3" s="12">
        <f t="shared" ref="C3:C66" si="2">ROUND(1/12*B3-5/3,6)</f>
        <v>8.3330000000000001E-3</v>
      </c>
      <c r="D3" s="7"/>
      <c r="E3" s="10">
        <f>(ADC!I3+5/3)/(1/12)</f>
        <v>20.239456183585826</v>
      </c>
      <c r="F3" s="11">
        <f t="shared" si="0"/>
        <v>6.938118586359442E-3</v>
      </c>
      <c r="G3" s="8" t="s">
        <v>77</v>
      </c>
      <c r="H3" s="8">
        <f>MIN(F:F)</f>
        <v>2.8376795132122363E-5</v>
      </c>
      <c r="I3" s="10">
        <f>ABS(C3-ADC!I3)</f>
        <v>1.162168196548553E-2</v>
      </c>
      <c r="J3" s="9" t="s">
        <v>79</v>
      </c>
      <c r="K3" s="9">
        <f>MIN(I:I)</f>
        <v>4.9283304936184602E-5</v>
      </c>
    </row>
    <row r="4" spans="1:11" x14ac:dyDescent="0.25">
      <c r="A4" s="3">
        <v>2</v>
      </c>
      <c r="B4" s="3">
        <f t="shared" si="1"/>
        <v>20.2</v>
      </c>
      <c r="C4" s="12">
        <f t="shared" si="2"/>
        <v>1.6667000000000001E-2</v>
      </c>
      <c r="D4" s="7"/>
      <c r="E4" s="10">
        <f>(ADC!I4+5/3)/(1/12)</f>
        <v>20.307708818373879</v>
      </c>
      <c r="F4" s="11">
        <f t="shared" si="0"/>
        <v>5.3321197214791817E-3</v>
      </c>
      <c r="G4" s="2"/>
      <c r="H4" s="2"/>
      <c r="I4" s="10">
        <f>ABS(C4-ADC!I4)</f>
        <v>8.9754015311565745E-3</v>
      </c>
    </row>
    <row r="5" spans="1:11" x14ac:dyDescent="0.25">
      <c r="A5" s="3">
        <v>3</v>
      </c>
      <c r="B5" s="3">
        <f t="shared" si="1"/>
        <v>20.3</v>
      </c>
      <c r="C5" s="12">
        <f t="shared" si="2"/>
        <v>2.5000000000000001E-2</v>
      </c>
      <c r="D5" s="7"/>
      <c r="E5" s="10">
        <f>(ADC!I5+5/3)/(1/12)</f>
        <v>20.387968909279618</v>
      </c>
      <c r="F5" s="11">
        <f t="shared" si="0"/>
        <v>4.3334438068776838E-3</v>
      </c>
      <c r="G5" s="2"/>
      <c r="H5" s="2"/>
      <c r="I5" s="10">
        <f>ABS(C5-ADC!I5)</f>
        <v>7.3307424399679383E-3</v>
      </c>
    </row>
    <row r="6" spans="1:11" x14ac:dyDescent="0.25">
      <c r="A6" s="3">
        <v>4</v>
      </c>
      <c r="B6" s="3">
        <f t="shared" si="1"/>
        <v>20.399999999999999</v>
      </c>
      <c r="C6" s="12">
        <f t="shared" si="2"/>
        <v>3.3333000000000002E-2</v>
      </c>
      <c r="D6" s="7"/>
      <c r="E6" s="10">
        <f>(ADC!I6+5/3)/(1/12)</f>
        <v>20.45689193399387</v>
      </c>
      <c r="F6" s="11">
        <f t="shared" si="0"/>
        <v>2.7888202938172028E-3</v>
      </c>
      <c r="G6" s="2"/>
      <c r="H6" s="2"/>
      <c r="I6" s="10">
        <f>ABS(C6-ADC!I6)</f>
        <v>4.7413278328223424E-3</v>
      </c>
    </row>
    <row r="7" spans="1:11" x14ac:dyDescent="0.25">
      <c r="A7" s="3">
        <v>5</v>
      </c>
      <c r="B7" s="3">
        <f t="shared" si="1"/>
        <v>20.5</v>
      </c>
      <c r="C7" s="12">
        <f t="shared" si="2"/>
        <v>4.1667000000000003E-2</v>
      </c>
      <c r="D7" s="7"/>
      <c r="E7" s="10">
        <f>(ADC!I7+5/3)/(1/12)</f>
        <v>20.537803144556765</v>
      </c>
      <c r="F7" s="11">
        <f t="shared" si="0"/>
        <v>1.8440558320373186E-3</v>
      </c>
      <c r="G7" s="2"/>
      <c r="H7" s="2"/>
      <c r="I7" s="10">
        <f>ABS(C7-ADC!I7)</f>
        <v>3.1499287130634934E-3</v>
      </c>
    </row>
    <row r="8" spans="1:11" x14ac:dyDescent="0.25">
      <c r="A8" s="3">
        <v>6</v>
      </c>
      <c r="B8" s="3">
        <f t="shared" si="1"/>
        <v>20.6</v>
      </c>
      <c r="C8" s="12">
        <f t="shared" si="2"/>
        <v>0.05</v>
      </c>
      <c r="D8" s="7"/>
      <c r="E8" s="10">
        <f>(ADC!I8+5/3)/(1/12)</f>
        <v>20.619034998917343</v>
      </c>
      <c r="F8" s="11">
        <f t="shared" si="0"/>
        <v>9.2402907365734383E-4</v>
      </c>
      <c r="G8" s="2"/>
      <c r="H8" s="2"/>
      <c r="I8" s="10">
        <f>ABS(C8-ADC!I8)</f>
        <v>1.5862499097782506E-3</v>
      </c>
    </row>
    <row r="9" spans="1:11" x14ac:dyDescent="0.25">
      <c r="A9" s="3">
        <v>7</v>
      </c>
      <c r="B9" s="3">
        <f t="shared" si="1"/>
        <v>20.7</v>
      </c>
      <c r="C9" s="12">
        <f t="shared" si="2"/>
        <v>5.8333000000000003E-2</v>
      </c>
      <c r="D9" s="7"/>
      <c r="E9" s="10">
        <f>(ADC!I9+5/3)/(1/12)</f>
        <v>20.700587399659234</v>
      </c>
      <c r="F9" s="11">
        <f t="shared" si="0"/>
        <v>2.8376795132122363E-5</v>
      </c>
      <c r="G9" s="2"/>
      <c r="H9" s="2"/>
      <c r="I9" s="10">
        <f>ABS(C9-ADC!I9)</f>
        <v>4.9283304936184602E-5</v>
      </c>
    </row>
    <row r="10" spans="1:11" x14ac:dyDescent="0.25">
      <c r="A10" s="3">
        <v>8</v>
      </c>
      <c r="B10" s="3">
        <f t="shared" si="1"/>
        <v>20.8</v>
      </c>
      <c r="C10" s="12">
        <f t="shared" si="2"/>
        <v>6.6667000000000004E-2</v>
      </c>
      <c r="D10" s="7"/>
      <c r="E10" s="10">
        <f>(ADC!I10+5/3)/(1/12)</f>
        <v>20.782460242033718</v>
      </c>
      <c r="F10" s="11">
        <f t="shared" si="0"/>
        <v>8.4325759453282784E-4</v>
      </c>
      <c r="G10" s="2"/>
      <c r="H10" s="2"/>
      <c r="I10" s="10">
        <f>ABS(C10-ADC!I10)</f>
        <v>1.4619798305237353E-3</v>
      </c>
    </row>
    <row r="11" spans="1:11" x14ac:dyDescent="0.25">
      <c r="A11" s="3">
        <v>9</v>
      </c>
      <c r="B11" s="3">
        <f t="shared" si="1"/>
        <v>20.9</v>
      </c>
      <c r="C11" s="12">
        <f t="shared" si="2"/>
        <v>7.4999999999999997E-2</v>
      </c>
      <c r="D11" s="7"/>
      <c r="E11" s="10">
        <f>(ADC!I11+5/3)/(1/12)</f>
        <v>20.864653420943018</v>
      </c>
      <c r="F11" s="11">
        <f t="shared" si="0"/>
        <v>1.6912238783244348E-3</v>
      </c>
      <c r="G11" s="2"/>
      <c r="H11" s="2"/>
      <c r="I11" s="10">
        <f>ABS(C11-ADC!I11)</f>
        <v>2.9455482547488393E-3</v>
      </c>
    </row>
    <row r="12" spans="1:11" x14ac:dyDescent="0.25">
      <c r="A12" s="3">
        <v>10</v>
      </c>
      <c r="B12" s="3">
        <f t="shared" si="1"/>
        <v>21</v>
      </c>
      <c r="C12" s="12">
        <f t="shared" si="2"/>
        <v>8.3333000000000004E-2</v>
      </c>
      <c r="D12" s="7"/>
      <c r="E12" s="10">
        <f>(ADC!I12+5/3)/(1/12)</f>
        <v>20.947166817671835</v>
      </c>
      <c r="F12" s="11">
        <f t="shared" si="0"/>
        <v>2.5158658251506999E-3</v>
      </c>
      <c r="G12" s="2"/>
      <c r="H12" s="2"/>
      <c r="I12" s="10">
        <f>ABS(C12-ADC!I12)</f>
        <v>4.4024318606803725E-3</v>
      </c>
    </row>
    <row r="13" spans="1:11" x14ac:dyDescent="0.25">
      <c r="A13" s="3">
        <v>11</v>
      </c>
      <c r="B13" s="3">
        <f t="shared" si="1"/>
        <v>21.1</v>
      </c>
      <c r="C13" s="12">
        <f t="shared" si="2"/>
        <v>9.1666999999999998E-2</v>
      </c>
      <c r="D13" s="7"/>
      <c r="E13" s="10">
        <f>(ADC!I13+5/3)/(1/12)</f>
        <v>21.018410147921216</v>
      </c>
      <c r="F13" s="11">
        <f t="shared" si="0"/>
        <v>3.8668176340656605E-3</v>
      </c>
      <c r="G13" s="2"/>
      <c r="H13" s="2"/>
      <c r="I13" s="10">
        <f>ABS(C13-ADC!I13)</f>
        <v>6.7994876732319909E-3</v>
      </c>
    </row>
    <row r="14" spans="1:11" x14ac:dyDescent="0.25">
      <c r="A14" s="3">
        <v>12</v>
      </c>
      <c r="B14" s="3">
        <f t="shared" si="1"/>
        <v>21.2</v>
      </c>
      <c r="C14" s="12">
        <f t="shared" si="2"/>
        <v>0.1</v>
      </c>
      <c r="D14" s="7"/>
      <c r="E14" s="10">
        <f>(ADC!I14+5/3)/(1/12)</f>
        <v>21.101573369613455</v>
      </c>
      <c r="F14" s="11">
        <f t="shared" si="0"/>
        <v>4.6427655842709737E-3</v>
      </c>
      <c r="G14" s="2"/>
      <c r="H14" s="2"/>
      <c r="I14" s="10">
        <f>ABS(C14-ADC!I14)</f>
        <v>8.2022191988789239E-3</v>
      </c>
    </row>
    <row r="15" spans="1:11" x14ac:dyDescent="0.25">
      <c r="A15" s="3">
        <v>13</v>
      </c>
      <c r="B15" s="3">
        <f t="shared" si="1"/>
        <v>21.3</v>
      </c>
      <c r="C15" s="12">
        <f t="shared" si="2"/>
        <v>0.108333</v>
      </c>
      <c r="D15" s="7"/>
      <c r="E15" s="10">
        <f>(ADC!I15+5/3)/(1/12)</f>
        <v>21.185056454376284</v>
      </c>
      <c r="F15" s="11">
        <f t="shared" si="0"/>
        <v>5.3964105926627755E-3</v>
      </c>
      <c r="G15" s="2"/>
      <c r="H15" s="2"/>
      <c r="I15" s="10">
        <f>ABS(C15-ADC!I15)</f>
        <v>9.5782954686431665E-3</v>
      </c>
    </row>
    <row r="16" spans="1:11" x14ac:dyDescent="0.25">
      <c r="A16" s="3">
        <v>14</v>
      </c>
      <c r="B16" s="3">
        <f t="shared" si="1"/>
        <v>21.4</v>
      </c>
      <c r="C16" s="12">
        <f t="shared" si="2"/>
        <v>0.11666700000000001</v>
      </c>
      <c r="D16" s="7"/>
      <c r="E16" s="10">
        <f>(ADC!I16+5/3)/(1/12)</f>
        <v>21.2688592621958</v>
      </c>
      <c r="F16" s="11">
        <f t="shared" si="0"/>
        <v>6.1280718600092736E-3</v>
      </c>
      <c r="G16" s="2"/>
      <c r="H16" s="2"/>
      <c r="I16" s="10">
        <f>ABS(C16-ADC!I16)</f>
        <v>1.0928728150350175E-2</v>
      </c>
    </row>
    <row r="17" spans="1:9" x14ac:dyDescent="0.25">
      <c r="A17" s="3">
        <v>15</v>
      </c>
      <c r="B17" s="3">
        <f t="shared" si="1"/>
        <v>21.5</v>
      </c>
      <c r="C17" s="12">
        <f t="shared" si="2"/>
        <v>0.125</v>
      </c>
      <c r="D17" s="7"/>
      <c r="E17" s="10">
        <f>(ADC!I17+5/3)/(1/12)</f>
        <v>21.352981651660887</v>
      </c>
      <c r="F17" s="11">
        <f t="shared" si="0"/>
        <v>6.8380627134471258E-3</v>
      </c>
      <c r="G17" s="2"/>
      <c r="H17" s="2"/>
      <c r="I17" s="10">
        <f>ABS(C17-ADC!I17)</f>
        <v>1.2251529028259669E-2</v>
      </c>
    </row>
    <row r="18" spans="1:9" x14ac:dyDescent="0.25">
      <c r="A18" s="3">
        <v>16</v>
      </c>
      <c r="B18" s="3">
        <f t="shared" si="1"/>
        <v>21.6</v>
      </c>
      <c r="C18" s="12">
        <f t="shared" si="2"/>
        <v>0.13333300000000001</v>
      </c>
      <c r="D18" s="7"/>
      <c r="E18" s="10">
        <f>(ADC!I18+5/3)/(1/12)</f>
        <v>21.425882325598536</v>
      </c>
      <c r="F18" s="11">
        <f t="shared" si="0"/>
        <v>8.0610034445122766E-3</v>
      </c>
      <c r="G18" s="2"/>
      <c r="H18" s="2"/>
      <c r="I18" s="10">
        <f>ABS(C18-ADC!I18)</f>
        <v>1.4509472866788761E-2</v>
      </c>
    </row>
    <row r="19" spans="1:9" x14ac:dyDescent="0.25">
      <c r="A19" s="3">
        <v>17</v>
      </c>
      <c r="B19" s="3">
        <f t="shared" si="1"/>
        <v>21.7</v>
      </c>
      <c r="C19" s="12">
        <f t="shared" si="2"/>
        <v>0.14166699999999999</v>
      </c>
      <c r="D19" s="7"/>
      <c r="E19" s="10">
        <f>(ADC!I19+5/3)/(1/12)</f>
        <v>21.510653285137725</v>
      </c>
      <c r="F19" s="11">
        <f t="shared" si="0"/>
        <v>8.7256550627776378E-3</v>
      </c>
      <c r="G19" s="2"/>
      <c r="H19" s="2"/>
      <c r="I19" s="10">
        <f>ABS(C19-ADC!I19)</f>
        <v>1.5779226238523236E-2</v>
      </c>
    </row>
    <row r="20" spans="1:9" x14ac:dyDescent="0.25">
      <c r="A20" s="3">
        <v>18</v>
      </c>
      <c r="B20" s="3">
        <f t="shared" si="1"/>
        <v>21.8</v>
      </c>
      <c r="C20" s="12">
        <f t="shared" si="2"/>
        <v>0.15</v>
      </c>
      <c r="D20" s="7"/>
      <c r="E20" s="10">
        <f>(ADC!I20+5/3)/(1/12)</f>
        <v>21.595743381140707</v>
      </c>
      <c r="F20" s="11">
        <f t="shared" si="0"/>
        <v>9.3695696724446602E-3</v>
      </c>
      <c r="G20" s="2"/>
      <c r="H20" s="2"/>
      <c r="I20" s="10">
        <f>ABS(C20-ADC!I20)</f>
        <v>1.70213849049414E-2</v>
      </c>
    </row>
    <row r="21" spans="1:9" x14ac:dyDescent="0.25">
      <c r="A21" s="3">
        <v>19</v>
      </c>
      <c r="B21" s="3">
        <f t="shared" si="1"/>
        <v>21.9</v>
      </c>
      <c r="C21" s="12">
        <f t="shared" si="2"/>
        <v>0.158333</v>
      </c>
      <c r="D21" s="7"/>
      <c r="E21" s="10">
        <f>(ADC!I21+5/3)/(1/12)</f>
        <v>21.681152450199619</v>
      </c>
      <c r="F21" s="11">
        <f t="shared" si="0"/>
        <v>9.9930388036703049E-3</v>
      </c>
      <c r="G21" s="2"/>
      <c r="H21" s="2"/>
      <c r="I21" s="10">
        <f>ABS(C21-ADC!I21)</f>
        <v>1.8236962483365232E-2</v>
      </c>
    </row>
    <row r="22" spans="1:9" x14ac:dyDescent="0.25">
      <c r="A22" s="3">
        <v>20</v>
      </c>
      <c r="B22" s="3">
        <f t="shared" si="1"/>
        <v>22</v>
      </c>
      <c r="C22" s="12">
        <f t="shared" si="2"/>
        <v>0.16666700000000001</v>
      </c>
      <c r="D22" s="7"/>
      <c r="E22" s="10">
        <f>(ADC!I22+5/3)/(1/12)</f>
        <v>21.75537878037246</v>
      </c>
      <c r="F22" s="11">
        <f t="shared" si="0"/>
        <v>1.1119146346706349E-2</v>
      </c>
      <c r="G22" s="2"/>
      <c r="H22" s="2"/>
      <c r="I22" s="10">
        <f>ABS(C22-ADC!I22)</f>
        <v>2.0385434968961835E-2</v>
      </c>
    </row>
    <row r="23" spans="1:9" x14ac:dyDescent="0.25">
      <c r="A23" s="3">
        <v>21</v>
      </c>
      <c r="B23" s="3">
        <f t="shared" si="1"/>
        <v>22.1</v>
      </c>
      <c r="C23" s="12">
        <f t="shared" si="2"/>
        <v>0.17499999999999999</v>
      </c>
      <c r="D23" s="7"/>
      <c r="E23" s="10">
        <f>(ADC!I23+5/3)/(1/12)</f>
        <v>21.841435216641074</v>
      </c>
      <c r="F23" s="11">
        <f t="shared" si="0"/>
        <v>1.1699763952892657E-2</v>
      </c>
      <c r="G23" s="2"/>
      <c r="H23" s="2"/>
      <c r="I23" s="10">
        <f>ABS(C23-ADC!I23)</f>
        <v>2.154706527991071E-2</v>
      </c>
    </row>
    <row r="24" spans="1:9" x14ac:dyDescent="0.25">
      <c r="A24" s="3">
        <v>22</v>
      </c>
      <c r="B24" s="3">
        <f t="shared" si="1"/>
        <v>22.2</v>
      </c>
      <c r="C24" s="12">
        <f t="shared" si="2"/>
        <v>0.183333</v>
      </c>
      <c r="D24" s="7"/>
      <c r="E24" s="10">
        <f>(ADC!I24+5/3)/(1/12)</f>
        <v>21.927810115141064</v>
      </c>
      <c r="F24" s="11">
        <f t="shared" si="0"/>
        <v>1.2260805624276373E-2</v>
      </c>
      <c r="G24" s="2"/>
      <c r="H24" s="2"/>
      <c r="I24" s="10">
        <f>ABS(C24-ADC!I24)</f>
        <v>2.2682157071578279E-2</v>
      </c>
    </row>
    <row r="25" spans="1:9" x14ac:dyDescent="0.25">
      <c r="A25" s="3">
        <v>23</v>
      </c>
      <c r="B25" s="3">
        <f t="shared" si="1"/>
        <v>22.3</v>
      </c>
      <c r="C25" s="12">
        <f t="shared" si="2"/>
        <v>0.191667</v>
      </c>
      <c r="D25" s="7"/>
      <c r="E25" s="10">
        <f>(ADC!I25+5/3)/(1/12)</f>
        <v>22.003031672826456</v>
      </c>
      <c r="F25" s="11">
        <f t="shared" si="0"/>
        <v>1.3316965344105149E-2</v>
      </c>
      <c r="G25" s="2"/>
      <c r="H25" s="2"/>
      <c r="I25" s="10">
        <f>ABS(C25-ADC!I25)</f>
        <v>2.4747693931128772E-2</v>
      </c>
    </row>
    <row r="26" spans="1:9" x14ac:dyDescent="0.25">
      <c r="A26" s="3">
        <v>24</v>
      </c>
      <c r="B26" s="3">
        <f t="shared" si="1"/>
        <v>22.4</v>
      </c>
      <c r="C26" s="12">
        <f t="shared" si="2"/>
        <v>0.2</v>
      </c>
      <c r="D26" s="7"/>
      <c r="E26" s="10">
        <f>(ADC!I26+5/3)/(1/12)</f>
        <v>22.090052927362102</v>
      </c>
      <c r="F26" s="11">
        <f t="shared" si="0"/>
        <v>1.3836922885620393E-2</v>
      </c>
      <c r="G26" s="2"/>
      <c r="H26" s="2"/>
      <c r="I26" s="10">
        <f>ABS(C26-ADC!I26)</f>
        <v>2.5828922719824982E-2</v>
      </c>
    </row>
    <row r="27" spans="1:9" x14ac:dyDescent="0.25">
      <c r="A27" s="3">
        <v>25</v>
      </c>
      <c r="B27" s="3">
        <f t="shared" si="1"/>
        <v>22.5</v>
      </c>
      <c r="C27" s="12">
        <f t="shared" si="2"/>
        <v>0.20833299999999999</v>
      </c>
      <c r="D27" s="7"/>
      <c r="E27" s="10">
        <f>(ADC!I27+5/3)/(1/12)</f>
        <v>22.177392070455344</v>
      </c>
      <c r="F27" s="11">
        <f t="shared" si="0"/>
        <v>1.4338130201984711E-2</v>
      </c>
      <c r="G27" s="2"/>
      <c r="H27" s="2"/>
      <c r="I27" s="10">
        <f>ABS(C27-ADC!I27)</f>
        <v>2.6883660795388037E-2</v>
      </c>
    </row>
    <row r="28" spans="1:9" x14ac:dyDescent="0.25">
      <c r="A28" s="3">
        <v>26</v>
      </c>
      <c r="B28" s="3">
        <f t="shared" si="1"/>
        <v>22.6</v>
      </c>
      <c r="C28" s="12">
        <f t="shared" si="2"/>
        <v>0.216667</v>
      </c>
      <c r="D28" s="7"/>
      <c r="E28" s="10">
        <f>(ADC!I28+5/3)/(1/12)</f>
        <v>22.253607424087804</v>
      </c>
      <c r="F28" s="11">
        <f t="shared" si="0"/>
        <v>1.5327105128858307E-2</v>
      </c>
      <c r="G28" s="2"/>
      <c r="H28" s="2"/>
      <c r="I28" s="10">
        <f>ABS(C28-ADC!I28)</f>
        <v>2.886638132601646E-2</v>
      </c>
    </row>
    <row r="29" spans="1:9" x14ac:dyDescent="0.25">
      <c r="A29" s="3">
        <v>27</v>
      </c>
      <c r="B29" s="3">
        <f t="shared" si="1"/>
        <v>22.7</v>
      </c>
      <c r="C29" s="12">
        <f t="shared" si="2"/>
        <v>0.22500000000000001</v>
      </c>
      <c r="D29" s="7"/>
      <c r="E29" s="10">
        <f>(ADC!I29+5/3)/(1/12)</f>
        <v>22.341591807293845</v>
      </c>
      <c r="F29" s="11">
        <f t="shared" si="0"/>
        <v>1.5788907167671982E-2</v>
      </c>
      <c r="G29" s="2"/>
      <c r="H29" s="2"/>
      <c r="I29" s="10">
        <f>ABS(C29-ADC!I29)</f>
        <v>2.9867349392179776E-2</v>
      </c>
    </row>
    <row r="30" spans="1:9" x14ac:dyDescent="0.25">
      <c r="A30" s="3">
        <v>28</v>
      </c>
      <c r="B30" s="3">
        <f t="shared" si="1"/>
        <v>22.8</v>
      </c>
      <c r="C30" s="12">
        <f t="shared" si="2"/>
        <v>0.23333300000000001</v>
      </c>
      <c r="D30" s="7"/>
      <c r="E30" s="10">
        <f>(ADC!I30+5/3)/(1/12)</f>
        <v>22.429893463833668</v>
      </c>
      <c r="F30" s="11">
        <f t="shared" si="0"/>
        <v>1.6232742814312827E-2</v>
      </c>
      <c r="G30" s="2"/>
      <c r="H30" s="2"/>
      <c r="I30" s="10">
        <f>ABS(C30-ADC!I30)</f>
        <v>3.0841878013861124E-2</v>
      </c>
    </row>
    <row r="31" spans="1:9" x14ac:dyDescent="0.25">
      <c r="A31" s="3">
        <v>29</v>
      </c>
      <c r="B31" s="3">
        <f t="shared" si="1"/>
        <v>22.9</v>
      </c>
      <c r="C31" s="12">
        <f t="shared" si="2"/>
        <v>0.24166699999999999</v>
      </c>
      <c r="D31" s="7"/>
      <c r="E31" s="10">
        <f>(ADC!I31+5/3)/(1/12)</f>
        <v>22.507101009361332</v>
      </c>
      <c r="F31" s="11">
        <f t="shared" si="0"/>
        <v>1.7157161163260562E-2</v>
      </c>
      <c r="G31" s="2"/>
      <c r="H31" s="2"/>
      <c r="I31" s="10">
        <f>ABS(C31-ADC!I31)</f>
        <v>3.2741915886555784E-2</v>
      </c>
    </row>
    <row r="32" spans="1:9" x14ac:dyDescent="0.25">
      <c r="A32" s="3">
        <v>30</v>
      </c>
      <c r="B32" s="3">
        <f t="shared" si="1"/>
        <v>23</v>
      </c>
      <c r="C32" s="12">
        <f t="shared" si="2"/>
        <v>0.25</v>
      </c>
      <c r="D32" s="7"/>
      <c r="E32" s="10">
        <f>(ADC!I32+5/3)/(1/12)</f>
        <v>22.59604667975573</v>
      </c>
      <c r="F32" s="11">
        <f t="shared" si="0"/>
        <v>1.7563187836707381E-2</v>
      </c>
      <c r="G32" s="2"/>
      <c r="H32" s="2"/>
      <c r="I32" s="10">
        <f>ABS(C32-ADC!I32)</f>
        <v>3.36627766870225E-2</v>
      </c>
    </row>
    <row r="33" spans="1:9" x14ac:dyDescent="0.25">
      <c r="A33" s="3">
        <v>31</v>
      </c>
      <c r="B33" s="3">
        <f t="shared" si="1"/>
        <v>23.1</v>
      </c>
      <c r="C33" s="12">
        <f t="shared" si="2"/>
        <v>0.25833299999999998</v>
      </c>
      <c r="D33" s="7"/>
      <c r="E33" s="10">
        <f>(ADC!I33+5/3)/(1/12)</f>
        <v>22.673918113458015</v>
      </c>
      <c r="F33" s="11">
        <f t="shared" si="0"/>
        <v>1.8445103313505906E-2</v>
      </c>
      <c r="G33" s="2"/>
      <c r="H33" s="2"/>
      <c r="I33" s="10">
        <f>ABS(C33-ADC!I33)</f>
        <v>3.5506490545165387E-2</v>
      </c>
    </row>
    <row r="34" spans="1:9" x14ac:dyDescent="0.25">
      <c r="A34" s="3">
        <v>32</v>
      </c>
      <c r="B34" s="3">
        <f t="shared" si="1"/>
        <v>23.2</v>
      </c>
      <c r="C34" s="12">
        <f t="shared" si="2"/>
        <v>0.26666699999999999</v>
      </c>
      <c r="D34" s="7"/>
      <c r="E34" s="10">
        <f>(ADC!I34+5/3)/(1/12)</f>
        <v>22.763506933181311</v>
      </c>
      <c r="F34" s="11">
        <f t="shared" si="0"/>
        <v>1.8814356328391721E-2</v>
      </c>
      <c r="G34" s="2"/>
      <c r="H34" s="2"/>
      <c r="I34" s="10">
        <f>ABS(C34-ADC!I34)</f>
        <v>3.6374755568224421E-2</v>
      </c>
    </row>
    <row r="35" spans="1:9" x14ac:dyDescent="0.25">
      <c r="A35" s="3">
        <v>33</v>
      </c>
      <c r="B35" s="3">
        <f t="shared" si="1"/>
        <v>23.3</v>
      </c>
      <c r="C35" s="12">
        <f t="shared" si="2"/>
        <v>0.27500000000000002</v>
      </c>
      <c r="D35" s="7"/>
      <c r="E35" s="10">
        <f>(ADC!I35+5/3)/(1/12)</f>
        <v>22.842041454079613</v>
      </c>
      <c r="F35" s="11">
        <f t="shared" si="0"/>
        <v>1.9654873215467279E-2</v>
      </c>
      <c r="G35" s="2"/>
      <c r="H35" s="2"/>
      <c r="I35" s="10">
        <f>ABS(C35-ADC!I35)</f>
        <v>3.8163212160032434E-2</v>
      </c>
    </row>
    <row r="36" spans="1:9" x14ac:dyDescent="0.25">
      <c r="A36" s="3">
        <v>34</v>
      </c>
      <c r="B36" s="3">
        <f t="shared" si="1"/>
        <v>23.4</v>
      </c>
      <c r="C36" s="12">
        <f t="shared" si="2"/>
        <v>0.283333</v>
      </c>
      <c r="D36" s="7"/>
      <c r="E36" s="10">
        <f>(ADC!I36+5/3)/(1/12)</f>
        <v>22.932272517055349</v>
      </c>
      <c r="F36" s="11">
        <f t="shared" si="0"/>
        <v>1.9988353971993573E-2</v>
      </c>
      <c r="G36" s="2"/>
      <c r="H36" s="2"/>
      <c r="I36" s="10">
        <f>ABS(C36-ADC!I36)</f>
        <v>3.8976956912054217E-2</v>
      </c>
    </row>
    <row r="37" spans="1:9" x14ac:dyDescent="0.25">
      <c r="A37" s="3">
        <v>35</v>
      </c>
      <c r="B37" s="3">
        <f t="shared" si="1"/>
        <v>23.5</v>
      </c>
      <c r="C37" s="12">
        <f t="shared" si="2"/>
        <v>0.29166700000000001</v>
      </c>
      <c r="D37" s="7"/>
      <c r="E37" s="10">
        <f>(ADC!I37+5/3)/(1/12)</f>
        <v>23.022819220332519</v>
      </c>
      <c r="F37" s="11">
        <f t="shared" si="0"/>
        <v>2.030556509223325E-2</v>
      </c>
      <c r="G37" s="2"/>
      <c r="H37" s="2"/>
      <c r="I37" s="10">
        <f>ABS(C37-ADC!I37)</f>
        <v>3.9765398305623534E-2</v>
      </c>
    </row>
    <row r="38" spans="1:9" x14ac:dyDescent="0.25">
      <c r="A38" s="3">
        <v>36</v>
      </c>
      <c r="B38" s="3">
        <f t="shared" si="1"/>
        <v>23.6</v>
      </c>
      <c r="C38" s="12">
        <f t="shared" si="2"/>
        <v>0.3</v>
      </c>
      <c r="D38" s="7"/>
      <c r="E38" s="10">
        <f>(ADC!I38+5/3)/(1/12)</f>
        <v>23.102341623066291</v>
      </c>
      <c r="F38" s="11">
        <f t="shared" si="0"/>
        <v>2.1087219361597898E-2</v>
      </c>
      <c r="G38" s="2"/>
      <c r="H38" s="2"/>
      <c r="I38" s="10">
        <f>ABS(C38-ADC!I38)</f>
        <v>4.1471531411142737E-2</v>
      </c>
    </row>
    <row r="39" spans="1:9" x14ac:dyDescent="0.25">
      <c r="A39" s="3">
        <v>37</v>
      </c>
      <c r="B39" s="3">
        <f t="shared" si="1"/>
        <v>23.7</v>
      </c>
      <c r="C39" s="12">
        <f t="shared" si="2"/>
        <v>0.30833300000000002</v>
      </c>
      <c r="D39" s="7"/>
      <c r="E39" s="10">
        <f>(ADC!I39+5/3)/(1/12)</f>
        <v>23.193529094734323</v>
      </c>
      <c r="F39" s="11">
        <f t="shared" si="0"/>
        <v>2.1370080390956791E-2</v>
      </c>
      <c r="G39" s="2"/>
      <c r="H39" s="2"/>
      <c r="I39" s="10">
        <f>ABS(C39-ADC!I39)</f>
        <v>4.2205575438806486E-2</v>
      </c>
    </row>
    <row r="40" spans="1:9" x14ac:dyDescent="0.25">
      <c r="A40" s="3">
        <v>38</v>
      </c>
      <c r="B40" s="3">
        <f t="shared" si="1"/>
        <v>23.8</v>
      </c>
      <c r="C40" s="12">
        <f t="shared" si="2"/>
        <v>0.31666699999999998</v>
      </c>
      <c r="D40" s="7"/>
      <c r="E40" s="10">
        <f>(ADC!I40+5/3)/(1/12)</f>
        <v>23.27371234758126</v>
      </c>
      <c r="F40" s="11">
        <f t="shared" si="0"/>
        <v>2.2112926572216016E-2</v>
      </c>
      <c r="G40" s="2"/>
      <c r="H40" s="2"/>
      <c r="I40" s="10">
        <f>ABS(C40-ADC!I40)</f>
        <v>4.3857637701561925E-2</v>
      </c>
    </row>
    <row r="41" spans="1:9" x14ac:dyDescent="0.25">
      <c r="A41" s="3">
        <v>39</v>
      </c>
      <c r="B41" s="3">
        <f t="shared" si="1"/>
        <v>23.9</v>
      </c>
      <c r="C41" s="12">
        <f t="shared" si="2"/>
        <v>0.32500000000000001</v>
      </c>
      <c r="D41" s="7"/>
      <c r="E41" s="10">
        <f>(ADC!I41+5/3)/(1/12)</f>
        <v>23.365539559706239</v>
      </c>
      <c r="F41" s="11">
        <f t="shared" si="0"/>
        <v>2.236236151856736E-2</v>
      </c>
      <c r="G41" s="2"/>
      <c r="H41" s="2"/>
      <c r="I41" s="10">
        <f>ABS(C41-ADC!I41)</f>
        <v>4.45383700244803E-2</v>
      </c>
    </row>
    <row r="42" spans="1:9" x14ac:dyDescent="0.25">
      <c r="A42" s="3">
        <v>40</v>
      </c>
      <c r="B42" s="3">
        <f t="shared" si="1"/>
        <v>24</v>
      </c>
      <c r="C42" s="12">
        <f t="shared" si="2"/>
        <v>0.33333299999999999</v>
      </c>
      <c r="D42" s="7"/>
      <c r="E42" s="10">
        <f>(ADC!I42+5/3)/(1/12)</f>
        <v>23.446382695835666</v>
      </c>
      <c r="F42" s="11">
        <f t="shared" si="0"/>
        <v>2.3067387673513906E-2</v>
      </c>
      <c r="G42" s="2"/>
      <c r="H42" s="2"/>
      <c r="I42" s="10">
        <f>ABS(C42-ADC!I42)</f>
        <v>4.6134442013694599E-2</v>
      </c>
    </row>
    <row r="43" spans="1:9" x14ac:dyDescent="0.25">
      <c r="A43" s="3">
        <v>41</v>
      </c>
      <c r="B43" s="3">
        <f t="shared" si="1"/>
        <v>24.1</v>
      </c>
      <c r="C43" s="12">
        <f t="shared" si="2"/>
        <v>0.341667</v>
      </c>
      <c r="D43" s="7"/>
      <c r="E43" s="10">
        <f>(ADC!I43+5/3)/(1/12)</f>
        <v>23.527560595887287</v>
      </c>
      <c r="F43" s="11">
        <f t="shared" si="0"/>
        <v>2.3752672369822161E-2</v>
      </c>
      <c r="G43" s="2"/>
      <c r="H43" s="2"/>
      <c r="I43" s="10">
        <f>ABS(C43-ADC!I43)</f>
        <v>4.7703617009393073E-2</v>
      </c>
    </row>
    <row r="44" spans="1:9" x14ac:dyDescent="0.25">
      <c r="A44" s="3">
        <v>42</v>
      </c>
      <c r="B44" s="3">
        <f t="shared" si="1"/>
        <v>24.2</v>
      </c>
      <c r="C44" s="12">
        <f t="shared" si="2"/>
        <v>0.35</v>
      </c>
      <c r="D44" s="7"/>
      <c r="E44" s="10">
        <f>(ADC!I44+5/3)/(1/12)</f>
        <v>23.609073013701639</v>
      </c>
      <c r="F44" s="11">
        <f t="shared" si="0"/>
        <v>2.4418470508196691E-2</v>
      </c>
      <c r="G44" s="2"/>
      <c r="H44" s="2"/>
      <c r="I44" s="10">
        <f>ABS(C44-ADC!I44)</f>
        <v>4.9243915524863457E-2</v>
      </c>
    </row>
    <row r="45" spans="1:9" x14ac:dyDescent="0.25">
      <c r="A45" s="3">
        <v>43</v>
      </c>
      <c r="B45" s="3">
        <f t="shared" si="1"/>
        <v>24.3</v>
      </c>
      <c r="C45" s="12">
        <f t="shared" si="2"/>
        <v>0.35833300000000001</v>
      </c>
      <c r="D45" s="7"/>
      <c r="E45" s="10">
        <f>(ADC!I45+5/3)/(1/12)</f>
        <v>23.690919708356859</v>
      </c>
      <c r="F45" s="11">
        <f t="shared" si="0"/>
        <v>2.5065032577907084E-2</v>
      </c>
      <c r="G45" s="2"/>
      <c r="H45" s="2"/>
      <c r="I45" s="10">
        <f>ABS(C45-ADC!I45)</f>
        <v>5.0756357636928817E-2</v>
      </c>
    </row>
    <row r="46" spans="1:9" x14ac:dyDescent="0.25">
      <c r="A46" s="3">
        <v>44</v>
      </c>
      <c r="B46" s="3">
        <f t="shared" si="1"/>
        <v>24.4</v>
      </c>
      <c r="C46" s="12">
        <f t="shared" si="2"/>
        <v>0.36666700000000002</v>
      </c>
      <c r="D46" s="7"/>
      <c r="E46" s="10">
        <f>(ADC!I46+5/3)/(1/12)</f>
        <v>23.784357094085212</v>
      </c>
      <c r="F46" s="11">
        <f t="shared" si="0"/>
        <v>2.5231266635851891E-2</v>
      </c>
      <c r="G46" s="2"/>
      <c r="H46" s="2"/>
      <c r="I46" s="10">
        <f>ABS(C46-ADC!I46)</f>
        <v>5.1303908826232536E-2</v>
      </c>
    </row>
    <row r="47" spans="1:9" x14ac:dyDescent="0.25">
      <c r="A47" s="3">
        <v>45</v>
      </c>
      <c r="B47" s="3">
        <f t="shared" si="1"/>
        <v>24.5</v>
      </c>
      <c r="C47" s="12">
        <f t="shared" si="2"/>
        <v>0.375</v>
      </c>
      <c r="D47" s="7"/>
      <c r="E47" s="10">
        <f>(ADC!I47+5/3)/(1/12)</f>
        <v>23.866861097998267</v>
      </c>
      <c r="F47" s="11">
        <f t="shared" si="0"/>
        <v>2.5842404163336025E-2</v>
      </c>
      <c r="G47" s="2"/>
      <c r="H47" s="2"/>
      <c r="I47" s="10">
        <f>ABS(C47-ADC!I47)</f>
        <v>5.2761575166811292E-2</v>
      </c>
    </row>
    <row r="48" spans="1:9" x14ac:dyDescent="0.25">
      <c r="A48" s="3">
        <v>46</v>
      </c>
      <c r="B48" s="3">
        <f t="shared" si="1"/>
        <v>24.6</v>
      </c>
      <c r="C48" s="12">
        <f t="shared" si="2"/>
        <v>0.38333299999999998</v>
      </c>
      <c r="D48" s="7"/>
      <c r="E48" s="10">
        <f>(ADC!I48+5/3)/(1/12)</f>
        <v>23.949698579519477</v>
      </c>
      <c r="F48" s="11">
        <f t="shared" si="0"/>
        <v>2.6435017092704224E-2</v>
      </c>
      <c r="G48" s="2"/>
      <c r="H48" s="2"/>
      <c r="I48" s="10">
        <f>ABS(C48-ADC!I48)</f>
        <v>5.4191451706710525E-2</v>
      </c>
    </row>
    <row r="49" spans="1:9" x14ac:dyDescent="0.25">
      <c r="A49" s="3">
        <v>47</v>
      </c>
      <c r="B49" s="3">
        <f t="shared" si="1"/>
        <v>24.7</v>
      </c>
      <c r="C49" s="12">
        <f t="shared" si="2"/>
        <v>0.39166699999999999</v>
      </c>
      <c r="D49" s="7"/>
      <c r="E49" s="10">
        <f>(ADC!I49+5/3)/(1/12)</f>
        <v>24.044094476944903</v>
      </c>
      <c r="F49" s="11">
        <f t="shared" si="0"/>
        <v>2.6554879475914849E-2</v>
      </c>
      <c r="G49" s="2"/>
      <c r="H49" s="2"/>
      <c r="I49" s="10">
        <f>ABS(C49-ADC!I49)</f>
        <v>5.4659126921258294E-2</v>
      </c>
    </row>
    <row r="50" spans="1:9" x14ac:dyDescent="0.25">
      <c r="A50" s="3">
        <v>48</v>
      </c>
      <c r="B50" s="3">
        <f t="shared" si="1"/>
        <v>24.8</v>
      </c>
      <c r="C50" s="12">
        <f t="shared" si="2"/>
        <v>0.4</v>
      </c>
      <c r="D50" s="7"/>
      <c r="E50" s="10">
        <f>(ADC!I50+5/3)/(1/12)</f>
        <v>24.127587564160958</v>
      </c>
      <c r="F50" s="11">
        <f t="shared" si="0"/>
        <v>2.7113404670929139E-2</v>
      </c>
      <c r="G50" s="2"/>
      <c r="H50" s="2"/>
      <c r="I50" s="10">
        <f>ABS(C50-ADC!I50)</f>
        <v>5.603436965325348E-2</v>
      </c>
    </row>
    <row r="51" spans="1:9" x14ac:dyDescent="0.25">
      <c r="A51" s="3">
        <v>49</v>
      </c>
      <c r="B51" s="3">
        <f t="shared" si="1"/>
        <v>24.9</v>
      </c>
      <c r="C51" s="12">
        <f t="shared" si="2"/>
        <v>0.408333</v>
      </c>
      <c r="D51" s="7"/>
      <c r="E51" s="10">
        <f>(ADC!I51+5/3)/(1/12)</f>
        <v>24.211413276330855</v>
      </c>
      <c r="F51" s="11">
        <f t="shared" si="0"/>
        <v>2.76540852879174E-2</v>
      </c>
      <c r="G51" s="2"/>
      <c r="H51" s="2"/>
      <c r="I51" s="10">
        <f>ABS(C51-ADC!I51)</f>
        <v>5.7381893639095349E-2</v>
      </c>
    </row>
    <row r="52" spans="1:9" x14ac:dyDescent="0.25">
      <c r="A52" s="3">
        <v>50</v>
      </c>
      <c r="B52" s="3">
        <f t="shared" si="1"/>
        <v>25</v>
      </c>
      <c r="C52" s="12">
        <f t="shared" si="2"/>
        <v>0.41666700000000001</v>
      </c>
      <c r="D52" s="7"/>
      <c r="E52" s="10">
        <f>(ADC!I52+5/3)/(1/12)</f>
        <v>24.306764898788721</v>
      </c>
      <c r="F52" s="11">
        <f t="shared" si="0"/>
        <v>2.7729404048451159E-2</v>
      </c>
      <c r="G52" s="2"/>
      <c r="H52" s="2"/>
      <c r="I52" s="10">
        <f>ABS(C52-ADC!I52)</f>
        <v>5.7769925100940089E-2</v>
      </c>
    </row>
    <row r="53" spans="1:9" x14ac:dyDescent="0.25">
      <c r="A53" s="3">
        <v>51</v>
      </c>
      <c r="B53" s="3">
        <f t="shared" si="1"/>
        <v>25.1</v>
      </c>
      <c r="C53" s="12">
        <f t="shared" si="2"/>
        <v>0.42499999999999999</v>
      </c>
      <c r="D53" s="7"/>
      <c r="E53" s="10">
        <f>(ADC!I53+5/3)/(1/12)</f>
        <v>24.391244399263481</v>
      </c>
      <c r="F53" s="11">
        <f t="shared" si="0"/>
        <v>2.8237274929741835E-2</v>
      </c>
      <c r="G53" s="2"/>
      <c r="H53" s="2"/>
      <c r="I53" s="10">
        <f>ABS(C53-ADC!I53)</f>
        <v>5.906296672804312E-2</v>
      </c>
    </row>
    <row r="54" spans="1:9" x14ac:dyDescent="0.25">
      <c r="A54" s="3">
        <v>52</v>
      </c>
      <c r="B54" s="3">
        <f t="shared" si="1"/>
        <v>25.2</v>
      </c>
      <c r="C54" s="12">
        <f t="shared" si="2"/>
        <v>0.43333300000000002</v>
      </c>
      <c r="D54" s="7"/>
      <c r="E54" s="10">
        <f>(ADC!I54+5/3)/(1/12)</f>
        <v>24.476055625948266</v>
      </c>
      <c r="F54" s="11">
        <f t="shared" si="0"/>
        <v>2.8727951351259249E-2</v>
      </c>
      <c r="G54" s="2"/>
      <c r="H54" s="2"/>
      <c r="I54" s="10">
        <f>ABS(C54-ADC!I54)</f>
        <v>6.032836450431156E-2</v>
      </c>
    </row>
    <row r="55" spans="1:9" x14ac:dyDescent="0.25">
      <c r="A55" s="3">
        <v>53</v>
      </c>
      <c r="B55" s="3">
        <f t="shared" si="1"/>
        <v>25.3</v>
      </c>
      <c r="C55" s="12">
        <f t="shared" si="2"/>
        <v>0.44166699999999998</v>
      </c>
      <c r="D55" s="7"/>
      <c r="E55" s="10">
        <f>(ADC!I55+5/3)/(1/12)</f>
        <v>24.572360008002839</v>
      </c>
      <c r="F55" s="11">
        <f t="shared" si="0"/>
        <v>2.8760473991982675E-2</v>
      </c>
      <c r="G55" s="2"/>
      <c r="H55" s="2"/>
      <c r="I55" s="10">
        <f>ABS(C55-ADC!I55)</f>
        <v>6.0636999333097019E-2</v>
      </c>
    </row>
    <row r="56" spans="1:9" x14ac:dyDescent="0.25">
      <c r="A56" s="3">
        <v>54</v>
      </c>
      <c r="B56" s="3">
        <f t="shared" si="1"/>
        <v>25.4</v>
      </c>
      <c r="C56" s="12">
        <f t="shared" si="2"/>
        <v>0.45</v>
      </c>
      <c r="D56" s="7"/>
      <c r="E56" s="10">
        <f>(ADC!I56+5/3)/(1/12)</f>
        <v>24.65782308968085</v>
      </c>
      <c r="F56" s="11">
        <f t="shared" si="0"/>
        <v>2.9219563398391681E-2</v>
      </c>
      <c r="G56" s="2"/>
      <c r="H56" s="2"/>
      <c r="I56" s="10">
        <f>ABS(C56-ADC!I56)</f>
        <v>6.1848075859929241E-2</v>
      </c>
    </row>
    <row r="57" spans="1:9" x14ac:dyDescent="0.25">
      <c r="A57" s="3">
        <v>55</v>
      </c>
      <c r="B57" s="3">
        <f t="shared" si="1"/>
        <v>25.5</v>
      </c>
      <c r="C57" s="12">
        <f t="shared" si="2"/>
        <v>0.45833299999999999</v>
      </c>
      <c r="D57" s="7"/>
      <c r="E57" s="10">
        <f>(ADC!I57+5/3)/(1/12)</f>
        <v>24.743616939816388</v>
      </c>
      <c r="F57" s="11">
        <f t="shared" si="0"/>
        <v>2.9662080791514209E-2</v>
      </c>
      <c r="G57" s="2"/>
      <c r="H57" s="2"/>
      <c r="I57" s="10">
        <f>ABS(C57-ADC!I57)</f>
        <v>6.3031588348634204E-2</v>
      </c>
    </row>
    <row r="58" spans="1:9" x14ac:dyDescent="0.25">
      <c r="A58" s="3">
        <v>56</v>
      </c>
      <c r="B58" s="3">
        <f t="shared" si="1"/>
        <v>25.6</v>
      </c>
      <c r="C58" s="12">
        <f t="shared" si="2"/>
        <v>0.466667</v>
      </c>
      <c r="D58" s="7"/>
      <c r="E58" s="10">
        <f>(ADC!I58+5/3)/(1/12)</f>
        <v>24.829741224610455</v>
      </c>
      <c r="F58" s="11">
        <f t="shared" si="0"/>
        <v>3.0088233413654158E-2</v>
      </c>
      <c r="G58" s="2"/>
      <c r="H58" s="2"/>
      <c r="I58" s="10">
        <f>ABS(C58-ADC!I58)</f>
        <v>6.4188564615795751E-2</v>
      </c>
    </row>
    <row r="59" spans="1:9" x14ac:dyDescent="0.25">
      <c r="A59" s="3">
        <v>57</v>
      </c>
      <c r="B59" s="3">
        <f t="shared" si="1"/>
        <v>25.7</v>
      </c>
      <c r="C59" s="12">
        <f t="shared" si="2"/>
        <v>0.47499999999999998</v>
      </c>
      <c r="D59" s="7"/>
      <c r="E59" s="10">
        <f>(ADC!I59+5/3)/(1/12)</f>
        <v>24.927314634357195</v>
      </c>
      <c r="F59" s="11">
        <f t="shared" si="0"/>
        <v>3.0065578429681095E-2</v>
      </c>
      <c r="G59" s="2"/>
      <c r="H59" s="2"/>
      <c r="I59" s="10">
        <f>ABS(C59-ADC!I59)</f>
        <v>6.4390447136900286E-2</v>
      </c>
    </row>
    <row r="60" spans="1:9" x14ac:dyDescent="0.25">
      <c r="A60" s="3">
        <v>58</v>
      </c>
      <c r="B60" s="3">
        <f t="shared" si="1"/>
        <v>25.8</v>
      </c>
      <c r="C60" s="12">
        <f t="shared" si="2"/>
        <v>0.48333300000000001</v>
      </c>
      <c r="D60" s="7"/>
      <c r="E60" s="10">
        <f>(ADC!I60+5/3)/(1/12)</f>
        <v>25.014088053122428</v>
      </c>
      <c r="F60" s="11">
        <f t="shared" si="0"/>
        <v>3.0461703367347766E-2</v>
      </c>
      <c r="G60" s="2"/>
      <c r="H60" s="2"/>
      <c r="I60" s="10">
        <f>ABS(C60-ADC!I60)</f>
        <v>6.5492328906464503E-2</v>
      </c>
    </row>
    <row r="61" spans="1:9" x14ac:dyDescent="0.25">
      <c r="A61" s="3">
        <v>59</v>
      </c>
      <c r="B61" s="3">
        <f t="shared" si="1"/>
        <v>25.9</v>
      </c>
      <c r="C61" s="12">
        <f t="shared" si="2"/>
        <v>0.49166700000000002</v>
      </c>
      <c r="D61" s="7"/>
      <c r="E61" s="10">
        <f>(ADC!I61+5/3)/(1/12)</f>
        <v>25.101190874073019</v>
      </c>
      <c r="F61" s="11">
        <f t="shared" si="0"/>
        <v>3.084205119409187E-2</v>
      </c>
      <c r="G61" s="2"/>
      <c r="H61" s="2"/>
      <c r="I61" s="10">
        <f>ABS(C61-ADC!I61)</f>
        <v>6.6567760493914996E-2</v>
      </c>
    </row>
    <row r="62" spans="1:9" x14ac:dyDescent="0.25">
      <c r="A62" s="3">
        <v>60</v>
      </c>
      <c r="B62" s="3">
        <f t="shared" si="1"/>
        <v>26</v>
      </c>
      <c r="C62" s="12">
        <f t="shared" si="2"/>
        <v>0.5</v>
      </c>
      <c r="D62" s="7"/>
      <c r="E62" s="10">
        <f>(ADC!I62+5/3)/(1/12)</f>
        <v>25.188622748745125</v>
      </c>
      <c r="F62" s="11">
        <f t="shared" si="0"/>
        <v>3.1206817355956727E-2</v>
      </c>
      <c r="G62" s="2"/>
      <c r="H62" s="2"/>
      <c r="I62" s="10">
        <f>ABS(C62-ADC!I62)</f>
        <v>6.7614770937906354E-2</v>
      </c>
    </row>
    <row r="63" spans="1:9" x14ac:dyDescent="0.25">
      <c r="A63" s="3">
        <v>61</v>
      </c>
      <c r="B63" s="3">
        <f t="shared" si="1"/>
        <v>26.1</v>
      </c>
      <c r="C63" s="12">
        <f t="shared" si="2"/>
        <v>0.50833300000000003</v>
      </c>
      <c r="D63" s="7"/>
      <c r="E63" s="10">
        <f>(ADC!I63+5/3)/(1/12)</f>
        <v>25.276383318549104</v>
      </c>
      <c r="F63" s="11">
        <f t="shared" si="0"/>
        <v>3.1556194691605248E-2</v>
      </c>
      <c r="G63" s="2"/>
      <c r="H63" s="2"/>
      <c r="I63" s="10">
        <f>ABS(C63-ADC!I63)</f>
        <v>6.8634390120908217E-2</v>
      </c>
    </row>
    <row r="64" spans="1:9" x14ac:dyDescent="0.25">
      <c r="A64" s="3">
        <v>62</v>
      </c>
      <c r="B64" s="3">
        <f t="shared" si="1"/>
        <v>26.2</v>
      </c>
      <c r="C64" s="12">
        <f t="shared" si="2"/>
        <v>0.51666699999999999</v>
      </c>
      <c r="D64" s="7"/>
      <c r="E64" s="10">
        <f>(ADC!I64+5/3)/(1/12)</f>
        <v>25.375537387556708</v>
      </c>
      <c r="F64" s="11">
        <f t="shared" si="0"/>
        <v>3.1468038642873709E-2</v>
      </c>
      <c r="G64" s="2"/>
      <c r="H64" s="2"/>
      <c r="I64" s="10">
        <f>ABS(C64-ADC!I64)</f>
        <v>6.8705551036941148E-2</v>
      </c>
    </row>
    <row r="65" spans="1:9" x14ac:dyDescent="0.25">
      <c r="A65" s="3">
        <v>63</v>
      </c>
      <c r="B65" s="3">
        <f t="shared" si="1"/>
        <v>26.3</v>
      </c>
      <c r="C65" s="12">
        <f t="shared" si="2"/>
        <v>0.52500000000000002</v>
      </c>
      <c r="D65" s="7"/>
      <c r="E65" s="10">
        <f>(ADC!I65+5/3)/(1/12)</f>
        <v>25.463943414303294</v>
      </c>
      <c r="F65" s="11">
        <f t="shared" si="0"/>
        <v>3.1789223790749291E-2</v>
      </c>
      <c r="G65" s="2"/>
      <c r="H65" s="2"/>
      <c r="I65" s="10">
        <f>ABS(C65-ADC!I65)</f>
        <v>6.9671382141392457E-2</v>
      </c>
    </row>
    <row r="66" spans="1:9" x14ac:dyDescent="0.25">
      <c r="A66" s="3">
        <v>64</v>
      </c>
      <c r="B66" s="3">
        <f t="shared" si="1"/>
        <v>26.4</v>
      </c>
      <c r="C66" s="12">
        <f t="shared" si="2"/>
        <v>0.53333299999999995</v>
      </c>
      <c r="D66" s="7"/>
      <c r="E66" s="10">
        <f>(ADC!I66+5/3)/(1/12)</f>
        <v>25.552677011180471</v>
      </c>
      <c r="F66" s="11">
        <f t="shared" ref="F66:F129" si="3">ABS(B66-E66)/B66</f>
        <v>3.2095567758315444E-2</v>
      </c>
      <c r="G66" s="2"/>
      <c r="H66" s="2"/>
      <c r="I66" s="10">
        <f>ABS(C66-ADC!I66)</f>
        <v>7.0609915734960893E-2</v>
      </c>
    </row>
    <row r="67" spans="1:9" x14ac:dyDescent="0.25">
      <c r="A67" s="3">
        <v>65</v>
      </c>
      <c r="B67" s="3">
        <f t="shared" ref="B67:B130" si="4">0.1*A67+20</f>
        <v>26.5</v>
      </c>
      <c r="C67" s="12">
        <f t="shared" ref="C67:C130" si="5">ROUND(1/12*B67-5/3,6)</f>
        <v>0.54166700000000001</v>
      </c>
      <c r="D67" s="7"/>
      <c r="E67" s="10">
        <f>(ADC!I67+5/3)/(1/12)</f>
        <v>25.641737794808243</v>
      </c>
      <c r="F67" s="11">
        <f t="shared" si="3"/>
        <v>3.2387253026104026E-2</v>
      </c>
      <c r="G67" s="2"/>
      <c r="H67" s="2"/>
      <c r="I67" s="10">
        <f>ABS(C67-ADC!I67)</f>
        <v>7.1522183765979852E-2</v>
      </c>
    </row>
    <row r="68" spans="1:9" x14ac:dyDescent="0.25">
      <c r="A68" s="3">
        <v>66</v>
      </c>
      <c r="B68" s="3">
        <f t="shared" si="4"/>
        <v>26.6</v>
      </c>
      <c r="C68" s="12">
        <f t="shared" si="5"/>
        <v>0.55000000000000004</v>
      </c>
      <c r="D68" s="7"/>
      <c r="E68" s="10">
        <f>(ADC!I68+5/3)/(1/12)</f>
        <v>25.731125377965583</v>
      </c>
      <c r="F68" s="11">
        <f t="shared" si="3"/>
        <v>3.266445947497814E-2</v>
      </c>
      <c r="G68" s="2"/>
      <c r="H68" s="2"/>
      <c r="I68" s="10">
        <f>ABS(C68-ADC!I68)</f>
        <v>7.2406218502868047E-2</v>
      </c>
    </row>
    <row r="69" spans="1:9" x14ac:dyDescent="0.25">
      <c r="A69" s="3">
        <v>67</v>
      </c>
      <c r="B69" s="3">
        <f t="shared" si="4"/>
        <v>26.7</v>
      </c>
      <c r="C69" s="12">
        <f t="shared" si="5"/>
        <v>0.55833299999999997</v>
      </c>
      <c r="D69" s="7"/>
      <c r="E69" s="10">
        <f>(ADC!I69+5/3)/(1/12)</f>
        <v>25.820839367495505</v>
      </c>
      <c r="F69" s="11">
        <f t="shared" si="3"/>
        <v>3.2927364513276922E-2</v>
      </c>
      <c r="G69" s="2"/>
      <c r="H69" s="2"/>
      <c r="I69" s="10">
        <f>ABS(C69-ADC!I69)</f>
        <v>7.326305270870781E-2</v>
      </c>
    </row>
    <row r="70" spans="1:9" x14ac:dyDescent="0.25">
      <c r="A70" s="3">
        <v>68</v>
      </c>
      <c r="B70" s="3">
        <f t="shared" si="4"/>
        <v>26.8</v>
      </c>
      <c r="C70" s="12">
        <f t="shared" si="5"/>
        <v>0.56666700000000003</v>
      </c>
      <c r="D70" s="7"/>
      <c r="E70" s="10">
        <f>(ADC!I70+5/3)/(1/12)</f>
        <v>25.910879359766497</v>
      </c>
      <c r="F70" s="11">
        <f t="shared" si="3"/>
        <v>3.3176143292294916E-2</v>
      </c>
      <c r="G70" s="2"/>
      <c r="H70" s="2"/>
      <c r="I70" s="10">
        <f>ABS(C70-ADC!I70)</f>
        <v>7.4093720019458853E-2</v>
      </c>
    </row>
    <row r="71" spans="1:9" x14ac:dyDescent="0.25">
      <c r="A71" s="3">
        <v>69</v>
      </c>
      <c r="B71" s="3">
        <f t="shared" si="4"/>
        <v>26.9</v>
      </c>
      <c r="C71" s="12">
        <f t="shared" si="5"/>
        <v>0.57499999999999996</v>
      </c>
      <c r="D71" s="7"/>
      <c r="E71" s="10">
        <f>(ADC!I71+5/3)/(1/12)</f>
        <v>26.001244954289316</v>
      </c>
      <c r="F71" s="11">
        <f t="shared" si="3"/>
        <v>3.3410968242032817E-2</v>
      </c>
      <c r="G71" s="2"/>
      <c r="H71" s="2"/>
      <c r="I71" s="10">
        <f>ABS(C71-ADC!I71)</f>
        <v>7.4896253809223823E-2</v>
      </c>
    </row>
    <row r="72" spans="1:9" x14ac:dyDescent="0.25">
      <c r="A72" s="3">
        <v>70</v>
      </c>
      <c r="B72" s="3">
        <f t="shared" si="4"/>
        <v>27</v>
      </c>
      <c r="C72" s="12">
        <f t="shared" si="5"/>
        <v>0.58333299999999999</v>
      </c>
      <c r="D72" s="7"/>
      <c r="E72" s="10">
        <f>(ADC!I72+5/3)/(1/12)</f>
        <v>26.091935733116792</v>
      </c>
      <c r="F72" s="11">
        <f t="shared" si="3"/>
        <v>3.3632009884563274E-2</v>
      </c>
      <c r="G72" s="2"/>
      <c r="H72" s="2"/>
      <c r="I72" s="10">
        <f>ABS(C72-ADC!I72)</f>
        <v>7.5671688906933876E-2</v>
      </c>
    </row>
    <row r="73" spans="1:9" x14ac:dyDescent="0.25">
      <c r="A73" s="3">
        <v>71</v>
      </c>
      <c r="B73" s="3">
        <f t="shared" si="4"/>
        <v>27.1</v>
      </c>
      <c r="C73" s="12">
        <f t="shared" si="5"/>
        <v>0.59166700000000005</v>
      </c>
      <c r="D73" s="7"/>
      <c r="E73" s="10">
        <f>(ADC!I73+5/3)/(1/12)</f>
        <v>26.18295128458621</v>
      </c>
      <c r="F73" s="11">
        <f t="shared" si="3"/>
        <v>3.3839435993128837E-2</v>
      </c>
      <c r="G73" s="2"/>
      <c r="H73" s="2"/>
      <c r="I73" s="10">
        <f>ABS(C73-ADC!I73)</f>
        <v>7.64210596178162E-2</v>
      </c>
    </row>
    <row r="74" spans="1:9" x14ac:dyDescent="0.25">
      <c r="A74" s="3">
        <v>72</v>
      </c>
      <c r="B74" s="3">
        <f t="shared" si="4"/>
        <v>27.2</v>
      </c>
      <c r="C74" s="12">
        <f t="shared" si="5"/>
        <v>0.6</v>
      </c>
      <c r="D74" s="7"/>
      <c r="E74" s="10">
        <f>(ADC!I74+5/3)/(1/12)</f>
        <v>26.274291176784224</v>
      </c>
      <c r="F74" s="11">
        <f t="shared" si="3"/>
        <v>3.4033412618227017E-2</v>
      </c>
      <c r="G74" s="2"/>
      <c r="H74" s="2"/>
      <c r="I74" s="10">
        <f>ABS(C74-ADC!I74)</f>
        <v>7.7142401934648053E-2</v>
      </c>
    </row>
    <row r="75" spans="1:9" x14ac:dyDescent="0.25">
      <c r="A75" s="3">
        <v>73</v>
      </c>
      <c r="B75" s="3">
        <f t="shared" si="4"/>
        <v>27.3</v>
      </c>
      <c r="C75" s="12">
        <f t="shared" si="5"/>
        <v>0.60833300000000001</v>
      </c>
      <c r="D75" s="7"/>
      <c r="E75" s="10">
        <f>(ADC!I75+5/3)/(1/12)</f>
        <v>26.365954981986686</v>
      </c>
      <c r="F75" s="11">
        <f t="shared" si="3"/>
        <v>3.4214103223930939E-2</v>
      </c>
      <c r="G75" s="2"/>
      <c r="H75" s="2"/>
      <c r="I75" s="10">
        <f>ABS(C75-ADC!I75)</f>
        <v>7.783675150110958E-2</v>
      </c>
    </row>
    <row r="76" spans="1:9" x14ac:dyDescent="0.25">
      <c r="A76" s="3">
        <v>74</v>
      </c>
      <c r="B76" s="3">
        <f t="shared" si="4"/>
        <v>27.4</v>
      </c>
      <c r="C76" s="12">
        <f t="shared" si="5"/>
        <v>0.61666699999999997</v>
      </c>
      <c r="D76" s="7"/>
      <c r="E76" s="10">
        <f>(ADC!I76+5/3)/(1/12)</f>
        <v>26.447008384019849</v>
      </c>
      <c r="F76" s="11">
        <f t="shared" si="3"/>
        <v>3.4780715911684287E-2</v>
      </c>
      <c r="G76" s="2"/>
      <c r="H76" s="2"/>
      <c r="I76" s="10">
        <f>ABS(C76-ADC!I76)</f>
        <v>7.941630133167954E-2</v>
      </c>
    </row>
    <row r="77" spans="1:9" x14ac:dyDescent="0.25">
      <c r="A77" s="3">
        <v>75</v>
      </c>
      <c r="B77" s="3">
        <f t="shared" si="4"/>
        <v>27.5</v>
      </c>
      <c r="C77" s="12">
        <f t="shared" si="5"/>
        <v>0.625</v>
      </c>
      <c r="D77" s="7"/>
      <c r="E77" s="10">
        <f>(ADC!I77+5/3)/(1/12)</f>
        <v>26.539329763145226</v>
      </c>
      <c r="F77" s="11">
        <f t="shared" si="3"/>
        <v>3.4933463158355431E-2</v>
      </c>
      <c r="G77" s="2"/>
      <c r="H77" s="2"/>
      <c r="I77" s="10">
        <f>ABS(C77-ADC!I77)</f>
        <v>8.0055853071231531E-2</v>
      </c>
    </row>
    <row r="78" spans="1:9" x14ac:dyDescent="0.25">
      <c r="A78" s="3">
        <v>76</v>
      </c>
      <c r="B78" s="3">
        <f t="shared" si="4"/>
        <v>27.6</v>
      </c>
      <c r="C78" s="12">
        <f t="shared" si="5"/>
        <v>0.63333300000000003</v>
      </c>
      <c r="D78" s="7"/>
      <c r="E78" s="10">
        <f>(ADC!I78+5/3)/(1/12)</f>
        <v>26.631973744170509</v>
      </c>
      <c r="F78" s="11">
        <f t="shared" si="3"/>
        <v>3.5073415066285966E-2</v>
      </c>
      <c r="G78" s="2"/>
      <c r="H78" s="2"/>
      <c r="I78" s="10">
        <f>ABS(C78-ADC!I78)</f>
        <v>8.0668521319124276E-2</v>
      </c>
    </row>
    <row r="79" spans="1:9" x14ac:dyDescent="0.25">
      <c r="A79" s="3">
        <v>77</v>
      </c>
      <c r="B79" s="3">
        <f t="shared" si="4"/>
        <v>27.7</v>
      </c>
      <c r="C79" s="12">
        <f t="shared" si="5"/>
        <v>0.64166699999999999</v>
      </c>
      <c r="D79" s="7"/>
      <c r="E79" s="10">
        <f>(ADC!I79+5/3)/(1/12)</f>
        <v>26.724939871788145</v>
      </c>
      <c r="F79" s="11">
        <f t="shared" si="3"/>
        <v>3.5200726650247455E-2</v>
      </c>
      <c r="G79" s="2"/>
      <c r="H79" s="2"/>
      <c r="I79" s="10">
        <f>ABS(C79-ADC!I79)</f>
        <v>8.1255344017654552E-2</v>
      </c>
    </row>
    <row r="80" spans="1:9" x14ac:dyDescent="0.25">
      <c r="A80" s="3">
        <v>78</v>
      </c>
      <c r="B80" s="3">
        <f t="shared" si="4"/>
        <v>27.8</v>
      </c>
      <c r="C80" s="12">
        <f t="shared" si="5"/>
        <v>0.65</v>
      </c>
      <c r="D80" s="7"/>
      <c r="E80" s="10">
        <f>(ADC!I80+5/3)/(1/12)</f>
        <v>26.818227681961254</v>
      </c>
      <c r="F80" s="11">
        <f t="shared" si="3"/>
        <v>3.5315551008588013E-2</v>
      </c>
      <c r="G80" s="2"/>
      <c r="H80" s="2"/>
      <c r="I80" s="10">
        <f>ABS(C80-ADC!I80)</f>
        <v>8.1814359836562156E-2</v>
      </c>
    </row>
    <row r="81" spans="1:9" x14ac:dyDescent="0.25">
      <c r="A81" s="3">
        <v>79</v>
      </c>
      <c r="B81" s="3">
        <f t="shared" si="4"/>
        <v>27.9</v>
      </c>
      <c r="C81" s="12">
        <f t="shared" si="5"/>
        <v>0.65833299999999995</v>
      </c>
      <c r="D81" s="7"/>
      <c r="E81" s="10">
        <f>(ADC!I81+5/3)/(1/12)</f>
        <v>26.911836708208998</v>
      </c>
      <c r="F81" s="11">
        <f t="shared" si="3"/>
        <v>3.5418039132293924E-2</v>
      </c>
      <c r="G81" s="2"/>
      <c r="H81" s="2"/>
      <c r="I81" s="10">
        <f>ABS(C81-ADC!I81)</f>
        <v>8.2346607649249948E-2</v>
      </c>
    </row>
    <row r="82" spans="1:9" x14ac:dyDescent="0.25">
      <c r="A82" s="3">
        <v>80</v>
      </c>
      <c r="B82" s="3">
        <f t="shared" si="4"/>
        <v>28</v>
      </c>
      <c r="C82" s="12">
        <f t="shared" si="5"/>
        <v>0.66666700000000001</v>
      </c>
      <c r="D82" s="7"/>
      <c r="E82" s="10">
        <f>(ADC!I82+5/3)/(1/12)</f>
        <v>27.005766476369132</v>
      </c>
      <c r="F82" s="11">
        <f t="shared" si="3"/>
        <v>3.5508340129673854E-2</v>
      </c>
      <c r="G82" s="2"/>
      <c r="H82" s="2"/>
      <c r="I82" s="10">
        <f>ABS(C82-ADC!I82)</f>
        <v>8.2853126969238966E-2</v>
      </c>
    </row>
    <row r="83" spans="1:9" x14ac:dyDescent="0.25">
      <c r="A83" s="3">
        <v>81</v>
      </c>
      <c r="B83" s="3">
        <f t="shared" si="4"/>
        <v>28.1</v>
      </c>
      <c r="C83" s="12">
        <f t="shared" si="5"/>
        <v>0.67500000000000004</v>
      </c>
      <c r="D83" s="7"/>
      <c r="E83" s="10">
        <f>(ADC!I83+5/3)/(1/12)</f>
        <v>27.10001650913658</v>
      </c>
      <c r="F83" s="11">
        <f t="shared" si="3"/>
        <v>3.5586601098342392E-2</v>
      </c>
      <c r="G83" s="2"/>
      <c r="H83" s="2"/>
      <c r="I83" s="10">
        <f>ABS(C83-ADC!I83)</f>
        <v>8.3331957571951776E-2</v>
      </c>
    </row>
    <row r="84" spans="1:9" x14ac:dyDescent="0.25">
      <c r="A84" s="3">
        <v>82</v>
      </c>
      <c r="B84" s="3">
        <f t="shared" si="4"/>
        <v>28.200000000000003</v>
      </c>
      <c r="C84" s="12">
        <f t="shared" si="5"/>
        <v>0.68333299999999997</v>
      </c>
      <c r="D84" s="7"/>
      <c r="E84" s="10">
        <f>(ADC!I84+5/3)/(1/12)</f>
        <v>27.183741506480047</v>
      </c>
      <c r="F84" s="11">
        <f t="shared" si="3"/>
        <v>3.6037535231204114E-2</v>
      </c>
      <c r="G84" s="2"/>
      <c r="H84" s="2"/>
      <c r="I84" s="10">
        <f>ABS(C84-ADC!I84)</f>
        <v>8.468787445999626E-2</v>
      </c>
    </row>
    <row r="85" spans="1:9" x14ac:dyDescent="0.25">
      <c r="A85" s="3">
        <v>83</v>
      </c>
      <c r="B85" s="3">
        <f t="shared" si="4"/>
        <v>28.3</v>
      </c>
      <c r="C85" s="12">
        <f t="shared" si="5"/>
        <v>0.69166700000000003</v>
      </c>
      <c r="D85" s="7"/>
      <c r="E85" s="10">
        <f>(ADC!I85+5/3)/(1/12)</f>
        <v>27.278641807297873</v>
      </c>
      <c r="F85" s="11">
        <f t="shared" si="3"/>
        <v>3.6090395501841954E-2</v>
      </c>
      <c r="G85" s="2"/>
      <c r="H85" s="2"/>
      <c r="I85" s="10">
        <f>ABS(C85-ADC!I85)</f>
        <v>8.5113516058510696E-2</v>
      </c>
    </row>
    <row r="86" spans="1:9" x14ac:dyDescent="0.25">
      <c r="A86" s="3">
        <v>84</v>
      </c>
      <c r="B86" s="3">
        <f t="shared" si="4"/>
        <v>28.4</v>
      </c>
      <c r="C86" s="12">
        <f t="shared" si="5"/>
        <v>0.7</v>
      </c>
      <c r="D86" s="7"/>
      <c r="E86" s="10">
        <f>(ADC!I86+5/3)/(1/12)</f>
        <v>27.373860912875237</v>
      </c>
      <c r="F86" s="11">
        <f t="shared" si="3"/>
        <v>3.6131657997350755E-2</v>
      </c>
      <c r="G86" s="2"/>
      <c r="H86" s="2"/>
      <c r="I86" s="10">
        <f>ABS(C86-ADC!I86)</f>
        <v>8.5511590593730369E-2</v>
      </c>
    </row>
    <row r="87" spans="1:9" x14ac:dyDescent="0.25">
      <c r="A87" s="3">
        <v>85</v>
      </c>
      <c r="B87" s="3">
        <f t="shared" si="4"/>
        <v>28.5</v>
      </c>
      <c r="C87" s="12">
        <f t="shared" si="5"/>
        <v>0.70833299999999999</v>
      </c>
      <c r="D87" s="7"/>
      <c r="E87" s="10">
        <f>(ADC!I87+5/3)/(1/12)</f>
        <v>27.469398313435267</v>
      </c>
      <c r="F87" s="11">
        <f t="shared" si="3"/>
        <v>3.6161462686481856E-2</v>
      </c>
      <c r="G87" s="2"/>
      <c r="H87" s="2"/>
      <c r="I87" s="10">
        <f>ABS(C87-ADC!I87)</f>
        <v>8.5883140547061032E-2</v>
      </c>
    </row>
    <row r="88" spans="1:9" x14ac:dyDescent="0.25">
      <c r="A88" s="3">
        <v>86</v>
      </c>
      <c r="B88" s="3">
        <f t="shared" si="4"/>
        <v>28.6</v>
      </c>
      <c r="C88" s="12">
        <f t="shared" si="5"/>
        <v>0.71666700000000005</v>
      </c>
      <c r="D88" s="7"/>
      <c r="E88" s="10">
        <f>(ADC!I88+5/3)/(1/12)</f>
        <v>27.565253503739875</v>
      </c>
      <c r="F88" s="11">
        <f t="shared" si="3"/>
        <v>3.6179947421682741E-2</v>
      </c>
      <c r="G88" s="2"/>
      <c r="H88" s="2"/>
      <c r="I88" s="10">
        <f>ABS(C88-ADC!I88)</f>
        <v>8.6229208021677106E-2</v>
      </c>
    </row>
    <row r="89" spans="1:9" x14ac:dyDescent="0.25">
      <c r="A89" s="3">
        <v>87</v>
      </c>
      <c r="B89" s="3">
        <f t="shared" si="4"/>
        <v>28.700000000000003</v>
      </c>
      <c r="C89" s="12">
        <f t="shared" si="5"/>
        <v>0.72499999999999998</v>
      </c>
      <c r="D89" s="7"/>
      <c r="E89" s="10">
        <f>(ADC!I89+5/3)/(1/12)</f>
        <v>27.650637428571969</v>
      </c>
      <c r="F89" s="11">
        <f t="shared" si="3"/>
        <v>3.65631557988862E-2</v>
      </c>
      <c r="G89" s="2"/>
      <c r="H89" s="2"/>
      <c r="I89" s="10">
        <f>ABS(C89-ADC!I89)</f>
        <v>8.744688095233577E-2</v>
      </c>
    </row>
    <row r="90" spans="1:9" x14ac:dyDescent="0.25">
      <c r="A90" s="3">
        <v>88</v>
      </c>
      <c r="B90" s="3">
        <f t="shared" si="4"/>
        <v>28.8</v>
      </c>
      <c r="C90" s="12">
        <f t="shared" si="5"/>
        <v>0.73333300000000001</v>
      </c>
      <c r="D90" s="7"/>
      <c r="E90" s="10">
        <f>(ADC!I90+5/3)/(1/12)</f>
        <v>27.747137937201824</v>
      </c>
      <c r="F90" s="11">
        <f t="shared" si="3"/>
        <v>3.655771051382558E-2</v>
      </c>
      <c r="G90" s="2"/>
      <c r="H90" s="2"/>
      <c r="I90" s="10">
        <f>ABS(C90-ADC!I90)</f>
        <v>8.7738171899848338E-2</v>
      </c>
    </row>
    <row r="91" spans="1:9" x14ac:dyDescent="0.25">
      <c r="A91" s="3">
        <v>89</v>
      </c>
      <c r="B91" s="3">
        <f t="shared" si="4"/>
        <v>28.9</v>
      </c>
      <c r="C91" s="12">
        <f t="shared" si="5"/>
        <v>0.74166699999999997</v>
      </c>
      <c r="D91" s="7"/>
      <c r="E91" s="10">
        <f>(ADC!I91+5/3)/(1/12)</f>
        <v>27.8439546755192</v>
      </c>
      <c r="F91" s="11">
        <f t="shared" si="3"/>
        <v>3.654136070867816E-2</v>
      </c>
      <c r="G91" s="2"/>
      <c r="H91" s="2"/>
      <c r="I91" s="10">
        <f>ABS(C91-ADC!I91)</f>
        <v>8.8004110373400279E-2</v>
      </c>
    </row>
    <row r="92" spans="1:9" x14ac:dyDescent="0.25">
      <c r="A92" s="3">
        <v>90</v>
      </c>
      <c r="B92" s="3">
        <f t="shared" si="4"/>
        <v>29</v>
      </c>
      <c r="C92" s="12">
        <f t="shared" si="5"/>
        <v>0.75</v>
      </c>
      <c r="D92" s="7"/>
      <c r="E92" s="10">
        <f>(ADC!I92+5/3)/(1/12)</f>
        <v>27.941087111749813</v>
      </c>
      <c r="F92" s="11">
        <f t="shared" si="3"/>
        <v>3.6514237525868534E-2</v>
      </c>
      <c r="G92" s="2"/>
      <c r="H92" s="2"/>
      <c r="I92" s="10">
        <f>ABS(C92-ADC!I92)</f>
        <v>8.8242740687515586E-2</v>
      </c>
    </row>
    <row r="93" spans="1:9" x14ac:dyDescent="0.25">
      <c r="A93" s="3">
        <v>91</v>
      </c>
      <c r="B93" s="3">
        <f t="shared" si="4"/>
        <v>29.1</v>
      </c>
      <c r="C93" s="12">
        <f t="shared" si="5"/>
        <v>0.75833300000000003</v>
      </c>
      <c r="D93" s="7"/>
      <c r="E93" s="10">
        <f>(ADC!I93+5/3)/(1/12)</f>
        <v>28.027791532197956</v>
      </c>
      <c r="F93" s="11">
        <f t="shared" si="3"/>
        <v>3.6845651814503291E-2</v>
      </c>
      <c r="G93" s="2"/>
      <c r="H93" s="2"/>
      <c r="I93" s="10">
        <f>ABS(C93-ADC!I93)</f>
        <v>8.9350372316837179E-2</v>
      </c>
    </row>
    <row r="94" spans="1:9" x14ac:dyDescent="0.25">
      <c r="A94" s="3">
        <v>92</v>
      </c>
      <c r="B94" s="3">
        <f t="shared" si="4"/>
        <v>29.200000000000003</v>
      </c>
      <c r="C94" s="12">
        <f t="shared" si="5"/>
        <v>0.76666699999999999</v>
      </c>
      <c r="D94" s="7"/>
      <c r="E94" s="10">
        <f>(ADC!I94+5/3)/(1/12)</f>
        <v>28.125565112867228</v>
      </c>
      <c r="F94" s="11">
        <f t="shared" si="3"/>
        <v>3.6795715312766243E-2</v>
      </c>
      <c r="G94" s="2"/>
      <c r="H94" s="2"/>
      <c r="I94" s="10">
        <f>ABS(C94-ADC!I94)</f>
        <v>8.9536573927731289E-2</v>
      </c>
    </row>
    <row r="95" spans="1:9" x14ac:dyDescent="0.25">
      <c r="A95" s="3">
        <v>93</v>
      </c>
      <c r="B95" s="3">
        <f t="shared" si="4"/>
        <v>29.3</v>
      </c>
      <c r="C95" s="12">
        <f t="shared" si="5"/>
        <v>0.77500000000000002</v>
      </c>
      <c r="D95" s="7"/>
      <c r="E95" s="10">
        <f>(ADC!I95+5/3)/(1/12)</f>
        <v>28.223652760512461</v>
      </c>
      <c r="F95" s="11">
        <f t="shared" si="3"/>
        <v>3.673540066510373E-2</v>
      </c>
      <c r="G95" s="2"/>
      <c r="H95" s="2"/>
      <c r="I95" s="10">
        <f>ABS(C95-ADC!I95)</f>
        <v>8.969560329062809E-2</v>
      </c>
    </row>
    <row r="96" spans="1:9" x14ac:dyDescent="0.25">
      <c r="A96" s="3">
        <v>94</v>
      </c>
      <c r="B96" s="3">
        <f t="shared" si="4"/>
        <v>29.4</v>
      </c>
      <c r="C96" s="12">
        <f t="shared" si="5"/>
        <v>0.78333299999999995</v>
      </c>
      <c r="D96" s="7"/>
      <c r="E96" s="10">
        <f>(ADC!I96+5/3)/(1/12)</f>
        <v>28.311344959443986</v>
      </c>
      <c r="F96" s="11">
        <f t="shared" si="3"/>
        <v>3.7029083012109283E-2</v>
      </c>
      <c r="G96" s="2"/>
      <c r="H96" s="2"/>
      <c r="I96" s="10">
        <f>ABS(C96-ADC!I96)</f>
        <v>9.0720920046334586E-2</v>
      </c>
    </row>
    <row r="97" spans="1:9" x14ac:dyDescent="0.25">
      <c r="A97" s="3">
        <v>95</v>
      </c>
      <c r="B97" s="3">
        <f t="shared" si="4"/>
        <v>29.5</v>
      </c>
      <c r="C97" s="12">
        <f t="shared" si="5"/>
        <v>0.79166700000000001</v>
      </c>
      <c r="D97" s="7"/>
      <c r="E97" s="10">
        <f>(ADC!I97+5/3)/(1/12)</f>
        <v>28.410070499080881</v>
      </c>
      <c r="F97" s="11">
        <f t="shared" si="3"/>
        <v>3.6946762743020993E-2</v>
      </c>
      <c r="G97" s="2"/>
      <c r="H97" s="2"/>
      <c r="I97" s="10">
        <f>ABS(C97-ADC!I97)</f>
        <v>9.0827791743260278E-2</v>
      </c>
    </row>
    <row r="98" spans="1:9" x14ac:dyDescent="0.25">
      <c r="A98" s="3">
        <v>96</v>
      </c>
      <c r="B98" s="3">
        <f t="shared" si="4"/>
        <v>29.6</v>
      </c>
      <c r="C98" s="12">
        <f t="shared" si="5"/>
        <v>0.8</v>
      </c>
      <c r="D98" s="7"/>
      <c r="E98" s="10">
        <f>(ADC!I98+5/3)/(1/12)</f>
        <v>28.509108423778741</v>
      </c>
      <c r="F98" s="11">
        <f t="shared" si="3"/>
        <v>3.6854445142610139E-2</v>
      </c>
      <c r="G98" s="2"/>
      <c r="H98" s="2"/>
      <c r="I98" s="10">
        <f>ABS(C98-ADC!I98)</f>
        <v>9.0907631351771712E-2</v>
      </c>
    </row>
    <row r="99" spans="1:9" x14ac:dyDescent="0.25">
      <c r="A99" s="3">
        <v>97</v>
      </c>
      <c r="B99" s="3">
        <f t="shared" si="4"/>
        <v>29.700000000000003</v>
      </c>
      <c r="C99" s="12">
        <f t="shared" si="5"/>
        <v>0.80833299999999997</v>
      </c>
      <c r="D99" s="7"/>
      <c r="E99" s="10">
        <f>(ADC!I99+5/3)/(1/12)</f>
        <v>28.597783571929646</v>
      </c>
      <c r="F99" s="11">
        <f t="shared" si="3"/>
        <v>3.711166424479314E-2</v>
      </c>
      <c r="G99" s="2"/>
      <c r="H99" s="2"/>
      <c r="I99" s="10">
        <f>ABS(C99-ADC!I99)</f>
        <v>9.1851035672529502E-2</v>
      </c>
    </row>
    <row r="100" spans="1:9" x14ac:dyDescent="0.25">
      <c r="A100" s="3">
        <v>98</v>
      </c>
      <c r="B100" s="3">
        <f t="shared" si="4"/>
        <v>29.8</v>
      </c>
      <c r="C100" s="12">
        <f t="shared" si="5"/>
        <v>0.81666700000000003</v>
      </c>
      <c r="D100" s="7"/>
      <c r="E100" s="10">
        <f>(ADC!I100+5/3)/(1/12)</f>
        <v>28.697456021995862</v>
      </c>
      <c r="F100" s="11">
        <f t="shared" si="3"/>
        <v>3.6998120067252983E-2</v>
      </c>
      <c r="G100" s="2"/>
      <c r="H100" s="2"/>
      <c r="I100" s="10">
        <f>ABS(C100-ADC!I100)</f>
        <v>9.1878998167011838E-2</v>
      </c>
    </row>
    <row r="101" spans="1:9" x14ac:dyDescent="0.25">
      <c r="A101" s="3">
        <v>99</v>
      </c>
      <c r="B101" s="3">
        <f t="shared" si="4"/>
        <v>29.9</v>
      </c>
      <c r="C101" s="12">
        <f t="shared" si="5"/>
        <v>0.82499999999999996</v>
      </c>
      <c r="D101" s="7"/>
      <c r="E101" s="10">
        <f>(ADC!I101+5/3)/(1/12)</f>
        <v>28.786787547141245</v>
      </c>
      <c r="F101" s="11">
        <f t="shared" si="3"/>
        <v>3.7231185714339594E-2</v>
      </c>
      <c r="G101" s="2"/>
      <c r="H101" s="2"/>
      <c r="I101" s="10">
        <f>ABS(C101-ADC!I101)</f>
        <v>9.2767704404896345E-2</v>
      </c>
    </row>
    <row r="102" spans="1:9" x14ac:dyDescent="0.25">
      <c r="A102" s="3">
        <v>100</v>
      </c>
      <c r="B102" s="3">
        <f t="shared" si="4"/>
        <v>30</v>
      </c>
      <c r="C102" s="12">
        <f t="shared" si="5"/>
        <v>0.83333299999999999</v>
      </c>
      <c r="D102" s="7"/>
      <c r="E102" s="10">
        <f>(ADC!I102+5/3)/(1/12)</f>
        <v>28.887092225087795</v>
      </c>
      <c r="F102" s="11">
        <f t="shared" si="3"/>
        <v>3.7096925830406843E-2</v>
      </c>
      <c r="G102" s="2"/>
      <c r="H102" s="2"/>
      <c r="I102" s="10">
        <f>ABS(C102-ADC!I102)</f>
        <v>9.2741981242683735E-2</v>
      </c>
    </row>
    <row r="103" spans="1:9" x14ac:dyDescent="0.25">
      <c r="A103" s="3">
        <v>101</v>
      </c>
      <c r="B103" s="3">
        <f t="shared" si="4"/>
        <v>30.1</v>
      </c>
      <c r="C103" s="12">
        <f t="shared" si="5"/>
        <v>0.84166700000000005</v>
      </c>
      <c r="D103" s="7"/>
      <c r="E103" s="10">
        <f>(ADC!I103+5/3)/(1/12)</f>
        <v>28.977077872686397</v>
      </c>
      <c r="F103" s="11">
        <f t="shared" si="3"/>
        <v>3.7306382967229372E-2</v>
      </c>
      <c r="G103" s="2"/>
      <c r="H103" s="2"/>
      <c r="I103" s="10">
        <f>ABS(C103-ADC!I103)</f>
        <v>9.3577177276133683E-2</v>
      </c>
    </row>
    <row r="104" spans="1:9" x14ac:dyDescent="0.25">
      <c r="A104" s="3">
        <v>102</v>
      </c>
      <c r="B104" s="3">
        <f t="shared" si="4"/>
        <v>30.200000000000003</v>
      </c>
      <c r="C104" s="12">
        <f t="shared" si="5"/>
        <v>0.85</v>
      </c>
      <c r="D104" s="7"/>
      <c r="E104" s="10">
        <f>(ADC!I104+5/3)/(1/12)</f>
        <v>29.067395517444957</v>
      </c>
      <c r="F104" s="11">
        <f t="shared" si="3"/>
        <v>3.7503459687253153E-2</v>
      </c>
      <c r="G104" s="2"/>
      <c r="H104" s="2"/>
      <c r="I104" s="10">
        <f>ABS(C104-ADC!I104)</f>
        <v>9.438370687958697E-2</v>
      </c>
    </row>
    <row r="105" spans="1:9" x14ac:dyDescent="0.25">
      <c r="A105" s="3">
        <v>103</v>
      </c>
      <c r="B105" s="3">
        <f t="shared" si="4"/>
        <v>30.3</v>
      </c>
      <c r="C105" s="12">
        <f t="shared" si="5"/>
        <v>0.85833300000000001</v>
      </c>
      <c r="D105" s="7"/>
      <c r="E105" s="10">
        <f>(ADC!I105+5/3)/(1/12)</f>
        <v>29.168649920418542</v>
      </c>
      <c r="F105" s="11">
        <f t="shared" si="3"/>
        <v>3.7338286454833634E-2</v>
      </c>
      <c r="G105" s="2"/>
      <c r="H105" s="2"/>
      <c r="I105" s="10">
        <f>ABS(C105-ADC!I105)</f>
        <v>9.4278839965121652E-2</v>
      </c>
    </row>
    <row r="106" spans="1:9" x14ac:dyDescent="0.25">
      <c r="A106" s="3">
        <v>104</v>
      </c>
      <c r="B106" s="3">
        <f t="shared" si="4"/>
        <v>30.4</v>
      </c>
      <c r="C106" s="12">
        <f t="shared" si="5"/>
        <v>0.86666699999999997</v>
      </c>
      <c r="D106" s="7"/>
      <c r="E106" s="10">
        <f>(ADC!I106+5/3)/(1/12)</f>
        <v>29.259618242445569</v>
      </c>
      <c r="F106" s="11">
        <f t="shared" si="3"/>
        <v>3.7512557814290443E-2</v>
      </c>
      <c r="G106" s="2"/>
      <c r="H106" s="2"/>
      <c r="I106" s="10">
        <f>ABS(C106-ADC!I106)</f>
        <v>9.5032146462869505E-2</v>
      </c>
    </row>
    <row r="107" spans="1:9" x14ac:dyDescent="0.25">
      <c r="A107" s="3">
        <v>105</v>
      </c>
      <c r="B107" s="3">
        <f t="shared" si="4"/>
        <v>30.5</v>
      </c>
      <c r="C107" s="12">
        <f t="shared" si="5"/>
        <v>0.875</v>
      </c>
      <c r="D107" s="7"/>
      <c r="E107" s="10">
        <f>(ADC!I107+5/3)/(1/12)</f>
        <v>29.350916832580719</v>
      </c>
      <c r="F107" s="11">
        <f t="shared" si="3"/>
        <v>3.767485794817315E-2</v>
      </c>
      <c r="G107" s="2"/>
      <c r="H107" s="2"/>
      <c r="I107" s="10">
        <f>ABS(C107-ADC!I107)</f>
        <v>9.5756930618273395E-2</v>
      </c>
    </row>
    <row r="108" spans="1:9" x14ac:dyDescent="0.25">
      <c r="A108" s="3">
        <v>106</v>
      </c>
      <c r="B108" s="3">
        <f t="shared" si="4"/>
        <v>30.6</v>
      </c>
      <c r="C108" s="12">
        <f t="shared" si="5"/>
        <v>0.88333300000000003</v>
      </c>
      <c r="D108" s="7"/>
      <c r="E108" s="10">
        <f>(ADC!I108+5/3)/(1/12)</f>
        <v>29.453115574403256</v>
      </c>
      <c r="F108" s="11">
        <f t="shared" si="3"/>
        <v>3.7479883189436125E-2</v>
      </c>
      <c r="G108" s="2"/>
      <c r="H108" s="2"/>
      <c r="I108" s="10">
        <f>ABS(C108-ADC!I108)</f>
        <v>9.5573368799728664E-2</v>
      </c>
    </row>
    <row r="109" spans="1:9" x14ac:dyDescent="0.25">
      <c r="A109" s="3">
        <v>107</v>
      </c>
      <c r="B109" s="3">
        <f t="shared" si="4"/>
        <v>30.700000000000003</v>
      </c>
      <c r="C109" s="12">
        <f t="shared" si="5"/>
        <v>0.89166699999999999</v>
      </c>
      <c r="D109" s="7"/>
      <c r="E109" s="10">
        <f>(ADC!I109+5/3)/(1/12)</f>
        <v>29.545061284890352</v>
      </c>
      <c r="F109" s="11">
        <f t="shared" si="3"/>
        <v>3.7620153586633578E-2</v>
      </c>
      <c r="G109" s="2"/>
      <c r="H109" s="2"/>
      <c r="I109" s="10">
        <f>ABS(C109-ADC!I109)</f>
        <v>9.6245226259137673E-2</v>
      </c>
    </row>
    <row r="110" spans="1:9" x14ac:dyDescent="0.25">
      <c r="A110" s="3">
        <v>108</v>
      </c>
      <c r="B110" s="3">
        <f t="shared" si="4"/>
        <v>30.8</v>
      </c>
      <c r="C110" s="12">
        <f t="shared" si="5"/>
        <v>0.9</v>
      </c>
      <c r="D110" s="7"/>
      <c r="E110" s="10">
        <f>(ADC!I110+5/3)/(1/12)</f>
        <v>29.647882628886055</v>
      </c>
      <c r="F110" s="11">
        <f t="shared" si="3"/>
        <v>3.7406408153050172E-2</v>
      </c>
      <c r="G110" s="2"/>
      <c r="H110" s="2"/>
      <c r="I110" s="10">
        <f>ABS(C110-ADC!I110)</f>
        <v>9.6009780926162192E-2</v>
      </c>
    </row>
    <row r="111" spans="1:9" x14ac:dyDescent="0.25">
      <c r="A111" s="3">
        <v>109</v>
      </c>
      <c r="B111" s="3">
        <f t="shared" si="4"/>
        <v>30.9</v>
      </c>
      <c r="C111" s="12">
        <f t="shared" si="5"/>
        <v>0.90833299999999995</v>
      </c>
      <c r="D111" s="7"/>
      <c r="E111" s="10">
        <f>(ADC!I111+5/3)/(1/12)</f>
        <v>29.740473014541255</v>
      </c>
      <c r="F111" s="11">
        <f t="shared" si="3"/>
        <v>3.7525145160477141E-2</v>
      </c>
      <c r="G111" s="2"/>
      <c r="H111" s="2"/>
      <c r="I111" s="10">
        <f>ABS(C111-ADC!I111)</f>
        <v>9.6626915454895657E-2</v>
      </c>
    </row>
    <row r="112" spans="1:9" x14ac:dyDescent="0.25">
      <c r="A112" s="3">
        <v>110</v>
      </c>
      <c r="B112" s="3">
        <f t="shared" si="4"/>
        <v>31</v>
      </c>
      <c r="C112" s="12">
        <f t="shared" si="5"/>
        <v>0.91666700000000001</v>
      </c>
      <c r="D112" s="7"/>
      <c r="E112" s="10">
        <f>(ADC!I112+5/3)/(1/12)</f>
        <v>29.843914422300031</v>
      </c>
      <c r="F112" s="11">
        <f t="shared" si="3"/>
        <v>3.7293083151611894E-2</v>
      </c>
      <c r="G112" s="2"/>
      <c r="H112" s="2"/>
      <c r="I112" s="10">
        <f>ABS(C112-ADC!I112)</f>
        <v>9.6340798141664186E-2</v>
      </c>
    </row>
    <row r="113" spans="1:9" x14ac:dyDescent="0.25">
      <c r="A113" s="3">
        <v>111</v>
      </c>
      <c r="B113" s="3">
        <f t="shared" si="4"/>
        <v>31.1</v>
      </c>
      <c r="C113" s="12">
        <f t="shared" si="5"/>
        <v>0.92500000000000004</v>
      </c>
      <c r="D113" s="7"/>
      <c r="E113" s="10">
        <f>(ADC!I113+5/3)/(1/12)</f>
        <v>29.937146990104363</v>
      </c>
      <c r="F113" s="11">
        <f t="shared" si="3"/>
        <v>3.7390772022367784E-2</v>
      </c>
      <c r="G113" s="2"/>
      <c r="H113" s="2"/>
      <c r="I113" s="10">
        <f>ABS(C113-ADC!I113)</f>
        <v>9.6904417491303407E-2</v>
      </c>
    </row>
    <row r="114" spans="1:9" x14ac:dyDescent="0.25">
      <c r="A114" s="3">
        <v>112</v>
      </c>
      <c r="B114" s="3">
        <f t="shared" si="4"/>
        <v>31.200000000000003</v>
      </c>
      <c r="C114" s="12">
        <f t="shared" si="5"/>
        <v>0.93333299999999997</v>
      </c>
      <c r="D114" s="7"/>
      <c r="E114" s="10">
        <f>(ADC!I114+5/3)/(1/12)</f>
        <v>30.030705568331442</v>
      </c>
      <c r="F114" s="11">
        <f t="shared" si="3"/>
        <v>3.74773856304026E-2</v>
      </c>
      <c r="G114" s="2"/>
      <c r="H114" s="2"/>
      <c r="I114" s="10">
        <f>ABS(C114-ADC!I114)</f>
        <v>9.7440869305713496E-2</v>
      </c>
    </row>
    <row r="115" spans="1:9" x14ac:dyDescent="0.25">
      <c r="A115" s="3">
        <v>113</v>
      </c>
      <c r="B115" s="3">
        <f t="shared" si="4"/>
        <v>31.3</v>
      </c>
      <c r="C115" s="12">
        <f t="shared" si="5"/>
        <v>0.94166700000000003</v>
      </c>
      <c r="D115" s="7"/>
      <c r="E115" s="10">
        <f>(ADC!I115+5/3)/(1/12)</f>
        <v>30.135078084130868</v>
      </c>
      <c r="F115" s="11">
        <f t="shared" si="3"/>
        <v>3.7217952583678375E-2</v>
      </c>
      <c r="G115" s="2"/>
      <c r="H115" s="2"/>
      <c r="I115" s="10">
        <f>ABS(C115-ADC!I115)</f>
        <v>9.7077159655761358E-2</v>
      </c>
    </row>
    <row r="116" spans="1:9" x14ac:dyDescent="0.25">
      <c r="A116" s="3">
        <v>114</v>
      </c>
      <c r="B116" s="3">
        <f t="shared" si="4"/>
        <v>31.4</v>
      </c>
      <c r="C116" s="12">
        <f t="shared" si="5"/>
        <v>0.95</v>
      </c>
      <c r="D116" s="7"/>
      <c r="E116" s="10">
        <f>(ADC!I116+5/3)/(1/12)</f>
        <v>30.229275026067789</v>
      </c>
      <c r="F116" s="11">
        <f t="shared" si="3"/>
        <v>3.72842348386054E-2</v>
      </c>
      <c r="G116" s="2"/>
      <c r="H116" s="2"/>
      <c r="I116" s="10">
        <f>ABS(C116-ADC!I116)</f>
        <v>9.7560414494351155E-2</v>
      </c>
    </row>
    <row r="117" spans="1:9" x14ac:dyDescent="0.25">
      <c r="A117" s="3">
        <v>115</v>
      </c>
      <c r="B117" s="3">
        <f t="shared" si="4"/>
        <v>31.5</v>
      </c>
      <c r="C117" s="12">
        <f t="shared" si="5"/>
        <v>0.95833299999999999</v>
      </c>
      <c r="D117" s="7"/>
      <c r="E117" s="10">
        <f>(ADC!I117+5/3)/(1/12)</f>
        <v>30.32379607025522</v>
      </c>
      <c r="F117" s="11">
        <f t="shared" si="3"/>
        <v>3.7339807293485079E-2</v>
      </c>
      <c r="G117" s="2"/>
      <c r="H117" s="2"/>
      <c r="I117" s="10">
        <f>ABS(C117-ADC!I117)</f>
        <v>9.8016660812064949E-2</v>
      </c>
    </row>
    <row r="118" spans="1:9" x14ac:dyDescent="0.25">
      <c r="A118" s="3">
        <v>116</v>
      </c>
      <c r="B118" s="3">
        <f t="shared" si="4"/>
        <v>31.6</v>
      </c>
      <c r="C118" s="12">
        <f t="shared" si="5"/>
        <v>0.96666700000000005</v>
      </c>
      <c r="D118" s="7"/>
      <c r="E118" s="10">
        <f>(ADC!I118+5/3)/(1/12)</f>
        <v>30.439546981194322</v>
      </c>
      <c r="F118" s="11">
        <f t="shared" si="3"/>
        <v>3.6723196797648072E-2</v>
      </c>
      <c r="G118" s="2"/>
      <c r="H118" s="2"/>
      <c r="I118" s="10">
        <f>ABS(C118-ADC!I118)</f>
        <v>9.670475156714009E-2</v>
      </c>
    </row>
    <row r="119" spans="1:9" x14ac:dyDescent="0.25">
      <c r="A119" s="3">
        <v>117</v>
      </c>
      <c r="B119" s="3">
        <f t="shared" si="4"/>
        <v>31.700000000000003</v>
      </c>
      <c r="C119" s="12">
        <f t="shared" si="5"/>
        <v>0.97499999999999998</v>
      </c>
      <c r="D119" s="7"/>
      <c r="E119" s="10">
        <f>(ADC!I119+5/3)/(1/12)</f>
        <v>30.534690634887298</v>
      </c>
      <c r="F119" s="11">
        <f t="shared" si="3"/>
        <v>3.6760547795353468E-2</v>
      </c>
      <c r="G119" s="2"/>
      <c r="H119" s="2"/>
      <c r="I119" s="10">
        <f>ABS(C119-ADC!I119)</f>
        <v>9.7109113759391907E-2</v>
      </c>
    </row>
    <row r="120" spans="1:9" x14ac:dyDescent="0.25">
      <c r="A120" s="3">
        <v>118</v>
      </c>
      <c r="B120" s="3">
        <f t="shared" si="4"/>
        <v>31.8</v>
      </c>
      <c r="C120" s="12">
        <f t="shared" si="5"/>
        <v>0.98333300000000001</v>
      </c>
      <c r="D120" s="7"/>
      <c r="E120" s="10">
        <f>(ADC!I120+5/3)/(1/12)</f>
        <v>30.630156409334528</v>
      </c>
      <c r="F120" s="11">
        <f t="shared" si="3"/>
        <v>3.6787534297656362E-2</v>
      </c>
      <c r="G120" s="2"/>
      <c r="H120" s="2"/>
      <c r="I120" s="10">
        <f>ABS(C120-ADC!I120)</f>
        <v>9.7486632555456088E-2</v>
      </c>
    </row>
    <row r="121" spans="1:9" x14ac:dyDescent="0.25">
      <c r="A121" s="3">
        <v>119</v>
      </c>
      <c r="B121" s="3">
        <f t="shared" si="4"/>
        <v>31.9</v>
      </c>
      <c r="C121" s="12">
        <f t="shared" si="5"/>
        <v>0.99166699999999997</v>
      </c>
      <c r="D121" s="7"/>
      <c r="E121" s="10">
        <f>(ADC!I121+5/3)/(1/12)</f>
        <v>30.725943640429392</v>
      </c>
      <c r="F121" s="11">
        <f t="shared" si="3"/>
        <v>3.6804274594689858E-2</v>
      </c>
      <c r="G121" s="2"/>
      <c r="H121" s="2"/>
      <c r="I121" s="10">
        <f>ABS(C121-ADC!I121)</f>
        <v>9.7838363297550468E-2</v>
      </c>
    </row>
    <row r="122" spans="1:9" x14ac:dyDescent="0.25">
      <c r="A122" s="3">
        <v>120</v>
      </c>
      <c r="B122" s="3">
        <f t="shared" si="4"/>
        <v>32</v>
      </c>
      <c r="C122" s="12">
        <f t="shared" si="5"/>
        <v>1</v>
      </c>
      <c r="D122" s="7"/>
      <c r="E122" s="10">
        <f>(ADC!I122+5/3)/(1/12)</f>
        <v>30.832457501754522</v>
      </c>
      <c r="F122" s="11">
        <f t="shared" si="3"/>
        <v>3.6485703070171183E-2</v>
      </c>
      <c r="G122" s="2"/>
      <c r="H122" s="2"/>
      <c r="I122" s="10">
        <f>ABS(C122-ADC!I122)</f>
        <v>9.729520818712345E-2</v>
      </c>
    </row>
    <row r="123" spans="1:9" x14ac:dyDescent="0.25">
      <c r="A123" s="3">
        <v>121</v>
      </c>
      <c r="B123" s="3">
        <f t="shared" si="4"/>
        <v>32.1</v>
      </c>
      <c r="C123" s="12">
        <f t="shared" si="5"/>
        <v>1.0083329999999999</v>
      </c>
      <c r="D123" s="7"/>
      <c r="E123" s="10">
        <f>(ADC!I123+5/3)/(1/12)</f>
        <v>30.928873748087039</v>
      </c>
      <c r="F123" s="11">
        <f t="shared" si="3"/>
        <v>3.6483683860216901E-2</v>
      </c>
      <c r="G123" s="2"/>
      <c r="H123" s="2"/>
      <c r="I123" s="10">
        <f>ABS(C123-ADC!I123)</f>
        <v>9.7593520992746985E-2</v>
      </c>
    </row>
    <row r="124" spans="1:9" x14ac:dyDescent="0.25">
      <c r="A124" s="3">
        <v>122</v>
      </c>
      <c r="B124" s="3">
        <f t="shared" si="4"/>
        <v>32.200000000000003</v>
      </c>
      <c r="C124" s="12">
        <f t="shared" si="5"/>
        <v>1.016667</v>
      </c>
      <c r="D124" s="7"/>
      <c r="E124" s="10">
        <f>(ADC!I124+5/3)/(1/12)</f>
        <v>31.025609416149006</v>
      </c>
      <c r="F124" s="11">
        <f t="shared" si="3"/>
        <v>3.647175726245331E-2</v>
      </c>
      <c r="G124" s="2"/>
      <c r="H124" s="2"/>
      <c r="I124" s="10">
        <f>ABS(C124-ADC!I124)</f>
        <v>9.7866215320916439E-2</v>
      </c>
    </row>
    <row r="125" spans="1:9" x14ac:dyDescent="0.25">
      <c r="A125" s="3">
        <v>123</v>
      </c>
      <c r="B125" s="3">
        <f t="shared" si="4"/>
        <v>32.299999999999997</v>
      </c>
      <c r="C125" s="12">
        <f t="shared" si="5"/>
        <v>1.0249999999999999</v>
      </c>
      <c r="D125" s="7"/>
      <c r="E125" s="10">
        <f>(ADC!I125+5/3)/(1/12)</f>
        <v>31.12266381913803</v>
      </c>
      <c r="F125" s="11">
        <f t="shared" si="3"/>
        <v>3.6450036559194043E-2</v>
      </c>
      <c r="G125" s="2"/>
      <c r="H125" s="2"/>
      <c r="I125" s="10">
        <f>ABS(C125-ADC!I125)</f>
        <v>9.8111348405164445E-2</v>
      </c>
    </row>
    <row r="126" spans="1:9" x14ac:dyDescent="0.25">
      <c r="A126" s="3">
        <v>124</v>
      </c>
      <c r="B126" s="3">
        <f t="shared" si="4"/>
        <v>32.4</v>
      </c>
      <c r="C126" s="12">
        <f t="shared" si="5"/>
        <v>1.0333330000000001</v>
      </c>
      <c r="D126" s="7"/>
      <c r="E126" s="10">
        <f>(ADC!I126+5/3)/(1/12)</f>
        <v>31.220036262221338</v>
      </c>
      <c r="F126" s="11">
        <f t="shared" si="3"/>
        <v>3.6418633882057419E-2</v>
      </c>
      <c r="G126" s="2"/>
      <c r="H126" s="2"/>
      <c r="I126" s="10">
        <f>ABS(C126-ADC!I126)</f>
        <v>9.8329978148222197E-2</v>
      </c>
    </row>
    <row r="127" spans="1:9" x14ac:dyDescent="0.25">
      <c r="A127" s="3">
        <v>125</v>
      </c>
      <c r="B127" s="3">
        <f t="shared" si="4"/>
        <v>32.5</v>
      </c>
      <c r="C127" s="12">
        <f t="shared" si="5"/>
        <v>1.0416669999999999</v>
      </c>
      <c r="D127" s="7"/>
      <c r="E127" s="10">
        <f>(ADC!I127+5/3)/(1/12)</f>
        <v>31.328072295673117</v>
      </c>
      <c r="F127" s="11">
        <f t="shared" si="3"/>
        <v>3.6059313979288715E-2</v>
      </c>
      <c r="G127" s="2"/>
      <c r="H127" s="2"/>
      <c r="I127" s="10">
        <f>ABS(C127-ADC!I127)</f>
        <v>9.7660975360573832E-2</v>
      </c>
    </row>
    <row r="128" spans="1:9" x14ac:dyDescent="0.25">
      <c r="A128" s="3">
        <v>126</v>
      </c>
      <c r="B128" s="3">
        <f t="shared" si="4"/>
        <v>32.6</v>
      </c>
      <c r="C128" s="12">
        <f t="shared" si="5"/>
        <v>1.05</v>
      </c>
      <c r="D128" s="7"/>
      <c r="E128" s="10">
        <f>(ADC!I128+5/3)/(1/12)</f>
        <v>31.426066753987634</v>
      </c>
      <c r="F128" s="11">
        <f t="shared" si="3"/>
        <v>3.6010222270318026E-2</v>
      </c>
      <c r="G128" s="2"/>
      <c r="H128" s="2"/>
      <c r="I128" s="10">
        <f>ABS(C128-ADC!I128)</f>
        <v>9.7827770501030864E-2</v>
      </c>
    </row>
    <row r="129" spans="1:9" x14ac:dyDescent="0.25">
      <c r="A129" s="3">
        <v>127</v>
      </c>
      <c r="B129" s="3">
        <f t="shared" si="4"/>
        <v>32.700000000000003</v>
      </c>
      <c r="C129" s="12">
        <f t="shared" si="5"/>
        <v>1.058333</v>
      </c>
      <c r="D129" s="7"/>
      <c r="E129" s="10">
        <f>(ADC!I129+5/3)/(1/12)</f>
        <v>31.514054827141326</v>
      </c>
      <c r="F129" s="11">
        <f t="shared" si="3"/>
        <v>3.626743647885862E-2</v>
      </c>
      <c r="G129" s="2"/>
      <c r="H129" s="2"/>
      <c r="I129" s="10">
        <f>ABS(C129-ADC!I129)</f>
        <v>9.8828431071556255E-2</v>
      </c>
    </row>
    <row r="130" spans="1:9" x14ac:dyDescent="0.25">
      <c r="A130" s="3">
        <v>128</v>
      </c>
      <c r="B130" s="3">
        <f t="shared" si="4"/>
        <v>32.799999999999997</v>
      </c>
      <c r="C130" s="12">
        <f t="shared" si="5"/>
        <v>1.066667</v>
      </c>
      <c r="D130" s="7"/>
      <c r="E130" s="10">
        <f>(ADC!I130+5/3)/(1/12)</f>
        <v>31.612692396725862</v>
      </c>
      <c r="F130" s="11">
        <f t="shared" ref="F130:F193" si="6">ABS(B130-E130)/B130</f>
        <v>3.6198402538845591E-2</v>
      </c>
      <c r="G130" s="2"/>
      <c r="H130" s="2"/>
      <c r="I130" s="10">
        <f>ABS(C130-ADC!I130)</f>
        <v>9.8942633606178165E-2</v>
      </c>
    </row>
    <row r="131" spans="1:9" x14ac:dyDescent="0.25">
      <c r="A131" s="3">
        <v>129</v>
      </c>
      <c r="B131" s="3">
        <f t="shared" ref="B131:B194" si="7">0.1*A131+20</f>
        <v>32.9</v>
      </c>
      <c r="C131" s="12">
        <f t="shared" ref="C131:C194" si="8">ROUND(1/12*B131-5/3,6)</f>
        <v>1.075</v>
      </c>
      <c r="D131" s="7"/>
      <c r="E131" s="10">
        <f>(ADC!I131+5/3)/(1/12)</f>
        <v>31.711644451932223</v>
      </c>
      <c r="F131" s="11">
        <f t="shared" si="6"/>
        <v>3.6120229424552452E-2</v>
      </c>
      <c r="G131" s="2"/>
      <c r="H131" s="2"/>
      <c r="I131" s="10">
        <f>ABS(C131-ADC!I131)</f>
        <v>9.9029629005648379E-2</v>
      </c>
    </row>
    <row r="132" spans="1:9" x14ac:dyDescent="0.25">
      <c r="A132" s="3">
        <v>130</v>
      </c>
      <c r="B132" s="3">
        <f t="shared" si="7"/>
        <v>33</v>
      </c>
      <c r="C132" s="12">
        <f t="shared" si="8"/>
        <v>1.0833330000000001</v>
      </c>
      <c r="D132" s="7"/>
      <c r="E132" s="10">
        <f>(ADC!I132+5/3)/(1/12)</f>
        <v>31.810910275929754</v>
      </c>
      <c r="F132" s="11">
        <f t="shared" si="6"/>
        <v>3.6033021941522622E-2</v>
      </c>
      <c r="G132" s="2"/>
      <c r="H132" s="2"/>
      <c r="I132" s="10">
        <f>ABS(C132-ADC!I132)</f>
        <v>9.9090477005854161E-2</v>
      </c>
    </row>
    <row r="133" spans="1:9" x14ac:dyDescent="0.25">
      <c r="A133" s="3">
        <v>131</v>
      </c>
      <c r="B133" s="3">
        <f t="shared" si="7"/>
        <v>33.1</v>
      </c>
      <c r="C133" s="12">
        <f t="shared" si="8"/>
        <v>1.0916669999999999</v>
      </c>
      <c r="D133" s="7"/>
      <c r="E133" s="10">
        <f>(ADC!I133+5/3)/(1/12)</f>
        <v>31.910489126050443</v>
      </c>
      <c r="F133" s="11">
        <f t="shared" si="6"/>
        <v>3.5936884409352214E-2</v>
      </c>
      <c r="G133" s="2"/>
      <c r="H133" s="2"/>
      <c r="I133" s="10">
        <f>ABS(C133-ADC!I133)</f>
        <v>9.9126239495796464E-2</v>
      </c>
    </row>
    <row r="134" spans="1:9" x14ac:dyDescent="0.25">
      <c r="A134" s="3">
        <v>132</v>
      </c>
      <c r="B134" s="3">
        <f t="shared" si="7"/>
        <v>33.200000000000003</v>
      </c>
      <c r="C134" s="12">
        <f t="shared" si="8"/>
        <v>1.1000000000000001</v>
      </c>
      <c r="D134" s="7"/>
      <c r="E134" s="10">
        <f>(ADC!I134+5/3)/(1/12)</f>
        <v>32.010380264165029</v>
      </c>
      <c r="F134" s="11">
        <f t="shared" si="6"/>
        <v>3.5831919754065474E-2</v>
      </c>
      <c r="G134" s="2"/>
      <c r="H134" s="2"/>
      <c r="I134" s="10">
        <f>ABS(C134-ADC!I134)</f>
        <v>9.9134977986247819E-2</v>
      </c>
    </row>
    <row r="135" spans="1:9" x14ac:dyDescent="0.25">
      <c r="A135" s="3">
        <v>133</v>
      </c>
      <c r="B135" s="3">
        <f t="shared" si="7"/>
        <v>33.299999999999997</v>
      </c>
      <c r="C135" s="12">
        <f t="shared" si="8"/>
        <v>1.108333</v>
      </c>
      <c r="D135" s="7"/>
      <c r="E135" s="10">
        <f>(ADC!I135+5/3)/(1/12)</f>
        <v>32.110582941669669</v>
      </c>
      <c r="F135" s="11">
        <f t="shared" si="6"/>
        <v>3.5718229979889729E-2</v>
      </c>
      <c r="G135" s="2"/>
      <c r="H135" s="2"/>
      <c r="I135" s="10">
        <f>ABS(C135-ADC!I135)</f>
        <v>9.9117754860861274E-2</v>
      </c>
    </row>
    <row r="136" spans="1:9" x14ac:dyDescent="0.25">
      <c r="A136" s="3">
        <v>134</v>
      </c>
      <c r="B136" s="3">
        <f t="shared" si="7"/>
        <v>33.4</v>
      </c>
      <c r="C136" s="12">
        <f t="shared" si="8"/>
        <v>1.1166670000000001</v>
      </c>
      <c r="D136" s="7"/>
      <c r="E136" s="10">
        <f>(ADC!I136+5/3)/(1/12)</f>
        <v>32.211096416594081</v>
      </c>
      <c r="F136" s="11">
        <f t="shared" si="6"/>
        <v>3.5595915670835844E-2</v>
      </c>
      <c r="G136" s="2"/>
      <c r="H136" s="2"/>
      <c r="I136" s="10">
        <f>ABS(C136-ADC!I136)</f>
        <v>9.9075631950493515E-2</v>
      </c>
    </row>
    <row r="137" spans="1:9" x14ac:dyDescent="0.25">
      <c r="A137" s="3">
        <v>135</v>
      </c>
      <c r="B137" s="3">
        <f t="shared" si="7"/>
        <v>33.5</v>
      </c>
      <c r="C137" s="12">
        <f t="shared" si="8"/>
        <v>1.125</v>
      </c>
      <c r="D137" s="7"/>
      <c r="E137" s="10">
        <f>(ADC!I137+5/3)/(1/12)</f>
        <v>32.311919922876299</v>
      </c>
      <c r="F137" s="11">
        <f t="shared" si="6"/>
        <v>3.5465076929065691E-2</v>
      </c>
      <c r="G137" s="2"/>
      <c r="H137" s="2"/>
      <c r="I137" s="10">
        <f>ABS(C137-ADC!I137)</f>
        <v>9.9006673093642084E-2</v>
      </c>
    </row>
    <row r="138" spans="1:9" x14ac:dyDescent="0.25">
      <c r="A138" s="3">
        <v>136</v>
      </c>
      <c r="B138" s="3">
        <f t="shared" si="7"/>
        <v>33.6</v>
      </c>
      <c r="C138" s="12">
        <f t="shared" si="8"/>
        <v>1.1333329999999999</v>
      </c>
      <c r="D138" s="7"/>
      <c r="E138" s="10">
        <f>(ADC!I138+5/3)/(1/12)</f>
        <v>32.413052700040808</v>
      </c>
      <c r="F138" s="11">
        <f t="shared" si="6"/>
        <v>3.5325812498785518E-2</v>
      </c>
      <c r="G138" s="2"/>
      <c r="H138" s="2"/>
      <c r="I138" s="10">
        <f>ABS(C138-ADC!I138)</f>
        <v>9.8911941663266223E-2</v>
      </c>
    </row>
    <row r="139" spans="1:9" x14ac:dyDescent="0.25">
      <c r="A139" s="3">
        <v>137</v>
      </c>
      <c r="B139" s="3">
        <f t="shared" si="7"/>
        <v>33.700000000000003</v>
      </c>
      <c r="C139" s="12">
        <f t="shared" si="8"/>
        <v>1.141667</v>
      </c>
      <c r="D139" s="7"/>
      <c r="E139" s="10">
        <f>(ADC!I139+5/3)/(1/12)</f>
        <v>32.514493980628693</v>
      </c>
      <c r="F139" s="11">
        <f t="shared" si="6"/>
        <v>3.5178220159386049E-2</v>
      </c>
      <c r="G139" s="2"/>
      <c r="H139" s="2"/>
      <c r="I139" s="10">
        <f>ABS(C139-ADC!I139)</f>
        <v>9.8792501614275663E-2</v>
      </c>
    </row>
    <row r="140" spans="1:9" x14ac:dyDescent="0.25">
      <c r="A140" s="3">
        <v>138</v>
      </c>
      <c r="B140" s="3">
        <f t="shared" si="7"/>
        <v>33.799999999999997</v>
      </c>
      <c r="C140" s="12">
        <f t="shared" si="8"/>
        <v>1.1499999999999999</v>
      </c>
      <c r="D140" s="7"/>
      <c r="E140" s="10">
        <f>(ADC!I140+5/3)/(1/12)</f>
        <v>32.616242987753843</v>
      </c>
      <c r="F140" s="11">
        <f t="shared" si="6"/>
        <v>3.5022396812016403E-2</v>
      </c>
      <c r="G140" s="2"/>
      <c r="H140" s="2"/>
      <c r="I140" s="10">
        <f>ABS(C140-ADC!I140)</f>
        <v>9.8646417687179966E-2</v>
      </c>
    </row>
    <row r="141" spans="1:9" x14ac:dyDescent="0.25">
      <c r="A141" s="3">
        <v>139</v>
      </c>
      <c r="B141" s="3">
        <f t="shared" si="7"/>
        <v>33.9</v>
      </c>
      <c r="C141" s="12">
        <f t="shared" si="8"/>
        <v>1.1583330000000001</v>
      </c>
      <c r="D141" s="7"/>
      <c r="E141" s="10">
        <f>(ADC!I141+5/3)/(1/12)</f>
        <v>32.718298936848448</v>
      </c>
      <c r="F141" s="11">
        <f t="shared" si="6"/>
        <v>3.4858438441048675E-2</v>
      </c>
      <c r="G141" s="2"/>
      <c r="H141" s="2"/>
      <c r="I141" s="10">
        <f>ABS(C141-ADC!I141)</f>
        <v>9.8474755262629943E-2</v>
      </c>
    </row>
    <row r="142" spans="1:9" x14ac:dyDescent="0.25">
      <c r="A142" s="3">
        <v>140</v>
      </c>
      <c r="B142" s="3">
        <f t="shared" si="7"/>
        <v>34</v>
      </c>
      <c r="C142" s="12">
        <f t="shared" si="8"/>
        <v>1.1666669999999999</v>
      </c>
      <c r="D142" s="7"/>
      <c r="E142" s="10">
        <f>(ADC!I142+5/3)/(1/12)</f>
        <v>32.810495941908059</v>
      </c>
      <c r="F142" s="11">
        <f t="shared" si="6"/>
        <v>3.4985413473292391E-2</v>
      </c>
      <c r="G142" s="2"/>
      <c r="H142" s="2"/>
      <c r="I142" s="10">
        <f>ABS(C142-ADC!I142)</f>
        <v>9.9125671507661828E-2</v>
      </c>
    </row>
    <row r="143" spans="1:9" x14ac:dyDescent="0.25">
      <c r="A143" s="3">
        <v>141</v>
      </c>
      <c r="B143" s="3">
        <f t="shared" si="7"/>
        <v>34.1</v>
      </c>
      <c r="C143" s="12">
        <f t="shared" si="8"/>
        <v>1.175</v>
      </c>
      <c r="D143" s="7"/>
      <c r="E143" s="10">
        <f>(ADC!I143+5/3)/(1/12)</f>
        <v>32.913175612939476</v>
      </c>
      <c r="F143" s="11">
        <f t="shared" si="6"/>
        <v>3.4804234224648838E-2</v>
      </c>
      <c r="G143" s="2"/>
      <c r="H143" s="2"/>
      <c r="I143" s="10">
        <f>ABS(C143-ADC!I143)</f>
        <v>9.8902032255044237E-2</v>
      </c>
    </row>
    <row r="144" spans="1:9" x14ac:dyDescent="0.25">
      <c r="A144" s="3">
        <v>142</v>
      </c>
      <c r="B144" s="3">
        <f t="shared" si="7"/>
        <v>34.200000000000003</v>
      </c>
      <c r="C144" s="12">
        <f t="shared" si="8"/>
        <v>1.183333</v>
      </c>
      <c r="D144" s="7"/>
      <c r="E144" s="10">
        <f>(ADC!I144+5/3)/(1/12)</f>
        <v>33.016159863508051</v>
      </c>
      <c r="F144" s="11">
        <f t="shared" si="6"/>
        <v>3.4615208669355316E-2</v>
      </c>
      <c r="G144" s="2"/>
      <c r="H144" s="2"/>
      <c r="I144" s="10">
        <f>ABS(C144-ADC!I144)</f>
        <v>9.8653011374328914E-2</v>
      </c>
    </row>
    <row r="145" spans="1:9" x14ac:dyDescent="0.25">
      <c r="A145" s="3">
        <v>143</v>
      </c>
      <c r="B145" s="3">
        <f t="shared" si="7"/>
        <v>34.299999999999997</v>
      </c>
      <c r="C145" s="12">
        <f t="shared" si="8"/>
        <v>1.191667</v>
      </c>
      <c r="D145" s="7"/>
      <c r="E145" s="10">
        <f>(ADC!I145+5/3)/(1/12)</f>
        <v>33.119447896476331</v>
      </c>
      <c r="F145" s="11">
        <f t="shared" si="6"/>
        <v>3.4418428674159375E-2</v>
      </c>
      <c r="G145" s="2"/>
      <c r="H145" s="2"/>
      <c r="I145" s="10">
        <f>ABS(C145-ADC!I145)</f>
        <v>9.8379675293639224E-2</v>
      </c>
    </row>
    <row r="146" spans="1:9" x14ac:dyDescent="0.25">
      <c r="A146" s="3">
        <v>144</v>
      </c>
      <c r="B146" s="3">
        <f t="shared" si="7"/>
        <v>34.4</v>
      </c>
      <c r="C146" s="12">
        <f t="shared" si="8"/>
        <v>1.2</v>
      </c>
      <c r="D146" s="7"/>
      <c r="E146" s="10">
        <f>(ADC!I146+5/3)/(1/12)</f>
        <v>33.223038900390797</v>
      </c>
      <c r="F146" s="11">
        <f t="shared" si="6"/>
        <v>3.4213985453755855E-2</v>
      </c>
      <c r="G146" s="2"/>
      <c r="H146" s="2"/>
      <c r="I146" s="10">
        <f>ABS(C146-ADC!I146)</f>
        <v>9.8080091634100031E-2</v>
      </c>
    </row>
    <row r="147" spans="1:9" x14ac:dyDescent="0.25">
      <c r="A147" s="3">
        <v>145</v>
      </c>
      <c r="B147" s="3">
        <f t="shared" si="7"/>
        <v>34.5</v>
      </c>
      <c r="C147" s="12">
        <f t="shared" si="8"/>
        <v>1.2083330000000001</v>
      </c>
      <c r="D147" s="7"/>
      <c r="E147" s="10">
        <f>(ADC!I147+5/3)/(1/12)</f>
        <v>33.326932059957585</v>
      </c>
      <c r="F147" s="11">
        <f t="shared" si="6"/>
        <v>3.4001969276591743E-2</v>
      </c>
      <c r="G147" s="2"/>
      <c r="H147" s="2"/>
      <c r="I147" s="10">
        <f>ABS(C147-ADC!I147)</f>
        <v>9.7755328336868175E-2</v>
      </c>
    </row>
    <row r="148" spans="1:9" x14ac:dyDescent="0.25">
      <c r="A148" s="3">
        <v>146</v>
      </c>
      <c r="B148" s="3">
        <f t="shared" si="7"/>
        <v>34.6</v>
      </c>
      <c r="C148" s="12">
        <f t="shared" si="8"/>
        <v>1.2166669999999999</v>
      </c>
      <c r="D148" s="7"/>
      <c r="E148" s="10">
        <f>(ADC!I148+5/3)/(1/12)</f>
        <v>33.421034833163461</v>
      </c>
      <c r="F148" s="11">
        <f t="shared" si="6"/>
        <v>3.4074137769842222E-2</v>
      </c>
      <c r="G148" s="2"/>
      <c r="H148" s="2"/>
      <c r="I148" s="10">
        <f>ABS(C148-ADC!I148)</f>
        <v>9.8247430569711414E-2</v>
      </c>
    </row>
    <row r="149" spans="1:9" x14ac:dyDescent="0.25">
      <c r="A149" s="3">
        <v>147</v>
      </c>
      <c r="B149" s="3">
        <f t="shared" si="7"/>
        <v>34.700000000000003</v>
      </c>
      <c r="C149" s="12">
        <f t="shared" si="8"/>
        <v>1.2250000000000001</v>
      </c>
      <c r="D149" s="7"/>
      <c r="E149" s="10">
        <f>(ADC!I149+5/3)/(1/12)</f>
        <v>33.525542108862297</v>
      </c>
      <c r="F149" s="11">
        <f t="shared" si="6"/>
        <v>3.3846048735956945E-2</v>
      </c>
      <c r="G149" s="2"/>
      <c r="H149" s="2"/>
      <c r="I149" s="10">
        <f>ABS(C149-ADC!I149)</f>
        <v>9.7871490928142624E-2</v>
      </c>
    </row>
    <row r="150" spans="1:9" x14ac:dyDescent="0.25">
      <c r="A150" s="3">
        <v>148</v>
      </c>
      <c r="B150" s="3">
        <f t="shared" si="7"/>
        <v>34.799999999999997</v>
      </c>
      <c r="C150" s="12">
        <f t="shared" si="8"/>
        <v>1.233333</v>
      </c>
      <c r="D150" s="7"/>
      <c r="E150" s="10">
        <f>(ADC!I150+5/3)/(1/12)</f>
        <v>33.630349075825549</v>
      </c>
      <c r="F150" s="11">
        <f t="shared" si="6"/>
        <v>3.3610658740645061E-2</v>
      </c>
      <c r="G150" s="2"/>
      <c r="H150" s="2"/>
      <c r="I150" s="10">
        <f>ABS(C150-ADC!I150)</f>
        <v>9.7470577014537652E-2</v>
      </c>
    </row>
    <row r="151" spans="1:9" x14ac:dyDescent="0.25">
      <c r="A151" s="3">
        <v>149</v>
      </c>
      <c r="B151" s="3">
        <f t="shared" si="7"/>
        <v>34.9</v>
      </c>
      <c r="C151" s="12">
        <f t="shared" si="8"/>
        <v>1.2416670000000001</v>
      </c>
      <c r="D151" s="7"/>
      <c r="E151" s="10">
        <f>(ADC!I151+5/3)/(1/12)</f>
        <v>33.725400066375556</v>
      </c>
      <c r="F151" s="11">
        <f t="shared" si="6"/>
        <v>3.3656158556574278E-2</v>
      </c>
      <c r="G151" s="2"/>
      <c r="H151" s="2"/>
      <c r="I151" s="10">
        <f>ABS(C151-ADC!I151)</f>
        <v>9.7883661135370614E-2</v>
      </c>
    </row>
    <row r="152" spans="1:9" x14ac:dyDescent="0.25">
      <c r="A152" s="3">
        <v>150</v>
      </c>
      <c r="B152" s="3">
        <f t="shared" si="7"/>
        <v>35</v>
      </c>
      <c r="C152" s="12">
        <f t="shared" si="8"/>
        <v>1.25</v>
      </c>
      <c r="D152" s="7"/>
      <c r="E152" s="10">
        <f>(ADC!I152+5/3)/(1/12)</f>
        <v>33.830816213013811</v>
      </c>
      <c r="F152" s="11">
        <f t="shared" si="6"/>
        <v>3.3405251056748242E-2</v>
      </c>
      <c r="G152" s="2"/>
      <c r="H152" s="2"/>
      <c r="I152" s="10">
        <f>ABS(C152-ADC!I152)</f>
        <v>9.7431982248849192E-2</v>
      </c>
    </row>
    <row r="153" spans="1:9" x14ac:dyDescent="0.25">
      <c r="A153" s="3">
        <v>151</v>
      </c>
      <c r="B153" s="3">
        <f t="shared" si="7"/>
        <v>35.1</v>
      </c>
      <c r="C153" s="12">
        <f t="shared" si="8"/>
        <v>1.2583329999999999</v>
      </c>
      <c r="D153" s="7"/>
      <c r="E153" s="10">
        <f>(ADC!I153+5/3)/(1/12)</f>
        <v>33.926499370340615</v>
      </c>
      <c r="F153" s="11">
        <f t="shared" si="6"/>
        <v>3.3433066372062295E-2</v>
      </c>
      <c r="G153" s="2"/>
      <c r="H153" s="2"/>
      <c r="I153" s="10">
        <f>ABS(C153-ADC!I153)</f>
        <v>9.7791385804948838E-2</v>
      </c>
    </row>
    <row r="154" spans="1:9" x14ac:dyDescent="0.25">
      <c r="A154" s="3">
        <v>152</v>
      </c>
      <c r="B154" s="3">
        <f t="shared" si="7"/>
        <v>35.200000000000003</v>
      </c>
      <c r="C154" s="12">
        <f t="shared" si="8"/>
        <v>1.266667</v>
      </c>
      <c r="D154" s="7"/>
      <c r="E154" s="10">
        <f>(ADC!I154+5/3)/(1/12)</f>
        <v>34.02250356217769</v>
      </c>
      <c r="F154" s="11">
        <f t="shared" si="6"/>
        <v>3.3451603347224801E-2</v>
      </c>
      <c r="G154" s="2"/>
      <c r="H154" s="2"/>
      <c r="I154" s="10">
        <f>ABS(C154-ADC!I154)</f>
        <v>9.8125036485192663E-2</v>
      </c>
    </row>
    <row r="155" spans="1:9" x14ac:dyDescent="0.25">
      <c r="A155" s="3">
        <v>153</v>
      </c>
      <c r="B155" s="3">
        <f t="shared" si="7"/>
        <v>35.299999999999997</v>
      </c>
      <c r="C155" s="12">
        <f t="shared" si="8"/>
        <v>1.2749999999999999</v>
      </c>
      <c r="D155" s="7"/>
      <c r="E155" s="10">
        <f>(ADC!I155+5/3)/(1/12)</f>
        <v>34.128833376896594</v>
      </c>
      <c r="F155" s="11">
        <f t="shared" si="6"/>
        <v>3.3177524733807452E-2</v>
      </c>
      <c r="G155" s="2"/>
      <c r="H155" s="2"/>
      <c r="I155" s="10">
        <f>ABS(C155-ADC!I155)</f>
        <v>9.7597218591950252E-2</v>
      </c>
    </row>
    <row r="156" spans="1:9" x14ac:dyDescent="0.25">
      <c r="A156" s="3">
        <v>154</v>
      </c>
      <c r="B156" s="3">
        <f t="shared" si="7"/>
        <v>35.4</v>
      </c>
      <c r="C156" s="12">
        <f t="shared" si="8"/>
        <v>1.2833330000000001</v>
      </c>
      <c r="D156" s="7"/>
      <c r="E156" s="10">
        <f>(ADC!I156+5/3)/(1/12)</f>
        <v>34.235457813741483</v>
      </c>
      <c r="F156" s="11">
        <f t="shared" si="6"/>
        <v>3.2896671928206646E-2</v>
      </c>
      <c r="G156" s="2"/>
      <c r="H156" s="2"/>
      <c r="I156" s="10">
        <f>ABS(C156-ADC!I156)</f>
        <v>9.704484885487652E-2</v>
      </c>
    </row>
    <row r="157" spans="1:9" x14ac:dyDescent="0.25">
      <c r="A157" s="3">
        <v>155</v>
      </c>
      <c r="B157" s="3">
        <f t="shared" si="7"/>
        <v>35.5</v>
      </c>
      <c r="C157" s="12">
        <f t="shared" si="8"/>
        <v>1.2916669999999999</v>
      </c>
      <c r="D157" s="7"/>
      <c r="E157" s="10">
        <f>(ADC!I157+5/3)/(1/12)</f>
        <v>34.332395337434235</v>
      </c>
      <c r="F157" s="11">
        <f t="shared" si="6"/>
        <v>3.2890272184951122E-2</v>
      </c>
      <c r="G157" s="2"/>
      <c r="H157" s="2"/>
      <c r="I157" s="10">
        <f>ABS(C157-ADC!I157)</f>
        <v>9.7300721880480889E-2</v>
      </c>
    </row>
    <row r="158" spans="1:9" x14ac:dyDescent="0.25">
      <c r="A158" s="3">
        <v>156</v>
      </c>
      <c r="B158" s="3">
        <f t="shared" si="7"/>
        <v>35.6</v>
      </c>
      <c r="C158" s="12">
        <f t="shared" si="8"/>
        <v>1.3</v>
      </c>
      <c r="D158" s="7"/>
      <c r="E158" s="10">
        <f>(ADC!I158+5/3)/(1/12)</f>
        <v>34.439618793330283</v>
      </c>
      <c r="F158" s="11">
        <f t="shared" si="6"/>
        <v>3.2594977715441537E-2</v>
      </c>
      <c r="G158" s="2"/>
      <c r="H158" s="2"/>
      <c r="I158" s="10">
        <f>ABS(C158-ADC!I158)</f>
        <v>9.6698433889143454E-2</v>
      </c>
    </row>
    <row r="159" spans="1:9" x14ac:dyDescent="0.25">
      <c r="A159" s="3">
        <v>157</v>
      </c>
      <c r="B159" s="3">
        <f t="shared" si="7"/>
        <v>35.700000000000003</v>
      </c>
      <c r="C159" s="12">
        <f t="shared" si="8"/>
        <v>1.308333</v>
      </c>
      <c r="D159" s="7"/>
      <c r="E159" s="10">
        <f>(ADC!I159+5/3)/(1/12)</f>
        <v>34.537178422338137</v>
      </c>
      <c r="F159" s="11">
        <f t="shared" si="6"/>
        <v>3.2572032987727338E-2</v>
      </c>
      <c r="G159" s="2"/>
      <c r="H159" s="2"/>
      <c r="I159" s="10">
        <f>ABS(C159-ADC!I159)</f>
        <v>9.6901464805155602E-2</v>
      </c>
    </row>
    <row r="160" spans="1:9" x14ac:dyDescent="0.25">
      <c r="A160" s="3">
        <v>158</v>
      </c>
      <c r="B160" s="3">
        <f t="shared" si="7"/>
        <v>35.799999999999997</v>
      </c>
      <c r="C160" s="12">
        <f t="shared" si="8"/>
        <v>1.316667</v>
      </c>
      <c r="D160" s="7"/>
      <c r="E160" s="10">
        <f>(ADC!I160+5/3)/(1/12)</f>
        <v>34.644997424866077</v>
      </c>
      <c r="F160" s="11">
        <f t="shared" si="6"/>
        <v>3.2262641763517334E-2</v>
      </c>
      <c r="G160" s="2"/>
      <c r="H160" s="2"/>
      <c r="I160" s="10">
        <f>ABS(C160-ADC!I160)</f>
        <v>9.6250547927827501E-2</v>
      </c>
    </row>
    <row r="161" spans="1:9" x14ac:dyDescent="0.25">
      <c r="A161" s="3">
        <v>159</v>
      </c>
      <c r="B161" s="3">
        <f t="shared" si="7"/>
        <v>35.9</v>
      </c>
      <c r="C161" s="12">
        <f t="shared" si="8"/>
        <v>1.325</v>
      </c>
      <c r="D161" s="7"/>
      <c r="E161" s="10">
        <f>(ADC!I161+5/3)/(1/12)</f>
        <v>34.743175711909473</v>
      </c>
      <c r="F161" s="11">
        <f t="shared" si="6"/>
        <v>3.222351777410936E-2</v>
      </c>
      <c r="G161" s="2"/>
      <c r="H161" s="2"/>
      <c r="I161" s="10">
        <f>ABS(C161-ADC!I161)</f>
        <v>9.6402024007544052E-2</v>
      </c>
    </row>
    <row r="162" spans="1:9" x14ac:dyDescent="0.25">
      <c r="A162" s="3">
        <v>160</v>
      </c>
      <c r="B162" s="3">
        <f t="shared" si="7"/>
        <v>36</v>
      </c>
      <c r="C162" s="12">
        <f t="shared" si="8"/>
        <v>1.3333330000000001</v>
      </c>
      <c r="D162" s="7"/>
      <c r="E162" s="10">
        <f>(ADC!I162+5/3)/(1/12)</f>
        <v>34.851586742909461</v>
      </c>
      <c r="F162" s="11">
        <f t="shared" si="6"/>
        <v>3.1900368252514966E-2</v>
      </c>
      <c r="G162" s="2"/>
      <c r="H162" s="2"/>
      <c r="I162" s="10">
        <f>ABS(C162-ADC!I162)</f>
        <v>9.5700771424211517E-2</v>
      </c>
    </row>
    <row r="163" spans="1:9" x14ac:dyDescent="0.25">
      <c r="A163" s="3">
        <v>161</v>
      </c>
      <c r="B163" s="3">
        <f t="shared" si="7"/>
        <v>36.1</v>
      </c>
      <c r="C163" s="12">
        <f t="shared" si="8"/>
        <v>1.3416669999999999</v>
      </c>
      <c r="D163" s="7"/>
      <c r="E163" s="10">
        <f>(ADC!I163+5/3)/(1/12)</f>
        <v>34.95038019811102</v>
      </c>
      <c r="F163" s="11">
        <f t="shared" si="6"/>
        <v>3.1845423875041037E-2</v>
      </c>
      <c r="G163" s="2"/>
      <c r="H163" s="2"/>
      <c r="I163" s="10">
        <f>ABS(C163-ADC!I163)</f>
        <v>9.5801983490748865E-2</v>
      </c>
    </row>
    <row r="164" spans="1:9" x14ac:dyDescent="0.25">
      <c r="A164" s="3">
        <v>162</v>
      </c>
      <c r="B164" s="3">
        <f t="shared" si="7"/>
        <v>36.200000000000003</v>
      </c>
      <c r="C164" s="12">
        <f t="shared" si="8"/>
        <v>1.35</v>
      </c>
      <c r="D164" s="7"/>
      <c r="E164" s="10">
        <f>(ADC!I164+5/3)/(1/12)</f>
        <v>35.059379700317258</v>
      </c>
      <c r="F164" s="11">
        <f t="shared" si="6"/>
        <v>3.1508848057534379E-2</v>
      </c>
      <c r="G164" s="2"/>
      <c r="H164" s="2"/>
      <c r="I164" s="10">
        <f>ABS(C164-ADC!I164)</f>
        <v>9.5051691640229086E-2</v>
      </c>
    </row>
    <row r="165" spans="1:9" x14ac:dyDescent="0.25">
      <c r="A165" s="3">
        <v>163</v>
      </c>
      <c r="B165" s="3">
        <f t="shared" si="7"/>
        <v>36.299999999999997</v>
      </c>
      <c r="C165" s="12">
        <f t="shared" si="8"/>
        <v>1.358333</v>
      </c>
      <c r="D165" s="7"/>
      <c r="E165" s="10">
        <f>(ADC!I165+5/3)/(1/12)</f>
        <v>35.15878479015403</v>
      </c>
      <c r="F165" s="11">
        <f t="shared" si="6"/>
        <v>3.1438435532946757E-2</v>
      </c>
      <c r="G165" s="2"/>
      <c r="H165" s="2"/>
      <c r="I165" s="10">
        <f>ABS(C165-ADC!I165)</f>
        <v>9.510093415383114E-2</v>
      </c>
    </row>
    <row r="166" spans="1:9" x14ac:dyDescent="0.25">
      <c r="A166" s="3">
        <v>164</v>
      </c>
      <c r="B166" s="3">
        <f t="shared" si="7"/>
        <v>36.400000000000006</v>
      </c>
      <c r="C166" s="12">
        <f t="shared" si="8"/>
        <v>1.3666670000000001</v>
      </c>
      <c r="D166" s="7"/>
      <c r="E166" s="10">
        <f>(ADC!I166+5/3)/(1/12)</f>
        <v>35.268369151133356</v>
      </c>
      <c r="F166" s="11">
        <f t="shared" si="6"/>
        <v>3.1088759584248601E-2</v>
      </c>
      <c r="G166" s="2"/>
      <c r="H166" s="2"/>
      <c r="I166" s="10">
        <f>ABS(C166-ADC!I166)</f>
        <v>9.4302904072220972E-2</v>
      </c>
    </row>
    <row r="167" spans="1:9" x14ac:dyDescent="0.25">
      <c r="A167" s="3">
        <v>165</v>
      </c>
      <c r="B167" s="3">
        <f t="shared" si="7"/>
        <v>36.5</v>
      </c>
      <c r="C167" s="12">
        <f t="shared" si="8"/>
        <v>1.375</v>
      </c>
      <c r="D167" s="7"/>
      <c r="E167" s="10">
        <f>(ADC!I167+5/3)/(1/12)</f>
        <v>35.368382300183058</v>
      </c>
      <c r="F167" s="11">
        <f t="shared" si="6"/>
        <v>3.1003224652518972E-2</v>
      </c>
      <c r="G167" s="2"/>
      <c r="H167" s="2"/>
      <c r="I167" s="10">
        <f>ABS(C167-ADC!I167)</f>
        <v>9.4301474984745726E-2</v>
      </c>
    </row>
    <row r="168" spans="1:9" x14ac:dyDescent="0.25">
      <c r="A168" s="3">
        <v>166</v>
      </c>
      <c r="B168" s="3">
        <f t="shared" si="7"/>
        <v>36.6</v>
      </c>
      <c r="C168" s="12">
        <f t="shared" si="8"/>
        <v>1.3833329999999999</v>
      </c>
      <c r="D168" s="7"/>
      <c r="E168" s="10">
        <f>(ADC!I168+5/3)/(1/12)</f>
        <v>35.468704392949931</v>
      </c>
      <c r="F168" s="11">
        <f t="shared" si="6"/>
        <v>3.0909716039619409E-2</v>
      </c>
      <c r="G168" s="2"/>
      <c r="H168" s="2"/>
      <c r="I168" s="10">
        <f>ABS(C168-ADC!I168)</f>
        <v>9.4274300587505744E-2</v>
      </c>
    </row>
    <row r="169" spans="1:9" x14ac:dyDescent="0.25">
      <c r="A169" s="3">
        <v>167</v>
      </c>
      <c r="B169" s="3">
        <f t="shared" si="7"/>
        <v>36.700000000000003</v>
      </c>
      <c r="C169" s="12">
        <f t="shared" si="8"/>
        <v>1.391667</v>
      </c>
      <c r="D169" s="7"/>
      <c r="E169" s="10">
        <f>(ADC!I169+5/3)/(1/12)</f>
        <v>35.579165465970618</v>
      </c>
      <c r="F169" s="11">
        <f t="shared" si="6"/>
        <v>3.0540450518511838E-2</v>
      </c>
      <c r="G169" s="2"/>
      <c r="H169" s="2"/>
      <c r="I169" s="10">
        <f>ABS(C169-ADC!I169)</f>
        <v>9.3403211169115652E-2</v>
      </c>
    </row>
    <row r="170" spans="1:9" x14ac:dyDescent="0.25">
      <c r="A170" s="3">
        <v>168</v>
      </c>
      <c r="B170" s="3">
        <f t="shared" si="7"/>
        <v>36.799999999999997</v>
      </c>
      <c r="C170" s="12">
        <f t="shared" si="8"/>
        <v>1.4</v>
      </c>
      <c r="D170" s="7"/>
      <c r="E170" s="10">
        <f>(ADC!I170+5/3)/(1/12)</f>
        <v>35.680090181493171</v>
      </c>
      <c r="F170" s="11">
        <f t="shared" si="6"/>
        <v>3.0432332024642027E-2</v>
      </c>
      <c r="G170" s="2"/>
      <c r="H170" s="2"/>
      <c r="I170" s="10">
        <f>ABS(C170-ADC!I170)</f>
        <v>9.3325818208902955E-2</v>
      </c>
    </row>
    <row r="171" spans="1:9" x14ac:dyDescent="0.25">
      <c r="A171" s="3">
        <v>169</v>
      </c>
      <c r="B171" s="3">
        <f t="shared" si="7"/>
        <v>36.900000000000006</v>
      </c>
      <c r="C171" s="12">
        <f t="shared" si="8"/>
        <v>1.4083330000000001</v>
      </c>
      <c r="D171" s="7"/>
      <c r="E171" s="10">
        <f>(ADC!I171+5/3)/(1/12)</f>
        <v>35.781321123376848</v>
      </c>
      <c r="F171" s="11">
        <f t="shared" si="6"/>
        <v>3.031650072149477E-2</v>
      </c>
      <c r="G171" s="2"/>
      <c r="H171" s="2"/>
      <c r="I171" s="10">
        <f>ABS(C171-ADC!I171)</f>
        <v>9.3222906385263204E-2</v>
      </c>
    </row>
    <row r="172" spans="1:9" x14ac:dyDescent="0.25">
      <c r="A172" s="3">
        <v>170</v>
      </c>
      <c r="B172" s="3">
        <f t="shared" si="7"/>
        <v>37</v>
      </c>
      <c r="C172" s="12">
        <f t="shared" si="8"/>
        <v>1.4166669999999999</v>
      </c>
      <c r="D172" s="7"/>
      <c r="E172" s="10">
        <f>(ADC!I172+5/3)/(1/12)</f>
        <v>35.89265058406005</v>
      </c>
      <c r="F172" s="11">
        <f t="shared" si="6"/>
        <v>2.9928362592971627E-2</v>
      </c>
      <c r="G172" s="2"/>
      <c r="H172" s="2"/>
      <c r="I172" s="10">
        <f>ABS(C172-ADC!I172)</f>
        <v>9.2279451328329598E-2</v>
      </c>
    </row>
    <row r="173" spans="1:9" x14ac:dyDescent="0.25">
      <c r="A173" s="3">
        <v>171</v>
      </c>
      <c r="B173" s="3">
        <f t="shared" si="7"/>
        <v>37.1</v>
      </c>
      <c r="C173" s="12">
        <f t="shared" si="8"/>
        <v>1.425</v>
      </c>
      <c r="D173" s="7"/>
      <c r="E173" s="10">
        <f>(ADC!I173+5/3)/(1/12)</f>
        <v>35.994478620586719</v>
      </c>
      <c r="F173" s="11">
        <f t="shared" si="6"/>
        <v>2.9798419930277157E-2</v>
      </c>
      <c r="G173" s="2"/>
      <c r="H173" s="2"/>
      <c r="I173" s="10">
        <f>ABS(C173-ADC!I173)</f>
        <v>9.2126781617773768E-2</v>
      </c>
    </row>
    <row r="174" spans="1:9" x14ac:dyDescent="0.25">
      <c r="A174" s="3">
        <v>172</v>
      </c>
      <c r="B174" s="3">
        <f t="shared" si="7"/>
        <v>37.200000000000003</v>
      </c>
      <c r="C174" s="12">
        <f t="shared" si="8"/>
        <v>1.433333</v>
      </c>
      <c r="D174" s="7"/>
      <c r="E174" s="10">
        <f>(ADC!I174+5/3)/(1/12)</f>
        <v>36.086842103975329</v>
      </c>
      <c r="F174" s="11">
        <f t="shared" si="6"/>
        <v>2.9923599355501991E-2</v>
      </c>
      <c r="G174" s="2"/>
      <c r="H174" s="2"/>
      <c r="I174" s="10">
        <f>ABS(C174-ADC!I174)</f>
        <v>9.2762824668722876E-2</v>
      </c>
    </row>
    <row r="175" spans="1:9" x14ac:dyDescent="0.25">
      <c r="A175" s="3">
        <v>173</v>
      </c>
      <c r="B175" s="3">
        <f t="shared" si="7"/>
        <v>37.299999999999997</v>
      </c>
      <c r="C175" s="12">
        <f t="shared" si="8"/>
        <v>1.441667</v>
      </c>
      <c r="D175" s="7"/>
      <c r="E175" s="10">
        <f>(ADC!I175+5/3)/(1/12)</f>
        <v>36.189288734815406</v>
      </c>
      <c r="F175" s="11">
        <f t="shared" si="6"/>
        <v>2.9777781908434078E-2</v>
      </c>
      <c r="G175" s="2"/>
      <c r="H175" s="2"/>
      <c r="I175" s="10">
        <f>ABS(C175-ADC!I175)</f>
        <v>9.2559605432050107E-2</v>
      </c>
    </row>
    <row r="176" spans="1:9" x14ac:dyDescent="0.25">
      <c r="A176" s="3">
        <v>174</v>
      </c>
      <c r="B176" s="3">
        <f t="shared" si="7"/>
        <v>37.400000000000006</v>
      </c>
      <c r="C176" s="12">
        <f t="shared" si="8"/>
        <v>1.45</v>
      </c>
      <c r="D176" s="7"/>
      <c r="E176" s="10">
        <f>(ADC!I176+5/3)/(1/12)</f>
        <v>36.301779694810591</v>
      </c>
      <c r="F176" s="11">
        <f t="shared" si="6"/>
        <v>2.9364179283139422E-2</v>
      </c>
      <c r="G176" s="2"/>
      <c r="H176" s="2"/>
      <c r="I176" s="10">
        <f>ABS(C176-ADC!I176)</f>
        <v>9.1518358765784402E-2</v>
      </c>
    </row>
    <row r="177" spans="1:9" x14ac:dyDescent="0.25">
      <c r="A177" s="3">
        <v>175</v>
      </c>
      <c r="B177" s="3">
        <f t="shared" si="7"/>
        <v>37.5</v>
      </c>
      <c r="C177" s="12">
        <f t="shared" si="8"/>
        <v>1.4583330000000001</v>
      </c>
      <c r="D177" s="7"/>
      <c r="E177" s="10">
        <f>(ADC!I177+5/3)/(1/12)</f>
        <v>36.404815924127753</v>
      </c>
      <c r="F177" s="11">
        <f t="shared" si="6"/>
        <v>2.9204908689926583E-2</v>
      </c>
      <c r="G177" s="2"/>
      <c r="H177" s="2"/>
      <c r="I177" s="10">
        <f>ABS(C177-ADC!I177)</f>
        <v>9.1265006322687858E-2</v>
      </c>
    </row>
    <row r="178" spans="1:9" x14ac:dyDescent="0.25">
      <c r="A178" s="3">
        <v>176</v>
      </c>
      <c r="B178" s="3">
        <f t="shared" si="7"/>
        <v>37.6</v>
      </c>
      <c r="C178" s="12">
        <f t="shared" si="8"/>
        <v>1.4666669999999999</v>
      </c>
      <c r="D178" s="7"/>
      <c r="E178" s="10">
        <f>(ADC!I178+5/3)/(1/12)</f>
        <v>36.508151853612929</v>
      </c>
      <c r="F178" s="11">
        <f t="shared" si="6"/>
        <v>2.9038514531571063E-2</v>
      </c>
      <c r="G178" s="2"/>
      <c r="H178" s="2"/>
      <c r="I178" s="10">
        <f>ABS(C178-ADC!I178)</f>
        <v>9.0987678865589006E-2</v>
      </c>
    </row>
    <row r="179" spans="1:9" x14ac:dyDescent="0.25">
      <c r="A179" s="3">
        <v>177</v>
      </c>
      <c r="B179" s="3">
        <f t="shared" si="7"/>
        <v>37.700000000000003</v>
      </c>
      <c r="C179" s="12">
        <f t="shared" si="8"/>
        <v>1.4750000000000001</v>
      </c>
      <c r="D179" s="7"/>
      <c r="E179" s="10">
        <f>(ADC!I179+5/3)/(1/12)</f>
        <v>36.611786524815848</v>
      </c>
      <c r="F179" s="11">
        <f t="shared" si="6"/>
        <v>2.8865078917351582E-2</v>
      </c>
      <c r="G179" s="2"/>
      <c r="H179" s="2"/>
      <c r="I179" s="10">
        <f>ABS(C179-ADC!I179)</f>
        <v>9.0684456265345936E-2</v>
      </c>
    </row>
    <row r="180" spans="1:9" x14ac:dyDescent="0.25">
      <c r="A180" s="3">
        <v>178</v>
      </c>
      <c r="B180" s="3">
        <f t="shared" si="7"/>
        <v>37.799999999999997</v>
      </c>
      <c r="C180" s="12">
        <f t="shared" si="8"/>
        <v>1.483333</v>
      </c>
      <c r="D180" s="7"/>
      <c r="E180" s="10">
        <f>(ADC!I180+5/3)/(1/12)</f>
        <v>36.725411087624252</v>
      </c>
      <c r="F180" s="11">
        <f t="shared" si="6"/>
        <v>2.8428278105178444E-2</v>
      </c>
      <c r="G180" s="2"/>
      <c r="H180" s="2"/>
      <c r="I180" s="10">
        <f>ABS(C180-ADC!I180)</f>
        <v>8.95487426979793E-2</v>
      </c>
    </row>
    <row r="181" spans="1:9" x14ac:dyDescent="0.25">
      <c r="A181" s="3">
        <v>179</v>
      </c>
      <c r="B181" s="3">
        <f t="shared" si="7"/>
        <v>37.900000000000006</v>
      </c>
      <c r="C181" s="12">
        <f t="shared" si="8"/>
        <v>1.4916670000000001</v>
      </c>
      <c r="D181" s="7"/>
      <c r="E181" s="10">
        <f>(ADC!I181+5/3)/(1/12)</f>
        <v>36.82962768009736</v>
      </c>
      <c r="F181" s="11">
        <f t="shared" si="6"/>
        <v>2.8242013717747899E-2</v>
      </c>
      <c r="G181" s="2"/>
      <c r="H181" s="2"/>
      <c r="I181" s="10">
        <f>ABS(C181-ADC!I181)</f>
        <v>8.9198026658553697E-2</v>
      </c>
    </row>
    <row r="182" spans="1:9" x14ac:dyDescent="0.25">
      <c r="A182" s="3">
        <v>180</v>
      </c>
      <c r="B182" s="3">
        <f t="shared" si="7"/>
        <v>38</v>
      </c>
      <c r="C182" s="12">
        <f t="shared" si="8"/>
        <v>1.5</v>
      </c>
      <c r="D182" s="7"/>
      <c r="E182" s="10">
        <f>(ADC!I182+5/3)/(1/12)</f>
        <v>36.93414012322399</v>
      </c>
      <c r="F182" s="11">
        <f t="shared" si="6"/>
        <v>2.8048944125684466E-2</v>
      </c>
      <c r="G182" s="2"/>
      <c r="H182" s="2"/>
      <c r="I182" s="10">
        <f>ABS(C182-ADC!I182)</f>
        <v>8.8821656398001103E-2</v>
      </c>
    </row>
    <row r="183" spans="1:9" x14ac:dyDescent="0.25">
      <c r="A183" s="3">
        <v>181</v>
      </c>
      <c r="B183" s="3">
        <f t="shared" si="7"/>
        <v>38.1</v>
      </c>
      <c r="C183" s="12">
        <f t="shared" si="8"/>
        <v>1.5083329999999999</v>
      </c>
      <c r="D183" s="7"/>
      <c r="E183" s="10">
        <f>(ADC!I183+5/3)/(1/12)</f>
        <v>37.038947437952999</v>
      </c>
      <c r="F183" s="11">
        <f t="shared" si="6"/>
        <v>2.7849148610157554E-2</v>
      </c>
      <c r="G183" s="2"/>
      <c r="H183" s="2"/>
      <c r="I183" s="10">
        <f>ABS(C183-ADC!I183)</f>
        <v>8.8420713503916559E-2</v>
      </c>
    </row>
    <row r="184" spans="1:9" x14ac:dyDescent="0.25">
      <c r="A184" s="3">
        <v>182</v>
      </c>
      <c r="B184" s="3">
        <f t="shared" si="7"/>
        <v>38.200000000000003</v>
      </c>
      <c r="C184" s="12">
        <f t="shared" si="8"/>
        <v>1.516667</v>
      </c>
      <c r="D184" s="7"/>
      <c r="E184" s="10">
        <f>(ADC!I184+5/3)/(1/12)</f>
        <v>37.15368995342061</v>
      </c>
      <c r="F184" s="11">
        <f t="shared" si="6"/>
        <v>2.7390315355481486E-2</v>
      </c>
      <c r="G184" s="2"/>
      <c r="H184" s="2"/>
      <c r="I184" s="10">
        <f>ABS(C184-ADC!I184)</f>
        <v>8.7192837214949748E-2</v>
      </c>
    </row>
    <row r="185" spans="1:9" x14ac:dyDescent="0.25">
      <c r="A185" s="3">
        <v>183</v>
      </c>
      <c r="B185" s="3">
        <f t="shared" si="7"/>
        <v>38.299999999999997</v>
      </c>
      <c r="C185" s="12">
        <f t="shared" si="8"/>
        <v>1.5249999999999999</v>
      </c>
      <c r="D185" s="7"/>
      <c r="E185" s="10">
        <f>(ADC!I185+5/3)/(1/12)</f>
        <v>37.259071352122149</v>
      </c>
      <c r="F185" s="11">
        <f t="shared" si="6"/>
        <v>2.7178293678272805E-2</v>
      </c>
      <c r="G185" s="2"/>
      <c r="H185" s="2"/>
      <c r="I185" s="10">
        <f>ABS(C185-ADC!I185)</f>
        <v>8.6744053989821435E-2</v>
      </c>
    </row>
    <row r="186" spans="1:9" x14ac:dyDescent="0.25">
      <c r="A186" s="3">
        <v>184</v>
      </c>
      <c r="B186" s="3">
        <f t="shared" si="7"/>
        <v>38.400000000000006</v>
      </c>
      <c r="C186" s="12">
        <f t="shared" si="8"/>
        <v>1.5333330000000001</v>
      </c>
      <c r="D186" s="7"/>
      <c r="E186" s="10">
        <f>(ADC!I186+5/3)/(1/12)</f>
        <v>37.364744664322892</v>
      </c>
      <c r="F186" s="11">
        <f t="shared" si="6"/>
        <v>2.6959774366591506E-2</v>
      </c>
      <c r="G186" s="2"/>
      <c r="H186" s="2"/>
      <c r="I186" s="10">
        <f>ABS(C186-ADC!I186)</f>
        <v>8.6270944639758929E-2</v>
      </c>
    </row>
    <row r="187" spans="1:9" x14ac:dyDescent="0.25">
      <c r="A187" s="3">
        <v>185</v>
      </c>
      <c r="B187" s="3">
        <f t="shared" si="7"/>
        <v>38.5</v>
      </c>
      <c r="C187" s="12">
        <f t="shared" si="8"/>
        <v>1.5416669999999999</v>
      </c>
      <c r="D187" s="7"/>
      <c r="E187" s="10">
        <f>(ADC!I187+5/3)/(1/12)</f>
        <v>37.470708907479825</v>
      </c>
      <c r="F187" s="11">
        <f t="shared" si="6"/>
        <v>2.6734833571952603E-2</v>
      </c>
      <c r="G187" s="2"/>
      <c r="H187" s="2"/>
      <c r="I187" s="10">
        <f>ABS(C187-ADC!I187)</f>
        <v>8.5774591043348059E-2</v>
      </c>
    </row>
    <row r="188" spans="1:9" x14ac:dyDescent="0.25">
      <c r="A188" s="3">
        <v>186</v>
      </c>
      <c r="B188" s="3">
        <f t="shared" si="7"/>
        <v>38.6</v>
      </c>
      <c r="C188" s="12">
        <f t="shared" si="8"/>
        <v>1.55</v>
      </c>
      <c r="D188" s="7"/>
      <c r="E188" s="10">
        <f>(ADC!I188+5/3)/(1/12)</f>
        <v>37.576963076005718</v>
      </c>
      <c r="F188" s="11">
        <f t="shared" si="6"/>
        <v>2.6503547253737905E-2</v>
      </c>
      <c r="G188" s="2"/>
      <c r="H188" s="2"/>
      <c r="I188" s="10">
        <f>ABS(C188-ADC!I188)</f>
        <v>8.5253076999523891E-2</v>
      </c>
    </row>
    <row r="189" spans="1:9" x14ac:dyDescent="0.25">
      <c r="A189" s="3">
        <v>187</v>
      </c>
      <c r="B189" s="3">
        <f t="shared" si="7"/>
        <v>38.700000000000003</v>
      </c>
      <c r="C189" s="12">
        <f t="shared" si="8"/>
        <v>1.558333</v>
      </c>
      <c r="D189" s="7"/>
      <c r="E189" s="10">
        <f>(ADC!I189+5/3)/(1/12)</f>
        <v>37.673928648257409</v>
      </c>
      <c r="F189" s="11">
        <f t="shared" si="6"/>
        <v>2.6513471621255658E-2</v>
      </c>
      <c r="G189" s="2"/>
      <c r="H189" s="2"/>
      <c r="I189" s="10">
        <f>ABS(C189-ADC!I189)</f>
        <v>8.5505612645216056E-2</v>
      </c>
    </row>
    <row r="190" spans="1:9" x14ac:dyDescent="0.25">
      <c r="A190" s="3">
        <v>188</v>
      </c>
      <c r="B190" s="3">
        <f t="shared" si="7"/>
        <v>38.799999999999997</v>
      </c>
      <c r="C190" s="12">
        <f t="shared" si="8"/>
        <v>1.566667</v>
      </c>
      <c r="D190" s="7"/>
      <c r="E190" s="10">
        <f>(ADC!I190+5/3)/(1/12)</f>
        <v>37.780772446161158</v>
      </c>
      <c r="F190" s="11">
        <f t="shared" si="6"/>
        <v>2.6268751387598935E-2</v>
      </c>
      <c r="G190" s="2"/>
      <c r="H190" s="2"/>
      <c r="I190" s="10">
        <f>ABS(C190-ADC!I190)</f>
        <v>8.4935962819903787E-2</v>
      </c>
    </row>
    <row r="191" spans="1:9" x14ac:dyDescent="0.25">
      <c r="A191" s="3">
        <v>189</v>
      </c>
      <c r="B191" s="3">
        <f t="shared" si="7"/>
        <v>38.900000000000006</v>
      </c>
      <c r="C191" s="12">
        <f t="shared" si="8"/>
        <v>1.575</v>
      </c>
      <c r="D191" s="7"/>
      <c r="E191" s="10">
        <f>(ADC!I191+5/3)/(1/12)</f>
        <v>37.887903165066248</v>
      </c>
      <c r="F191" s="11">
        <f t="shared" si="6"/>
        <v>2.6017913494441058E-2</v>
      </c>
      <c r="G191" s="2"/>
      <c r="H191" s="2"/>
      <c r="I191" s="10">
        <f>ABS(C191-ADC!I191)</f>
        <v>8.434140291114578E-2</v>
      </c>
    </row>
    <row r="192" spans="1:9" x14ac:dyDescent="0.25">
      <c r="A192" s="3">
        <v>190</v>
      </c>
      <c r="B192" s="3">
        <f t="shared" si="7"/>
        <v>39</v>
      </c>
      <c r="C192" s="12">
        <f t="shared" si="8"/>
        <v>1.5833330000000001</v>
      </c>
      <c r="D192" s="7"/>
      <c r="E192" s="10">
        <f>(ADC!I192+5/3)/(1/12)</f>
        <v>37.995319785418943</v>
      </c>
      <c r="F192" s="11">
        <f t="shared" si="6"/>
        <v>2.5761031143104036E-2</v>
      </c>
      <c r="G192" s="2"/>
      <c r="H192" s="2"/>
      <c r="I192" s="10">
        <f>ABS(C192-ADC!I192)</f>
        <v>8.3723017881755402E-2</v>
      </c>
    </row>
    <row r="193" spans="1:9" x14ac:dyDescent="0.25">
      <c r="A193" s="3">
        <v>191</v>
      </c>
      <c r="B193" s="3">
        <f t="shared" si="7"/>
        <v>39.1</v>
      </c>
      <c r="C193" s="12">
        <f t="shared" si="8"/>
        <v>1.5916669999999999</v>
      </c>
      <c r="D193" s="7"/>
      <c r="E193" s="10">
        <f>(ADC!I193+5/3)/(1/12)</f>
        <v>38.103021283475201</v>
      </c>
      <c r="F193" s="11">
        <f t="shared" si="6"/>
        <v>2.5498176893217411E-2</v>
      </c>
      <c r="G193" s="2"/>
      <c r="H193" s="2"/>
      <c r="I193" s="10">
        <f>ABS(C193-ADC!I193)</f>
        <v>8.308189304373359E-2</v>
      </c>
    </row>
    <row r="194" spans="1:9" x14ac:dyDescent="0.25">
      <c r="A194" s="3">
        <v>192</v>
      </c>
      <c r="B194" s="3">
        <f t="shared" si="7"/>
        <v>39.200000000000003</v>
      </c>
      <c r="C194" s="12">
        <f t="shared" si="8"/>
        <v>1.6</v>
      </c>
      <c r="D194" s="7"/>
      <c r="E194" s="10">
        <f>(ADC!I194+5/3)/(1/12)</f>
        <v>38.201493156330642</v>
      </c>
      <c r="F194" s="11">
        <f t="shared" ref="F194:F257" si="9">ABS(B194-E194)/B194</f>
        <v>2.5472113358912266E-2</v>
      </c>
      <c r="G194" s="2"/>
      <c r="H194" s="2"/>
      <c r="I194" s="10">
        <f>ABS(C194-ADC!I194)</f>
        <v>8.3208903639113485E-2</v>
      </c>
    </row>
    <row r="195" spans="1:9" x14ac:dyDescent="0.25">
      <c r="A195" s="3">
        <v>193</v>
      </c>
      <c r="B195" s="3">
        <f t="shared" ref="B195:B258" si="10">0.1*A195+20</f>
        <v>39.299999999999997</v>
      </c>
      <c r="C195" s="12">
        <f t="shared" ref="C195:C258" si="11">ROUND(1/12*B195-5/3,6)</f>
        <v>1.608333</v>
      </c>
      <c r="D195" s="7"/>
      <c r="E195" s="10">
        <f>(ADC!I195+5/3)/(1/12)</f>
        <v>38.309774162770864</v>
      </c>
      <c r="F195" s="11">
        <f t="shared" si="9"/>
        <v>2.519658618903646E-2</v>
      </c>
      <c r="G195" s="2"/>
      <c r="H195" s="2"/>
      <c r="I195" s="10">
        <f>ABS(C195-ADC!I195)</f>
        <v>8.251848643576154E-2</v>
      </c>
    </row>
    <row r="196" spans="1:9" x14ac:dyDescent="0.25">
      <c r="A196" s="3">
        <v>194</v>
      </c>
      <c r="B196" s="3">
        <f t="shared" si="10"/>
        <v>39.400000000000006</v>
      </c>
      <c r="C196" s="12">
        <f t="shared" si="11"/>
        <v>1.6166670000000001</v>
      </c>
      <c r="D196" s="7"/>
      <c r="E196" s="10">
        <f>(ADC!I196+5/3)/(1/12)</f>
        <v>38.408849183696724</v>
      </c>
      <c r="F196" s="11">
        <f t="shared" si="9"/>
        <v>2.5156112088915786E-2</v>
      </c>
      <c r="G196" s="2"/>
      <c r="H196" s="2"/>
      <c r="I196" s="10">
        <f>ABS(C196-ADC!I196)</f>
        <v>8.2596234691939996E-2</v>
      </c>
    </row>
    <row r="197" spans="1:9" x14ac:dyDescent="0.25">
      <c r="A197" s="3">
        <v>195</v>
      </c>
      <c r="B197" s="3">
        <f t="shared" si="10"/>
        <v>39.5</v>
      </c>
      <c r="C197" s="12">
        <f t="shared" si="11"/>
        <v>1.625</v>
      </c>
      <c r="D197" s="7"/>
      <c r="E197" s="10">
        <f>(ADC!I197+5/3)/(1/12)</f>
        <v>38.517705593943077</v>
      </c>
      <c r="F197" s="11">
        <f t="shared" si="9"/>
        <v>2.4868212811567664E-2</v>
      </c>
      <c r="G197" s="2"/>
      <c r="H197" s="2"/>
      <c r="I197" s="10">
        <f>ABS(C197-ADC!I197)</f>
        <v>8.1857867171410525E-2</v>
      </c>
    </row>
    <row r="198" spans="1:9" x14ac:dyDescent="0.25">
      <c r="A198" s="3">
        <v>196</v>
      </c>
      <c r="B198" s="3">
        <f t="shared" si="10"/>
        <v>39.6</v>
      </c>
      <c r="C198" s="12">
        <f t="shared" si="11"/>
        <v>1.6333329999999999</v>
      </c>
      <c r="D198" s="7"/>
      <c r="E198" s="10">
        <f>(ADC!I198+5/3)/(1/12)</f>
        <v>38.626841717782327</v>
      </c>
      <c r="F198" s="11">
        <f t="shared" si="9"/>
        <v>2.4574704096405928E-2</v>
      </c>
      <c r="G198" s="2"/>
      <c r="H198" s="2"/>
      <c r="I198" s="10">
        <f>ABS(C198-ADC!I198)</f>
        <v>8.1096190184806405E-2</v>
      </c>
    </row>
    <row r="199" spans="1:9" x14ac:dyDescent="0.25">
      <c r="A199" s="3">
        <v>197</v>
      </c>
      <c r="B199" s="3">
        <f t="shared" si="10"/>
        <v>39.700000000000003</v>
      </c>
      <c r="C199" s="12">
        <f t="shared" si="11"/>
        <v>1.641667</v>
      </c>
      <c r="D199" s="7"/>
      <c r="E199" s="10">
        <f>(ADC!I199+5/3)/(1/12)</f>
        <v>38.736256514710441</v>
      </c>
      <c r="F199" s="11">
        <f t="shared" si="9"/>
        <v>2.4275654541298798E-2</v>
      </c>
      <c r="G199" s="2"/>
      <c r="H199" s="2"/>
      <c r="I199" s="10">
        <f>ABS(C199-ADC!I199)</f>
        <v>8.0312290440797129E-2</v>
      </c>
    </row>
    <row r="200" spans="1:9" x14ac:dyDescent="0.25">
      <c r="A200" s="3">
        <v>198</v>
      </c>
      <c r="B200" s="3">
        <f t="shared" si="10"/>
        <v>39.799999999999997</v>
      </c>
      <c r="C200" s="12">
        <f t="shared" si="11"/>
        <v>1.65</v>
      </c>
      <c r="D200" s="7"/>
      <c r="E200" s="10">
        <f>(ADC!I200+5/3)/(1/12)</f>
        <v>38.836512634302714</v>
      </c>
      <c r="F200" s="11">
        <f t="shared" si="9"/>
        <v>2.4208225268775953E-2</v>
      </c>
      <c r="G200" s="2"/>
      <c r="H200" s="2"/>
      <c r="I200" s="10">
        <f>ABS(C200-ADC!I200)</f>
        <v>8.0290613808107203E-2</v>
      </c>
    </row>
    <row r="201" spans="1:9" x14ac:dyDescent="0.25">
      <c r="A201" s="3">
        <v>199</v>
      </c>
      <c r="B201" s="3">
        <f t="shared" si="10"/>
        <v>39.900000000000006</v>
      </c>
      <c r="C201" s="12">
        <f t="shared" si="11"/>
        <v>1.6583330000000001</v>
      </c>
      <c r="D201" s="7"/>
      <c r="E201" s="10">
        <f>(ADC!I201+5/3)/(1/12)</f>
        <v>38.946494484296174</v>
      </c>
      <c r="F201" s="11">
        <f t="shared" si="9"/>
        <v>2.3897381345960686E-2</v>
      </c>
      <c r="G201" s="2"/>
      <c r="H201" s="2"/>
      <c r="I201" s="10">
        <f>ABS(C201-ADC!I201)</f>
        <v>7.9458459641985391E-2</v>
      </c>
    </row>
    <row r="202" spans="1:9" x14ac:dyDescent="0.25">
      <c r="A202" s="3">
        <v>200</v>
      </c>
      <c r="B202" s="3">
        <f t="shared" si="10"/>
        <v>40</v>
      </c>
      <c r="C202" s="12">
        <f t="shared" si="11"/>
        <v>1.6666669999999999</v>
      </c>
      <c r="D202" s="7"/>
      <c r="E202" s="10">
        <f>(ADC!I202+5/3)/(1/12)</f>
        <v>39.056751839952597</v>
      </c>
      <c r="F202" s="11">
        <f t="shared" si="9"/>
        <v>2.3581204001185085E-2</v>
      </c>
      <c r="G202" s="2"/>
      <c r="H202" s="2"/>
      <c r="I202" s="10">
        <f>ABS(C202-ADC!I202)</f>
        <v>7.8604346670616998E-2</v>
      </c>
    </row>
    <row r="203" spans="1:9" x14ac:dyDescent="0.25">
      <c r="A203" s="3">
        <v>201</v>
      </c>
      <c r="B203" s="3">
        <f t="shared" si="10"/>
        <v>40.1</v>
      </c>
      <c r="C203" s="12">
        <f t="shared" si="11"/>
        <v>1.675</v>
      </c>
      <c r="D203" s="7"/>
      <c r="E203" s="10">
        <f>(ADC!I203+5/3)/(1/12)</f>
        <v>39.157886049380949</v>
      </c>
      <c r="F203" s="11">
        <f t="shared" si="9"/>
        <v>2.349411348177189E-2</v>
      </c>
      <c r="G203" s="2"/>
      <c r="H203" s="2"/>
      <c r="I203" s="10">
        <f>ABS(C203-ADC!I203)</f>
        <v>7.8509495884921066E-2</v>
      </c>
    </row>
    <row r="204" spans="1:9" x14ac:dyDescent="0.25">
      <c r="A204" s="3">
        <v>202</v>
      </c>
      <c r="B204" s="3">
        <f t="shared" si="10"/>
        <v>40.200000000000003</v>
      </c>
      <c r="C204" s="12">
        <f t="shared" si="11"/>
        <v>1.683333</v>
      </c>
      <c r="D204" s="7"/>
      <c r="E204" s="10">
        <f>(ADC!I204+5/3)/(1/12)</f>
        <v>39.2687041077129</v>
      </c>
      <c r="F204" s="11">
        <f t="shared" si="9"/>
        <v>2.3166564484753811E-2</v>
      </c>
      <c r="G204" s="2"/>
      <c r="H204" s="2"/>
      <c r="I204" s="10">
        <f>ABS(C204-ADC!I204)</f>
        <v>7.7607657690592191E-2</v>
      </c>
    </row>
    <row r="205" spans="1:9" x14ac:dyDescent="0.25">
      <c r="A205" s="3">
        <v>203</v>
      </c>
      <c r="B205" s="3">
        <f t="shared" si="10"/>
        <v>40.299999999999997</v>
      </c>
      <c r="C205" s="12">
        <f t="shared" si="11"/>
        <v>1.691667</v>
      </c>
      <c r="D205" s="7"/>
      <c r="E205" s="10">
        <f>(ADC!I205+5/3)/(1/12)</f>
        <v>39.379794458541348</v>
      </c>
      <c r="F205" s="11">
        <f t="shared" si="9"/>
        <v>2.283388440344044E-2</v>
      </c>
      <c r="G205" s="2"/>
      <c r="H205" s="2"/>
      <c r="I205" s="10">
        <f>ABS(C205-ADC!I205)</f>
        <v>7.6684128454888034E-2</v>
      </c>
    </row>
    <row r="206" spans="1:9" x14ac:dyDescent="0.25">
      <c r="A206" s="3">
        <v>204</v>
      </c>
      <c r="B206" s="3">
        <f t="shared" si="10"/>
        <v>40.400000000000006</v>
      </c>
      <c r="C206" s="12">
        <f t="shared" si="11"/>
        <v>1.7</v>
      </c>
      <c r="D206" s="7"/>
      <c r="E206" s="10">
        <f>(ADC!I206+5/3)/(1/12)</f>
        <v>39.481797233006574</v>
      </c>
      <c r="F206" s="11">
        <f t="shared" si="9"/>
        <v>2.2727791262213644E-2</v>
      </c>
      <c r="G206" s="2"/>
      <c r="H206" s="2"/>
      <c r="I206" s="10">
        <f>ABS(C206-ADC!I206)</f>
        <v>7.651689724945232E-2</v>
      </c>
    </row>
    <row r="207" spans="1:9" x14ac:dyDescent="0.25">
      <c r="A207" s="3">
        <v>205</v>
      </c>
      <c r="B207" s="3">
        <f t="shared" si="10"/>
        <v>40.5</v>
      </c>
      <c r="C207" s="12">
        <f t="shared" si="11"/>
        <v>1.7083330000000001</v>
      </c>
      <c r="D207" s="7"/>
      <c r="E207" s="10">
        <f>(ADC!I207+5/3)/(1/12)</f>
        <v>39.593441858432023</v>
      </c>
      <c r="F207" s="11">
        <f t="shared" si="9"/>
        <v>2.238415164365376E-2</v>
      </c>
      <c r="G207" s="2"/>
      <c r="H207" s="2"/>
      <c r="I207" s="10">
        <f>ABS(C207-ADC!I207)</f>
        <v>7.5546178463998359E-2</v>
      </c>
    </row>
    <row r="208" spans="1:9" x14ac:dyDescent="0.25">
      <c r="A208" s="3">
        <v>206</v>
      </c>
      <c r="B208" s="3">
        <f t="shared" si="10"/>
        <v>40.6</v>
      </c>
      <c r="C208" s="12">
        <f t="shared" si="11"/>
        <v>1.7166669999999999</v>
      </c>
      <c r="D208" s="7"/>
      <c r="E208" s="10">
        <f>(ADC!I208+5/3)/(1/12)</f>
        <v>39.696022652976808</v>
      </c>
      <c r="F208" s="11">
        <f t="shared" si="9"/>
        <v>2.2265451897122993E-2</v>
      </c>
      <c r="G208" s="2"/>
      <c r="H208" s="2"/>
      <c r="I208" s="10">
        <f>ABS(C208-ADC!I208)</f>
        <v>7.5331778918599879E-2</v>
      </c>
    </row>
    <row r="209" spans="1:9" x14ac:dyDescent="0.25">
      <c r="A209" s="3">
        <v>207</v>
      </c>
      <c r="B209" s="3">
        <f t="shared" si="10"/>
        <v>40.700000000000003</v>
      </c>
      <c r="C209" s="12">
        <f t="shared" si="11"/>
        <v>1.7250000000000001</v>
      </c>
      <c r="D209" s="7"/>
      <c r="E209" s="10">
        <f>(ADC!I209+5/3)/(1/12)</f>
        <v>39.808217221989715</v>
      </c>
      <c r="F209" s="11">
        <f t="shared" si="9"/>
        <v>2.1911124766837549E-2</v>
      </c>
      <c r="G209" s="2"/>
      <c r="H209" s="2"/>
      <c r="I209" s="10">
        <f>ABS(C209-ADC!I209)</f>
        <v>7.431523150085706E-2</v>
      </c>
    </row>
    <row r="210" spans="1:9" x14ac:dyDescent="0.25">
      <c r="A210" s="3">
        <v>208</v>
      </c>
      <c r="B210" s="3">
        <f t="shared" si="10"/>
        <v>40.799999999999997</v>
      </c>
      <c r="C210" s="12">
        <f t="shared" si="11"/>
        <v>1.733333</v>
      </c>
      <c r="D210" s="7"/>
      <c r="E210" s="10">
        <f>(ADC!I210+5/3)/(1/12)</f>
        <v>39.911371720967601</v>
      </c>
      <c r="F210" s="11">
        <f t="shared" si="9"/>
        <v>2.1780104878245003E-2</v>
      </c>
      <c r="G210" s="2"/>
      <c r="H210" s="2"/>
      <c r="I210" s="10">
        <f>ABS(C210-ADC!I210)</f>
        <v>7.4052023252699772E-2</v>
      </c>
    </row>
    <row r="211" spans="1:9" x14ac:dyDescent="0.25">
      <c r="A211" s="3">
        <v>209</v>
      </c>
      <c r="B211" s="3">
        <f t="shared" si="10"/>
        <v>40.900000000000006</v>
      </c>
      <c r="C211" s="12">
        <f t="shared" si="11"/>
        <v>1.7416670000000001</v>
      </c>
      <c r="D211" s="7"/>
      <c r="E211" s="10">
        <f>(ADC!I211+5/3)/(1/12)</f>
        <v>40.024111873577979</v>
      </c>
      <c r="F211" s="11">
        <f t="shared" si="9"/>
        <v>2.1415357614230471E-2</v>
      </c>
      <c r="G211" s="2"/>
      <c r="H211" s="2"/>
      <c r="I211" s="10">
        <f>ABS(C211-ADC!I211)</f>
        <v>7.2991010535168765E-2</v>
      </c>
    </row>
    <row r="212" spans="1:9" x14ac:dyDescent="0.25">
      <c r="A212" s="3">
        <v>210</v>
      </c>
      <c r="B212" s="3">
        <f t="shared" si="10"/>
        <v>41</v>
      </c>
      <c r="C212" s="12">
        <f t="shared" si="11"/>
        <v>1.75</v>
      </c>
      <c r="D212" s="7"/>
      <c r="E212" s="10">
        <f>(ADC!I212+5/3)/(1/12)</f>
        <v>40.127835726775466</v>
      </c>
      <c r="F212" s="11">
        <f t="shared" si="9"/>
        <v>2.127229934693986E-2</v>
      </c>
      <c r="G212" s="2"/>
      <c r="H212" s="2"/>
      <c r="I212" s="10">
        <f>ABS(C212-ADC!I212)</f>
        <v>7.2680356102044374E-2</v>
      </c>
    </row>
    <row r="213" spans="1:9" x14ac:dyDescent="0.25">
      <c r="A213" s="3">
        <v>211</v>
      </c>
      <c r="B213" s="3">
        <f t="shared" si="10"/>
        <v>41.1</v>
      </c>
      <c r="C213" s="12">
        <f t="shared" si="11"/>
        <v>1.7583329999999999</v>
      </c>
      <c r="D213" s="7"/>
      <c r="E213" s="10">
        <f>(ADC!I213+5/3)/(1/12)</f>
        <v>40.241117064760132</v>
      </c>
      <c r="F213" s="11">
        <f t="shared" si="9"/>
        <v>2.0897395018001679E-2</v>
      </c>
      <c r="G213" s="2"/>
      <c r="H213" s="2"/>
      <c r="I213" s="10">
        <f>ABS(C213-ADC!I213)</f>
        <v>7.1573244603322372E-2</v>
      </c>
    </row>
    <row r="214" spans="1:9" x14ac:dyDescent="0.25">
      <c r="A214" s="3">
        <v>212</v>
      </c>
      <c r="B214" s="3">
        <f t="shared" si="10"/>
        <v>41.2</v>
      </c>
      <c r="C214" s="12">
        <f t="shared" si="11"/>
        <v>1.766667</v>
      </c>
      <c r="D214" s="7"/>
      <c r="E214" s="10">
        <f>(ADC!I214+5/3)/(1/12)</f>
        <v>40.33615096800402</v>
      </c>
      <c r="F214" s="11">
        <f t="shared" si="9"/>
        <v>2.0967209514465603E-2</v>
      </c>
      <c r="G214" s="2"/>
      <c r="H214" s="2"/>
      <c r="I214" s="10">
        <f>ABS(C214-ADC!I214)</f>
        <v>7.1987752666331728E-2</v>
      </c>
    </row>
    <row r="215" spans="1:9" x14ac:dyDescent="0.25">
      <c r="A215" s="3">
        <v>213</v>
      </c>
      <c r="B215" s="3">
        <f t="shared" si="10"/>
        <v>41.3</v>
      </c>
      <c r="C215" s="12">
        <f t="shared" si="11"/>
        <v>1.7749999999999999</v>
      </c>
      <c r="D215" s="7"/>
      <c r="E215" s="10">
        <f>(ADC!I215+5/3)/(1/12)</f>
        <v>40.440740165041262</v>
      </c>
      <c r="F215" s="11">
        <f t="shared" si="9"/>
        <v>2.0805322880356778E-2</v>
      </c>
      <c r="G215" s="2"/>
      <c r="H215" s="2"/>
      <c r="I215" s="10">
        <f>ABS(C215-ADC!I215)</f>
        <v>7.1604986246561753E-2</v>
      </c>
    </row>
    <row r="216" spans="1:9" x14ac:dyDescent="0.25">
      <c r="A216" s="3">
        <v>214</v>
      </c>
      <c r="B216" s="3">
        <f t="shared" si="10"/>
        <v>41.400000000000006</v>
      </c>
      <c r="C216" s="12">
        <f t="shared" si="11"/>
        <v>1.7833330000000001</v>
      </c>
      <c r="D216" s="7"/>
      <c r="E216" s="10">
        <f>(ADC!I216+5/3)/(1/12)</f>
        <v>40.554844474271185</v>
      </c>
      <c r="F216" s="11">
        <f t="shared" si="9"/>
        <v>2.0414384679440109E-2</v>
      </c>
      <c r="G216" s="2"/>
      <c r="H216" s="2"/>
      <c r="I216" s="10">
        <f>ABS(C216-ADC!I216)</f>
        <v>7.0429293810734928E-2</v>
      </c>
    </row>
    <row r="217" spans="1:9" x14ac:dyDescent="0.25">
      <c r="A217" s="3">
        <v>215</v>
      </c>
      <c r="B217" s="3">
        <f t="shared" si="10"/>
        <v>41.5</v>
      </c>
      <c r="C217" s="12">
        <f t="shared" si="11"/>
        <v>1.7916669999999999</v>
      </c>
      <c r="D217" s="7"/>
      <c r="E217" s="10">
        <f>(ADC!I217+5/3)/(1/12)</f>
        <v>40.659992024819893</v>
      </c>
      <c r="F217" s="11">
        <f t="shared" si="9"/>
        <v>2.0241156028436319E-2</v>
      </c>
      <c r="G217" s="2"/>
      <c r="H217" s="2"/>
      <c r="I217" s="10">
        <f>ABS(C217-ADC!I217)</f>
        <v>7.0000997931675579E-2</v>
      </c>
    </row>
    <row r="218" spans="1:9" x14ac:dyDescent="0.25">
      <c r="A218" s="3">
        <v>216</v>
      </c>
      <c r="B218" s="3">
        <f t="shared" si="10"/>
        <v>41.6</v>
      </c>
      <c r="C218" s="12">
        <f t="shared" si="11"/>
        <v>1.8</v>
      </c>
      <c r="D218" s="7"/>
      <c r="E218" s="10">
        <f>(ADC!I218+5/3)/(1/12)</f>
        <v>40.765423603036446</v>
      </c>
      <c r="F218" s="11">
        <f t="shared" si="9"/>
        <v>2.0061932619316238E-2</v>
      </c>
      <c r="G218" s="2"/>
      <c r="H218" s="2"/>
      <c r="I218" s="10">
        <f>ABS(C218-ADC!I218)</f>
        <v>6.9548033080296445E-2</v>
      </c>
    </row>
    <row r="219" spans="1:9" x14ac:dyDescent="0.25">
      <c r="A219" s="3">
        <v>217</v>
      </c>
      <c r="B219" s="3">
        <f t="shared" si="10"/>
        <v>41.7</v>
      </c>
      <c r="C219" s="12">
        <f t="shared" si="11"/>
        <v>1.808333</v>
      </c>
      <c r="D219" s="7"/>
      <c r="E219" s="10">
        <f>(ADC!I219+5/3)/(1/12)</f>
        <v>40.880327833211467</v>
      </c>
      <c r="F219" s="11">
        <f t="shared" si="9"/>
        <v>1.9656406877422913E-2</v>
      </c>
      <c r="G219" s="2"/>
      <c r="H219" s="2"/>
      <c r="I219" s="10">
        <f>ABS(C219-ADC!I219)</f>
        <v>6.8305680565711624E-2</v>
      </c>
    </row>
    <row r="220" spans="1:9" x14ac:dyDescent="0.25">
      <c r="A220" s="3">
        <v>218</v>
      </c>
      <c r="B220" s="3">
        <f t="shared" si="10"/>
        <v>41.8</v>
      </c>
      <c r="C220" s="12">
        <f t="shared" si="11"/>
        <v>1.816667</v>
      </c>
      <c r="D220" s="7"/>
      <c r="E220" s="10">
        <f>(ADC!I220+5/3)/(1/12)</f>
        <v>40.986311056308878</v>
      </c>
      <c r="F220" s="11">
        <f t="shared" si="9"/>
        <v>1.9466242672036341E-2</v>
      </c>
      <c r="G220" s="2"/>
      <c r="H220" s="2"/>
      <c r="I220" s="10">
        <f>ABS(C220-ADC!I220)</f>
        <v>6.7807745307593592E-2</v>
      </c>
    </row>
    <row r="221" spans="1:9" x14ac:dyDescent="0.25">
      <c r="A221" s="3">
        <v>219</v>
      </c>
      <c r="B221" s="3">
        <f t="shared" si="10"/>
        <v>41.900000000000006</v>
      </c>
      <c r="C221" s="12">
        <f t="shared" si="11"/>
        <v>1.825</v>
      </c>
      <c r="D221" s="7"/>
      <c r="E221" s="10">
        <f>(ADC!I221+5/3)/(1/12)</f>
        <v>41.101738577114112</v>
      </c>
      <c r="F221" s="11">
        <f t="shared" si="9"/>
        <v>1.90515852717397E-2</v>
      </c>
      <c r="G221" s="2"/>
      <c r="H221" s="2"/>
      <c r="I221" s="10">
        <f>ABS(C221-ADC!I221)</f>
        <v>6.6521785240490461E-2</v>
      </c>
    </row>
    <row r="222" spans="1:9" x14ac:dyDescent="0.25">
      <c r="A222" s="3">
        <v>220</v>
      </c>
      <c r="B222" s="3">
        <f t="shared" si="10"/>
        <v>42</v>
      </c>
      <c r="C222" s="12">
        <f t="shared" si="11"/>
        <v>1.8333330000000001</v>
      </c>
      <c r="D222" s="7"/>
      <c r="E222" s="10">
        <f>(ADC!I222+5/3)/(1/12)</f>
        <v>41.208268923614845</v>
      </c>
      <c r="F222" s="11">
        <f t="shared" si="9"/>
        <v>1.8850739913932251E-2</v>
      </c>
      <c r="G222" s="2"/>
      <c r="H222" s="2"/>
      <c r="I222" s="10">
        <f>ABS(C222-ADC!I222)</f>
        <v>6.597725636543017E-2</v>
      </c>
    </row>
    <row r="223" spans="1:9" x14ac:dyDescent="0.25">
      <c r="A223" s="3">
        <v>221</v>
      </c>
      <c r="B223" s="3">
        <f t="shared" si="10"/>
        <v>42.1</v>
      </c>
      <c r="C223" s="12">
        <f t="shared" si="11"/>
        <v>1.8416669999999999</v>
      </c>
      <c r="D223" s="7"/>
      <c r="E223" s="10">
        <f>(ADC!I223+5/3)/(1/12)</f>
        <v>41.315077667715592</v>
      </c>
      <c r="F223" s="11">
        <f t="shared" si="9"/>
        <v>1.8644235921244885E-2</v>
      </c>
      <c r="G223" s="2"/>
      <c r="H223" s="2"/>
      <c r="I223" s="10">
        <f>ABS(C223-ADC!I223)</f>
        <v>6.5410527690367593E-2</v>
      </c>
    </row>
    <row r="224" spans="1:9" x14ac:dyDescent="0.25">
      <c r="A224" s="3">
        <v>222</v>
      </c>
      <c r="B224" s="3">
        <f t="shared" si="10"/>
        <v>42.2</v>
      </c>
      <c r="C224" s="12">
        <f t="shared" si="11"/>
        <v>1.85</v>
      </c>
      <c r="D224" s="7"/>
      <c r="E224" s="10">
        <f>(ADC!I224+5/3)/(1/12)</f>
        <v>41.431288089548076</v>
      </c>
      <c r="F224" s="11">
        <f t="shared" si="9"/>
        <v>1.8215922048623857E-2</v>
      </c>
      <c r="G224" s="2"/>
      <c r="H224" s="2"/>
      <c r="I224" s="10">
        <f>ABS(C224-ADC!I224)</f>
        <v>6.4059325870994055E-2</v>
      </c>
    </row>
    <row r="225" spans="1:9" x14ac:dyDescent="0.25">
      <c r="A225" s="3">
        <v>223</v>
      </c>
      <c r="B225" s="3">
        <f t="shared" si="10"/>
        <v>42.3</v>
      </c>
      <c r="C225" s="12">
        <f t="shared" si="11"/>
        <v>1.858333</v>
      </c>
      <c r="D225" s="7"/>
      <c r="E225" s="10">
        <f>(ADC!I225+5/3)/(1/12)</f>
        <v>41.538637123246943</v>
      </c>
      <c r="F225" s="11">
        <f t="shared" si="9"/>
        <v>1.7999122381868897E-2</v>
      </c>
      <c r="G225" s="2"/>
      <c r="H225" s="2"/>
      <c r="I225" s="10">
        <f>ABS(C225-ADC!I225)</f>
        <v>6.3446573062754918E-2</v>
      </c>
    </row>
    <row r="226" spans="1:9" x14ac:dyDescent="0.25">
      <c r="A226" s="3">
        <v>224</v>
      </c>
      <c r="B226" s="3">
        <f t="shared" si="10"/>
        <v>42.400000000000006</v>
      </c>
      <c r="C226" s="12">
        <f t="shared" si="11"/>
        <v>1.8666670000000001</v>
      </c>
      <c r="D226" s="7"/>
      <c r="E226" s="10">
        <f>(ADC!I226+5/3)/(1/12)</f>
        <v>41.646261133977198</v>
      </c>
      <c r="F226" s="11">
        <f t="shared" si="9"/>
        <v>1.7776860047707722E-2</v>
      </c>
      <c r="G226" s="2"/>
      <c r="H226" s="2"/>
      <c r="I226" s="10">
        <f>ABS(C226-ADC!I226)</f>
        <v>6.28119055019003E-2</v>
      </c>
    </row>
    <row r="227" spans="1:9" x14ac:dyDescent="0.25">
      <c r="A227" s="3">
        <v>225</v>
      </c>
      <c r="B227" s="3">
        <f t="shared" si="10"/>
        <v>42.5</v>
      </c>
      <c r="C227" s="12">
        <f t="shared" si="11"/>
        <v>1.875</v>
      </c>
      <c r="D227" s="7"/>
      <c r="E227" s="10">
        <f>(ADC!I227+5/3)/(1/12)</f>
        <v>41.754158974565584</v>
      </c>
      <c r="F227" s="11">
        <f t="shared" si="9"/>
        <v>1.7549200598456844E-2</v>
      </c>
      <c r="G227" s="2"/>
      <c r="H227" s="2"/>
      <c r="I227" s="10">
        <f>ABS(C227-ADC!I227)</f>
        <v>6.215341878620162E-2</v>
      </c>
    </row>
    <row r="228" spans="1:9" x14ac:dyDescent="0.25">
      <c r="A228" s="3">
        <v>226</v>
      </c>
      <c r="B228" s="3">
        <f t="shared" si="10"/>
        <v>42.6</v>
      </c>
      <c r="C228" s="12">
        <f t="shared" si="11"/>
        <v>1.8833329999999999</v>
      </c>
      <c r="D228" s="7"/>
      <c r="E228" s="10">
        <f>(ADC!I228+5/3)/(1/12)</f>
        <v>41.862329486840913</v>
      </c>
      <c r="F228" s="11">
        <f t="shared" si="9"/>
        <v>1.7316209229086575E-2</v>
      </c>
      <c r="G228" s="2"/>
      <c r="H228" s="2"/>
      <c r="I228" s="10">
        <f>ABS(C228-ADC!I228)</f>
        <v>6.1472209429924041E-2</v>
      </c>
    </row>
    <row r="229" spans="1:9" x14ac:dyDescent="0.25">
      <c r="A229" s="3">
        <v>227</v>
      </c>
      <c r="B229" s="3">
        <f t="shared" si="10"/>
        <v>42.7</v>
      </c>
      <c r="C229" s="12">
        <f t="shared" si="11"/>
        <v>1.891667</v>
      </c>
      <c r="D229" s="7"/>
      <c r="E229" s="10">
        <f>(ADC!I229+5/3)/(1/12)</f>
        <v>41.970771517345369</v>
      </c>
      <c r="F229" s="11">
        <f t="shared" si="9"/>
        <v>1.7077950413457461E-2</v>
      </c>
      <c r="G229" s="2"/>
      <c r="H229" s="2"/>
      <c r="I229" s="10">
        <f>ABS(C229-ADC!I229)</f>
        <v>6.0769373554553141E-2</v>
      </c>
    </row>
    <row r="230" spans="1:9" x14ac:dyDescent="0.25">
      <c r="A230" s="3">
        <v>228</v>
      </c>
      <c r="B230" s="3">
        <f t="shared" si="10"/>
        <v>42.8</v>
      </c>
      <c r="C230" s="12">
        <f t="shared" si="11"/>
        <v>1.9</v>
      </c>
      <c r="D230" s="7"/>
      <c r="E230" s="10">
        <f>(ADC!I230+5/3)/(1/12)</f>
        <v>42.079483911049984</v>
      </c>
      <c r="F230" s="11">
        <f t="shared" si="9"/>
        <v>1.6834488059579756E-2</v>
      </c>
      <c r="G230" s="2"/>
      <c r="H230" s="2"/>
      <c r="I230" s="10">
        <f>ABS(C230-ADC!I230)</f>
        <v>6.0043007412501792E-2</v>
      </c>
    </row>
    <row r="231" spans="1:9" x14ac:dyDescent="0.25">
      <c r="A231" s="3">
        <v>229</v>
      </c>
      <c r="B231" s="3">
        <f t="shared" si="10"/>
        <v>42.900000000000006</v>
      </c>
      <c r="C231" s="12">
        <f t="shared" si="11"/>
        <v>1.9083330000000001</v>
      </c>
      <c r="D231" s="7"/>
      <c r="E231" s="10">
        <f>(ADC!I231+5/3)/(1/12)</f>
        <v>42.188465501228912</v>
      </c>
      <c r="F231" s="11">
        <f t="shared" si="9"/>
        <v>1.6585885752239952E-2</v>
      </c>
      <c r="G231" s="2"/>
      <c r="H231" s="2"/>
      <c r="I231" s="10">
        <f>ABS(C231-ADC!I231)</f>
        <v>5.9294208230924239E-2</v>
      </c>
    </row>
    <row r="232" spans="1:9" x14ac:dyDescent="0.25">
      <c r="A232" s="3">
        <v>230</v>
      </c>
      <c r="B232" s="3">
        <f t="shared" si="10"/>
        <v>43</v>
      </c>
      <c r="C232" s="12">
        <f t="shared" si="11"/>
        <v>1.9166669999999999</v>
      </c>
      <c r="D232" s="7"/>
      <c r="E232" s="10">
        <f>(ADC!I232+5/3)/(1/12)</f>
        <v>42.28869565134918</v>
      </c>
      <c r="F232" s="11">
        <f t="shared" si="9"/>
        <v>1.6541961596530708E-2</v>
      </c>
      <c r="G232" s="2"/>
      <c r="H232" s="2"/>
      <c r="I232" s="10">
        <f>ABS(C232-ADC!I232)</f>
        <v>5.9275695720902188E-2</v>
      </c>
    </row>
    <row r="233" spans="1:9" x14ac:dyDescent="0.25">
      <c r="A233" s="3">
        <v>231</v>
      </c>
      <c r="B233" s="3">
        <f t="shared" si="10"/>
        <v>43.1</v>
      </c>
      <c r="C233" s="12">
        <f t="shared" si="11"/>
        <v>1.925</v>
      </c>
      <c r="D233" s="7"/>
      <c r="E233" s="10">
        <f>(ADC!I233+5/3)/(1/12)</f>
        <v>42.398225276245057</v>
      </c>
      <c r="F233" s="11">
        <f t="shared" si="9"/>
        <v>1.6282476189209843E-2</v>
      </c>
      <c r="G233" s="2"/>
      <c r="H233" s="2"/>
      <c r="I233" s="10">
        <f>ABS(C233-ADC!I233)</f>
        <v>5.8481226979579137E-2</v>
      </c>
    </row>
    <row r="234" spans="1:9" x14ac:dyDescent="0.25">
      <c r="A234" s="3">
        <v>232</v>
      </c>
      <c r="B234" s="3">
        <f t="shared" si="10"/>
        <v>43.2</v>
      </c>
      <c r="C234" s="12">
        <f t="shared" si="11"/>
        <v>1.933333</v>
      </c>
      <c r="D234" s="7"/>
      <c r="E234" s="10">
        <f>(ADC!I234+5/3)/(1/12)</f>
        <v>42.508020594644051</v>
      </c>
      <c r="F234" s="11">
        <f t="shared" si="9"/>
        <v>1.601804179064702E-2</v>
      </c>
      <c r="G234" s="2"/>
      <c r="H234" s="2"/>
      <c r="I234" s="10">
        <f>ABS(C234-ADC!I234)</f>
        <v>5.7664617112995753E-2</v>
      </c>
    </row>
    <row r="235" spans="1:9" x14ac:dyDescent="0.25">
      <c r="A235" s="3">
        <v>233</v>
      </c>
      <c r="B235" s="3">
        <f t="shared" si="10"/>
        <v>43.3</v>
      </c>
      <c r="C235" s="12">
        <f t="shared" si="11"/>
        <v>1.941667</v>
      </c>
      <c r="D235" s="7"/>
      <c r="E235" s="10">
        <f>(ADC!I235+5/3)/(1/12)</f>
        <v>42.618080422013065</v>
      </c>
      <c r="F235" s="11">
        <f t="shared" si="9"/>
        <v>1.5748720045887572E-2</v>
      </c>
      <c r="G235" s="2"/>
      <c r="H235" s="2"/>
      <c r="I235" s="10">
        <f>ABS(C235-ADC!I235)</f>
        <v>5.6826964832244808E-2</v>
      </c>
    </row>
    <row r="236" spans="1:9" x14ac:dyDescent="0.25">
      <c r="A236" s="3">
        <v>234</v>
      </c>
      <c r="B236" s="3">
        <f t="shared" si="10"/>
        <v>43.400000000000006</v>
      </c>
      <c r="C236" s="12">
        <f t="shared" si="11"/>
        <v>1.95</v>
      </c>
      <c r="D236" s="7"/>
      <c r="E236" s="10">
        <f>(ADC!I236+5/3)/(1/12)</f>
        <v>42.72840358359533</v>
      </c>
      <c r="F236" s="11">
        <f t="shared" si="9"/>
        <v>1.5474571806559336E-2</v>
      </c>
      <c r="G236" s="2"/>
      <c r="H236" s="2"/>
      <c r="I236" s="10">
        <f>ABS(C236-ADC!I236)</f>
        <v>5.5966368033722569E-2</v>
      </c>
    </row>
    <row r="237" spans="1:9" x14ac:dyDescent="0.25">
      <c r="A237" s="3">
        <v>235</v>
      </c>
      <c r="B237" s="3">
        <f t="shared" si="10"/>
        <v>43.5</v>
      </c>
      <c r="C237" s="12">
        <f t="shared" si="11"/>
        <v>1.9583330000000001</v>
      </c>
      <c r="D237" s="7"/>
      <c r="E237" s="10">
        <f>(ADC!I237+5/3)/(1/12)</f>
        <v>42.838988889794784</v>
      </c>
      <c r="F237" s="11">
        <f t="shared" si="9"/>
        <v>1.5195657705867031E-2</v>
      </c>
      <c r="G237" s="2"/>
      <c r="H237" s="2"/>
      <c r="I237" s="10">
        <f>ABS(C237-ADC!I237)</f>
        <v>5.5083925850434978E-2</v>
      </c>
    </row>
    <row r="238" spans="1:9" x14ac:dyDescent="0.25">
      <c r="A238" s="3">
        <v>236</v>
      </c>
      <c r="B238" s="3">
        <f t="shared" si="10"/>
        <v>43.6</v>
      </c>
      <c r="C238" s="12">
        <f t="shared" si="11"/>
        <v>1.9666669999999999</v>
      </c>
      <c r="D238" s="7"/>
      <c r="E238" s="10">
        <f>(ADC!I238+5/3)/(1/12)</f>
        <v>42.940894648459377</v>
      </c>
      <c r="F238" s="11">
        <f t="shared" si="9"/>
        <v>1.5117095218821661E-2</v>
      </c>
      <c r="G238" s="2"/>
      <c r="H238" s="2"/>
      <c r="I238" s="10">
        <f>ABS(C238-ADC!I238)</f>
        <v>5.4925779295051935E-2</v>
      </c>
    </row>
    <row r="239" spans="1:9" x14ac:dyDescent="0.25">
      <c r="A239" s="3">
        <v>237</v>
      </c>
      <c r="B239" s="3">
        <f t="shared" si="10"/>
        <v>43.7</v>
      </c>
      <c r="C239" s="12">
        <f t="shared" si="11"/>
        <v>1.9750000000000001</v>
      </c>
      <c r="D239" s="7"/>
      <c r="E239" s="10">
        <f>(ADC!I239+5/3)/(1/12)</f>
        <v>43.05201384865066</v>
      </c>
      <c r="F239" s="11">
        <f t="shared" si="9"/>
        <v>1.4828058383280164E-2</v>
      </c>
      <c r="G239" s="2"/>
      <c r="H239" s="2"/>
      <c r="I239" s="10">
        <f>ABS(C239-ADC!I239)</f>
        <v>5.3998845945778973E-2</v>
      </c>
    </row>
    <row r="240" spans="1:9" x14ac:dyDescent="0.25">
      <c r="A240" s="3">
        <v>238</v>
      </c>
      <c r="B240" s="3">
        <f t="shared" si="10"/>
        <v>43.8</v>
      </c>
      <c r="C240" s="12">
        <f t="shared" si="11"/>
        <v>1.983333</v>
      </c>
      <c r="D240" s="7"/>
      <c r="E240" s="10">
        <f>(ADC!I240+5/3)/(1/12)</f>
        <v>43.163391620132053</v>
      </c>
      <c r="F240" s="11">
        <f t="shared" si="9"/>
        <v>1.4534437896528404E-2</v>
      </c>
      <c r="G240" s="2"/>
      <c r="H240" s="2"/>
      <c r="I240" s="10">
        <f>ABS(C240-ADC!I240)</f>
        <v>5.3050364988996179E-2</v>
      </c>
    </row>
    <row r="241" spans="1:9" x14ac:dyDescent="0.25">
      <c r="A241" s="3">
        <v>239</v>
      </c>
      <c r="B241" s="3">
        <f t="shared" si="10"/>
        <v>43.900000000000006</v>
      </c>
      <c r="C241" s="12">
        <f t="shared" si="11"/>
        <v>1.9916670000000001</v>
      </c>
      <c r="D241" s="7"/>
      <c r="E241" s="10">
        <f>(ADC!I241+5/3)/(1/12)</f>
        <v>43.275026763705334</v>
      </c>
      <c r="F241" s="11">
        <f t="shared" si="9"/>
        <v>1.4236292398511879E-2</v>
      </c>
      <c r="G241" s="2"/>
      <c r="H241" s="2"/>
      <c r="I241" s="10">
        <f>ABS(C241-ADC!I241)</f>
        <v>5.2081436357888755E-2</v>
      </c>
    </row>
    <row r="242" spans="1:9" x14ac:dyDescent="0.25">
      <c r="A242" s="3">
        <v>240</v>
      </c>
      <c r="B242" s="3">
        <f t="shared" si="10"/>
        <v>44</v>
      </c>
      <c r="C242" s="12">
        <f t="shared" si="11"/>
        <v>2</v>
      </c>
      <c r="D242" s="7"/>
      <c r="E242" s="10">
        <f>(ADC!I242+5/3)/(1/12)</f>
        <v>43.378030327489867</v>
      </c>
      <c r="F242" s="11">
        <f t="shared" si="9"/>
        <v>1.4135674375230294E-2</v>
      </c>
      <c r="G242" s="2"/>
      <c r="H242" s="2"/>
      <c r="I242" s="10">
        <f>ABS(C242-ADC!I242)</f>
        <v>5.1830806042511668E-2</v>
      </c>
    </row>
    <row r="243" spans="1:9" x14ac:dyDescent="0.25">
      <c r="A243" s="3">
        <v>241</v>
      </c>
      <c r="B243" s="3">
        <f t="shared" si="10"/>
        <v>44.1</v>
      </c>
      <c r="C243" s="12">
        <f t="shared" si="11"/>
        <v>2.0083329999999999</v>
      </c>
      <c r="D243" s="7"/>
      <c r="E243" s="10">
        <f>(ADC!I243+5/3)/(1/12)</f>
        <v>43.490189797308844</v>
      </c>
      <c r="F243" s="11">
        <f t="shared" si="9"/>
        <v>1.3827895752633958E-2</v>
      </c>
      <c r="G243" s="2"/>
      <c r="H243" s="2"/>
      <c r="I243" s="10">
        <f>ABS(C243-ADC!I243)</f>
        <v>5.0817183557596124E-2</v>
      </c>
    </row>
    <row r="244" spans="1:9" x14ac:dyDescent="0.25">
      <c r="A244" s="3">
        <v>242</v>
      </c>
      <c r="B244" s="3">
        <f t="shared" si="10"/>
        <v>44.2</v>
      </c>
      <c r="C244" s="12">
        <f t="shared" si="11"/>
        <v>2.016667</v>
      </c>
      <c r="D244" s="7"/>
      <c r="E244" s="10">
        <f>(ADC!I244+5/3)/(1/12)</f>
        <v>43.602603020850573</v>
      </c>
      <c r="F244" s="11">
        <f t="shared" si="9"/>
        <v>1.3515768759036872E-2</v>
      </c>
      <c r="G244" s="2"/>
      <c r="H244" s="2"/>
      <c r="I244" s="10">
        <f>ABS(C244-ADC!I244)</f>
        <v>4.9783414929119196E-2</v>
      </c>
    </row>
    <row r="245" spans="1:9" x14ac:dyDescent="0.25">
      <c r="A245" s="3">
        <v>243</v>
      </c>
      <c r="B245" s="3">
        <f t="shared" si="10"/>
        <v>44.3</v>
      </c>
      <c r="C245" s="12">
        <f t="shared" si="11"/>
        <v>2.0249999999999999</v>
      </c>
      <c r="D245" s="7"/>
      <c r="E245" s="10">
        <f>(ADC!I245+5/3)/(1/12)</f>
        <v>43.706420662715878</v>
      </c>
      <c r="F245" s="11">
        <f t="shared" si="9"/>
        <v>1.339908210573632E-2</v>
      </c>
      <c r="G245" s="2"/>
      <c r="H245" s="2"/>
      <c r="I245" s="10">
        <f>ABS(C245-ADC!I245)</f>
        <v>4.9464944773677244E-2</v>
      </c>
    </row>
    <row r="246" spans="1:9" x14ac:dyDescent="0.25">
      <c r="A246" s="3">
        <v>244</v>
      </c>
      <c r="B246" s="3">
        <f t="shared" si="10"/>
        <v>44.400000000000006</v>
      </c>
      <c r="C246" s="12">
        <f t="shared" si="11"/>
        <v>2.0333329999999998</v>
      </c>
      <c r="D246" s="7"/>
      <c r="E246" s="10">
        <f>(ADC!I246+5/3)/(1/12)</f>
        <v>43.819350963893342</v>
      </c>
      <c r="F246" s="11">
        <f t="shared" si="9"/>
        <v>1.3077680993393324E-2</v>
      </c>
      <c r="G246" s="2"/>
      <c r="H246" s="2"/>
      <c r="I246" s="10">
        <f>ABS(C246-ADC!I246)</f>
        <v>4.8387086342221552E-2</v>
      </c>
    </row>
    <row r="247" spans="1:9" x14ac:dyDescent="0.25">
      <c r="A247" s="3">
        <v>245</v>
      </c>
      <c r="B247" s="3">
        <f t="shared" si="10"/>
        <v>44.5</v>
      </c>
      <c r="C247" s="12">
        <f t="shared" si="11"/>
        <v>2.0416669999999999</v>
      </c>
      <c r="D247" s="7"/>
      <c r="E247" s="10">
        <f>(ADC!I247+5/3)/(1/12)</f>
        <v>43.932531377903253</v>
      </c>
      <c r="F247" s="11">
        <f t="shared" si="9"/>
        <v>1.2752103867342636E-2</v>
      </c>
      <c r="G247" s="2"/>
      <c r="H247" s="2"/>
      <c r="I247" s="10">
        <f>ABS(C247-ADC!I247)</f>
        <v>4.7289385174729137E-2</v>
      </c>
    </row>
    <row r="248" spans="1:9" x14ac:dyDescent="0.25">
      <c r="A248" s="3">
        <v>246</v>
      </c>
      <c r="B248" s="3">
        <f t="shared" si="10"/>
        <v>44.6</v>
      </c>
      <c r="C248" s="12">
        <f t="shared" si="11"/>
        <v>2.0499999999999998</v>
      </c>
      <c r="D248" s="7"/>
      <c r="E248" s="10">
        <f>(ADC!I248+5/3)/(1/12)</f>
        <v>44.037152212015606</v>
      </c>
      <c r="F248" s="11">
        <f t="shared" si="9"/>
        <v>1.2619905560188242E-2</v>
      </c>
      <c r="G248" s="2"/>
      <c r="H248" s="2"/>
      <c r="I248" s="10">
        <f>ABS(C248-ADC!I248)</f>
        <v>4.6903982332032523E-2</v>
      </c>
    </row>
    <row r="249" spans="1:9" x14ac:dyDescent="0.25">
      <c r="A249" s="3">
        <v>247</v>
      </c>
      <c r="B249" s="3">
        <f t="shared" si="10"/>
        <v>44.7</v>
      </c>
      <c r="C249" s="12">
        <f t="shared" si="11"/>
        <v>2.0583330000000002</v>
      </c>
      <c r="D249" s="7"/>
      <c r="E249" s="10">
        <f>(ADC!I249+5/3)/(1/12)</f>
        <v>44.142047172075799</v>
      </c>
      <c r="F249" s="11">
        <f t="shared" si="9"/>
        <v>1.2482166172800985E-2</v>
      </c>
      <c r="G249" s="2"/>
      <c r="H249" s="2"/>
      <c r="I249" s="10">
        <f>ABS(C249-ADC!I249)</f>
        <v>4.6495735660350146E-2</v>
      </c>
    </row>
    <row r="250" spans="1:9" x14ac:dyDescent="0.25">
      <c r="A250" s="3">
        <v>248</v>
      </c>
      <c r="B250" s="3">
        <f t="shared" si="10"/>
        <v>44.8</v>
      </c>
      <c r="C250" s="12">
        <f t="shared" si="11"/>
        <v>2.0666669999999998</v>
      </c>
      <c r="D250" s="7"/>
      <c r="E250" s="10">
        <f>(ADC!I250+5/3)/(1/12)</f>
        <v>44.247215040205738</v>
      </c>
      <c r="F250" s="11">
        <f t="shared" si="9"/>
        <v>1.2338949995407571E-2</v>
      </c>
      <c r="G250" s="2"/>
      <c r="H250" s="2"/>
      <c r="I250" s="10">
        <f>ABS(C250-ADC!I250)</f>
        <v>4.6065746649522232E-2</v>
      </c>
    </row>
    <row r="251" spans="1:9" x14ac:dyDescent="0.25">
      <c r="A251" s="3">
        <v>249</v>
      </c>
      <c r="B251" s="3">
        <f t="shared" si="10"/>
        <v>44.900000000000006</v>
      </c>
      <c r="C251" s="12">
        <f t="shared" si="11"/>
        <v>2.0750000000000002</v>
      </c>
      <c r="D251" s="7"/>
      <c r="E251" s="10">
        <f>(ADC!I251+5/3)/(1/12)</f>
        <v>44.361423308678432</v>
      </c>
      <c r="F251" s="11">
        <f t="shared" si="9"/>
        <v>1.1995026532774459E-2</v>
      </c>
      <c r="G251" s="2"/>
      <c r="H251" s="2"/>
      <c r="I251" s="10">
        <f>ABS(C251-ADC!I251)</f>
        <v>4.4881390943464439E-2</v>
      </c>
    </row>
    <row r="252" spans="1:9" x14ac:dyDescent="0.25">
      <c r="A252" s="3">
        <v>250</v>
      </c>
      <c r="B252" s="3">
        <f t="shared" si="10"/>
        <v>45</v>
      </c>
      <c r="C252" s="12">
        <f t="shared" si="11"/>
        <v>2.0833330000000001</v>
      </c>
      <c r="D252" s="7"/>
      <c r="E252" s="10">
        <f>(ADC!I252+5/3)/(1/12)</f>
        <v>44.467120066431285</v>
      </c>
      <c r="F252" s="11">
        <f t="shared" si="9"/>
        <v>1.1841776301527003E-2</v>
      </c>
      <c r="G252" s="2"/>
      <c r="H252" s="2"/>
      <c r="I252" s="10">
        <f>ABS(C252-ADC!I252)</f>
        <v>4.4406327797393175E-2</v>
      </c>
    </row>
    <row r="253" spans="1:9" x14ac:dyDescent="0.25">
      <c r="A253" s="3">
        <v>251</v>
      </c>
      <c r="B253" s="3">
        <f t="shared" si="10"/>
        <v>45.1</v>
      </c>
      <c r="C253" s="12">
        <f t="shared" si="11"/>
        <v>2.0916670000000002</v>
      </c>
      <c r="D253" s="7"/>
      <c r="E253" s="10">
        <f>(ADC!I253+5/3)/(1/12)</f>
        <v>44.590570528726452</v>
      </c>
      <c r="F253" s="11">
        <f t="shared" si="9"/>
        <v>1.1295553686774921E-2</v>
      </c>
      <c r="G253" s="2"/>
      <c r="H253" s="2"/>
      <c r="I253" s="10">
        <f>ABS(C253-ADC!I253)</f>
        <v>4.2452789272796387E-2</v>
      </c>
    </row>
    <row r="254" spans="1:9" x14ac:dyDescent="0.25">
      <c r="A254" s="3">
        <v>252</v>
      </c>
      <c r="B254" s="3">
        <f t="shared" si="10"/>
        <v>45.2</v>
      </c>
      <c r="C254" s="12">
        <f t="shared" si="11"/>
        <v>2.1</v>
      </c>
      <c r="D254" s="7"/>
      <c r="E254" s="10">
        <f>(ADC!I254+5/3)/(1/12)</f>
        <v>44.696777987537821</v>
      </c>
      <c r="F254" s="11">
        <f t="shared" si="9"/>
        <v>1.1133230364207556E-2</v>
      </c>
      <c r="G254" s="2"/>
      <c r="H254" s="2"/>
      <c r="I254" s="10">
        <f>ABS(C254-ADC!I254)</f>
        <v>4.1935167705182241E-2</v>
      </c>
    </row>
    <row r="255" spans="1:9" x14ac:dyDescent="0.25">
      <c r="A255" s="3">
        <v>253</v>
      </c>
      <c r="B255" s="3">
        <f t="shared" si="10"/>
        <v>45.3</v>
      </c>
      <c r="C255" s="12">
        <f t="shared" si="11"/>
        <v>2.108333</v>
      </c>
      <c r="D255" s="7"/>
      <c r="E255" s="10">
        <f>(ADC!I255+5/3)/(1/12)</f>
        <v>44.811967948594507</v>
      </c>
      <c r="F255" s="11">
        <f t="shared" si="9"/>
        <v>1.0773334468112366E-2</v>
      </c>
      <c r="G255" s="2"/>
      <c r="H255" s="2"/>
      <c r="I255" s="10">
        <f>ABS(C255-ADC!I255)</f>
        <v>4.0669004283790944E-2</v>
      </c>
    </row>
    <row r="256" spans="1:9" x14ac:dyDescent="0.25">
      <c r="A256" s="3">
        <v>254</v>
      </c>
      <c r="B256" s="3">
        <f t="shared" si="10"/>
        <v>45.400000000000006</v>
      </c>
      <c r="C256" s="12">
        <f t="shared" si="11"/>
        <v>2.1166670000000001</v>
      </c>
      <c r="D256" s="7"/>
      <c r="E256" s="10">
        <f>(ADC!I256+5/3)/(1/12)</f>
        <v>44.918694406307495</v>
      </c>
      <c r="F256" s="11">
        <f t="shared" si="9"/>
        <v>1.0601444794989229E-2</v>
      </c>
      <c r="G256" s="2"/>
      <c r="H256" s="2"/>
      <c r="I256" s="10">
        <f>ABS(C256-ADC!I256)</f>
        <v>4.0109132807709447E-2</v>
      </c>
    </row>
    <row r="257" spans="1:9" x14ac:dyDescent="0.25">
      <c r="A257" s="3">
        <v>255</v>
      </c>
      <c r="B257" s="3">
        <f t="shared" si="10"/>
        <v>45.5</v>
      </c>
      <c r="C257" s="12">
        <f t="shared" si="11"/>
        <v>2.125</v>
      </c>
      <c r="D257" s="7"/>
      <c r="E257" s="10">
        <f>(ADC!I257+5/3)/(1/12)</f>
        <v>45.025685141495742</v>
      </c>
      <c r="F257" s="11">
        <f t="shared" si="9"/>
        <v>1.0424502384708958E-2</v>
      </c>
      <c r="G257" s="2"/>
      <c r="H257" s="2"/>
      <c r="I257" s="10">
        <f>ABS(C257-ADC!I257)</f>
        <v>3.9526238208688724E-2</v>
      </c>
    </row>
    <row r="258" spans="1:9" x14ac:dyDescent="0.25">
      <c r="A258" s="3">
        <v>256</v>
      </c>
      <c r="B258" s="3">
        <f t="shared" si="10"/>
        <v>45.6</v>
      </c>
      <c r="C258" s="12">
        <f t="shared" si="11"/>
        <v>2.1333329999999999</v>
      </c>
      <c r="D258" s="7"/>
      <c r="E258" s="10">
        <f>(ADC!I258+5/3)/(1/12)</f>
        <v>45.141614857066983</v>
      </c>
      <c r="F258" s="11">
        <f t="shared" ref="F258:F321" si="12">ABS(B258-E258)/B258</f>
        <v>1.0052305766074958E-2</v>
      </c>
      <c r="G258" s="2"/>
      <c r="H258" s="2"/>
      <c r="I258" s="10">
        <f>ABS(C258-ADC!I258)</f>
        <v>3.8198428577751908E-2</v>
      </c>
    </row>
    <row r="259" spans="1:9" x14ac:dyDescent="0.25">
      <c r="A259" s="3">
        <v>257</v>
      </c>
      <c r="B259" s="3">
        <f t="shared" ref="B259:B322" si="13">0.1*A259+20</f>
        <v>45.7</v>
      </c>
      <c r="C259" s="12">
        <f t="shared" ref="C259:C322" si="14">ROUND(1/12*B259-5/3,6)</f>
        <v>2.141667</v>
      </c>
      <c r="D259" s="7"/>
      <c r="E259" s="10">
        <f>(ADC!I259+5/3)/(1/12)</f>
        <v>45.24911712170158</v>
      </c>
      <c r="F259" s="11">
        <f t="shared" si="12"/>
        <v>9.866146133444692E-3</v>
      </c>
      <c r="G259" s="2"/>
      <c r="H259" s="2"/>
      <c r="I259" s="10">
        <f>ABS(C259-ADC!I259)</f>
        <v>3.7573906524868139E-2</v>
      </c>
    </row>
    <row r="260" spans="1:9" x14ac:dyDescent="0.25">
      <c r="A260" s="3">
        <v>258</v>
      </c>
      <c r="B260" s="3">
        <f t="shared" si="13"/>
        <v>45.8</v>
      </c>
      <c r="C260" s="12">
        <f t="shared" si="14"/>
        <v>2.15</v>
      </c>
      <c r="D260" s="7"/>
      <c r="E260" s="10">
        <f>(ADC!I260+5/3)/(1/12)</f>
        <v>45.356879916426834</v>
      </c>
      <c r="F260" s="11">
        <f t="shared" si="12"/>
        <v>9.6751109950472276E-3</v>
      </c>
      <c r="G260" s="2"/>
      <c r="H260" s="2"/>
      <c r="I260" s="10">
        <f>ABS(C260-ADC!I260)</f>
        <v>3.6926673631097362E-2</v>
      </c>
    </row>
    <row r="261" spans="1:9" x14ac:dyDescent="0.25">
      <c r="A261" s="3">
        <v>259</v>
      </c>
      <c r="B261" s="3">
        <f t="shared" si="13"/>
        <v>45.900000000000006</v>
      </c>
      <c r="C261" s="12">
        <f t="shared" si="14"/>
        <v>2.1583329999999998</v>
      </c>
      <c r="D261" s="7"/>
      <c r="E261" s="10">
        <f>(ADC!I261+5/3)/(1/12)</f>
        <v>45.473538112933873</v>
      </c>
      <c r="F261" s="11">
        <f t="shared" si="12"/>
        <v>9.2911086506782623E-3</v>
      </c>
      <c r="G261" s="2"/>
      <c r="H261" s="2"/>
      <c r="I261" s="10">
        <f>ABS(C261-ADC!I261)</f>
        <v>3.5538157255510239E-2</v>
      </c>
    </row>
    <row r="262" spans="1:9" x14ac:dyDescent="0.25">
      <c r="A262" s="3">
        <v>260</v>
      </c>
      <c r="B262" s="3">
        <f t="shared" si="13"/>
        <v>46</v>
      </c>
      <c r="C262" s="12">
        <f t="shared" si="14"/>
        <v>2.1666669999999999</v>
      </c>
      <c r="D262" s="7"/>
      <c r="E262" s="10">
        <f>(ADC!I262+5/3)/(1/12)</f>
        <v>45.581804911435185</v>
      </c>
      <c r="F262" s="11">
        <f t="shared" si="12"/>
        <v>9.0911975774959769E-3</v>
      </c>
      <c r="G262" s="2"/>
      <c r="H262" s="2"/>
      <c r="I262" s="10">
        <f>ABS(C262-ADC!I262)</f>
        <v>3.484992404706766E-2</v>
      </c>
    </row>
    <row r="263" spans="1:9" x14ac:dyDescent="0.25">
      <c r="A263" s="3">
        <v>261</v>
      </c>
      <c r="B263" s="3">
        <f t="shared" si="13"/>
        <v>46.1</v>
      </c>
      <c r="C263" s="12">
        <f t="shared" si="14"/>
        <v>2.1749999999999998</v>
      </c>
      <c r="D263" s="7"/>
      <c r="E263" s="10">
        <f>(ADC!I263+5/3)/(1/12)</f>
        <v>45.690328465931501</v>
      </c>
      <c r="F263" s="11">
        <f t="shared" si="12"/>
        <v>8.8865842531128166E-3</v>
      </c>
      <c r="G263" s="2"/>
      <c r="H263" s="2"/>
      <c r="I263" s="10">
        <f>ABS(C263-ADC!I263)</f>
        <v>3.4139294505707962E-2</v>
      </c>
    </row>
    <row r="264" spans="1:9" x14ac:dyDescent="0.25">
      <c r="A264" s="3">
        <v>262</v>
      </c>
      <c r="B264" s="3">
        <f t="shared" si="13"/>
        <v>46.2</v>
      </c>
      <c r="C264" s="12">
        <f t="shared" si="14"/>
        <v>2.1833330000000002</v>
      </c>
      <c r="D264" s="7"/>
      <c r="E264" s="10">
        <f>(ADC!I264+5/3)/(1/12)</f>
        <v>45.799107512629753</v>
      </c>
      <c r="F264" s="11">
        <f t="shared" si="12"/>
        <v>8.6773265664556211E-3</v>
      </c>
      <c r="G264" s="2"/>
      <c r="H264" s="2"/>
      <c r="I264" s="10">
        <f>ABS(C264-ADC!I264)</f>
        <v>3.3407373947521357E-2</v>
      </c>
    </row>
    <row r="265" spans="1:9" x14ac:dyDescent="0.25">
      <c r="A265" s="3">
        <v>263</v>
      </c>
      <c r="B265" s="3">
        <f t="shared" si="13"/>
        <v>46.3</v>
      </c>
      <c r="C265" s="12">
        <f t="shared" si="14"/>
        <v>2.1916669999999998</v>
      </c>
      <c r="D265" s="7"/>
      <c r="E265" s="10">
        <f>(ADC!I265+5/3)/(1/12)</f>
        <v>45.908140785816521</v>
      </c>
      <c r="F265" s="11">
        <f t="shared" si="12"/>
        <v>8.4634819478072668E-3</v>
      </c>
      <c r="G265" s="2"/>
      <c r="H265" s="2"/>
      <c r="I265" s="10">
        <f>ABS(C265-ADC!I265)</f>
        <v>3.2655267848623382E-2</v>
      </c>
    </row>
    <row r="266" spans="1:9" x14ac:dyDescent="0.25">
      <c r="A266" s="3">
        <v>264</v>
      </c>
      <c r="B266" s="3">
        <f t="shared" si="13"/>
        <v>46.400000000000006</v>
      </c>
      <c r="C266" s="12">
        <f t="shared" si="14"/>
        <v>2.2000000000000002</v>
      </c>
      <c r="D266" s="7"/>
      <c r="E266" s="10">
        <f>(ADC!I266+5/3)/(1/12)</f>
        <v>46.0088573508352</v>
      </c>
      <c r="F266" s="11">
        <f t="shared" si="12"/>
        <v>8.4297984733794334E-3</v>
      </c>
      <c r="G266" s="2"/>
      <c r="H266" s="2"/>
      <c r="I266" s="10">
        <f>ABS(C266-ADC!I266)</f>
        <v>3.2595220763733668E-2</v>
      </c>
    </row>
    <row r="267" spans="1:9" x14ac:dyDescent="0.25">
      <c r="A267" s="3">
        <v>265</v>
      </c>
      <c r="B267" s="3">
        <f t="shared" si="13"/>
        <v>46.5</v>
      </c>
      <c r="C267" s="12">
        <f t="shared" si="14"/>
        <v>2.2083330000000001</v>
      </c>
      <c r="D267" s="7"/>
      <c r="E267" s="10">
        <f>(ADC!I267+5/3)/(1/12)</f>
        <v>46.12696493972372</v>
      </c>
      <c r="F267" s="11">
        <f t="shared" si="12"/>
        <v>8.0222593607802099E-3</v>
      </c>
      <c r="G267" s="2"/>
      <c r="H267" s="2"/>
      <c r="I267" s="10">
        <f>ABS(C267-ADC!I267)</f>
        <v>3.1085921689690377E-2</v>
      </c>
    </row>
    <row r="268" spans="1:9" x14ac:dyDescent="0.25">
      <c r="A268" s="3">
        <v>266</v>
      </c>
      <c r="B268" s="3">
        <f t="shared" si="13"/>
        <v>46.6</v>
      </c>
      <c r="C268" s="12">
        <f t="shared" si="14"/>
        <v>2.2166670000000002</v>
      </c>
      <c r="D268" s="7"/>
      <c r="E268" s="10">
        <f>(ADC!I268+5/3)/(1/12)</f>
        <v>46.236753273654159</v>
      </c>
      <c r="F268" s="11">
        <f t="shared" si="12"/>
        <v>7.7949941275931829E-3</v>
      </c>
      <c r="G268" s="2"/>
      <c r="H268" s="2"/>
      <c r="I268" s="10">
        <f>ABS(C268-ADC!I268)</f>
        <v>3.0270893862153425E-2</v>
      </c>
    </row>
    <row r="269" spans="1:9" x14ac:dyDescent="0.25">
      <c r="A269" s="3">
        <v>267</v>
      </c>
      <c r="B269" s="3">
        <f t="shared" si="13"/>
        <v>46.7</v>
      </c>
      <c r="C269" s="12">
        <f t="shared" si="14"/>
        <v>2.2250000000000001</v>
      </c>
      <c r="D269" s="7"/>
      <c r="E269" s="10">
        <f>(ADC!I269+5/3)/(1/12)</f>
        <v>46.346790744682984</v>
      </c>
      <c r="F269" s="11">
        <f t="shared" si="12"/>
        <v>7.563367351542157E-3</v>
      </c>
      <c r="G269" s="2"/>
      <c r="H269" s="2"/>
      <c r="I269" s="10">
        <f>ABS(C269-ADC!I269)</f>
        <v>2.943410460975171E-2</v>
      </c>
    </row>
    <row r="270" spans="1:9" x14ac:dyDescent="0.25">
      <c r="A270" s="3">
        <v>268</v>
      </c>
      <c r="B270" s="3">
        <f t="shared" si="13"/>
        <v>46.8</v>
      </c>
      <c r="C270" s="12">
        <f t="shared" si="14"/>
        <v>2.233333</v>
      </c>
      <c r="D270" s="7"/>
      <c r="E270" s="10">
        <f>(ADC!I270+5/3)/(1/12)</f>
        <v>46.457076074701412</v>
      </c>
      <c r="F270" s="11">
        <f t="shared" si="12"/>
        <v>7.3274343012518202E-3</v>
      </c>
      <c r="G270" s="2"/>
      <c r="H270" s="2"/>
      <c r="I270" s="10">
        <f>ABS(C270-ADC!I270)</f>
        <v>2.8576660441549606E-2</v>
      </c>
    </row>
    <row r="271" spans="1:9" x14ac:dyDescent="0.25">
      <c r="A271" s="3">
        <v>269</v>
      </c>
      <c r="B271" s="3">
        <f t="shared" si="13"/>
        <v>46.900000000000006</v>
      </c>
      <c r="C271" s="12">
        <f t="shared" si="14"/>
        <v>2.2416670000000001</v>
      </c>
      <c r="D271" s="7"/>
      <c r="E271" s="10">
        <f>(ADC!I271+5/3)/(1/12)</f>
        <v>46.567607980887146</v>
      </c>
      <c r="F271" s="11">
        <f t="shared" si="12"/>
        <v>7.0872498744746111E-3</v>
      </c>
      <c r="G271" s="2"/>
      <c r="H271" s="2"/>
      <c r="I271" s="10">
        <f>ABS(C271-ADC!I271)</f>
        <v>2.7699668259404397E-2</v>
      </c>
    </row>
    <row r="272" spans="1:9" x14ac:dyDescent="0.25">
      <c r="A272" s="3">
        <v>270</v>
      </c>
      <c r="B272" s="3">
        <f t="shared" si="13"/>
        <v>47</v>
      </c>
      <c r="C272" s="12">
        <f t="shared" si="14"/>
        <v>2.25</v>
      </c>
      <c r="D272" s="7"/>
      <c r="E272" s="10">
        <f>(ADC!I272+5/3)/(1/12)</f>
        <v>46.678385176751718</v>
      </c>
      <c r="F272" s="11">
        <f t="shared" si="12"/>
        <v>6.8428685797506869E-3</v>
      </c>
      <c r="G272" s="2"/>
      <c r="H272" s="2"/>
      <c r="I272" s="10">
        <f>ABS(C272-ADC!I272)</f>
        <v>2.6801235270690338E-2</v>
      </c>
    </row>
    <row r="273" spans="1:9" x14ac:dyDescent="0.25">
      <c r="A273" s="3">
        <v>271</v>
      </c>
      <c r="B273" s="3">
        <f t="shared" si="13"/>
        <v>47.1</v>
      </c>
      <c r="C273" s="12">
        <f t="shared" si="14"/>
        <v>2.2583329999999999</v>
      </c>
      <c r="D273" s="7"/>
      <c r="E273" s="10">
        <f>(ADC!I273+5/3)/(1/12)</f>
        <v>46.789406375806308</v>
      </c>
      <c r="F273" s="11">
        <f t="shared" si="12"/>
        <v>6.5943444627111058E-3</v>
      </c>
      <c r="G273" s="2"/>
      <c r="H273" s="2"/>
      <c r="I273" s="10">
        <f>ABS(C273-ADC!I273)</f>
        <v>2.5882468682807858E-2</v>
      </c>
    </row>
    <row r="274" spans="1:9" x14ac:dyDescent="0.25">
      <c r="A274" s="3">
        <v>272</v>
      </c>
      <c r="B274" s="3">
        <f t="shared" si="13"/>
        <v>47.2</v>
      </c>
      <c r="C274" s="12">
        <f t="shared" si="14"/>
        <v>2.266667</v>
      </c>
      <c r="D274" s="7"/>
      <c r="E274" s="10">
        <f>(ADC!I274+5/3)/(1/12)</f>
        <v>46.900670289292911</v>
      </c>
      <c r="F274" s="11">
        <f t="shared" si="12"/>
        <v>6.3417311590485501E-3</v>
      </c>
      <c r="G274" s="2"/>
      <c r="H274" s="2"/>
      <c r="I274" s="10">
        <f>ABS(C274-ADC!I274)</f>
        <v>2.4944475892257234E-2</v>
      </c>
    </row>
    <row r="275" spans="1:9" x14ac:dyDescent="0.25">
      <c r="A275" s="3">
        <v>273</v>
      </c>
      <c r="B275" s="3">
        <f t="shared" si="13"/>
        <v>47.3</v>
      </c>
      <c r="C275" s="12">
        <f t="shared" si="14"/>
        <v>2.2749999999999999</v>
      </c>
      <c r="D275" s="7"/>
      <c r="E275" s="10">
        <f>(ADC!I275+5/3)/(1/12)</f>
        <v>47.003725712237809</v>
      </c>
      <c r="F275" s="11">
        <f t="shared" si="12"/>
        <v>6.2637270139997417E-3</v>
      </c>
      <c r="G275" s="2"/>
      <c r="H275" s="2"/>
      <c r="I275" s="10">
        <f>ABS(C275-ADC!I275)</f>
        <v>2.4689523980182315E-2</v>
      </c>
    </row>
    <row r="276" spans="1:9" x14ac:dyDescent="0.25">
      <c r="A276" s="3">
        <v>274</v>
      </c>
      <c r="B276" s="3">
        <f t="shared" si="13"/>
        <v>47.400000000000006</v>
      </c>
      <c r="C276" s="12">
        <f t="shared" si="14"/>
        <v>2.2833329999999998</v>
      </c>
      <c r="D276" s="7"/>
      <c r="E276" s="10">
        <f>(ADC!I276+5/3)/(1/12)</f>
        <v>47.115484486335603</v>
      </c>
      <c r="F276" s="11">
        <f t="shared" si="12"/>
        <v>6.0024369971392912E-3</v>
      </c>
      <c r="G276" s="2"/>
      <c r="H276" s="2"/>
      <c r="I276" s="10">
        <f>ABS(C276-ADC!I276)</f>
        <v>2.3709292805366822E-2</v>
      </c>
    </row>
    <row r="277" spans="1:9" x14ac:dyDescent="0.25">
      <c r="A277" s="3">
        <v>275</v>
      </c>
      <c r="B277" s="3">
        <f t="shared" si="13"/>
        <v>47.5</v>
      </c>
      <c r="C277" s="12">
        <f t="shared" si="14"/>
        <v>2.2916669999999999</v>
      </c>
      <c r="D277" s="7"/>
      <c r="E277" s="10">
        <f>(ADC!I277+5/3)/(1/12)</f>
        <v>47.227482092005829</v>
      </c>
      <c r="F277" s="11">
        <f t="shared" si="12"/>
        <v>5.73721911566676E-3</v>
      </c>
      <c r="G277" s="2"/>
      <c r="H277" s="2"/>
      <c r="I277" s="10">
        <f>ABS(C277-ADC!I277)</f>
        <v>2.2710158999514451E-2</v>
      </c>
    </row>
    <row r="278" spans="1:9" x14ac:dyDescent="0.25">
      <c r="A278" s="3">
        <v>276</v>
      </c>
      <c r="B278" s="3">
        <f t="shared" si="13"/>
        <v>47.6</v>
      </c>
      <c r="C278" s="12">
        <f t="shared" si="14"/>
        <v>2.2999999999999998</v>
      </c>
      <c r="D278" s="7"/>
      <c r="E278" s="10">
        <f>(ADC!I278+5/3)/(1/12)</f>
        <v>47.339717230888091</v>
      </c>
      <c r="F278" s="11">
        <f t="shared" si="12"/>
        <v>5.4681254015107204E-3</v>
      </c>
      <c r="G278" s="2"/>
      <c r="H278" s="2"/>
      <c r="I278" s="10">
        <f>ABS(C278-ADC!I278)</f>
        <v>2.1690230759325857E-2</v>
      </c>
    </row>
    <row r="279" spans="1:9" x14ac:dyDescent="0.25">
      <c r="A279" s="3">
        <v>277</v>
      </c>
      <c r="B279" s="3">
        <f t="shared" si="13"/>
        <v>47.7</v>
      </c>
      <c r="C279" s="12">
        <f t="shared" si="14"/>
        <v>2.3083330000000002</v>
      </c>
      <c r="D279" s="7"/>
      <c r="E279" s="10">
        <f>(ADC!I279+5/3)/(1/12)</f>
        <v>47.460585252633024</v>
      </c>
      <c r="F279" s="11">
        <f t="shared" si="12"/>
        <v>5.0191770936473578E-3</v>
      </c>
      <c r="G279" s="2"/>
      <c r="H279" s="2"/>
      <c r="I279" s="10">
        <f>ABS(C279-ADC!I279)</f>
        <v>1.9950895613914721E-2</v>
      </c>
    </row>
    <row r="280" spans="1:9" x14ac:dyDescent="0.25">
      <c r="A280" s="3">
        <v>278</v>
      </c>
      <c r="B280" s="3">
        <f t="shared" si="13"/>
        <v>47.8</v>
      </c>
      <c r="C280" s="12">
        <f t="shared" si="14"/>
        <v>2.3166669999999998</v>
      </c>
      <c r="D280" s="7"/>
      <c r="E280" s="10">
        <f>(ADC!I280+5/3)/(1/12)</f>
        <v>47.564894889534393</v>
      </c>
      <c r="F280" s="11">
        <f t="shared" si="12"/>
        <v>4.9185169553473572E-3</v>
      </c>
      <c r="G280" s="2"/>
      <c r="H280" s="2"/>
      <c r="I280" s="10">
        <f>ABS(C280-ADC!I280)</f>
        <v>1.9592425872133834E-2</v>
      </c>
    </row>
    <row r="281" spans="1:9" x14ac:dyDescent="0.25">
      <c r="A281" s="3">
        <v>279</v>
      </c>
      <c r="B281" s="3">
        <f t="shared" si="13"/>
        <v>47.900000000000006</v>
      </c>
      <c r="C281" s="12">
        <f t="shared" si="14"/>
        <v>2.3250000000000002</v>
      </c>
      <c r="D281" s="7"/>
      <c r="E281" s="10">
        <f>(ADC!I281+5/3)/(1/12)</f>
        <v>47.67783479529465</v>
      </c>
      <c r="F281" s="11">
        <f t="shared" si="12"/>
        <v>4.638104482366498E-3</v>
      </c>
      <c r="G281" s="2"/>
      <c r="H281" s="2"/>
      <c r="I281" s="10">
        <f>ABS(C281-ADC!I281)</f>
        <v>1.8513767058779163E-2</v>
      </c>
    </row>
    <row r="282" spans="1:9" x14ac:dyDescent="0.25">
      <c r="A282" s="3">
        <v>280</v>
      </c>
      <c r="B282" s="3">
        <f t="shared" si="13"/>
        <v>48</v>
      </c>
      <c r="C282" s="12">
        <f t="shared" si="14"/>
        <v>2.3333330000000001</v>
      </c>
      <c r="D282" s="7"/>
      <c r="E282" s="10">
        <f>(ADC!I282+5/3)/(1/12)</f>
        <v>47.791007014988487</v>
      </c>
      <c r="F282" s="11">
        <f t="shared" si="12"/>
        <v>4.3540205210731804E-3</v>
      </c>
      <c r="G282" s="2"/>
      <c r="H282" s="2"/>
      <c r="I282" s="10">
        <f>ABS(C282-ADC!I282)</f>
        <v>1.7415748750960081E-2</v>
      </c>
    </row>
    <row r="283" spans="1:9" x14ac:dyDescent="0.25">
      <c r="A283" s="3">
        <v>281</v>
      </c>
      <c r="B283" s="3">
        <f t="shared" si="13"/>
        <v>48.1</v>
      </c>
      <c r="C283" s="12">
        <f t="shared" si="14"/>
        <v>2.3416670000000002</v>
      </c>
      <c r="D283" s="7"/>
      <c r="E283" s="10">
        <f>(ADC!I283+5/3)/(1/12)</f>
        <v>47.896066876211485</v>
      </c>
      <c r="F283" s="11">
        <f t="shared" si="12"/>
        <v>4.2397738833371409E-3</v>
      </c>
      <c r="G283" s="2"/>
      <c r="H283" s="2"/>
      <c r="I283" s="10">
        <f>ABS(C283-ADC!I283)</f>
        <v>1.69947603157099E-2</v>
      </c>
    </row>
    <row r="284" spans="1:9" x14ac:dyDescent="0.25">
      <c r="A284" s="3">
        <v>282</v>
      </c>
      <c r="B284" s="3">
        <f t="shared" si="13"/>
        <v>48.2</v>
      </c>
      <c r="C284" s="12">
        <f t="shared" si="14"/>
        <v>2.35</v>
      </c>
      <c r="D284" s="7"/>
      <c r="E284" s="10">
        <f>(ADC!I284+5/3)/(1/12)</f>
        <v>48.001383082814563</v>
      </c>
      <c r="F284" s="11">
        <f t="shared" si="12"/>
        <v>4.120682929158505E-3</v>
      </c>
      <c r="G284" s="2"/>
      <c r="H284" s="2"/>
      <c r="I284" s="10">
        <f>ABS(C284-ADC!I284)</f>
        <v>1.6551409765453329E-2</v>
      </c>
    </row>
    <row r="285" spans="1:9" x14ac:dyDescent="0.25">
      <c r="A285" s="3">
        <v>283</v>
      </c>
      <c r="B285" s="3">
        <f t="shared" si="13"/>
        <v>48.3</v>
      </c>
      <c r="C285" s="12">
        <f t="shared" si="14"/>
        <v>2.358333</v>
      </c>
      <c r="D285" s="7"/>
      <c r="E285" s="10">
        <f>(ADC!I285+5/3)/(1/12)</f>
        <v>48.115270996945156</v>
      </c>
      <c r="F285" s="11">
        <f t="shared" si="12"/>
        <v>3.8246170404728935E-3</v>
      </c>
      <c r="G285" s="2"/>
      <c r="H285" s="2"/>
      <c r="I285" s="10">
        <f>ABS(C285-ADC!I285)</f>
        <v>1.539375025457046E-2</v>
      </c>
    </row>
    <row r="286" spans="1:9" x14ac:dyDescent="0.25">
      <c r="A286" s="3">
        <v>284</v>
      </c>
      <c r="B286" s="3">
        <f t="shared" si="13"/>
        <v>48.400000000000006</v>
      </c>
      <c r="C286" s="12">
        <f t="shared" si="14"/>
        <v>2.3666670000000001</v>
      </c>
      <c r="D286" s="7"/>
      <c r="E286" s="10">
        <f>(ADC!I286+5/3)/(1/12)</f>
        <v>48.221082614439389</v>
      </c>
      <c r="F286" s="11">
        <f t="shared" si="12"/>
        <v>3.6966401975333991E-3</v>
      </c>
      <c r="G286" s="2"/>
      <c r="H286" s="2"/>
      <c r="I286" s="10">
        <f>ABS(C286-ADC!I286)</f>
        <v>1.491011546338461E-2</v>
      </c>
    </row>
    <row r="287" spans="1:9" x14ac:dyDescent="0.25">
      <c r="A287" s="3">
        <v>285</v>
      </c>
      <c r="B287" s="3">
        <f t="shared" si="13"/>
        <v>48.5</v>
      </c>
      <c r="C287" s="12">
        <f t="shared" si="14"/>
        <v>2.375</v>
      </c>
      <c r="D287" s="7"/>
      <c r="E287" s="10">
        <f>(ADC!I287+5/3)/(1/12)</f>
        <v>48.335436636885632</v>
      </c>
      <c r="F287" s="11">
        <f t="shared" si="12"/>
        <v>3.3930590332859412E-3</v>
      </c>
      <c r="G287" s="2"/>
      <c r="H287" s="2"/>
      <c r="I287" s="10">
        <f>ABS(C287-ADC!I287)</f>
        <v>1.371361359286416E-2</v>
      </c>
    </row>
    <row r="288" spans="1:9" x14ac:dyDescent="0.25">
      <c r="A288" s="3">
        <v>286</v>
      </c>
      <c r="B288" s="3">
        <f t="shared" si="13"/>
        <v>48.6</v>
      </c>
      <c r="C288" s="12">
        <f t="shared" si="14"/>
        <v>2.3833329999999999</v>
      </c>
      <c r="D288" s="7"/>
      <c r="E288" s="10">
        <f>(ADC!I288+5/3)/(1/12)</f>
        <v>48.441738384190778</v>
      </c>
      <c r="F288" s="11">
        <f t="shared" si="12"/>
        <v>3.2564118479264112E-3</v>
      </c>
      <c r="G288" s="2"/>
      <c r="H288" s="2"/>
      <c r="I288" s="10">
        <f>ABS(C288-ADC!I288)</f>
        <v>1.3188134650768735E-2</v>
      </c>
    </row>
    <row r="289" spans="1:9" x14ac:dyDescent="0.25">
      <c r="A289" s="3">
        <v>287</v>
      </c>
      <c r="B289" s="3">
        <f t="shared" si="13"/>
        <v>48.7</v>
      </c>
      <c r="C289" s="12">
        <f t="shared" si="14"/>
        <v>2.391667</v>
      </c>
      <c r="D289" s="7"/>
      <c r="E289" s="10">
        <f>(ADC!I289+5/3)/(1/12)</f>
        <v>48.556553230206106</v>
      </c>
      <c r="F289" s="11">
        <f t="shared" si="12"/>
        <v>2.9455188869383373E-3</v>
      </c>
      <c r="G289" s="2"/>
      <c r="H289" s="2"/>
      <c r="I289" s="10">
        <f>ABS(C289-ADC!I289)</f>
        <v>1.1954230816157985E-2</v>
      </c>
    </row>
    <row r="290" spans="1:9" x14ac:dyDescent="0.25">
      <c r="A290" s="3">
        <v>288</v>
      </c>
      <c r="B290" s="3">
        <f t="shared" si="13"/>
        <v>48.8</v>
      </c>
      <c r="C290" s="12">
        <f t="shared" si="14"/>
        <v>2.4</v>
      </c>
      <c r="D290" s="7"/>
      <c r="E290" s="10">
        <f>(ADC!I290+5/3)/(1/12)</f>
        <v>48.663339817687557</v>
      </c>
      <c r="F290" s="11">
        <f t="shared" si="12"/>
        <v>2.8004135719762258E-3</v>
      </c>
      <c r="G290" s="2"/>
      <c r="H290" s="2"/>
      <c r="I290" s="10">
        <f>ABS(C290-ADC!I290)</f>
        <v>1.1388348526037095E-2</v>
      </c>
    </row>
    <row r="291" spans="1:9" x14ac:dyDescent="0.25">
      <c r="A291" s="3">
        <v>289</v>
      </c>
      <c r="B291" s="3">
        <f t="shared" si="13"/>
        <v>48.900000000000006</v>
      </c>
      <c r="C291" s="12">
        <f t="shared" si="14"/>
        <v>2.4083329999999998</v>
      </c>
      <c r="D291" s="7"/>
      <c r="E291" s="10">
        <f>(ADC!I291+5/3)/(1/12)</f>
        <v>48.778610185242009</v>
      </c>
      <c r="F291" s="11">
        <f t="shared" si="12"/>
        <v>2.482409299754536E-3</v>
      </c>
      <c r="G291" s="2"/>
      <c r="H291" s="2"/>
      <c r="I291" s="10">
        <f>ABS(C291-ADC!I291)</f>
        <v>1.0115484563166355E-2</v>
      </c>
    </row>
    <row r="292" spans="1:9" x14ac:dyDescent="0.25">
      <c r="A292" s="3">
        <v>290</v>
      </c>
      <c r="B292" s="3">
        <f t="shared" si="13"/>
        <v>49</v>
      </c>
      <c r="C292" s="12">
        <f t="shared" si="14"/>
        <v>2.4166669999999999</v>
      </c>
      <c r="D292" s="7"/>
      <c r="E292" s="10">
        <f>(ADC!I292+5/3)/(1/12)</f>
        <v>48.885876299521861</v>
      </c>
      <c r="F292" s="11">
        <f t="shared" si="12"/>
        <v>2.3290551117987508E-3</v>
      </c>
      <c r="G292" s="2"/>
      <c r="H292" s="2"/>
      <c r="I292" s="10">
        <f>ABS(C292-ADC!I292)</f>
        <v>9.5106417065116133E-3</v>
      </c>
    </row>
    <row r="293" spans="1:9" x14ac:dyDescent="0.25">
      <c r="A293" s="3">
        <v>291</v>
      </c>
      <c r="B293" s="3">
        <f t="shared" si="13"/>
        <v>49.1</v>
      </c>
      <c r="C293" s="12">
        <f t="shared" si="14"/>
        <v>2.4249999999999998</v>
      </c>
      <c r="D293" s="7"/>
      <c r="E293" s="10">
        <f>(ADC!I293+5/3)/(1/12)</f>
        <v>49.001596872095355</v>
      </c>
      <c r="F293" s="11">
        <f t="shared" si="12"/>
        <v>2.0041370245345463E-3</v>
      </c>
      <c r="G293" s="2"/>
      <c r="H293" s="2"/>
      <c r="I293" s="10">
        <f>ABS(C293-ADC!I293)</f>
        <v>8.2002606587203708E-3</v>
      </c>
    </row>
    <row r="294" spans="1:9" x14ac:dyDescent="0.25">
      <c r="A294" s="3">
        <v>292</v>
      </c>
      <c r="B294" s="3">
        <f t="shared" si="13"/>
        <v>49.2</v>
      </c>
      <c r="C294" s="12">
        <f t="shared" si="14"/>
        <v>2.4333330000000002</v>
      </c>
      <c r="D294" s="7"/>
      <c r="E294" s="10">
        <f>(ADC!I294+5/3)/(1/12)</f>
        <v>49.109337190019438</v>
      </c>
      <c r="F294" s="11">
        <f t="shared" si="12"/>
        <v>1.8427400402553742E-3</v>
      </c>
      <c r="G294" s="2"/>
      <c r="H294" s="2"/>
      <c r="I294" s="10">
        <f>ABS(C294-ADC!I294)</f>
        <v>7.554900831713951E-3</v>
      </c>
    </row>
    <row r="295" spans="1:9" x14ac:dyDescent="0.25">
      <c r="A295" s="3">
        <v>293</v>
      </c>
      <c r="B295" s="3">
        <f t="shared" si="13"/>
        <v>49.3</v>
      </c>
      <c r="C295" s="12">
        <f t="shared" si="14"/>
        <v>2.4416669999999998</v>
      </c>
      <c r="D295" s="7"/>
      <c r="E295" s="10">
        <f>(ADC!I295+5/3)/(1/12)</f>
        <v>49.217319277716669</v>
      </c>
      <c r="F295" s="11">
        <f t="shared" si="12"/>
        <v>1.6770937582825179E-3</v>
      </c>
      <c r="G295" s="2"/>
      <c r="H295" s="2"/>
      <c r="I295" s="10">
        <f>ABS(C295-ADC!I295)</f>
        <v>6.8903935236113156E-3</v>
      </c>
    </row>
    <row r="296" spans="1:9" x14ac:dyDescent="0.25">
      <c r="A296" s="3">
        <v>294</v>
      </c>
      <c r="B296" s="3">
        <f t="shared" si="13"/>
        <v>49.400000000000006</v>
      </c>
      <c r="C296" s="12">
        <f t="shared" si="14"/>
        <v>2.4500000000000002</v>
      </c>
      <c r="D296" s="7"/>
      <c r="E296" s="10">
        <f>(ADC!I296+5/3)/(1/12)</f>
        <v>49.333711812843539</v>
      </c>
      <c r="F296" s="11">
        <f t="shared" si="12"/>
        <v>1.3418661367705757E-3</v>
      </c>
      <c r="G296" s="2"/>
      <c r="H296" s="2"/>
      <c r="I296" s="10">
        <f>ABS(C296-ADC!I296)</f>
        <v>5.5240155963720561E-3</v>
      </c>
    </row>
    <row r="297" spans="1:9" x14ac:dyDescent="0.25">
      <c r="A297" s="3">
        <v>295</v>
      </c>
      <c r="B297" s="3">
        <f t="shared" si="13"/>
        <v>49.5</v>
      </c>
      <c r="C297" s="12">
        <f t="shared" si="14"/>
        <v>2.4583330000000001</v>
      </c>
      <c r="D297" s="7"/>
      <c r="E297" s="10">
        <f>(ADC!I297+5/3)/(1/12)</f>
        <v>49.44216008287885</v>
      </c>
      <c r="F297" s="11">
        <f t="shared" si="12"/>
        <v>1.1684831741646487E-3</v>
      </c>
      <c r="G297" s="2"/>
      <c r="H297" s="2"/>
      <c r="I297" s="10">
        <f>ABS(C297-ADC!I297)</f>
        <v>4.8196597600957958E-3</v>
      </c>
    </row>
    <row r="298" spans="1:9" x14ac:dyDescent="0.25">
      <c r="A298" s="3">
        <v>296</v>
      </c>
      <c r="B298" s="3">
        <f t="shared" si="13"/>
        <v>49.6</v>
      </c>
      <c r="C298" s="12">
        <f t="shared" si="14"/>
        <v>2.4666670000000002</v>
      </c>
      <c r="D298" s="7"/>
      <c r="E298" s="10">
        <f>(ADC!I298+5/3)/(1/12)</f>
        <v>49.550846104876456</v>
      </c>
      <c r="F298" s="11">
        <f t="shared" si="12"/>
        <v>9.9100595007148209E-4</v>
      </c>
      <c r="G298" s="2"/>
      <c r="H298" s="2"/>
      <c r="I298" s="10">
        <f>ABS(C298-ADC!I298)</f>
        <v>4.0964912602956538E-3</v>
      </c>
    </row>
    <row r="299" spans="1:9" x14ac:dyDescent="0.25">
      <c r="A299" s="3">
        <v>297</v>
      </c>
      <c r="B299" s="3">
        <f t="shared" si="13"/>
        <v>49.7</v>
      </c>
      <c r="C299" s="12">
        <f t="shared" si="14"/>
        <v>2.4750000000000001</v>
      </c>
      <c r="D299" s="7"/>
      <c r="E299" s="10">
        <f>(ADC!I299+5/3)/(1/12)</f>
        <v>49.651638528029807</v>
      </c>
      <c r="F299" s="11">
        <f t="shared" si="12"/>
        <v>9.7306784648281959E-4</v>
      </c>
      <c r="G299" s="2"/>
      <c r="H299" s="2"/>
      <c r="I299" s="10">
        <f>ABS(C299-ADC!I299)</f>
        <v>4.0301226641834553E-3</v>
      </c>
    </row>
    <row r="300" spans="1:9" x14ac:dyDescent="0.25">
      <c r="A300" s="3">
        <v>298</v>
      </c>
      <c r="B300" s="3">
        <f t="shared" si="13"/>
        <v>49.8</v>
      </c>
      <c r="C300" s="12">
        <f t="shared" si="14"/>
        <v>2.483333</v>
      </c>
      <c r="D300" s="7"/>
      <c r="E300" s="10">
        <f>(ADC!I300+5/3)/(1/12)</f>
        <v>49.768926016660373</v>
      </c>
      <c r="F300" s="11">
        <f t="shared" si="12"/>
        <v>6.2397556906875666E-4</v>
      </c>
      <c r="G300" s="2"/>
      <c r="H300" s="2"/>
      <c r="I300" s="10">
        <f>ABS(C300-ADC!I300)</f>
        <v>2.589165278302108E-3</v>
      </c>
    </row>
    <row r="301" spans="1:9" x14ac:dyDescent="0.25">
      <c r="A301" s="3">
        <v>299</v>
      </c>
      <c r="B301" s="3">
        <f t="shared" si="13"/>
        <v>49.900000000000006</v>
      </c>
      <c r="C301" s="12">
        <f t="shared" si="14"/>
        <v>2.4916670000000001</v>
      </c>
      <c r="D301" s="7"/>
      <c r="E301" s="10">
        <f>(ADC!I301+5/3)/(1/12)</f>
        <v>49.886420573391348</v>
      </c>
      <c r="F301" s="11">
        <f t="shared" si="12"/>
        <v>2.7213279776869216E-4</v>
      </c>
      <c r="G301" s="2"/>
      <c r="H301" s="2"/>
      <c r="I301" s="10">
        <f>ABS(C301-ADC!I301)</f>
        <v>1.1319522173875995E-3</v>
      </c>
    </row>
    <row r="302" spans="1:9" x14ac:dyDescent="0.25">
      <c r="A302" s="3">
        <v>300</v>
      </c>
      <c r="B302" s="3">
        <f t="shared" si="13"/>
        <v>50</v>
      </c>
      <c r="C302" s="12">
        <f t="shared" si="14"/>
        <v>2.5</v>
      </c>
      <c r="D302" s="7"/>
      <c r="E302" s="10">
        <f>(ADC!I302+5/3)/(1/12)</f>
        <v>49.99603080398218</v>
      </c>
      <c r="F302" s="11">
        <f t="shared" si="12"/>
        <v>7.9383920356406181E-5</v>
      </c>
      <c r="G302" s="2"/>
      <c r="H302" s="2"/>
      <c r="I302" s="10">
        <f>ABS(C302-ADC!I302)</f>
        <v>3.3076633481865514E-4</v>
      </c>
    </row>
    <row r="303" spans="1:9" x14ac:dyDescent="0.25">
      <c r="A303" s="3">
        <v>301</v>
      </c>
      <c r="B303" s="3">
        <f t="shared" si="13"/>
        <v>50.1</v>
      </c>
      <c r="C303" s="12">
        <f t="shared" si="14"/>
        <v>2.5083329999999999</v>
      </c>
      <c r="D303" s="7"/>
      <c r="E303" s="10">
        <f>(ADC!I303+5/3)/(1/12)</f>
        <v>50.105872051368571</v>
      </c>
      <c r="F303" s="11">
        <f t="shared" si="12"/>
        <v>1.172066141431126E-4</v>
      </c>
      <c r="G303" s="2"/>
      <c r="H303" s="2"/>
      <c r="I303" s="10">
        <f>ABS(C303-ADC!I303)</f>
        <v>4.8967094738072703E-4</v>
      </c>
    </row>
    <row r="304" spans="1:9" x14ac:dyDescent="0.25">
      <c r="A304" s="3">
        <v>302</v>
      </c>
      <c r="B304" s="3">
        <f t="shared" si="13"/>
        <v>50.2</v>
      </c>
      <c r="C304" s="12">
        <f t="shared" si="14"/>
        <v>2.516667</v>
      </c>
      <c r="D304" s="7"/>
      <c r="E304" s="10">
        <f>(ADC!I304+5/3)/(1/12)</f>
        <v>50.215942958182012</v>
      </c>
      <c r="F304" s="11">
        <f t="shared" si="12"/>
        <v>3.1758880840655762E-4</v>
      </c>
      <c r="G304" s="2"/>
      <c r="H304" s="2"/>
      <c r="I304" s="10">
        <f>ABS(C304-ADC!I304)</f>
        <v>1.3282465151673861E-3</v>
      </c>
    </row>
    <row r="305" spans="1:9" x14ac:dyDescent="0.25">
      <c r="A305" s="3">
        <v>303</v>
      </c>
      <c r="B305" s="3">
        <f t="shared" si="13"/>
        <v>50.3</v>
      </c>
      <c r="C305" s="12">
        <f t="shared" si="14"/>
        <v>2.5249999999999999</v>
      </c>
      <c r="D305" s="7"/>
      <c r="E305" s="10">
        <f>(ADC!I305+5/3)/(1/12)</f>
        <v>50.326242177179623</v>
      </c>
      <c r="F305" s="11">
        <f t="shared" si="12"/>
        <v>5.2171326400845955E-4</v>
      </c>
      <c r="G305" s="2"/>
      <c r="H305" s="2"/>
      <c r="I305" s="10">
        <f>ABS(C305-ADC!I305)</f>
        <v>2.1868480983018301E-3</v>
      </c>
    </row>
    <row r="306" spans="1:9" x14ac:dyDescent="0.25">
      <c r="A306" s="3">
        <v>304</v>
      </c>
      <c r="B306" s="3">
        <f t="shared" si="13"/>
        <v>50.400000000000006</v>
      </c>
      <c r="C306" s="12">
        <f t="shared" si="14"/>
        <v>2.5333329999999998</v>
      </c>
      <c r="D306" s="7"/>
      <c r="E306" s="10">
        <f>(ADC!I306+5/3)/(1/12)</f>
        <v>50.436768345580838</v>
      </c>
      <c r="F306" s="11">
        <f t="shared" si="12"/>
        <v>7.2953066628634645E-4</v>
      </c>
      <c r="G306" s="2"/>
      <c r="H306" s="2"/>
      <c r="I306" s="10">
        <f>ABS(C306-ADC!I306)</f>
        <v>3.0643621317367753E-3</v>
      </c>
    </row>
    <row r="307" spans="1:9" x14ac:dyDescent="0.25">
      <c r="A307" s="3">
        <v>305</v>
      </c>
      <c r="B307" s="3">
        <f t="shared" si="13"/>
        <v>50.5</v>
      </c>
      <c r="C307" s="12">
        <f t="shared" si="14"/>
        <v>2.5416669999999999</v>
      </c>
      <c r="D307" s="7"/>
      <c r="E307" s="10">
        <f>(ADC!I307+5/3)/(1/12)</f>
        <v>50.547520112825836</v>
      </c>
      <c r="F307" s="11">
        <f t="shared" si="12"/>
        <v>9.4099233318487594E-4</v>
      </c>
      <c r="G307" s="2"/>
      <c r="H307" s="2"/>
      <c r="I307" s="10">
        <f>ABS(C307-ADC!I307)</f>
        <v>3.9596760688196397E-3</v>
      </c>
    </row>
    <row r="308" spans="1:9" x14ac:dyDescent="0.25">
      <c r="A308" s="3">
        <v>306</v>
      </c>
      <c r="B308" s="3">
        <f t="shared" si="13"/>
        <v>50.6</v>
      </c>
      <c r="C308" s="12">
        <f t="shared" si="14"/>
        <v>2.5499999999999998</v>
      </c>
      <c r="D308" s="7"/>
      <c r="E308" s="10">
        <f>(ADC!I308+5/3)/(1/12)</f>
        <v>50.658496119974721</v>
      </c>
      <c r="F308" s="11">
        <f t="shared" si="12"/>
        <v>1.1560498018719331E-3</v>
      </c>
      <c r="G308" s="2"/>
      <c r="H308" s="2"/>
      <c r="I308" s="10">
        <f>ABS(C308-ADC!I308)</f>
        <v>4.8746766645604289E-3</v>
      </c>
    </row>
    <row r="309" spans="1:9" x14ac:dyDescent="0.25">
      <c r="A309" s="3">
        <v>307</v>
      </c>
      <c r="B309" s="3">
        <f t="shared" si="13"/>
        <v>50.7</v>
      </c>
      <c r="C309" s="12">
        <f t="shared" si="14"/>
        <v>2.5583330000000002</v>
      </c>
      <c r="D309" s="7"/>
      <c r="E309" s="10">
        <f>(ADC!I309+5/3)/(1/12)</f>
        <v>50.76969499900958</v>
      </c>
      <c r="F309" s="11">
        <f t="shared" si="12"/>
        <v>1.3746548128121779E-3</v>
      </c>
      <c r="G309" s="2"/>
      <c r="H309" s="2"/>
      <c r="I309" s="10">
        <f>ABS(C309-ADC!I309)</f>
        <v>5.8082499174649804E-3</v>
      </c>
    </row>
    <row r="310" spans="1:9" x14ac:dyDescent="0.25">
      <c r="A310" s="3">
        <v>308</v>
      </c>
      <c r="B310" s="3">
        <f t="shared" si="13"/>
        <v>50.8</v>
      </c>
      <c r="C310" s="12">
        <f t="shared" si="14"/>
        <v>2.5666669999999998</v>
      </c>
      <c r="D310" s="7"/>
      <c r="E310" s="10">
        <f>(ADC!I310+5/3)/(1/12)</f>
        <v>50.881115395180572</v>
      </c>
      <c r="F310" s="11">
        <f t="shared" si="12"/>
        <v>1.5967597476491137E-3</v>
      </c>
      <c r="G310" s="2"/>
      <c r="H310" s="2"/>
      <c r="I310" s="10">
        <f>ABS(C310-ADC!I310)</f>
        <v>6.7592829317142389E-3</v>
      </c>
    </row>
    <row r="311" spans="1:9" x14ac:dyDescent="0.25">
      <c r="A311" s="3">
        <v>309</v>
      </c>
      <c r="B311" s="3">
        <f t="shared" si="13"/>
        <v>50.900000000000006</v>
      </c>
      <c r="C311" s="12">
        <f t="shared" si="14"/>
        <v>2.5750000000000002</v>
      </c>
      <c r="D311" s="7"/>
      <c r="E311" s="10">
        <f>(ADC!I311+5/3)/(1/12)</f>
        <v>50.99275594448509</v>
      </c>
      <c r="F311" s="11">
        <f t="shared" si="12"/>
        <v>1.8223171804535221E-3</v>
      </c>
      <c r="G311" s="2"/>
      <c r="H311" s="2"/>
      <c r="I311" s="10">
        <f>ABS(C311-ADC!I311)</f>
        <v>7.7296620404241345E-3</v>
      </c>
    </row>
    <row r="312" spans="1:9" x14ac:dyDescent="0.25">
      <c r="A312" s="3">
        <v>310</v>
      </c>
      <c r="B312" s="3">
        <f t="shared" si="13"/>
        <v>51</v>
      </c>
      <c r="C312" s="12">
        <f t="shared" si="14"/>
        <v>2.5833330000000001</v>
      </c>
      <c r="D312" s="7"/>
      <c r="E312" s="10">
        <f>(ADC!I312+5/3)/(1/12)</f>
        <v>51.104615284316914</v>
      </c>
      <c r="F312" s="11">
        <f t="shared" si="12"/>
        <v>2.051280084645371E-3</v>
      </c>
      <c r="G312" s="2"/>
      <c r="H312" s="2"/>
      <c r="I312" s="10">
        <f>ABS(C312-ADC!I312)</f>
        <v>8.7182736930762061E-3</v>
      </c>
    </row>
    <row r="313" spans="1:9" x14ac:dyDescent="0.25">
      <c r="A313" s="3">
        <v>311</v>
      </c>
      <c r="B313" s="3">
        <f t="shared" si="13"/>
        <v>51.1</v>
      </c>
      <c r="C313" s="12">
        <f t="shared" si="14"/>
        <v>2.5916670000000002</v>
      </c>
      <c r="D313" s="7"/>
      <c r="E313" s="10">
        <f>(ADC!I313+5/3)/(1/12)</f>
        <v>51.216692046309198</v>
      </c>
      <c r="F313" s="11">
        <f t="shared" si="12"/>
        <v>2.2836016890253803E-3</v>
      </c>
      <c r="G313" s="2"/>
      <c r="H313" s="2"/>
      <c r="I313" s="10">
        <f>ABS(C313-ADC!I313)</f>
        <v>9.7240038590991063E-3</v>
      </c>
    </row>
    <row r="314" spans="1:9" x14ac:dyDescent="0.25">
      <c r="A314" s="3">
        <v>312</v>
      </c>
      <c r="B314" s="3">
        <f t="shared" si="13"/>
        <v>51.2</v>
      </c>
      <c r="C314" s="12">
        <f t="shared" si="14"/>
        <v>2.6</v>
      </c>
      <c r="D314" s="7"/>
      <c r="E314" s="10">
        <f>(ADC!I314+5/3)/(1/12)</f>
        <v>51.321054691289682</v>
      </c>
      <c r="F314" s="11">
        <f t="shared" si="12"/>
        <v>2.3643494392515396E-3</v>
      </c>
      <c r="G314" s="2"/>
      <c r="H314" s="2"/>
      <c r="I314" s="10">
        <f>ABS(C314-ADC!I314)</f>
        <v>1.0087890940806421E-2</v>
      </c>
    </row>
    <row r="315" spans="1:9" x14ac:dyDescent="0.25">
      <c r="A315" s="3">
        <v>313</v>
      </c>
      <c r="B315" s="3">
        <f t="shared" si="13"/>
        <v>51.3</v>
      </c>
      <c r="C315" s="12">
        <f t="shared" si="14"/>
        <v>2.608333</v>
      </c>
      <c r="D315" s="7"/>
      <c r="E315" s="10">
        <f>(ADC!I315+5/3)/(1/12)</f>
        <v>51.425658661385164</v>
      </c>
      <c r="F315" s="11">
        <f t="shared" si="12"/>
        <v>2.4494865767089023E-3</v>
      </c>
      <c r="G315" s="2"/>
      <c r="H315" s="2"/>
      <c r="I315" s="10">
        <f>ABS(C315-ADC!I315)</f>
        <v>1.0471888448763789E-2</v>
      </c>
    </row>
    <row r="316" spans="1:9" x14ac:dyDescent="0.25">
      <c r="A316" s="3">
        <v>314</v>
      </c>
      <c r="B316" s="3">
        <f t="shared" si="13"/>
        <v>51.400000000000006</v>
      </c>
      <c r="C316" s="12">
        <f t="shared" si="14"/>
        <v>2.6166670000000001</v>
      </c>
      <c r="D316" s="7"/>
      <c r="E316" s="10">
        <f>(ADC!I316+5/3)/(1/12)</f>
        <v>51.538406095601317</v>
      </c>
      <c r="F316" s="11">
        <f t="shared" si="12"/>
        <v>2.6927255953562556E-3</v>
      </c>
      <c r="G316" s="2"/>
      <c r="H316" s="2"/>
      <c r="I316" s="10">
        <f>ABS(C316-ADC!I316)</f>
        <v>1.1533507966775769E-2</v>
      </c>
    </row>
    <row r="317" spans="1:9" x14ac:dyDescent="0.25">
      <c r="A317" s="3">
        <v>315</v>
      </c>
      <c r="B317" s="3">
        <f t="shared" si="13"/>
        <v>51.5</v>
      </c>
      <c r="C317" s="12">
        <f t="shared" si="14"/>
        <v>2.625</v>
      </c>
      <c r="D317" s="7"/>
      <c r="E317" s="10">
        <f>(ADC!I317+5/3)/(1/12)</f>
        <v>51.643475256239164</v>
      </c>
      <c r="F317" s="11">
        <f t="shared" si="12"/>
        <v>2.7859273056148287E-3</v>
      </c>
      <c r="G317" s="2"/>
      <c r="H317" s="2"/>
      <c r="I317" s="10">
        <f>ABS(C317-ADC!I317)</f>
        <v>1.1956271353263048E-2</v>
      </c>
    </row>
    <row r="318" spans="1:9" x14ac:dyDescent="0.25">
      <c r="A318" s="3">
        <v>316</v>
      </c>
      <c r="B318" s="3">
        <f t="shared" si="13"/>
        <v>51.6</v>
      </c>
      <c r="C318" s="12">
        <f t="shared" si="14"/>
        <v>2.6333329999999999</v>
      </c>
      <c r="D318" s="7"/>
      <c r="E318" s="10">
        <f>(ADC!I318+5/3)/(1/12)</f>
        <v>51.756658507367703</v>
      </c>
      <c r="F318" s="11">
        <f t="shared" si="12"/>
        <v>3.036017584645384E-3</v>
      </c>
      <c r="G318" s="2"/>
      <c r="H318" s="2"/>
      <c r="I318" s="10">
        <f>ABS(C318-ADC!I318)</f>
        <v>1.3055208947308383E-2</v>
      </c>
    </row>
    <row r="319" spans="1:9" x14ac:dyDescent="0.25">
      <c r="A319" s="3">
        <v>317</v>
      </c>
      <c r="B319" s="3">
        <f t="shared" si="13"/>
        <v>51.7</v>
      </c>
      <c r="C319" s="12">
        <f t="shared" si="14"/>
        <v>2.641667</v>
      </c>
      <c r="D319" s="7"/>
      <c r="E319" s="10">
        <f>(ADC!I319+5/3)/(1/12)</f>
        <v>51.87005095264621</v>
      </c>
      <c r="F319" s="11">
        <f t="shared" si="12"/>
        <v>3.2891867049556489E-3</v>
      </c>
      <c r="G319" s="2"/>
      <c r="H319" s="2"/>
      <c r="I319" s="10">
        <f>ABS(C319-ADC!I319)</f>
        <v>1.4170579387184024E-2</v>
      </c>
    </row>
    <row r="320" spans="1:9" x14ac:dyDescent="0.25">
      <c r="A320" s="3">
        <v>318</v>
      </c>
      <c r="B320" s="3">
        <f t="shared" si="13"/>
        <v>51.8</v>
      </c>
      <c r="C320" s="12">
        <f t="shared" si="14"/>
        <v>2.65</v>
      </c>
      <c r="D320" s="7"/>
      <c r="E320" s="10">
        <f>(ADC!I320+5/3)/(1/12)</f>
        <v>51.98365122458047</v>
      </c>
      <c r="F320" s="11">
        <f t="shared" si="12"/>
        <v>3.5453904359164612E-3</v>
      </c>
      <c r="G320" s="2"/>
      <c r="H320" s="2"/>
      <c r="I320" s="10">
        <f>ABS(C320-ADC!I320)</f>
        <v>1.5304268715038649E-2</v>
      </c>
    </row>
    <row r="321" spans="1:9" x14ac:dyDescent="0.25">
      <c r="A321" s="3">
        <v>319</v>
      </c>
      <c r="B321" s="3">
        <f t="shared" si="13"/>
        <v>51.900000000000006</v>
      </c>
      <c r="C321" s="12">
        <f t="shared" si="14"/>
        <v>2.6583329999999998</v>
      </c>
      <c r="D321" s="7"/>
      <c r="E321" s="10">
        <f>(ADC!I321+5/3)/(1/12)</f>
        <v>52.09745794782021</v>
      </c>
      <c r="F321" s="11">
        <f t="shared" si="12"/>
        <v>3.8045847364201256E-3</v>
      </c>
      <c r="G321" s="2"/>
      <c r="H321" s="2"/>
      <c r="I321" s="10">
        <f>ABS(C321-ADC!I321)</f>
        <v>1.6455162318350425E-2</v>
      </c>
    </row>
    <row r="322" spans="1:9" x14ac:dyDescent="0.25">
      <c r="A322" s="3">
        <v>320</v>
      </c>
      <c r="B322" s="3">
        <f t="shared" si="13"/>
        <v>52</v>
      </c>
      <c r="C322" s="12">
        <f t="shared" si="14"/>
        <v>2.6666669999999999</v>
      </c>
      <c r="D322" s="7"/>
      <c r="E322" s="10">
        <f>(ADC!I322+5/3)/(1/12)</f>
        <v>52.211469742824796</v>
      </c>
      <c r="F322" s="11">
        <f t="shared" ref="F322:F385" si="15">ABS(B322-E322)/B322</f>
        <v>4.0667258235537783E-3</v>
      </c>
      <c r="G322" s="2"/>
      <c r="H322" s="2"/>
      <c r="I322" s="10">
        <f>ABS(C322-ADC!I322)</f>
        <v>1.7622145235399511E-2</v>
      </c>
    </row>
    <row r="323" spans="1:9" x14ac:dyDescent="0.25">
      <c r="A323" s="3">
        <v>321</v>
      </c>
      <c r="B323" s="3">
        <f t="shared" ref="B323:B386" si="16">0.1*A323+20</f>
        <v>52.1</v>
      </c>
      <c r="C323" s="12">
        <f t="shared" ref="C323:C386" si="17">ROUND(1/12*B323-5/3,6)</f>
        <v>2.6749999999999998</v>
      </c>
      <c r="D323" s="7"/>
      <c r="E323" s="10">
        <f>(ADC!I323+5/3)/(1/12)</f>
        <v>52.317874775838582</v>
      </c>
      <c r="F323" s="11">
        <f t="shared" si="15"/>
        <v>4.1818575017002124E-3</v>
      </c>
      <c r="G323" s="2"/>
      <c r="H323" s="2"/>
      <c r="I323" s="10">
        <f>ABS(C323-ADC!I323)</f>
        <v>1.8156231319881755E-2</v>
      </c>
    </row>
    <row r="324" spans="1:9" x14ac:dyDescent="0.25">
      <c r="A324" s="3">
        <v>322</v>
      </c>
      <c r="B324" s="3">
        <f t="shared" si="16"/>
        <v>52.2</v>
      </c>
      <c r="C324" s="12">
        <f t="shared" si="17"/>
        <v>2.6833330000000002</v>
      </c>
      <c r="D324" s="7"/>
      <c r="E324" s="10">
        <f>(ADC!I324+5/3)/(1/12)</f>
        <v>52.432305873773906</v>
      </c>
      <c r="F324" s="11">
        <f t="shared" si="15"/>
        <v>4.4503040952855021E-3</v>
      </c>
      <c r="G324" s="2"/>
      <c r="H324" s="2"/>
      <c r="I324" s="10">
        <f>ABS(C324-ADC!I324)</f>
        <v>1.9359156147825018E-2</v>
      </c>
    </row>
    <row r="325" spans="1:9" x14ac:dyDescent="0.25">
      <c r="A325" s="3">
        <v>323</v>
      </c>
      <c r="B325" s="3">
        <f t="shared" si="16"/>
        <v>52.300000000000004</v>
      </c>
      <c r="C325" s="12">
        <f t="shared" si="17"/>
        <v>2.6916669999999998</v>
      </c>
      <c r="D325" s="7"/>
      <c r="E325" s="10">
        <f>(ADC!I325+5/3)/(1/12)</f>
        <v>52.53915402293844</v>
      </c>
      <c r="F325" s="11">
        <f t="shared" si="15"/>
        <v>4.5727346642148396E-3</v>
      </c>
      <c r="G325" s="2"/>
      <c r="H325" s="2"/>
      <c r="I325" s="10">
        <f>ABS(C325-ADC!I325)</f>
        <v>1.9929168578203704E-2</v>
      </c>
    </row>
    <row r="326" spans="1:9" x14ac:dyDescent="0.25">
      <c r="A326" s="3">
        <v>324</v>
      </c>
      <c r="B326" s="3">
        <f t="shared" si="16"/>
        <v>52.4</v>
      </c>
      <c r="C326" s="12">
        <f t="shared" si="17"/>
        <v>2.7</v>
      </c>
      <c r="D326" s="7"/>
      <c r="E326" s="10">
        <f>(ADC!I326+5/3)/(1/12)</f>
        <v>52.646228292944407</v>
      </c>
      <c r="F326" s="11">
        <f t="shared" si="15"/>
        <v>4.6990132241299352E-3</v>
      </c>
      <c r="G326" s="2"/>
      <c r="H326" s="2"/>
      <c r="I326" s="10">
        <f>ABS(C326-ADC!I326)</f>
        <v>2.0519024412033904E-2</v>
      </c>
    </row>
    <row r="327" spans="1:9" x14ac:dyDescent="0.25">
      <c r="A327" s="3">
        <v>325</v>
      </c>
      <c r="B327" s="3">
        <f t="shared" si="16"/>
        <v>52.5</v>
      </c>
      <c r="C327" s="12">
        <f t="shared" si="17"/>
        <v>2.7083330000000001</v>
      </c>
      <c r="D327" s="7"/>
      <c r="E327" s="10">
        <f>(ADC!I327+5/3)/(1/12)</f>
        <v>52.76128460950094</v>
      </c>
      <c r="F327" s="11">
        <f t="shared" si="15"/>
        <v>4.9768497047798137E-3</v>
      </c>
      <c r="G327" s="2"/>
      <c r="H327" s="2"/>
      <c r="I327" s="10">
        <f>ABS(C327-ADC!I327)</f>
        <v>2.1774050791744326E-2</v>
      </c>
    </row>
    <row r="328" spans="1:9" x14ac:dyDescent="0.25">
      <c r="A328" s="3">
        <v>326</v>
      </c>
      <c r="B328" s="3">
        <f t="shared" si="16"/>
        <v>52.6</v>
      </c>
      <c r="C328" s="12">
        <f t="shared" si="17"/>
        <v>2.7166670000000002</v>
      </c>
      <c r="D328" s="7"/>
      <c r="E328" s="10">
        <f>(ADC!I328+5/3)/(1/12)</f>
        <v>52.868793676690601</v>
      </c>
      <c r="F328" s="11">
        <f t="shared" si="15"/>
        <v>5.1101459446881974E-3</v>
      </c>
      <c r="G328" s="2"/>
      <c r="H328" s="2"/>
      <c r="I328" s="10">
        <f>ABS(C328-ADC!I328)</f>
        <v>2.2399139724216255E-2</v>
      </c>
    </row>
    <row r="329" spans="1:9" x14ac:dyDescent="0.25">
      <c r="A329" s="3">
        <v>327</v>
      </c>
      <c r="B329" s="3">
        <f t="shared" si="16"/>
        <v>52.7</v>
      </c>
      <c r="C329" s="12">
        <f t="shared" si="17"/>
        <v>2.7250000000000001</v>
      </c>
      <c r="D329" s="7"/>
      <c r="E329" s="10">
        <f>(ADC!I329+5/3)/(1/12)</f>
        <v>52.976524696247203</v>
      </c>
      <c r="F329" s="11">
        <f t="shared" si="15"/>
        <v>5.2471479363795171E-3</v>
      </c>
      <c r="G329" s="2"/>
      <c r="H329" s="2"/>
      <c r="I329" s="10">
        <f>ABS(C329-ADC!I329)</f>
        <v>2.3043724687267009E-2</v>
      </c>
    </row>
    <row r="330" spans="1:9" x14ac:dyDescent="0.25">
      <c r="A330" s="3">
        <v>328</v>
      </c>
      <c r="B330" s="3">
        <f t="shared" si="16"/>
        <v>52.800000000000004</v>
      </c>
      <c r="C330" s="12">
        <f t="shared" si="17"/>
        <v>2.733333</v>
      </c>
      <c r="D330" s="7"/>
      <c r="E330" s="10">
        <f>(ADC!I330+5/3)/(1/12)</f>
        <v>53.084476273441894</v>
      </c>
      <c r="F330" s="11">
        <f t="shared" si="15"/>
        <v>5.3878082091266908E-3</v>
      </c>
      <c r="G330" s="2"/>
      <c r="H330" s="2"/>
      <c r="I330" s="10">
        <f>ABS(C330-ADC!I330)</f>
        <v>2.370668945349097E-2</v>
      </c>
    </row>
    <row r="331" spans="1:9" x14ac:dyDescent="0.25">
      <c r="A331" s="3">
        <v>329</v>
      </c>
      <c r="B331" s="3">
        <f t="shared" si="16"/>
        <v>52.9</v>
      </c>
      <c r="C331" s="12">
        <f t="shared" si="17"/>
        <v>2.7416670000000001</v>
      </c>
      <c r="D331" s="7"/>
      <c r="E331" s="10">
        <f>(ADC!I331+5/3)/(1/12)</f>
        <v>53.192647022449222</v>
      </c>
      <c r="F331" s="11">
        <f t="shared" si="15"/>
        <v>5.53207981945602E-3</v>
      </c>
      <c r="G331" s="2"/>
      <c r="H331" s="2"/>
      <c r="I331" s="10">
        <f>ABS(C331-ADC!I331)</f>
        <v>2.4386918537434799E-2</v>
      </c>
    </row>
    <row r="332" spans="1:9" x14ac:dyDescent="0.25">
      <c r="A332" s="3">
        <v>330</v>
      </c>
      <c r="B332" s="3">
        <f t="shared" si="16"/>
        <v>53</v>
      </c>
      <c r="C332" s="12">
        <f t="shared" si="17"/>
        <v>2.75</v>
      </c>
      <c r="D332" s="7"/>
      <c r="E332" s="10">
        <f>(ADC!I332+5/3)/(1/12)</f>
        <v>53.301035539636779</v>
      </c>
      <c r="F332" s="11">
        <f t="shared" si="15"/>
        <v>5.6799158422033685E-3</v>
      </c>
      <c r="G332" s="2"/>
      <c r="H332" s="2"/>
      <c r="I332" s="10">
        <f>ABS(C332-ADC!I332)</f>
        <v>2.5086294969731693E-2</v>
      </c>
    </row>
    <row r="333" spans="1:9" x14ac:dyDescent="0.25">
      <c r="A333" s="3">
        <v>331</v>
      </c>
      <c r="B333" s="3">
        <f t="shared" si="16"/>
        <v>53.1</v>
      </c>
      <c r="C333" s="12">
        <f t="shared" si="17"/>
        <v>2.7583329999999999</v>
      </c>
      <c r="D333" s="7"/>
      <c r="E333" s="10">
        <f>(ADC!I333+5/3)/(1/12)</f>
        <v>53.40964043254526</v>
      </c>
      <c r="F333" s="11">
        <f t="shared" si="15"/>
        <v>5.831269916106557E-3</v>
      </c>
      <c r="G333" s="2"/>
      <c r="H333" s="2"/>
      <c r="I333" s="10">
        <f>ABS(C333-ADC!I333)</f>
        <v>2.5803702712105192E-2</v>
      </c>
    </row>
    <row r="334" spans="1:9" x14ac:dyDescent="0.25">
      <c r="A334" s="3">
        <v>332</v>
      </c>
      <c r="B334" s="3">
        <f t="shared" si="16"/>
        <v>53.2</v>
      </c>
      <c r="C334" s="12">
        <f t="shared" si="17"/>
        <v>2.766667</v>
      </c>
      <c r="D334" s="7"/>
      <c r="E334" s="10">
        <f>(ADC!I334+5/3)/(1/12)</f>
        <v>53.526124730849197</v>
      </c>
      <c r="F334" s="11">
        <f t="shared" si="15"/>
        <v>6.1301641137066643E-3</v>
      </c>
      <c r="G334" s="2"/>
      <c r="H334" s="2"/>
      <c r="I334" s="10">
        <f>ABS(C334-ADC!I334)</f>
        <v>2.7176727570766168E-2</v>
      </c>
    </row>
    <row r="335" spans="1:9" x14ac:dyDescent="0.25">
      <c r="A335" s="3">
        <v>333</v>
      </c>
      <c r="B335" s="3">
        <f t="shared" si="16"/>
        <v>53.300000000000004</v>
      </c>
      <c r="C335" s="12">
        <f t="shared" si="17"/>
        <v>2.7749999999999999</v>
      </c>
      <c r="D335" s="7"/>
      <c r="E335" s="10">
        <f>(ADC!I335+5/3)/(1/12)</f>
        <v>53.635144931398393</v>
      </c>
      <c r="F335" s="11">
        <f t="shared" si="15"/>
        <v>6.287897399594543E-3</v>
      </c>
      <c r="G335" s="2"/>
      <c r="H335" s="2"/>
      <c r="I335" s="10">
        <f>ABS(C335-ADC!I335)</f>
        <v>2.7928744283199247E-2</v>
      </c>
    </row>
    <row r="336" spans="1:9" x14ac:dyDescent="0.25">
      <c r="A336" s="3">
        <v>334</v>
      </c>
      <c r="B336" s="3">
        <f t="shared" si="16"/>
        <v>53.4</v>
      </c>
      <c r="C336" s="12">
        <f t="shared" si="17"/>
        <v>2.7833329999999998</v>
      </c>
      <c r="D336" s="7"/>
      <c r="E336" s="10">
        <f>(ADC!I336+5/3)/(1/12)</f>
        <v>53.744377316847597</v>
      </c>
      <c r="F336" s="11">
        <f t="shared" si="15"/>
        <v>6.449013424112332E-3</v>
      </c>
      <c r="G336" s="2"/>
      <c r="H336" s="2"/>
      <c r="I336" s="10">
        <f>ABS(C336-ADC!I336)</f>
        <v>2.8698443070632962E-2</v>
      </c>
    </row>
    <row r="337" spans="1:9" x14ac:dyDescent="0.25">
      <c r="A337" s="3">
        <v>335</v>
      </c>
      <c r="B337" s="3">
        <f t="shared" si="16"/>
        <v>53.5</v>
      </c>
      <c r="C337" s="12">
        <f t="shared" si="17"/>
        <v>2.7916669999999999</v>
      </c>
      <c r="D337" s="7"/>
      <c r="E337" s="10">
        <f>(ADC!I337+5/3)/(1/12)</f>
        <v>53.86144519494281</v>
      </c>
      <c r="F337" s="11">
        <f t="shared" si="15"/>
        <v>6.755984952202059E-3</v>
      </c>
      <c r="G337" s="2"/>
      <c r="H337" s="2"/>
      <c r="I337" s="10">
        <f>ABS(C337-ADC!I337)</f>
        <v>3.0120099578567761E-2</v>
      </c>
    </row>
    <row r="338" spans="1:9" x14ac:dyDescent="0.25">
      <c r="A338" s="3">
        <v>336</v>
      </c>
      <c r="B338" s="3">
        <f t="shared" si="16"/>
        <v>53.6</v>
      </c>
      <c r="C338" s="12">
        <f t="shared" si="17"/>
        <v>2.8</v>
      </c>
      <c r="D338" s="7"/>
      <c r="E338" s="10">
        <f>(ADC!I338+5/3)/(1/12)</f>
        <v>53.971084521055879</v>
      </c>
      <c r="F338" s="11">
        <f t="shared" si="15"/>
        <v>6.9232186764156215E-3</v>
      </c>
      <c r="G338" s="2"/>
      <c r="H338" s="2"/>
      <c r="I338" s="10">
        <f>ABS(C338-ADC!I338)</f>
        <v>3.0923710087990219E-2</v>
      </c>
    </row>
    <row r="339" spans="1:9" x14ac:dyDescent="0.25">
      <c r="A339" s="3">
        <v>337</v>
      </c>
      <c r="B339" s="3">
        <f t="shared" si="16"/>
        <v>53.7</v>
      </c>
      <c r="C339" s="12">
        <f t="shared" si="17"/>
        <v>2.8083330000000002</v>
      </c>
      <c r="D339" s="7"/>
      <c r="E339" s="10">
        <f>(ADC!I339+5/3)/(1/12)</f>
        <v>54.080931843517646</v>
      </c>
      <c r="F339" s="11">
        <f t="shared" si="15"/>
        <v>7.0937028588015571E-3</v>
      </c>
      <c r="G339" s="2"/>
      <c r="H339" s="2"/>
      <c r="I339" s="10">
        <f>ABS(C339-ADC!I339)</f>
        <v>3.1744653626470054E-2</v>
      </c>
    </row>
    <row r="340" spans="1:9" x14ac:dyDescent="0.25">
      <c r="A340" s="3">
        <v>338</v>
      </c>
      <c r="B340" s="3">
        <f t="shared" si="16"/>
        <v>53.800000000000004</v>
      </c>
      <c r="C340" s="12">
        <f t="shared" si="17"/>
        <v>2.8166669999999998</v>
      </c>
      <c r="D340" s="7"/>
      <c r="E340" s="10">
        <f>(ADC!I340+5/3)/(1/12)</f>
        <v>54.190985759219245</v>
      </c>
      <c r="F340" s="11">
        <f t="shared" si="15"/>
        <v>7.2673932940379351E-3</v>
      </c>
      <c r="G340" s="2"/>
      <c r="H340" s="2"/>
      <c r="I340" s="10">
        <f>ABS(C340-ADC!I340)</f>
        <v>3.2581813268270032E-2</v>
      </c>
    </row>
    <row r="341" spans="1:9" x14ac:dyDescent="0.25">
      <c r="A341" s="3">
        <v>339</v>
      </c>
      <c r="B341" s="3">
        <f t="shared" si="16"/>
        <v>53.9</v>
      </c>
      <c r="C341" s="12">
        <f t="shared" si="17"/>
        <v>2.8250000000000002</v>
      </c>
      <c r="D341" s="7"/>
      <c r="E341" s="10">
        <f>(ADC!I341+5/3)/(1/12)</f>
        <v>54.301244872384231</v>
      </c>
      <c r="F341" s="11">
        <f t="shared" si="15"/>
        <v>7.4442462408948534E-3</v>
      </c>
      <c r="G341" s="2"/>
      <c r="H341" s="2"/>
      <c r="I341" s="10">
        <f>ABS(C341-ADC!I341)</f>
        <v>3.3437072698685455E-2</v>
      </c>
    </row>
    <row r="342" spans="1:9" x14ac:dyDescent="0.25">
      <c r="A342" s="3">
        <v>340</v>
      </c>
      <c r="B342" s="3">
        <f t="shared" si="16"/>
        <v>54</v>
      </c>
      <c r="C342" s="12">
        <f t="shared" si="17"/>
        <v>2.8333330000000001</v>
      </c>
      <c r="D342" s="7"/>
      <c r="E342" s="10">
        <f>(ADC!I342+5/3)/(1/12)</f>
        <v>54.411707777110493</v>
      </c>
      <c r="F342" s="11">
        <f t="shared" si="15"/>
        <v>7.6242180946387616E-3</v>
      </c>
      <c r="G342" s="2"/>
      <c r="H342" s="2"/>
      <c r="I342" s="10">
        <f>ABS(C342-ADC!I342)</f>
        <v>3.4309314759207066E-2</v>
      </c>
    </row>
    <row r="343" spans="1:9" x14ac:dyDescent="0.25">
      <c r="A343" s="3">
        <v>341</v>
      </c>
      <c r="B343" s="3">
        <f t="shared" si="16"/>
        <v>54.1</v>
      </c>
      <c r="C343" s="12">
        <f t="shared" si="17"/>
        <v>2.8416670000000002</v>
      </c>
      <c r="D343" s="7"/>
      <c r="E343" s="10">
        <f>(ADC!I343+5/3)/(1/12)</f>
        <v>54.522373077796345</v>
      </c>
      <c r="F343" s="11">
        <f t="shared" si="15"/>
        <v>7.8072657633335291E-3</v>
      </c>
      <c r="G343" s="2"/>
      <c r="H343" s="2"/>
      <c r="I343" s="10">
        <f>ABS(C343-ADC!I343)</f>
        <v>3.5197423149694984E-2</v>
      </c>
    </row>
    <row r="344" spans="1:9" x14ac:dyDescent="0.25">
      <c r="A344" s="3">
        <v>342</v>
      </c>
      <c r="B344" s="3">
        <f t="shared" si="16"/>
        <v>54.2</v>
      </c>
      <c r="C344" s="12">
        <f t="shared" si="17"/>
        <v>2.85</v>
      </c>
      <c r="D344" s="7"/>
      <c r="E344" s="10">
        <f>(ADC!I344+5/3)/(1/12)</f>
        <v>54.633239364524094</v>
      </c>
      <c r="F344" s="11">
        <f t="shared" si="15"/>
        <v>7.9933462089315736E-3</v>
      </c>
      <c r="G344" s="2"/>
      <c r="H344" s="2"/>
      <c r="I344" s="10">
        <f>ABS(C344-ADC!I344)</f>
        <v>3.6103280377007607E-2</v>
      </c>
    </row>
    <row r="345" spans="1:9" x14ac:dyDescent="0.25">
      <c r="A345" s="3">
        <v>343</v>
      </c>
      <c r="B345" s="3">
        <f t="shared" si="16"/>
        <v>54.300000000000004</v>
      </c>
      <c r="C345" s="12">
        <f t="shared" si="17"/>
        <v>2.858333</v>
      </c>
      <c r="D345" s="7"/>
      <c r="E345" s="10">
        <f>(ADC!I345+5/3)/(1/12)</f>
        <v>54.729267413226481</v>
      </c>
      <c r="F345" s="11">
        <f t="shared" si="15"/>
        <v>7.9054772233236904E-3</v>
      </c>
      <c r="G345" s="2"/>
      <c r="H345" s="2"/>
      <c r="I345" s="10">
        <f>ABS(C345-ADC!I345)</f>
        <v>3.5772617768873083E-2</v>
      </c>
    </row>
    <row r="346" spans="1:9" x14ac:dyDescent="0.25">
      <c r="A346" s="3">
        <v>344</v>
      </c>
      <c r="B346" s="3">
        <f t="shared" si="16"/>
        <v>54.4</v>
      </c>
      <c r="C346" s="12">
        <f t="shared" si="17"/>
        <v>2.8666670000000001</v>
      </c>
      <c r="D346" s="7"/>
      <c r="E346" s="10">
        <f>(ADC!I346+5/3)/(1/12)</f>
        <v>54.840557870906245</v>
      </c>
      <c r="F346" s="11">
        <f t="shared" si="15"/>
        <v>8.0984902740118894E-3</v>
      </c>
      <c r="G346" s="2"/>
      <c r="H346" s="2"/>
      <c r="I346" s="10">
        <f>ABS(C346-ADC!I346)</f>
        <v>3.6712822575519777E-2</v>
      </c>
    </row>
    <row r="347" spans="1:9" x14ac:dyDescent="0.25">
      <c r="A347" s="3">
        <v>345</v>
      </c>
      <c r="B347" s="3">
        <f t="shared" si="16"/>
        <v>54.5</v>
      </c>
      <c r="C347" s="12">
        <f t="shared" si="17"/>
        <v>2.875</v>
      </c>
      <c r="D347" s="7"/>
      <c r="E347" s="10">
        <f>(ADC!I347+5/3)/(1/12)</f>
        <v>54.952045102159005</v>
      </c>
      <c r="F347" s="11">
        <f t="shared" si="15"/>
        <v>8.2944055442019243E-3</v>
      </c>
      <c r="G347" s="2"/>
      <c r="H347" s="2"/>
      <c r="I347" s="10">
        <f>ABS(C347-ADC!I347)</f>
        <v>3.7670425179916922E-2</v>
      </c>
    </row>
    <row r="348" spans="1:9" x14ac:dyDescent="0.25">
      <c r="A348" s="3">
        <v>346</v>
      </c>
      <c r="B348" s="3">
        <f t="shared" si="16"/>
        <v>54.6</v>
      </c>
      <c r="C348" s="12">
        <f t="shared" si="17"/>
        <v>2.8833329999999999</v>
      </c>
      <c r="D348" s="7"/>
      <c r="E348" s="10">
        <f>(ADC!I348+5/3)/(1/12)</f>
        <v>55.063727702130258</v>
      </c>
      <c r="F348" s="11">
        <f t="shared" si="15"/>
        <v>8.4931813576970064E-3</v>
      </c>
      <c r="G348" s="2"/>
      <c r="H348" s="2"/>
      <c r="I348" s="10">
        <f>ABS(C348-ADC!I348)</f>
        <v>3.8644308510854763E-2</v>
      </c>
    </row>
    <row r="349" spans="1:9" x14ac:dyDescent="0.25">
      <c r="A349" s="3">
        <v>347</v>
      </c>
      <c r="B349" s="3">
        <f t="shared" si="16"/>
        <v>54.7</v>
      </c>
      <c r="C349" s="12">
        <f t="shared" si="17"/>
        <v>2.891667</v>
      </c>
      <c r="D349" s="7"/>
      <c r="E349" s="10">
        <f>(ADC!I349+5/3)/(1/12)</f>
        <v>55.168138146560644</v>
      </c>
      <c r="F349" s="11">
        <f t="shared" si="15"/>
        <v>8.5582842150025706E-3</v>
      </c>
      <c r="G349" s="2"/>
      <c r="H349" s="2"/>
      <c r="I349" s="10">
        <f>ABS(C349-ADC!I349)</f>
        <v>3.9011178880053787E-2</v>
      </c>
    </row>
    <row r="350" spans="1:9" x14ac:dyDescent="0.25">
      <c r="A350" s="3">
        <v>348</v>
      </c>
      <c r="B350" s="3">
        <f t="shared" si="16"/>
        <v>54.800000000000004</v>
      </c>
      <c r="C350" s="12">
        <f t="shared" si="17"/>
        <v>2.9</v>
      </c>
      <c r="D350" s="7"/>
      <c r="E350" s="10">
        <f>(ADC!I350+5/3)/(1/12)</f>
        <v>55.280220450282847</v>
      </c>
      <c r="F350" s="11">
        <f t="shared" si="15"/>
        <v>8.7631469029715893E-3</v>
      </c>
      <c r="G350" s="2"/>
      <c r="H350" s="2"/>
      <c r="I350" s="10">
        <f>ABS(C350-ADC!I350)</f>
        <v>4.0018370856904184E-2</v>
      </c>
    </row>
    <row r="351" spans="1:9" x14ac:dyDescent="0.25">
      <c r="A351" s="3">
        <v>349</v>
      </c>
      <c r="B351" s="3">
        <f t="shared" si="16"/>
        <v>54.9</v>
      </c>
      <c r="C351" s="12">
        <f t="shared" si="17"/>
        <v>2.9083329999999998</v>
      </c>
      <c r="D351" s="7"/>
      <c r="E351" s="10">
        <f>(ADC!I351+5/3)/(1/12)</f>
        <v>55.392493910603676</v>
      </c>
      <c r="F351" s="11">
        <f t="shared" si="15"/>
        <v>8.970745184037841E-3</v>
      </c>
      <c r="G351" s="2"/>
      <c r="H351" s="2"/>
      <c r="I351" s="10">
        <f>ABS(C351-ADC!I351)</f>
        <v>4.1041492550306202E-2</v>
      </c>
    </row>
    <row r="352" spans="1:9" x14ac:dyDescent="0.25">
      <c r="A352" s="3">
        <v>350</v>
      </c>
      <c r="B352" s="3">
        <f t="shared" si="16"/>
        <v>55</v>
      </c>
      <c r="C352" s="12">
        <f t="shared" si="17"/>
        <v>2.9166669999999999</v>
      </c>
      <c r="D352" s="7"/>
      <c r="E352" s="10">
        <f>(ADC!I352+5/3)/(1/12)</f>
        <v>55.504957122843145</v>
      </c>
      <c r="F352" s="11">
        <f t="shared" si="15"/>
        <v>9.1810385971480852E-3</v>
      </c>
      <c r="G352" s="2"/>
      <c r="H352" s="2"/>
      <c r="I352" s="10">
        <f>ABS(C352-ADC!I352)</f>
        <v>4.2079426903594896E-2</v>
      </c>
    </row>
    <row r="353" spans="1:9" x14ac:dyDescent="0.25">
      <c r="A353" s="3">
        <v>351</v>
      </c>
      <c r="B353" s="3">
        <f t="shared" si="16"/>
        <v>55.1</v>
      </c>
      <c r="C353" s="12">
        <f t="shared" si="17"/>
        <v>2.9249999999999998</v>
      </c>
      <c r="D353" s="7"/>
      <c r="E353" s="10">
        <f>(ADC!I353+5/3)/(1/12)</f>
        <v>55.617608682321205</v>
      </c>
      <c r="F353" s="11">
        <f t="shared" si="15"/>
        <v>9.3939869749764641E-3</v>
      </c>
      <c r="G353" s="2"/>
      <c r="H353" s="2"/>
      <c r="I353" s="10">
        <f>ABS(C353-ADC!I353)</f>
        <v>4.3134056860099967E-2</v>
      </c>
    </row>
    <row r="354" spans="1:9" x14ac:dyDescent="0.25">
      <c r="A354" s="3">
        <v>352</v>
      </c>
      <c r="B354" s="3">
        <f t="shared" si="16"/>
        <v>55.2</v>
      </c>
      <c r="C354" s="12">
        <f t="shared" si="17"/>
        <v>2.9333330000000002</v>
      </c>
      <c r="D354" s="7"/>
      <c r="E354" s="10">
        <f>(ADC!I354+5/3)/(1/12)</f>
        <v>55.723046892177848</v>
      </c>
      <c r="F354" s="11">
        <f t="shared" si="15"/>
        <v>9.4754871771348774E-3</v>
      </c>
      <c r="G354" s="2"/>
      <c r="H354" s="2"/>
      <c r="I354" s="10">
        <f>ABS(C354-ADC!I354)</f>
        <v>4.3587574348153524E-2</v>
      </c>
    </row>
    <row r="355" spans="1:9" x14ac:dyDescent="0.25">
      <c r="A355" s="3">
        <v>353</v>
      </c>
      <c r="B355" s="3">
        <f t="shared" si="16"/>
        <v>55.300000000000004</v>
      </c>
      <c r="C355" s="12">
        <f t="shared" si="17"/>
        <v>2.9416669999999998</v>
      </c>
      <c r="D355" s="7"/>
      <c r="E355" s="10">
        <f>(ADC!I355+5/3)/(1/12)</f>
        <v>55.836084084339497</v>
      </c>
      <c r="F355" s="11">
        <f t="shared" si="15"/>
        <v>9.6941064075857595E-3</v>
      </c>
      <c r="G355" s="2"/>
      <c r="H355" s="2"/>
      <c r="I355" s="10">
        <f>ABS(C355-ADC!I355)</f>
        <v>4.4673340361625069E-2</v>
      </c>
    </row>
    <row r="356" spans="1:9" x14ac:dyDescent="0.25">
      <c r="A356" s="3">
        <v>354</v>
      </c>
      <c r="B356" s="3">
        <f t="shared" si="16"/>
        <v>55.4</v>
      </c>
      <c r="C356" s="12">
        <f t="shared" si="17"/>
        <v>2.95</v>
      </c>
      <c r="D356" s="7"/>
      <c r="E356" s="10">
        <f>(ADC!I356+5/3)/(1/12)</f>
        <v>55.941931414156862</v>
      </c>
      <c r="F356" s="11">
        <f t="shared" si="15"/>
        <v>9.782155490196091E-3</v>
      </c>
      <c r="G356" s="2"/>
      <c r="H356" s="2"/>
      <c r="I356" s="10">
        <f>ABS(C356-ADC!I356)</f>
        <v>4.5160951179737729E-2</v>
      </c>
    </row>
    <row r="357" spans="1:9" x14ac:dyDescent="0.25">
      <c r="A357" s="3">
        <v>355</v>
      </c>
      <c r="B357" s="3">
        <f t="shared" si="16"/>
        <v>55.5</v>
      </c>
      <c r="C357" s="12">
        <f t="shared" si="17"/>
        <v>2.9583330000000001</v>
      </c>
      <c r="D357" s="7"/>
      <c r="E357" s="10">
        <f>(ADC!I357+5/3)/(1/12)</f>
        <v>56.055348600205065</v>
      </c>
      <c r="F357" s="11">
        <f t="shared" si="15"/>
        <v>1.000628108477594E-2</v>
      </c>
      <c r="G357" s="2"/>
      <c r="H357" s="2"/>
      <c r="I357" s="10">
        <f>ABS(C357-ADC!I357)</f>
        <v>4.627938335042181E-2</v>
      </c>
    </row>
    <row r="358" spans="1:9" x14ac:dyDescent="0.25">
      <c r="A358" s="3">
        <v>356</v>
      </c>
      <c r="B358" s="3">
        <f t="shared" si="16"/>
        <v>55.6</v>
      </c>
      <c r="C358" s="12">
        <f t="shared" si="17"/>
        <v>2.9666670000000002</v>
      </c>
      <c r="D358" s="7"/>
      <c r="E358" s="10">
        <f>(ADC!I358+5/3)/(1/12)</f>
        <v>56.16159938849033</v>
      </c>
      <c r="F358" s="11">
        <f t="shared" si="15"/>
        <v>1.0100708426085053E-2</v>
      </c>
      <c r="G358" s="2"/>
      <c r="H358" s="2"/>
      <c r="I358" s="10">
        <f>ABS(C358-ADC!I358)</f>
        <v>4.679961570752722E-2</v>
      </c>
    </row>
    <row r="359" spans="1:9" x14ac:dyDescent="0.25">
      <c r="A359" s="3">
        <v>357</v>
      </c>
      <c r="B359" s="3">
        <f t="shared" si="16"/>
        <v>55.7</v>
      </c>
      <c r="C359" s="12">
        <f t="shared" si="17"/>
        <v>2.9750000000000001</v>
      </c>
      <c r="D359" s="7"/>
      <c r="E359" s="10">
        <f>(ADC!I359+5/3)/(1/12)</f>
        <v>56.275390932421487</v>
      </c>
      <c r="F359" s="11">
        <f t="shared" si="15"/>
        <v>1.0330178319954839E-2</v>
      </c>
      <c r="G359" s="2"/>
      <c r="H359" s="2"/>
      <c r="I359" s="10">
        <f>ABS(C359-ADC!I359)</f>
        <v>4.7949244368457045E-2</v>
      </c>
    </row>
    <row r="360" spans="1:9" x14ac:dyDescent="0.25">
      <c r="A360" s="3">
        <v>358</v>
      </c>
      <c r="B360" s="3">
        <f t="shared" si="16"/>
        <v>55.800000000000004</v>
      </c>
      <c r="C360" s="12">
        <f t="shared" si="17"/>
        <v>2.983333</v>
      </c>
      <c r="D360" s="7"/>
      <c r="E360" s="10">
        <f>(ADC!I360+5/3)/(1/12)</f>
        <v>56.374718059198365</v>
      </c>
      <c r="F360" s="11">
        <f t="shared" si="15"/>
        <v>1.0299606795669547E-2</v>
      </c>
      <c r="G360" s="2"/>
      <c r="H360" s="2"/>
      <c r="I360" s="10">
        <f>ABS(C360-ADC!I360)</f>
        <v>4.7893504933197217E-2</v>
      </c>
    </row>
    <row r="361" spans="1:9" x14ac:dyDescent="0.25">
      <c r="A361" s="3">
        <v>359</v>
      </c>
      <c r="B361" s="3">
        <f t="shared" si="16"/>
        <v>55.9</v>
      </c>
      <c r="C361" s="12">
        <f t="shared" si="17"/>
        <v>2.9916670000000001</v>
      </c>
      <c r="D361" s="7"/>
      <c r="E361" s="10">
        <f>(ADC!I361+5/3)/(1/12)</f>
        <v>56.481583103804248</v>
      </c>
      <c r="F361" s="11">
        <f t="shared" si="15"/>
        <v>1.0403991123510715E-2</v>
      </c>
      <c r="G361" s="2"/>
      <c r="H361" s="2"/>
      <c r="I361" s="10">
        <f>ABS(C361-ADC!I361)</f>
        <v>4.8464925317020402E-2</v>
      </c>
    </row>
    <row r="362" spans="1:9" x14ac:dyDescent="0.25">
      <c r="A362" s="3">
        <v>360</v>
      </c>
      <c r="B362" s="3">
        <f t="shared" si="16"/>
        <v>56</v>
      </c>
      <c r="C362" s="12">
        <f t="shared" si="17"/>
        <v>3</v>
      </c>
      <c r="D362" s="7"/>
      <c r="E362" s="10">
        <f>(ADC!I362+5/3)/(1/12)</f>
        <v>56.588650051352417</v>
      </c>
      <c r="F362" s="11">
        <f t="shared" si="15"/>
        <v>1.0511608059864588E-2</v>
      </c>
      <c r="G362" s="2"/>
      <c r="H362" s="2"/>
      <c r="I362" s="10">
        <f>ABS(C362-ADC!I362)</f>
        <v>4.9054170946034148E-2</v>
      </c>
    </row>
    <row r="363" spans="1:9" x14ac:dyDescent="0.25">
      <c r="A363" s="3">
        <v>361</v>
      </c>
      <c r="B363" s="3">
        <f t="shared" si="16"/>
        <v>56.1</v>
      </c>
      <c r="C363" s="12">
        <f t="shared" si="17"/>
        <v>3.0083329999999999</v>
      </c>
      <c r="D363" s="7"/>
      <c r="E363" s="10">
        <f>(ADC!I363+5/3)/(1/12)</f>
        <v>56.703199582356639</v>
      </c>
      <c r="F363" s="11">
        <f t="shared" si="15"/>
        <v>1.0752220719369654E-2</v>
      </c>
      <c r="G363" s="2"/>
      <c r="H363" s="2"/>
      <c r="I363" s="10">
        <f>ABS(C363-ADC!I363)</f>
        <v>5.0266965196386515E-2</v>
      </c>
    </row>
    <row r="364" spans="1:9" x14ac:dyDescent="0.25">
      <c r="A364" s="3">
        <v>362</v>
      </c>
      <c r="B364" s="3">
        <f t="shared" si="16"/>
        <v>56.2</v>
      </c>
      <c r="C364" s="12">
        <f t="shared" si="17"/>
        <v>3.016667</v>
      </c>
      <c r="D364" s="7"/>
      <c r="E364" s="10">
        <f>(ADC!I364+5/3)/(1/12)</f>
        <v>56.810652974739988</v>
      </c>
      <c r="F364" s="11">
        <f t="shared" si="15"/>
        <v>1.0865711294305778E-2</v>
      </c>
      <c r="G364" s="2"/>
      <c r="H364" s="2"/>
      <c r="I364" s="10">
        <f>ABS(C364-ADC!I364)</f>
        <v>5.0887414561665345E-2</v>
      </c>
    </row>
    <row r="365" spans="1:9" x14ac:dyDescent="0.25">
      <c r="A365" s="3">
        <v>363</v>
      </c>
      <c r="B365" s="3">
        <f t="shared" si="16"/>
        <v>56.300000000000004</v>
      </c>
      <c r="C365" s="12">
        <f t="shared" si="17"/>
        <v>3.0249999999999999</v>
      </c>
      <c r="D365" s="7"/>
      <c r="E365" s="10">
        <f>(ADC!I365+5/3)/(1/12)</f>
        <v>56.925559935015222</v>
      </c>
      <c r="F365" s="11">
        <f t="shared" si="15"/>
        <v>1.1111188899026963E-2</v>
      </c>
      <c r="G365" s="2"/>
      <c r="H365" s="2"/>
      <c r="I365" s="10">
        <f>ABS(C365-ADC!I365)</f>
        <v>5.2129994584601658E-2</v>
      </c>
    </row>
    <row r="366" spans="1:9" x14ac:dyDescent="0.25">
      <c r="A366" s="3">
        <v>364</v>
      </c>
      <c r="B366" s="3">
        <f t="shared" si="16"/>
        <v>56.4</v>
      </c>
      <c r="C366" s="12">
        <f t="shared" si="17"/>
        <v>3.0333329999999998</v>
      </c>
      <c r="D366" s="7"/>
      <c r="E366" s="10">
        <f>(ADC!I366+5/3)/(1/12)</f>
        <v>57.033394113709079</v>
      </c>
      <c r="F366" s="11">
        <f t="shared" si="15"/>
        <v>1.1230392087040433E-2</v>
      </c>
      <c r="G366" s="2"/>
      <c r="H366" s="2"/>
      <c r="I366" s="10">
        <f>ABS(C366-ADC!I366)</f>
        <v>5.2783176142423116E-2</v>
      </c>
    </row>
    <row r="367" spans="1:9" x14ac:dyDescent="0.25">
      <c r="A367" s="3">
        <v>365</v>
      </c>
      <c r="B367" s="3">
        <f t="shared" si="16"/>
        <v>56.5</v>
      </c>
      <c r="C367" s="12">
        <f t="shared" si="17"/>
        <v>3.0416669999999999</v>
      </c>
      <c r="D367" s="7"/>
      <c r="E367" s="10">
        <f>(ADC!I367+5/3)/(1/12)</f>
        <v>57.141423099493799</v>
      </c>
      <c r="F367" s="11">
        <f t="shared" si="15"/>
        <v>1.1352621229978752E-2</v>
      </c>
      <c r="G367" s="2"/>
      <c r="H367" s="2"/>
      <c r="I367" s="10">
        <f>ABS(C367-ADC!I367)</f>
        <v>5.3451591624483097E-2</v>
      </c>
    </row>
    <row r="368" spans="1:9" x14ac:dyDescent="0.25">
      <c r="A368" s="3">
        <v>366</v>
      </c>
      <c r="B368" s="3">
        <f t="shared" si="16"/>
        <v>56.6</v>
      </c>
      <c r="C368" s="12">
        <f t="shared" si="17"/>
        <v>3.05</v>
      </c>
      <c r="D368" s="7"/>
      <c r="E368" s="10">
        <f>(ADC!I368+5/3)/(1/12)</f>
        <v>57.249645482277217</v>
      </c>
      <c r="F368" s="11">
        <f t="shared" si="15"/>
        <v>1.1477835375922528E-2</v>
      </c>
      <c r="G368" s="2"/>
      <c r="H368" s="2"/>
      <c r="I368" s="10">
        <f>ABS(C368-ADC!I368)</f>
        <v>5.4137123523100961E-2</v>
      </c>
    </row>
    <row r="369" spans="1:9" x14ac:dyDescent="0.25">
      <c r="A369" s="3">
        <v>367</v>
      </c>
      <c r="B369" s="3">
        <f t="shared" si="16"/>
        <v>56.7</v>
      </c>
      <c r="C369" s="12">
        <f t="shared" si="17"/>
        <v>3.0583330000000002</v>
      </c>
      <c r="D369" s="7"/>
      <c r="E369" s="10">
        <f>(ADC!I369+5/3)/(1/12)</f>
        <v>57.358059832763495</v>
      </c>
      <c r="F369" s="11">
        <f t="shared" si="15"/>
        <v>1.1605993523165638E-2</v>
      </c>
      <c r="G369" s="2"/>
      <c r="H369" s="2"/>
      <c r="I369" s="10">
        <f>ABS(C369-ADC!I369)</f>
        <v>5.4838652730290871E-2</v>
      </c>
    </row>
    <row r="370" spans="1:9" x14ac:dyDescent="0.25">
      <c r="A370" s="3">
        <v>368</v>
      </c>
      <c r="B370" s="3">
        <f t="shared" si="16"/>
        <v>56.800000000000004</v>
      </c>
      <c r="C370" s="12">
        <f t="shared" si="17"/>
        <v>3.0666669999999998</v>
      </c>
      <c r="D370" s="7"/>
      <c r="E370" s="10">
        <f>(ADC!I370+5/3)/(1/12)</f>
        <v>57.466664731083945</v>
      </c>
      <c r="F370" s="11">
        <f t="shared" si="15"/>
        <v>1.1737055124717267E-2</v>
      </c>
      <c r="G370" s="2"/>
      <c r="H370" s="2"/>
      <c r="I370" s="10">
        <f>ABS(C370-ADC!I370)</f>
        <v>5.5555060923661692E-2</v>
      </c>
    </row>
    <row r="371" spans="1:9" x14ac:dyDescent="0.25">
      <c r="A371" s="3">
        <v>369</v>
      </c>
      <c r="B371" s="3">
        <f t="shared" si="16"/>
        <v>56.9</v>
      </c>
      <c r="C371" s="12">
        <f t="shared" si="17"/>
        <v>3.0750000000000002</v>
      </c>
      <c r="D371" s="7"/>
      <c r="E371" s="10">
        <f>(ADC!I371+5/3)/(1/12)</f>
        <v>57.575458761908941</v>
      </c>
      <c r="F371" s="11">
        <f t="shared" si="15"/>
        <v>1.1870979998399684E-2</v>
      </c>
      <c r="G371" s="2"/>
      <c r="H371" s="2"/>
      <c r="I371" s="10">
        <f>ABS(C371-ADC!I371)</f>
        <v>5.6288230159078356E-2</v>
      </c>
    </row>
    <row r="372" spans="1:9" x14ac:dyDescent="0.25">
      <c r="A372" s="3">
        <v>370</v>
      </c>
      <c r="B372" s="3">
        <f t="shared" si="16"/>
        <v>57</v>
      </c>
      <c r="C372" s="12">
        <f t="shared" si="17"/>
        <v>3.0833330000000001</v>
      </c>
      <c r="D372" s="7"/>
      <c r="E372" s="10">
        <f>(ADC!I372+5/3)/(1/12)</f>
        <v>57.684440501441934</v>
      </c>
      <c r="F372" s="11">
        <f t="shared" si="15"/>
        <v>1.2007728095472521E-2</v>
      </c>
      <c r="G372" s="2"/>
      <c r="H372" s="2"/>
      <c r="I372" s="10">
        <f>ABS(C372-ADC!I372)</f>
        <v>5.7037041786827114E-2</v>
      </c>
    </row>
    <row r="373" spans="1:9" x14ac:dyDescent="0.25">
      <c r="A373" s="3">
        <v>371</v>
      </c>
      <c r="B373" s="3">
        <f t="shared" si="16"/>
        <v>57.1</v>
      </c>
      <c r="C373" s="12">
        <f t="shared" si="17"/>
        <v>3.0916670000000002</v>
      </c>
      <c r="D373" s="7"/>
      <c r="E373" s="10">
        <f>(ADC!I373+5/3)/(1/12)</f>
        <v>57.793608534178929</v>
      </c>
      <c r="F373" s="11">
        <f t="shared" si="15"/>
        <v>1.2147259792975972E-2</v>
      </c>
      <c r="G373" s="2"/>
      <c r="H373" s="2"/>
      <c r="I373" s="10">
        <f>ABS(C373-ADC!I373)</f>
        <v>5.7800377848243656E-2</v>
      </c>
    </row>
    <row r="374" spans="1:9" x14ac:dyDescent="0.25">
      <c r="A374" s="3">
        <v>372</v>
      </c>
      <c r="B374" s="3">
        <f t="shared" si="16"/>
        <v>57.2</v>
      </c>
      <c r="C374" s="12">
        <f t="shared" si="17"/>
        <v>3.1</v>
      </c>
      <c r="D374" s="7"/>
      <c r="E374" s="10">
        <f>(ADC!I374+5/3)/(1/12)</f>
        <v>57.902961439989248</v>
      </c>
      <c r="F374" s="11">
        <f t="shared" si="15"/>
        <v>1.2289535664147642E-2</v>
      </c>
      <c r="G374" s="2"/>
      <c r="H374" s="2"/>
      <c r="I374" s="10">
        <f>ABS(C374-ADC!I374)</f>
        <v>5.8580119999104063E-2</v>
      </c>
    </row>
    <row r="375" spans="1:9" x14ac:dyDescent="0.25">
      <c r="A375" s="3">
        <v>373</v>
      </c>
      <c r="B375" s="3">
        <f t="shared" si="16"/>
        <v>57.300000000000004</v>
      </c>
      <c r="C375" s="12">
        <f t="shared" si="17"/>
        <v>3.108333</v>
      </c>
      <c r="D375" s="7"/>
      <c r="E375" s="10">
        <f>(ADC!I375+5/3)/(1/12)</f>
        <v>58.005372416379991</v>
      </c>
      <c r="F375" s="11">
        <f t="shared" si="15"/>
        <v>1.2310164334729267E-2</v>
      </c>
      <c r="G375" s="2"/>
      <c r="H375" s="2"/>
      <c r="I375" s="10">
        <f>ABS(C375-ADC!I375)</f>
        <v>5.8781368031665338E-2</v>
      </c>
    </row>
    <row r="376" spans="1:9" x14ac:dyDescent="0.25">
      <c r="A376" s="3">
        <v>374</v>
      </c>
      <c r="B376" s="3">
        <f t="shared" si="16"/>
        <v>57.4</v>
      </c>
      <c r="C376" s="12">
        <f t="shared" si="17"/>
        <v>3.1166670000000001</v>
      </c>
      <c r="D376" s="7"/>
      <c r="E376" s="10">
        <f>(ADC!I376+5/3)/(1/12)</f>
        <v>58.1151038245427</v>
      </c>
      <c r="F376" s="11">
        <f t="shared" si="15"/>
        <v>1.2458254782973898E-2</v>
      </c>
      <c r="G376" s="2"/>
      <c r="H376" s="2"/>
      <c r="I376" s="10">
        <f>ABS(C376-ADC!I376)</f>
        <v>5.9591652045224652E-2</v>
      </c>
    </row>
    <row r="377" spans="1:9" x14ac:dyDescent="0.25">
      <c r="A377" s="3">
        <v>375</v>
      </c>
      <c r="B377" s="3">
        <f t="shared" si="16"/>
        <v>57.5</v>
      </c>
      <c r="C377" s="12">
        <f t="shared" si="17"/>
        <v>3.125</v>
      </c>
      <c r="D377" s="7"/>
      <c r="E377" s="10">
        <f>(ADC!I377+5/3)/(1/12)</f>
        <v>58.217916493774872</v>
      </c>
      <c r="F377" s="11">
        <f t="shared" si="15"/>
        <v>1.2485504239562998E-2</v>
      </c>
      <c r="G377" s="2"/>
      <c r="H377" s="2"/>
      <c r="I377" s="10">
        <f>ABS(C377-ADC!I377)</f>
        <v>5.9826374481239508E-2</v>
      </c>
    </row>
    <row r="378" spans="1:9" x14ac:dyDescent="0.25">
      <c r="A378" s="3">
        <v>376</v>
      </c>
      <c r="B378" s="3">
        <f t="shared" si="16"/>
        <v>57.6</v>
      </c>
      <c r="C378" s="12">
        <f t="shared" si="17"/>
        <v>3.1333329999999999</v>
      </c>
      <c r="D378" s="7"/>
      <c r="E378" s="10">
        <f>(ADC!I378+5/3)/(1/12)</f>
        <v>58.335107068821991</v>
      </c>
      <c r="F378" s="11">
        <f t="shared" si="15"/>
        <v>1.2762275500381757E-2</v>
      </c>
      <c r="G378" s="2"/>
      <c r="H378" s="2"/>
      <c r="I378" s="10">
        <f>ABS(C378-ADC!I378)</f>
        <v>6.1259255735165663E-2</v>
      </c>
    </row>
    <row r="379" spans="1:9" x14ac:dyDescent="0.25">
      <c r="A379" s="3">
        <v>377</v>
      </c>
      <c r="B379" s="3">
        <f t="shared" si="16"/>
        <v>57.7</v>
      </c>
      <c r="C379" s="12">
        <f t="shared" si="17"/>
        <v>3.141667</v>
      </c>
      <c r="D379" s="7"/>
      <c r="E379" s="10">
        <f>(ADC!I379+5/3)/(1/12)</f>
        <v>58.445376068780192</v>
      </c>
      <c r="F379" s="11">
        <f t="shared" si="15"/>
        <v>1.2918129441597728E-2</v>
      </c>
      <c r="G379" s="2"/>
      <c r="H379" s="2"/>
      <c r="I379" s="10">
        <f>ABS(C379-ADC!I379)</f>
        <v>6.2114339065015844E-2</v>
      </c>
    </row>
    <row r="380" spans="1:9" x14ac:dyDescent="0.25">
      <c r="A380" s="3">
        <v>378</v>
      </c>
      <c r="B380" s="3">
        <f t="shared" si="16"/>
        <v>57.800000000000004</v>
      </c>
      <c r="C380" s="12">
        <f t="shared" si="17"/>
        <v>3.15</v>
      </c>
      <c r="D380" s="7"/>
      <c r="E380" s="10">
        <f>(ADC!I380+5/3)/(1/12)</f>
        <v>58.548761037765495</v>
      </c>
      <c r="F380" s="11">
        <f t="shared" si="15"/>
        <v>1.2954343213935817E-2</v>
      </c>
      <c r="G380" s="2"/>
      <c r="H380" s="2"/>
      <c r="I380" s="10">
        <f>ABS(C380-ADC!I380)</f>
        <v>6.239675314712434E-2</v>
      </c>
    </row>
    <row r="381" spans="1:9" x14ac:dyDescent="0.25">
      <c r="A381" s="3">
        <v>379</v>
      </c>
      <c r="B381" s="3">
        <f t="shared" si="16"/>
        <v>57.9</v>
      </c>
      <c r="C381" s="12">
        <f t="shared" si="17"/>
        <v>3.1583329999999998</v>
      </c>
      <c r="D381" s="7"/>
      <c r="E381" s="10">
        <f>(ADC!I381+5/3)/(1/12)</f>
        <v>58.659394328471031</v>
      </c>
      <c r="F381" s="11">
        <f t="shared" si="15"/>
        <v>1.3115618799154268E-2</v>
      </c>
      <c r="G381" s="2"/>
      <c r="H381" s="2"/>
      <c r="I381" s="10">
        <f>ABS(C381-ADC!I381)</f>
        <v>6.3283194039252422E-2</v>
      </c>
    </row>
    <row r="382" spans="1:9" x14ac:dyDescent="0.25">
      <c r="A382" s="3">
        <v>380</v>
      </c>
      <c r="B382" s="3">
        <f t="shared" si="16"/>
        <v>58</v>
      </c>
      <c r="C382" s="12">
        <f t="shared" si="17"/>
        <v>3.1666669999999999</v>
      </c>
      <c r="D382" s="7"/>
      <c r="E382" s="10">
        <f>(ADC!I382+5/3)/(1/12)</f>
        <v>58.770201154163495</v>
      </c>
      <c r="F382" s="11">
        <f t="shared" si="15"/>
        <v>1.3279330244198181E-2</v>
      </c>
      <c r="G382" s="2"/>
      <c r="H382" s="2"/>
      <c r="I382" s="10">
        <f>ABS(C382-ADC!I382)</f>
        <v>6.4183096180290722E-2</v>
      </c>
    </row>
    <row r="383" spans="1:9" x14ac:dyDescent="0.25">
      <c r="A383" s="3">
        <v>381</v>
      </c>
      <c r="B383" s="3">
        <f t="shared" si="16"/>
        <v>58.1</v>
      </c>
      <c r="C383" s="12">
        <f t="shared" si="17"/>
        <v>3.1749999999999998</v>
      </c>
      <c r="D383" s="7"/>
      <c r="E383" s="10">
        <f>(ADC!I383+5/3)/(1/12)</f>
        <v>58.874158594602392</v>
      </c>
      <c r="F383" s="11">
        <f t="shared" si="15"/>
        <v>1.3324588547373327E-2</v>
      </c>
      <c r="G383" s="2"/>
      <c r="H383" s="2"/>
      <c r="I383" s="10">
        <f>ABS(C383-ADC!I383)</f>
        <v>6.4513216216866009E-2</v>
      </c>
    </row>
    <row r="384" spans="1:9" x14ac:dyDescent="0.25">
      <c r="A384" s="3">
        <v>382</v>
      </c>
      <c r="B384" s="3">
        <f t="shared" si="16"/>
        <v>58.2</v>
      </c>
      <c r="C384" s="12">
        <f t="shared" si="17"/>
        <v>3.1833330000000002</v>
      </c>
      <c r="D384" s="7"/>
      <c r="E384" s="10">
        <f>(ADC!I384+5/3)/(1/12)</f>
        <v>58.985321192703353</v>
      </c>
      <c r="F384" s="11">
        <f t="shared" si="15"/>
        <v>1.3493491283562711E-2</v>
      </c>
      <c r="G384" s="2"/>
      <c r="H384" s="2"/>
      <c r="I384" s="10">
        <f>ABS(C384-ADC!I384)</f>
        <v>6.5443766058612685E-2</v>
      </c>
    </row>
    <row r="385" spans="1:9" x14ac:dyDescent="0.25">
      <c r="A385" s="3">
        <v>383</v>
      </c>
      <c r="B385" s="3">
        <f t="shared" si="16"/>
        <v>58.300000000000004</v>
      </c>
      <c r="C385" s="12">
        <f t="shared" si="17"/>
        <v>3.1916669999999998</v>
      </c>
      <c r="D385" s="7"/>
      <c r="E385" s="10">
        <f>(ADC!I385+5/3)/(1/12)</f>
        <v>59.089657468420896</v>
      </c>
      <c r="F385" s="11">
        <f t="shared" si="15"/>
        <v>1.3544725015795737E-2</v>
      </c>
      <c r="G385" s="2"/>
      <c r="H385" s="2"/>
      <c r="I385" s="10">
        <f>ABS(C385-ADC!I385)</f>
        <v>6.5804455701741205E-2</v>
      </c>
    </row>
    <row r="386" spans="1:9" x14ac:dyDescent="0.25">
      <c r="A386" s="3">
        <v>384</v>
      </c>
      <c r="B386" s="3">
        <f t="shared" si="16"/>
        <v>58.400000000000006</v>
      </c>
      <c r="C386" s="12">
        <f t="shared" si="17"/>
        <v>3.2</v>
      </c>
      <c r="D386" s="7"/>
      <c r="E386" s="10">
        <f>(ADC!I386+5/3)/(1/12)</f>
        <v>59.194187492569192</v>
      </c>
      <c r="F386" s="11">
        <f t="shared" ref="F386:F449" si="18">ABS(B386-E386)/B386</f>
        <v>1.3599100900157299E-2</v>
      </c>
      <c r="G386" s="2"/>
      <c r="H386" s="2"/>
      <c r="I386" s="10">
        <f>ABS(C386-ADC!I386)</f>
        <v>6.6182291047431896E-2</v>
      </c>
    </row>
    <row r="387" spans="1:9" x14ac:dyDescent="0.25">
      <c r="A387" s="3">
        <v>385</v>
      </c>
      <c r="B387" s="3">
        <f t="shared" ref="B387:B450" si="19">0.1*A387+20</f>
        <v>58.5</v>
      </c>
      <c r="C387" s="12">
        <f t="shared" ref="C387:C450" si="20">ROUND(1/12*B387-5/3,6)</f>
        <v>3.2083330000000001</v>
      </c>
      <c r="D387" s="7"/>
      <c r="E387" s="10">
        <f>(ADC!I387+5/3)/(1/12)</f>
        <v>59.305879562521085</v>
      </c>
      <c r="F387" s="11">
        <f t="shared" si="18"/>
        <v>1.3775719017454441E-2</v>
      </c>
      <c r="G387" s="2"/>
      <c r="H387" s="2"/>
      <c r="I387" s="10">
        <f>ABS(C387-ADC!I387)</f>
        <v>6.7156963543423487E-2</v>
      </c>
    </row>
    <row r="388" spans="1:9" x14ac:dyDescent="0.25">
      <c r="A388" s="3">
        <v>386</v>
      </c>
      <c r="B388" s="3">
        <f t="shared" si="19"/>
        <v>58.6</v>
      </c>
      <c r="C388" s="12">
        <f t="shared" si="20"/>
        <v>3.2166670000000002</v>
      </c>
      <c r="D388" s="7"/>
      <c r="E388" s="10">
        <f>(ADC!I388+5/3)/(1/12)</f>
        <v>59.410779851758633</v>
      </c>
      <c r="F388" s="11">
        <f t="shared" si="18"/>
        <v>1.3835833647758221E-2</v>
      </c>
      <c r="G388" s="2"/>
      <c r="H388" s="2"/>
      <c r="I388" s="10">
        <f>ABS(C388-ADC!I388)</f>
        <v>6.7564654313219119E-2</v>
      </c>
    </row>
    <row r="389" spans="1:9" x14ac:dyDescent="0.25">
      <c r="A389" s="3">
        <v>387</v>
      </c>
      <c r="B389" s="3">
        <f t="shared" si="19"/>
        <v>58.7</v>
      </c>
      <c r="C389" s="12">
        <f t="shared" si="20"/>
        <v>3.2250000000000001</v>
      </c>
      <c r="D389" s="7"/>
      <c r="E389" s="10">
        <f>(ADC!I389+5/3)/(1/12)</f>
        <v>59.529757437686122</v>
      </c>
      <c r="F389" s="11">
        <f t="shared" si="18"/>
        <v>1.4135561119013955E-2</v>
      </c>
      <c r="G389" s="2"/>
      <c r="H389" s="2"/>
      <c r="I389" s="10">
        <f>ABS(C389-ADC!I389)</f>
        <v>6.9146453140509934E-2</v>
      </c>
    </row>
    <row r="390" spans="1:9" x14ac:dyDescent="0.25">
      <c r="A390" s="3">
        <v>388</v>
      </c>
      <c r="B390" s="3">
        <f t="shared" si="19"/>
        <v>58.800000000000004</v>
      </c>
      <c r="C390" s="12">
        <f t="shared" si="20"/>
        <v>3.233333</v>
      </c>
      <c r="D390" s="7"/>
      <c r="E390" s="10">
        <f>(ADC!I390+5/3)/(1/12)</f>
        <v>59.62807836347681</v>
      </c>
      <c r="F390" s="11">
        <f t="shared" si="18"/>
        <v>1.4082965365251795E-2</v>
      </c>
      <c r="G390" s="2"/>
      <c r="H390" s="2"/>
      <c r="I390" s="10">
        <f>ABS(C390-ADC!I390)</f>
        <v>6.9006863623067627E-2</v>
      </c>
    </row>
    <row r="391" spans="1:9" x14ac:dyDescent="0.25">
      <c r="A391" s="3">
        <v>389</v>
      </c>
      <c r="B391" s="3">
        <f t="shared" si="19"/>
        <v>58.900000000000006</v>
      </c>
      <c r="C391" s="12">
        <f t="shared" si="20"/>
        <v>3.2416670000000001</v>
      </c>
      <c r="D391" s="7"/>
      <c r="E391" s="10">
        <f>(ADC!I391+5/3)/(1/12)</f>
        <v>59.733529820377669</v>
      </c>
      <c r="F391" s="11">
        <f t="shared" si="18"/>
        <v>1.4151609853610577E-2</v>
      </c>
      <c r="G391" s="2"/>
      <c r="H391" s="2"/>
      <c r="I391" s="10">
        <f>ABS(C391-ADC!I391)</f>
        <v>6.946048503147173E-2</v>
      </c>
    </row>
    <row r="392" spans="1:9" x14ac:dyDescent="0.25">
      <c r="A392" s="3">
        <v>390</v>
      </c>
      <c r="B392" s="3">
        <f t="shared" si="19"/>
        <v>59</v>
      </c>
      <c r="C392" s="12">
        <f t="shared" si="20"/>
        <v>3.25</v>
      </c>
      <c r="D392" s="7"/>
      <c r="E392" s="10">
        <f>(ADC!I392+5/3)/(1/12)</f>
        <v>59.839166441727926</v>
      </c>
      <c r="F392" s="11">
        <f t="shared" si="18"/>
        <v>1.4223160029286879E-2</v>
      </c>
      <c r="G392" s="2"/>
      <c r="H392" s="2"/>
      <c r="I392" s="10">
        <f>ABS(C392-ADC!I392)</f>
        <v>6.9930536810660193E-2</v>
      </c>
    </row>
    <row r="393" spans="1:9" x14ac:dyDescent="0.25">
      <c r="A393" s="3">
        <v>391</v>
      </c>
      <c r="B393" s="3">
        <f t="shared" si="19"/>
        <v>59.1</v>
      </c>
      <c r="C393" s="12">
        <f t="shared" si="20"/>
        <v>3.2583329999999999</v>
      </c>
      <c r="D393" s="7"/>
      <c r="E393" s="10">
        <f>(ADC!I393+5/3)/(1/12)</f>
        <v>59.951879161090559</v>
      </c>
      <c r="F393" s="11">
        <f t="shared" si="18"/>
        <v>1.4414199003224333E-2</v>
      </c>
      <c r="G393" s="2"/>
      <c r="H393" s="2"/>
      <c r="I393" s="10">
        <f>ABS(C393-ADC!I393)</f>
        <v>7.0990263424212774E-2</v>
      </c>
    </row>
    <row r="394" spans="1:9" x14ac:dyDescent="0.25">
      <c r="A394" s="3">
        <v>392</v>
      </c>
      <c r="B394" s="3">
        <f t="shared" si="19"/>
        <v>59.2</v>
      </c>
      <c r="C394" s="12">
        <f t="shared" si="20"/>
        <v>3.266667</v>
      </c>
      <c r="D394" s="7"/>
      <c r="E394" s="10">
        <f>(ADC!I394+5/3)/(1/12)</f>
        <v>60.057868959089269</v>
      </c>
      <c r="F394" s="11">
        <f t="shared" si="18"/>
        <v>1.4491029714345717E-2</v>
      </c>
      <c r="G394" s="2"/>
      <c r="H394" s="2"/>
      <c r="I394" s="10">
        <f>ABS(C394-ADC!I394)</f>
        <v>7.1488746590771868E-2</v>
      </c>
    </row>
    <row r="395" spans="1:9" x14ac:dyDescent="0.25">
      <c r="A395" s="3">
        <v>393</v>
      </c>
      <c r="B395" s="3">
        <f t="shared" si="19"/>
        <v>59.300000000000004</v>
      </c>
      <c r="C395" s="12">
        <f t="shared" si="20"/>
        <v>3.2749999999999999</v>
      </c>
      <c r="D395" s="7"/>
      <c r="E395" s="10">
        <f>(ADC!I395+5/3)/(1/12)</f>
        <v>60.164039644211549</v>
      </c>
      <c r="F395" s="11">
        <f t="shared" si="18"/>
        <v>1.4570651673044594E-2</v>
      </c>
      <c r="G395" s="2"/>
      <c r="H395" s="2"/>
      <c r="I395" s="10">
        <f>ABS(C395-ADC!I395)</f>
        <v>7.2003303684295528E-2</v>
      </c>
    </row>
    <row r="396" spans="1:9" x14ac:dyDescent="0.25">
      <c r="A396" s="3">
        <v>394</v>
      </c>
      <c r="B396" s="3">
        <f t="shared" si="19"/>
        <v>59.400000000000006</v>
      </c>
      <c r="C396" s="12">
        <f t="shared" si="20"/>
        <v>3.2833329999999998</v>
      </c>
      <c r="D396" s="7"/>
      <c r="E396" s="10">
        <f>(ADC!I396+5/3)/(1/12)</f>
        <v>60.270389791700474</v>
      </c>
      <c r="F396" s="11">
        <f t="shared" si="18"/>
        <v>1.4653026796304177E-2</v>
      </c>
      <c r="G396" s="2"/>
      <c r="H396" s="2"/>
      <c r="I396" s="10">
        <f>ABS(C396-ADC!I396)</f>
        <v>7.2532815975039799E-2</v>
      </c>
    </row>
    <row r="397" spans="1:9" x14ac:dyDescent="0.25">
      <c r="A397" s="3">
        <v>395</v>
      </c>
      <c r="B397" s="3">
        <f t="shared" si="19"/>
        <v>59.5</v>
      </c>
      <c r="C397" s="12">
        <f t="shared" si="20"/>
        <v>3.2916669999999999</v>
      </c>
      <c r="D397" s="7"/>
      <c r="E397" s="10">
        <f>(ADC!I397+5/3)/(1/12)</f>
        <v>60.376917976886403</v>
      </c>
      <c r="F397" s="11">
        <f t="shared" si="18"/>
        <v>1.4738117258595017E-2</v>
      </c>
      <c r="G397" s="2"/>
      <c r="H397" s="2"/>
      <c r="I397" s="10">
        <f>ABS(C397-ADC!I397)</f>
        <v>7.3076164740533578E-2</v>
      </c>
    </row>
    <row r="398" spans="1:9" x14ac:dyDescent="0.25">
      <c r="A398" s="3">
        <v>396</v>
      </c>
      <c r="B398" s="3">
        <f t="shared" si="19"/>
        <v>59.6</v>
      </c>
      <c r="C398" s="12">
        <f t="shared" si="20"/>
        <v>3.3</v>
      </c>
      <c r="D398" s="7"/>
      <c r="E398" s="10">
        <f>(ADC!I398+5/3)/(1/12)</f>
        <v>60.48362277012432</v>
      </c>
      <c r="F398" s="11">
        <f t="shared" si="18"/>
        <v>1.482588540477045E-2</v>
      </c>
      <c r="G398" s="2"/>
      <c r="H398" s="2"/>
      <c r="I398" s="10">
        <f>ABS(C398-ADC!I398)</f>
        <v>7.3635230843693389E-2</v>
      </c>
    </row>
    <row r="399" spans="1:9" x14ac:dyDescent="0.25">
      <c r="A399" s="3">
        <v>397</v>
      </c>
      <c r="B399" s="3">
        <f t="shared" si="19"/>
        <v>59.7</v>
      </c>
      <c r="C399" s="12">
        <f t="shared" si="20"/>
        <v>3.3083330000000002</v>
      </c>
      <c r="D399" s="7"/>
      <c r="E399" s="10">
        <f>(ADC!I399+5/3)/(1/12)</f>
        <v>60.590502753116674</v>
      </c>
      <c r="F399" s="11">
        <f t="shared" si="18"/>
        <v>1.4916294022054789E-2</v>
      </c>
      <c r="G399" s="2"/>
      <c r="H399" s="2"/>
      <c r="I399" s="10">
        <f>ABS(C399-ADC!I399)</f>
        <v>7.4208896093055365E-2</v>
      </c>
    </row>
    <row r="400" spans="1:9" x14ac:dyDescent="0.25">
      <c r="A400" s="3">
        <v>398</v>
      </c>
      <c r="B400" s="3">
        <f t="shared" si="19"/>
        <v>59.800000000000004</v>
      </c>
      <c r="C400" s="12">
        <f t="shared" si="20"/>
        <v>3.3166669999999998</v>
      </c>
      <c r="D400" s="7"/>
      <c r="E400" s="10">
        <f>(ADC!I400+5/3)/(1/12)</f>
        <v>60.704359003548795</v>
      </c>
      <c r="F400" s="11">
        <f t="shared" si="18"/>
        <v>1.5123060260013225E-2</v>
      </c>
      <c r="G400" s="2"/>
      <c r="H400" s="2"/>
      <c r="I400" s="10">
        <f>ABS(C400-ADC!I400)</f>
        <v>7.536291696239994E-2</v>
      </c>
    </row>
    <row r="401" spans="1:9" x14ac:dyDescent="0.25">
      <c r="A401" s="3">
        <v>399</v>
      </c>
      <c r="B401" s="3">
        <f t="shared" si="19"/>
        <v>59.900000000000006</v>
      </c>
      <c r="C401" s="12">
        <f t="shared" si="20"/>
        <v>3.3250000000000002</v>
      </c>
      <c r="D401" s="7"/>
      <c r="E401" s="10">
        <f>(ADC!I401+5/3)/(1/12)</f>
        <v>60.81157229602784</v>
      </c>
      <c r="F401" s="11">
        <f t="shared" si="18"/>
        <v>1.5218235326007256E-2</v>
      </c>
      <c r="G401" s="2"/>
      <c r="H401" s="2"/>
      <c r="I401" s="10">
        <f>ABS(C401-ADC!I401)</f>
        <v>7.5964358002319265E-2</v>
      </c>
    </row>
    <row r="402" spans="1:9" x14ac:dyDescent="0.25">
      <c r="A402" s="3">
        <v>400</v>
      </c>
      <c r="B402" s="3">
        <f t="shared" si="19"/>
        <v>60</v>
      </c>
      <c r="C402" s="12">
        <f t="shared" si="20"/>
        <v>3.3333330000000001</v>
      </c>
      <c r="D402" s="7"/>
      <c r="E402" s="10">
        <f>(ADC!I402+5/3)/(1/12)</f>
        <v>60.912179604574675</v>
      </c>
      <c r="F402" s="11">
        <f t="shared" si="18"/>
        <v>1.5202993409577915E-2</v>
      </c>
      <c r="G402" s="2"/>
      <c r="H402" s="2"/>
      <c r="I402" s="10">
        <f>ABS(C402-ADC!I402)</f>
        <v>7.6015300381222506E-2</v>
      </c>
    </row>
    <row r="403" spans="1:9" x14ac:dyDescent="0.25">
      <c r="A403" s="3">
        <v>401</v>
      </c>
      <c r="B403" s="3">
        <f t="shared" si="19"/>
        <v>60.1</v>
      </c>
      <c r="C403" s="12">
        <f t="shared" si="20"/>
        <v>3.3416670000000002</v>
      </c>
      <c r="D403" s="7"/>
      <c r="E403" s="10">
        <f>(ADC!I403+5/3)/(1/12)</f>
        <v>61.019746120053476</v>
      </c>
      <c r="F403" s="11">
        <f t="shared" si="18"/>
        <v>1.5303596007545335E-2</v>
      </c>
      <c r="G403" s="2"/>
      <c r="H403" s="2"/>
      <c r="I403" s="10">
        <f>ABS(C403-ADC!I403)</f>
        <v>7.664517667112225E-2</v>
      </c>
    </row>
    <row r="404" spans="1:9" x14ac:dyDescent="0.25">
      <c r="A404" s="3">
        <v>402</v>
      </c>
      <c r="B404" s="3">
        <f t="shared" si="19"/>
        <v>60.2</v>
      </c>
      <c r="C404" s="12">
        <f t="shared" si="20"/>
        <v>3.35</v>
      </c>
      <c r="D404" s="7"/>
      <c r="E404" s="10">
        <f>(ADC!I404+5/3)/(1/12)</f>
        <v>61.127480727514865</v>
      </c>
      <c r="F404" s="11">
        <f t="shared" si="18"/>
        <v>1.5406656603236906E-2</v>
      </c>
      <c r="G404" s="2"/>
      <c r="H404" s="2"/>
      <c r="I404" s="10">
        <f>ABS(C404-ADC!I404)</f>
        <v>7.7290060626238333E-2</v>
      </c>
    </row>
    <row r="405" spans="1:9" x14ac:dyDescent="0.25">
      <c r="A405" s="3">
        <v>403</v>
      </c>
      <c r="B405" s="3">
        <f t="shared" si="19"/>
        <v>60.300000000000004</v>
      </c>
      <c r="C405" s="12">
        <f t="shared" si="20"/>
        <v>3.358333</v>
      </c>
      <c r="D405" s="7"/>
      <c r="E405" s="10">
        <f>(ADC!I405+5/3)/(1/12)</f>
        <v>61.228643416543129</v>
      </c>
      <c r="F405" s="11">
        <f t="shared" si="18"/>
        <v>1.5400388334048498E-2</v>
      </c>
      <c r="G405" s="2"/>
      <c r="H405" s="2"/>
      <c r="I405" s="10">
        <f>ABS(C405-ADC!I405)</f>
        <v>7.7387284711926796E-2</v>
      </c>
    </row>
    <row r="406" spans="1:9" x14ac:dyDescent="0.25">
      <c r="A406" s="3">
        <v>404</v>
      </c>
      <c r="B406" s="3">
        <f t="shared" si="19"/>
        <v>60.400000000000006</v>
      </c>
      <c r="C406" s="12">
        <f t="shared" si="20"/>
        <v>3.3666670000000001</v>
      </c>
      <c r="D406" s="7"/>
      <c r="E406" s="10">
        <f>(ADC!I406+5/3)/(1/12)</f>
        <v>61.329996874338029</v>
      </c>
      <c r="F406" s="11">
        <f t="shared" si="18"/>
        <v>1.5397299244007007E-2</v>
      </c>
      <c r="G406" s="2"/>
      <c r="H406" s="2"/>
      <c r="I406" s="10">
        <f>ABS(C406-ADC!I406)</f>
        <v>7.749940619483553E-2</v>
      </c>
    </row>
    <row r="407" spans="1:9" x14ac:dyDescent="0.25">
      <c r="A407" s="3">
        <v>405</v>
      </c>
      <c r="B407" s="3">
        <f t="shared" si="19"/>
        <v>60.5</v>
      </c>
      <c r="C407" s="12">
        <f t="shared" si="20"/>
        <v>3.375</v>
      </c>
      <c r="D407" s="7"/>
      <c r="E407" s="10">
        <f>(ADC!I407+5/3)/(1/12)</f>
        <v>61.438252724679998</v>
      </c>
      <c r="F407" s="11">
        <f t="shared" si="18"/>
        <v>1.5508309498842944E-2</v>
      </c>
      <c r="G407" s="2"/>
      <c r="H407" s="2"/>
      <c r="I407" s="10">
        <f>ABS(C407-ADC!I407)</f>
        <v>7.8187727056666656E-2</v>
      </c>
    </row>
    <row r="408" spans="1:9" x14ac:dyDescent="0.25">
      <c r="A408" s="3">
        <v>406</v>
      </c>
      <c r="B408" s="3">
        <f t="shared" si="19"/>
        <v>60.6</v>
      </c>
      <c r="C408" s="12">
        <f t="shared" si="20"/>
        <v>3.3833329999999999</v>
      </c>
      <c r="D408" s="7"/>
      <c r="E408" s="10">
        <f>(ADC!I408+5/3)/(1/12)</f>
        <v>61.546670988053847</v>
      </c>
      <c r="F408" s="11">
        <f t="shared" si="18"/>
        <v>1.5621633466235081E-2</v>
      </c>
      <c r="G408" s="2"/>
      <c r="H408" s="2"/>
      <c r="I408" s="10">
        <f>ABS(C408-ADC!I408)</f>
        <v>7.8889582337820396E-2</v>
      </c>
    </row>
    <row r="409" spans="1:9" x14ac:dyDescent="0.25">
      <c r="A409" s="3">
        <v>407</v>
      </c>
      <c r="B409" s="3">
        <f t="shared" si="19"/>
        <v>60.7</v>
      </c>
      <c r="C409" s="12">
        <f t="shared" si="20"/>
        <v>3.391667</v>
      </c>
      <c r="D409" s="7"/>
      <c r="E409" s="10">
        <f>(ADC!I409+5/3)/(1/12)</f>
        <v>61.648562627466731</v>
      </c>
      <c r="F409" s="11">
        <f t="shared" si="18"/>
        <v>1.5627061408018585E-2</v>
      </c>
      <c r="G409" s="2"/>
      <c r="H409" s="2"/>
      <c r="I409" s="10">
        <f>ABS(C409-ADC!I409)</f>
        <v>7.9046552288894123E-2</v>
      </c>
    </row>
    <row r="410" spans="1:9" x14ac:dyDescent="0.25">
      <c r="A410" s="3">
        <v>408</v>
      </c>
      <c r="B410" s="3">
        <f t="shared" si="19"/>
        <v>60.800000000000004</v>
      </c>
      <c r="C410" s="12">
        <f t="shared" si="20"/>
        <v>3.4</v>
      </c>
      <c r="D410" s="7"/>
      <c r="E410" s="10">
        <f>(ADC!I410+5/3)/(1/12)</f>
        <v>61.76398910960129</v>
      </c>
      <c r="F410" s="11">
        <f t="shared" si="18"/>
        <v>1.5855084039494836E-2</v>
      </c>
      <c r="G410" s="2"/>
      <c r="H410" s="2"/>
      <c r="I410" s="10">
        <f>ABS(C410-ADC!I410)</f>
        <v>8.0332425800107021E-2</v>
      </c>
    </row>
    <row r="411" spans="1:9" x14ac:dyDescent="0.25">
      <c r="A411" s="3">
        <v>409</v>
      </c>
      <c r="B411" s="3">
        <f t="shared" si="19"/>
        <v>60.900000000000006</v>
      </c>
      <c r="C411" s="12">
        <f t="shared" si="20"/>
        <v>3.4083329999999998</v>
      </c>
      <c r="D411" s="7"/>
      <c r="E411" s="10">
        <f>(ADC!I411+5/3)/(1/12)</f>
        <v>61.866223922249191</v>
      </c>
      <c r="F411" s="11">
        <f t="shared" si="18"/>
        <v>1.5865745849740306E-2</v>
      </c>
      <c r="G411" s="2"/>
      <c r="H411" s="2"/>
      <c r="I411" s="10">
        <f>ABS(C411-ADC!I411)</f>
        <v>8.0518993520766191E-2</v>
      </c>
    </row>
    <row r="412" spans="1:9" x14ac:dyDescent="0.25">
      <c r="A412" s="3">
        <v>410</v>
      </c>
      <c r="B412" s="3">
        <f t="shared" si="19"/>
        <v>61</v>
      </c>
      <c r="C412" s="12">
        <f t="shared" si="20"/>
        <v>3.4166669999999999</v>
      </c>
      <c r="D412" s="7"/>
      <c r="E412" s="10">
        <f>(ADC!I412+5/3)/(1/12)</f>
        <v>61.97529042469116</v>
      </c>
      <c r="F412" s="11">
        <f t="shared" si="18"/>
        <v>1.5988367617887866E-2</v>
      </c>
      <c r="G412" s="2"/>
      <c r="H412" s="2"/>
      <c r="I412" s="10">
        <f>ABS(C412-ADC!I412)</f>
        <v>8.1273868724263565E-2</v>
      </c>
    </row>
    <row r="413" spans="1:9" x14ac:dyDescent="0.25">
      <c r="A413" s="3">
        <v>411</v>
      </c>
      <c r="B413" s="3">
        <f t="shared" si="19"/>
        <v>61.1</v>
      </c>
      <c r="C413" s="12">
        <f t="shared" si="20"/>
        <v>3.4249999999999998</v>
      </c>
      <c r="D413" s="7"/>
      <c r="E413" s="10">
        <f>(ADC!I413+5/3)/(1/12)</f>
        <v>62.07787544052109</v>
      </c>
      <c r="F413" s="11">
        <f t="shared" si="18"/>
        <v>1.6004508028168395E-2</v>
      </c>
      <c r="G413" s="2"/>
      <c r="H413" s="2"/>
      <c r="I413" s="10">
        <f>ABS(C413-ADC!I413)</f>
        <v>8.1489620043424082E-2</v>
      </c>
    </row>
    <row r="414" spans="1:9" x14ac:dyDescent="0.25">
      <c r="A414" s="3">
        <v>412</v>
      </c>
      <c r="B414" s="3">
        <f t="shared" si="19"/>
        <v>61.2</v>
      </c>
      <c r="C414" s="12">
        <f t="shared" si="20"/>
        <v>3.4333330000000002</v>
      </c>
      <c r="D414" s="7"/>
      <c r="E414" s="10">
        <f>(ADC!I414+5/3)/(1/12)</f>
        <v>62.187263932432238</v>
      </c>
      <c r="F414" s="11">
        <f t="shared" si="18"/>
        <v>1.6131763601833903E-2</v>
      </c>
      <c r="G414" s="2"/>
      <c r="H414" s="2"/>
      <c r="I414" s="10">
        <f>ABS(C414-ADC!I414)</f>
        <v>8.2272327702685999E-2</v>
      </c>
    </row>
    <row r="415" spans="1:9" x14ac:dyDescent="0.25">
      <c r="A415" s="3">
        <v>413</v>
      </c>
      <c r="B415" s="3">
        <f t="shared" si="19"/>
        <v>61.300000000000004</v>
      </c>
      <c r="C415" s="12">
        <f t="shared" si="20"/>
        <v>3.4416669999999998</v>
      </c>
      <c r="D415" s="7"/>
      <c r="E415" s="10">
        <f>(ADC!I415+5/3)/(1/12)</f>
        <v>62.290193454511865</v>
      </c>
      <c r="F415" s="11">
        <f t="shared" si="18"/>
        <v>1.6153237430862326E-2</v>
      </c>
      <c r="G415" s="2"/>
      <c r="H415" s="2"/>
      <c r="I415" s="10">
        <f>ABS(C415-ADC!I415)</f>
        <v>8.2515787875988789E-2</v>
      </c>
    </row>
    <row r="416" spans="1:9" x14ac:dyDescent="0.25">
      <c r="A416" s="3">
        <v>414</v>
      </c>
      <c r="B416" s="3">
        <f t="shared" si="19"/>
        <v>61.400000000000006</v>
      </c>
      <c r="C416" s="12">
        <f t="shared" si="20"/>
        <v>3.45</v>
      </c>
      <c r="D416" s="7"/>
      <c r="E416" s="10">
        <f>(ADC!I416+5/3)/(1/12)</f>
        <v>62.393299421846322</v>
      </c>
      <c r="F416" s="11">
        <f t="shared" si="18"/>
        <v>1.6177515013783655E-2</v>
      </c>
      <c r="G416" s="2"/>
      <c r="H416" s="2"/>
      <c r="I416" s="10">
        <f>ABS(C416-ADC!I416)</f>
        <v>8.2774951820526521E-2</v>
      </c>
    </row>
    <row r="417" spans="1:9" x14ac:dyDescent="0.25">
      <c r="A417" s="3">
        <v>415</v>
      </c>
      <c r="B417" s="3">
        <f t="shared" si="19"/>
        <v>61.5</v>
      </c>
      <c r="C417" s="12">
        <f t="shared" si="20"/>
        <v>3.4583330000000001</v>
      </c>
      <c r="D417" s="7"/>
      <c r="E417" s="10">
        <f>(ADC!I417+5/3)/(1/12)</f>
        <v>62.503166628491655</v>
      </c>
      <c r="F417" s="11">
        <f t="shared" si="18"/>
        <v>1.6311652495799276E-2</v>
      </c>
      <c r="G417" s="2"/>
      <c r="H417" s="2"/>
      <c r="I417" s="10">
        <f>ABS(C417-ADC!I417)</f>
        <v>8.3597552374304662E-2</v>
      </c>
    </row>
    <row r="418" spans="1:9" x14ac:dyDescent="0.25">
      <c r="A418" s="3">
        <v>416</v>
      </c>
      <c r="B418" s="3">
        <f t="shared" si="19"/>
        <v>61.6</v>
      </c>
      <c r="C418" s="12">
        <f t="shared" si="20"/>
        <v>3.4666670000000002</v>
      </c>
      <c r="D418" s="7"/>
      <c r="E418" s="10">
        <f>(ADC!I418+5/3)/(1/12)</f>
        <v>62.606608568286461</v>
      </c>
      <c r="F418" s="11">
        <f t="shared" si="18"/>
        <v>1.6341048186468501E-2</v>
      </c>
      <c r="G418" s="2"/>
      <c r="H418" s="2"/>
      <c r="I418" s="10">
        <f>ABS(C418-ADC!I418)</f>
        <v>8.3883714023871292E-2</v>
      </c>
    </row>
    <row r="419" spans="1:9" x14ac:dyDescent="0.25">
      <c r="A419" s="3">
        <v>417</v>
      </c>
      <c r="B419" s="3">
        <f t="shared" si="19"/>
        <v>61.7</v>
      </c>
      <c r="C419" s="12">
        <f t="shared" si="20"/>
        <v>3.4750000000000001</v>
      </c>
      <c r="D419" s="7"/>
      <c r="E419" s="10">
        <f>(ADC!I419+5/3)/(1/12)</f>
        <v>62.716783660163372</v>
      </c>
      <c r="F419" s="11">
        <f t="shared" si="18"/>
        <v>1.6479475853539212E-2</v>
      </c>
      <c r="G419" s="2"/>
      <c r="H419" s="2"/>
      <c r="I419" s="10">
        <f>ABS(C419-ADC!I419)</f>
        <v>8.4731971680280349E-2</v>
      </c>
    </row>
    <row r="420" spans="1:9" x14ac:dyDescent="0.25">
      <c r="A420" s="3">
        <v>418</v>
      </c>
      <c r="B420" s="3">
        <f t="shared" si="19"/>
        <v>61.800000000000004</v>
      </c>
      <c r="C420" s="12">
        <f t="shared" si="20"/>
        <v>3.483333</v>
      </c>
      <c r="D420" s="7"/>
      <c r="E420" s="10">
        <f>(ADC!I420+5/3)/(1/12)</f>
        <v>62.814007535286592</v>
      </c>
      <c r="F420" s="11">
        <f t="shared" si="18"/>
        <v>1.6407888920494947E-2</v>
      </c>
      <c r="G420" s="2"/>
      <c r="H420" s="2"/>
      <c r="I420" s="10">
        <f>ABS(C420-ADC!I420)</f>
        <v>8.4500961273882069E-2</v>
      </c>
    </row>
    <row r="421" spans="1:9" x14ac:dyDescent="0.25">
      <c r="A421" s="3">
        <v>419</v>
      </c>
      <c r="B421" s="3">
        <f t="shared" si="19"/>
        <v>61.900000000000006</v>
      </c>
      <c r="C421" s="12">
        <f t="shared" si="20"/>
        <v>3.4916670000000001</v>
      </c>
      <c r="D421" s="7"/>
      <c r="E421" s="10">
        <f>(ADC!I421+5/3)/(1/12)</f>
        <v>62.917961716731611</v>
      </c>
      <c r="F421" s="11">
        <f t="shared" si="18"/>
        <v>1.6445261982739986E-2</v>
      </c>
      <c r="G421" s="2"/>
      <c r="H421" s="2"/>
      <c r="I421" s="10">
        <f>ABS(C421-ADC!I421)</f>
        <v>8.4829809727633876E-2</v>
      </c>
    </row>
    <row r="422" spans="1:9" x14ac:dyDescent="0.25">
      <c r="A422" s="3">
        <v>420</v>
      </c>
      <c r="B422" s="3">
        <f t="shared" si="19"/>
        <v>62</v>
      </c>
      <c r="C422" s="12">
        <f t="shared" si="20"/>
        <v>3.5</v>
      </c>
      <c r="D422" s="7"/>
      <c r="E422" s="10">
        <f>(ADC!I422+5/3)/(1/12)</f>
        <v>63.022083794279226</v>
      </c>
      <c r="F422" s="11">
        <f t="shared" si="18"/>
        <v>1.6485222488374609E-2</v>
      </c>
      <c r="G422" s="2"/>
      <c r="H422" s="2"/>
      <c r="I422" s="10">
        <f>ABS(C422-ADC!I422)</f>
        <v>8.5173649523268669E-2</v>
      </c>
    </row>
    <row r="423" spans="1:9" x14ac:dyDescent="0.25">
      <c r="A423" s="3">
        <v>421</v>
      </c>
      <c r="B423" s="3">
        <f t="shared" si="19"/>
        <v>62.1</v>
      </c>
      <c r="C423" s="12">
        <f t="shared" si="20"/>
        <v>3.5083329999999999</v>
      </c>
      <c r="D423" s="7"/>
      <c r="E423" s="10">
        <f>(ADC!I423+5/3)/(1/12)</f>
        <v>63.132882950097404</v>
      </c>
      <c r="F423" s="11">
        <f t="shared" si="18"/>
        <v>1.663257568594851E-2</v>
      </c>
      <c r="G423" s="2"/>
      <c r="H423" s="2"/>
      <c r="I423" s="10">
        <f>ABS(C423-ADC!I423)</f>
        <v>8.6073912508116912E-2</v>
      </c>
    </row>
    <row r="424" spans="1:9" x14ac:dyDescent="0.25">
      <c r="A424" s="3">
        <v>422</v>
      </c>
      <c r="B424" s="3">
        <f t="shared" si="19"/>
        <v>62.2</v>
      </c>
      <c r="C424" s="12">
        <f t="shared" si="20"/>
        <v>3.516667</v>
      </c>
      <c r="D424" s="7"/>
      <c r="E424" s="10">
        <f>(ADC!I424+5/3)/(1/12)</f>
        <v>63.23732400157386</v>
      </c>
      <c r="F424" s="11">
        <f t="shared" si="18"/>
        <v>1.6677234751991277E-2</v>
      </c>
      <c r="G424" s="2"/>
      <c r="H424" s="2"/>
      <c r="I424" s="10">
        <f>ABS(C424-ADC!I424)</f>
        <v>8.644333346448807E-2</v>
      </c>
    </row>
    <row r="425" spans="1:9" x14ac:dyDescent="0.25">
      <c r="A425" s="3">
        <v>423</v>
      </c>
      <c r="B425" s="3">
        <f t="shared" si="19"/>
        <v>62.300000000000004</v>
      </c>
      <c r="C425" s="12">
        <f t="shared" si="20"/>
        <v>3.5249999999999999</v>
      </c>
      <c r="D425" s="7"/>
      <c r="E425" s="10">
        <f>(ADC!I425+5/3)/(1/12)</f>
        <v>63.335443223793916</v>
      </c>
      <c r="F425" s="11">
        <f t="shared" si="18"/>
        <v>1.6620276465391846E-2</v>
      </c>
      <c r="G425" s="2"/>
      <c r="H425" s="2"/>
      <c r="I425" s="10">
        <f>ABS(C425-ADC!I425)</f>
        <v>8.6286935316159497E-2</v>
      </c>
    </row>
    <row r="426" spans="1:9" x14ac:dyDescent="0.25">
      <c r="A426" s="3">
        <v>424</v>
      </c>
      <c r="B426" s="3">
        <f t="shared" si="19"/>
        <v>62.400000000000006</v>
      </c>
      <c r="C426" s="12">
        <f t="shared" si="20"/>
        <v>3.5333329999999998</v>
      </c>
      <c r="D426" s="7"/>
      <c r="E426" s="10">
        <f>(ADC!I426+5/3)/(1/12)</f>
        <v>63.440222705047873</v>
      </c>
      <c r="F426" s="11">
        <f t="shared" si="18"/>
        <v>1.6670235657818382E-2</v>
      </c>
      <c r="G426" s="2"/>
      <c r="H426" s="2"/>
      <c r="I426" s="10">
        <f>ABS(C426-ADC!I426)</f>
        <v>8.6685558753988978E-2</v>
      </c>
    </row>
    <row r="427" spans="1:9" x14ac:dyDescent="0.25">
      <c r="A427" s="3">
        <v>425</v>
      </c>
      <c r="B427" s="3">
        <f t="shared" si="19"/>
        <v>62.5</v>
      </c>
      <c r="C427" s="12">
        <f t="shared" si="20"/>
        <v>3.5416669999999999</v>
      </c>
      <c r="D427" s="7"/>
      <c r="E427" s="10">
        <f>(ADC!I427+5/3)/(1/12)</f>
        <v>63.545162999821123</v>
      </c>
      <c r="F427" s="11">
        <f t="shared" si="18"/>
        <v>1.672260799713797E-2</v>
      </c>
      <c r="G427" s="2"/>
      <c r="H427" s="2"/>
      <c r="I427" s="10">
        <f>ABS(C427-ADC!I427)</f>
        <v>8.7096583318426735E-2</v>
      </c>
    </row>
    <row r="428" spans="1:9" x14ac:dyDescent="0.25">
      <c r="A428" s="3">
        <v>426</v>
      </c>
      <c r="B428" s="3">
        <f t="shared" si="19"/>
        <v>62.6</v>
      </c>
      <c r="C428" s="12">
        <f t="shared" si="20"/>
        <v>3.55</v>
      </c>
      <c r="D428" s="7"/>
      <c r="E428" s="10">
        <f>(ADC!I428+5/3)/(1/12)</f>
        <v>63.656710585179233</v>
      </c>
      <c r="F428" s="11">
        <f t="shared" si="18"/>
        <v>1.6880360785610733E-2</v>
      </c>
      <c r="G428" s="2"/>
      <c r="H428" s="2"/>
      <c r="I428" s="10">
        <f>ABS(C428-ADC!I428)</f>
        <v>8.8059215431603111E-2</v>
      </c>
    </row>
    <row r="429" spans="1:9" x14ac:dyDescent="0.25">
      <c r="A429" s="3">
        <v>427</v>
      </c>
      <c r="B429" s="3">
        <f t="shared" si="19"/>
        <v>62.7</v>
      </c>
      <c r="C429" s="12">
        <f t="shared" si="20"/>
        <v>3.5583330000000002</v>
      </c>
      <c r="D429" s="7"/>
      <c r="E429" s="10">
        <f>(ADC!I429+5/3)/(1/12)</f>
        <v>63.761955764483062</v>
      </c>
      <c r="F429" s="11">
        <f t="shared" si="18"/>
        <v>1.6937093532425188E-2</v>
      </c>
      <c r="G429" s="2"/>
      <c r="H429" s="2"/>
      <c r="I429" s="10">
        <f>ABS(C429-ADC!I429)</f>
        <v>8.8496647040254839E-2</v>
      </c>
    </row>
    <row r="430" spans="1:9" x14ac:dyDescent="0.25">
      <c r="A430" s="3">
        <v>428</v>
      </c>
      <c r="B430" s="3">
        <f t="shared" si="19"/>
        <v>62.800000000000004</v>
      </c>
      <c r="C430" s="12">
        <f t="shared" si="20"/>
        <v>3.5666669999999998</v>
      </c>
      <c r="D430" s="7"/>
      <c r="E430" s="10">
        <f>(ADC!I430+5/3)/(1/12)</f>
        <v>63.867357540559993</v>
      </c>
      <c r="F430" s="11">
        <f t="shared" si="18"/>
        <v>1.6996139180891545E-2</v>
      </c>
      <c r="G430" s="2"/>
      <c r="H430" s="2"/>
      <c r="I430" s="10">
        <f>ABS(C430-ADC!I430)</f>
        <v>8.8946128379999045E-2</v>
      </c>
    </row>
    <row r="431" spans="1:9" x14ac:dyDescent="0.25">
      <c r="A431" s="3">
        <v>429</v>
      </c>
      <c r="B431" s="3">
        <f t="shared" si="19"/>
        <v>62.900000000000006</v>
      </c>
      <c r="C431" s="12">
        <f t="shared" si="20"/>
        <v>3.5750000000000002</v>
      </c>
      <c r="D431" s="7"/>
      <c r="E431" s="10">
        <f>(ADC!I431+5/3)/(1/12)</f>
        <v>63.966504088698315</v>
      </c>
      <c r="F431" s="11">
        <f t="shared" si="18"/>
        <v>1.6955549899814137E-2</v>
      </c>
      <c r="G431" s="2"/>
      <c r="H431" s="2"/>
      <c r="I431" s="10">
        <f>ABS(C431-ADC!I431)</f>
        <v>8.8875340724859253E-2</v>
      </c>
    </row>
    <row r="432" spans="1:9" x14ac:dyDescent="0.25">
      <c r="A432" s="3">
        <v>430</v>
      </c>
      <c r="B432" s="3">
        <f t="shared" si="19"/>
        <v>63</v>
      </c>
      <c r="C432" s="12">
        <f t="shared" si="20"/>
        <v>3.5833330000000001</v>
      </c>
      <c r="D432" s="7"/>
      <c r="E432" s="10">
        <f>(ADC!I432+5/3)/(1/12)</f>
        <v>64.072227306234197</v>
      </c>
      <c r="F432" s="11">
        <f t="shared" si="18"/>
        <v>1.7019481051336459E-2</v>
      </c>
      <c r="G432" s="2"/>
      <c r="H432" s="2"/>
      <c r="I432" s="10">
        <f>ABS(C432-ADC!I432)</f>
        <v>8.9352608852849791E-2</v>
      </c>
    </row>
    <row r="433" spans="1:9" x14ac:dyDescent="0.25">
      <c r="A433" s="3">
        <v>431</v>
      </c>
      <c r="B433" s="3">
        <f t="shared" si="19"/>
        <v>63.1</v>
      </c>
      <c r="C433" s="12">
        <f t="shared" si="20"/>
        <v>3.5916670000000002</v>
      </c>
      <c r="D433" s="7"/>
      <c r="E433" s="10">
        <f>(ADC!I433+5/3)/(1/12)</f>
        <v>64.178102891401949</v>
      </c>
      <c r="F433" s="11">
        <f t="shared" si="18"/>
        <v>1.7085624269444488E-2</v>
      </c>
      <c r="G433" s="2"/>
      <c r="H433" s="2"/>
      <c r="I433" s="10">
        <f>ABS(C433-ADC!I433)</f>
        <v>8.9841574283495262E-2</v>
      </c>
    </row>
    <row r="434" spans="1:9" x14ac:dyDescent="0.25">
      <c r="A434" s="3">
        <v>432</v>
      </c>
      <c r="B434" s="3">
        <f t="shared" si="19"/>
        <v>63.2</v>
      </c>
      <c r="C434" s="12">
        <f t="shared" si="20"/>
        <v>3.6</v>
      </c>
      <c r="D434" s="7"/>
      <c r="E434" s="10">
        <f>(ADC!I434+5/3)/(1/12)</f>
        <v>64.271383419620093</v>
      </c>
      <c r="F434" s="11">
        <f t="shared" si="18"/>
        <v>1.6952269297786243E-2</v>
      </c>
      <c r="G434" s="2"/>
      <c r="H434" s="2"/>
      <c r="I434" s="10">
        <f>ABS(C434-ADC!I434)</f>
        <v>8.928195163500785E-2</v>
      </c>
    </row>
    <row r="435" spans="1:9" x14ac:dyDescent="0.25">
      <c r="A435" s="3">
        <v>433</v>
      </c>
      <c r="B435" s="3">
        <f t="shared" si="19"/>
        <v>63.300000000000004</v>
      </c>
      <c r="C435" s="12">
        <f t="shared" si="20"/>
        <v>3.608333</v>
      </c>
      <c r="D435" s="7"/>
      <c r="E435" s="10">
        <f>(ADC!I435+5/3)/(1/12)</f>
        <v>64.377584412556288</v>
      </c>
      <c r="F435" s="11">
        <f t="shared" si="18"/>
        <v>1.7023450435328342E-2</v>
      </c>
      <c r="G435" s="2"/>
      <c r="H435" s="2"/>
      <c r="I435" s="10">
        <f>ABS(C435-ADC!I435)</f>
        <v>8.979903437969039E-2</v>
      </c>
    </row>
    <row r="436" spans="1:9" x14ac:dyDescent="0.25">
      <c r="A436" s="3">
        <v>434</v>
      </c>
      <c r="B436" s="3">
        <f t="shared" si="19"/>
        <v>63.400000000000006</v>
      </c>
      <c r="C436" s="12">
        <f t="shared" si="20"/>
        <v>3.6166670000000001</v>
      </c>
      <c r="D436" s="7"/>
      <c r="E436" s="10">
        <f>(ADC!I436+5/3)/(1/12)</f>
        <v>64.490281709331583</v>
      </c>
      <c r="F436" s="11">
        <f t="shared" si="18"/>
        <v>1.7196872386933397E-2</v>
      </c>
      <c r="G436" s="2"/>
      <c r="H436" s="2"/>
      <c r="I436" s="10">
        <f>ABS(C436-ADC!I436)</f>
        <v>9.0856475777630674E-2</v>
      </c>
    </row>
    <row r="437" spans="1:9" x14ac:dyDescent="0.25">
      <c r="A437" s="3">
        <v>435</v>
      </c>
      <c r="B437" s="3">
        <f t="shared" si="19"/>
        <v>63.5</v>
      </c>
      <c r="C437" s="12">
        <f t="shared" si="20"/>
        <v>3.625</v>
      </c>
      <c r="D437" s="7"/>
      <c r="E437" s="10">
        <f>(ADC!I437+5/3)/(1/12)</f>
        <v>64.590429457316802</v>
      </c>
      <c r="F437" s="11">
        <f t="shared" si="18"/>
        <v>1.7172117438059867E-2</v>
      </c>
      <c r="G437" s="2"/>
      <c r="H437" s="2"/>
      <c r="I437" s="10">
        <f>ABS(C437-ADC!I437)</f>
        <v>9.0869121443066359E-2</v>
      </c>
    </row>
    <row r="438" spans="1:9" x14ac:dyDescent="0.25">
      <c r="A438" s="3">
        <v>436</v>
      </c>
      <c r="B438" s="3">
        <f t="shared" si="19"/>
        <v>63.6</v>
      </c>
      <c r="C438" s="12">
        <f t="shared" si="20"/>
        <v>3.6333329999999999</v>
      </c>
      <c r="D438" s="7"/>
      <c r="E438" s="10">
        <f>(ADC!I438+5/3)/(1/12)</f>
        <v>64.690747391647619</v>
      </c>
      <c r="F438" s="11">
        <f t="shared" si="18"/>
        <v>1.7150116220874492E-2</v>
      </c>
      <c r="G438" s="2"/>
      <c r="H438" s="2"/>
      <c r="I438" s="10">
        <f>ABS(C438-ADC!I438)</f>
        <v>9.0895949303968493E-2</v>
      </c>
    </row>
    <row r="439" spans="1:9" x14ac:dyDescent="0.25">
      <c r="A439" s="3">
        <v>437</v>
      </c>
      <c r="B439" s="3">
        <f t="shared" si="19"/>
        <v>63.7</v>
      </c>
      <c r="C439" s="12">
        <f t="shared" si="20"/>
        <v>3.641667</v>
      </c>
      <c r="D439" s="7"/>
      <c r="E439" s="10">
        <f>(ADC!I439+5/3)/(1/12)</f>
        <v>64.797545021387691</v>
      </c>
      <c r="F439" s="11">
        <f t="shared" si="18"/>
        <v>1.7229906144233725E-2</v>
      </c>
      <c r="G439" s="2"/>
      <c r="H439" s="2"/>
      <c r="I439" s="10">
        <f>ABS(C439-ADC!I439)</f>
        <v>9.1461751782307754E-2</v>
      </c>
    </row>
    <row r="440" spans="1:9" x14ac:dyDescent="0.25">
      <c r="A440" s="3">
        <v>438</v>
      </c>
      <c r="B440" s="3">
        <f t="shared" si="19"/>
        <v>63.800000000000004</v>
      </c>
      <c r="C440" s="12">
        <f t="shared" si="20"/>
        <v>3.65</v>
      </c>
      <c r="D440" s="7"/>
      <c r="E440" s="10">
        <f>(ADC!I440+5/3)/(1/12)</f>
        <v>64.89818665896378</v>
      </c>
      <c r="F440" s="11">
        <f t="shared" si="18"/>
        <v>1.7212957037049781E-2</v>
      </c>
      <c r="G440" s="2"/>
      <c r="H440" s="2"/>
      <c r="I440" s="10">
        <f>ABS(C440-ADC!I440)</f>
        <v>9.1515554913648156E-2</v>
      </c>
    </row>
    <row r="441" spans="1:9" x14ac:dyDescent="0.25">
      <c r="A441" s="3">
        <v>439</v>
      </c>
      <c r="B441" s="3">
        <f t="shared" si="19"/>
        <v>63.900000000000006</v>
      </c>
      <c r="C441" s="12">
        <f t="shared" si="20"/>
        <v>3.6583329999999998</v>
      </c>
      <c r="D441" s="7"/>
      <c r="E441" s="10">
        <f>(ADC!I441+5/3)/(1/12)</f>
        <v>65.005280416243082</v>
      </c>
      <c r="F441" s="11">
        <f t="shared" si="18"/>
        <v>1.7297033118045008E-2</v>
      </c>
      <c r="G441" s="2"/>
      <c r="H441" s="2"/>
      <c r="I441" s="10">
        <f>ABS(C441-ADC!I441)</f>
        <v>9.2107034686923495E-2</v>
      </c>
    </row>
    <row r="442" spans="1:9" x14ac:dyDescent="0.25">
      <c r="A442" s="3">
        <v>440</v>
      </c>
      <c r="B442" s="3">
        <f t="shared" si="19"/>
        <v>64</v>
      </c>
      <c r="C442" s="12">
        <f t="shared" si="20"/>
        <v>3.6666669999999999</v>
      </c>
      <c r="D442" s="7"/>
      <c r="E442" s="10">
        <f>(ADC!I442+5/3)/(1/12)</f>
        <v>65.106240121409897</v>
      </c>
      <c r="F442" s="11">
        <f t="shared" si="18"/>
        <v>1.7285001897029639E-2</v>
      </c>
      <c r="G442" s="2"/>
      <c r="H442" s="2"/>
      <c r="I442" s="10">
        <f>ABS(C442-ADC!I442)</f>
        <v>9.2186343450824548E-2</v>
      </c>
    </row>
    <row r="443" spans="1:9" x14ac:dyDescent="0.25">
      <c r="A443" s="3">
        <v>441</v>
      </c>
      <c r="B443" s="3">
        <f t="shared" si="19"/>
        <v>64.099999999999994</v>
      </c>
      <c r="C443" s="12">
        <f t="shared" si="20"/>
        <v>3.6749999999999998</v>
      </c>
      <c r="D443" s="7"/>
      <c r="E443" s="10">
        <f>(ADC!I443+5/3)/(1/12)</f>
        <v>65.207362918467481</v>
      </c>
      <c r="F443" s="11">
        <f t="shared" si="18"/>
        <v>1.7275552550194809E-2</v>
      </c>
      <c r="G443" s="2"/>
      <c r="H443" s="2"/>
      <c r="I443" s="10">
        <f>ABS(C443-ADC!I443)</f>
        <v>9.2280243205622892E-2</v>
      </c>
    </row>
    <row r="444" spans="1:9" x14ac:dyDescent="0.25">
      <c r="A444" s="3">
        <v>442</v>
      </c>
      <c r="B444" s="3">
        <f t="shared" si="19"/>
        <v>64.2</v>
      </c>
      <c r="C444" s="12">
        <f t="shared" si="20"/>
        <v>3.6833330000000002</v>
      </c>
      <c r="D444" s="7"/>
      <c r="E444" s="10">
        <f>(ADC!I444+5/3)/(1/12)</f>
        <v>65.314896567208876</v>
      </c>
      <c r="F444" s="11">
        <f t="shared" si="18"/>
        <v>1.7365990143440396E-2</v>
      </c>
      <c r="G444" s="2"/>
      <c r="H444" s="2"/>
      <c r="I444" s="10">
        <f>ABS(C444-ADC!I444)</f>
        <v>9.290838060073936E-2</v>
      </c>
    </row>
    <row r="445" spans="1:9" x14ac:dyDescent="0.25">
      <c r="A445" s="3">
        <v>443</v>
      </c>
      <c r="B445" s="3">
        <f t="shared" si="19"/>
        <v>64.300000000000011</v>
      </c>
      <c r="C445" s="12">
        <f t="shared" si="20"/>
        <v>3.6916669999999998</v>
      </c>
      <c r="D445" s="7"/>
      <c r="E445" s="10">
        <f>(ADC!I445+5/3)/(1/12)</f>
        <v>65.416328988850168</v>
      </c>
      <c r="F445" s="11">
        <f t="shared" si="18"/>
        <v>1.7361259546658733E-2</v>
      </c>
      <c r="G445" s="2"/>
      <c r="H445" s="2"/>
      <c r="I445" s="10">
        <f>ABS(C445-ADC!I445)</f>
        <v>9.3027082404181005E-2</v>
      </c>
    </row>
    <row r="446" spans="1:9" x14ac:dyDescent="0.25">
      <c r="A446" s="3">
        <v>444</v>
      </c>
      <c r="B446" s="3">
        <f t="shared" si="19"/>
        <v>64.400000000000006</v>
      </c>
      <c r="C446" s="12">
        <f t="shared" si="20"/>
        <v>3.7</v>
      </c>
      <c r="D446" s="7"/>
      <c r="E446" s="10">
        <f>(ADC!I446+5/3)/(1/12)</f>
        <v>65.524144831808002</v>
      </c>
      <c r="F446" s="11">
        <f t="shared" si="18"/>
        <v>1.7455665090186274E-2</v>
      </c>
      <c r="G446" s="2"/>
      <c r="H446" s="2"/>
      <c r="I446" s="10">
        <f>ABS(C446-ADC!I446)</f>
        <v>9.3678735983998784E-2</v>
      </c>
    </row>
    <row r="447" spans="1:9" x14ac:dyDescent="0.25">
      <c r="A447" s="3">
        <v>445</v>
      </c>
      <c r="B447" s="3">
        <f t="shared" si="19"/>
        <v>64.5</v>
      </c>
      <c r="C447" s="12">
        <f t="shared" si="20"/>
        <v>3.7083330000000001</v>
      </c>
      <c r="D447" s="7"/>
      <c r="E447" s="10">
        <f>(ADC!I447+5/3)/(1/12)</f>
        <v>65.625881277556488</v>
      </c>
      <c r="F447" s="11">
        <f t="shared" si="18"/>
        <v>1.7455523683046321E-2</v>
      </c>
      <c r="G447" s="2"/>
      <c r="H447" s="2"/>
      <c r="I447" s="10">
        <f>ABS(C447-ADC!I447)</f>
        <v>9.3823773129706911E-2</v>
      </c>
    </row>
    <row r="448" spans="1:9" x14ac:dyDescent="0.25">
      <c r="A448" s="3">
        <v>446</v>
      </c>
      <c r="B448" s="3">
        <f t="shared" si="19"/>
        <v>64.599999999999994</v>
      </c>
      <c r="C448" s="12">
        <f t="shared" si="20"/>
        <v>3.7166670000000002</v>
      </c>
      <c r="D448" s="7"/>
      <c r="E448" s="10">
        <f>(ADC!I448+5/3)/(1/12)</f>
        <v>65.727773786820109</v>
      </c>
      <c r="F448" s="11">
        <f t="shared" si="18"/>
        <v>1.7457798557586911E-2</v>
      </c>
      <c r="G448" s="2"/>
      <c r="H448" s="2"/>
      <c r="I448" s="10">
        <f>ABS(C448-ADC!I448)</f>
        <v>9.398081556834148E-2</v>
      </c>
    </row>
    <row r="449" spans="1:9" x14ac:dyDescent="0.25">
      <c r="A449" s="3">
        <v>447</v>
      </c>
      <c r="B449" s="3">
        <f t="shared" si="19"/>
        <v>64.7</v>
      </c>
      <c r="C449" s="12">
        <f t="shared" si="20"/>
        <v>3.7250000000000001</v>
      </c>
      <c r="D449" s="7"/>
      <c r="E449" s="10">
        <f>(ADC!I449+5/3)/(1/12)</f>
        <v>65.82363324432491</v>
      </c>
      <c r="F449" s="11">
        <f t="shared" si="18"/>
        <v>1.7366819850462237E-2</v>
      </c>
      <c r="G449" s="2"/>
      <c r="H449" s="2"/>
      <c r="I449" s="10">
        <f>ABS(C449-ADC!I449)</f>
        <v>9.3636103693741202E-2</v>
      </c>
    </row>
    <row r="450" spans="1:9" x14ac:dyDescent="0.25">
      <c r="A450" s="3">
        <v>448</v>
      </c>
      <c r="B450" s="3">
        <f t="shared" si="19"/>
        <v>64.800000000000011</v>
      </c>
      <c r="C450" s="12">
        <f t="shared" si="20"/>
        <v>3.733333</v>
      </c>
      <c r="D450" s="7"/>
      <c r="E450" s="10">
        <f>(ADC!I450+5/3)/(1/12)</f>
        <v>65.925845916502226</v>
      </c>
      <c r="F450" s="11">
        <f t="shared" ref="F450:F513" si="21">ABS(B450-E450)/B450</f>
        <v>1.7374165378120591E-2</v>
      </c>
      <c r="G450" s="2"/>
      <c r="H450" s="2"/>
      <c r="I450" s="10">
        <f>ABS(C450-ADC!I450)</f>
        <v>9.3820826375184296E-2</v>
      </c>
    </row>
    <row r="451" spans="1:9" x14ac:dyDescent="0.25">
      <c r="A451" s="3">
        <v>449</v>
      </c>
      <c r="B451" s="3">
        <f t="shared" ref="B451:B514" si="22">0.1*A451+20</f>
        <v>64.900000000000006</v>
      </c>
      <c r="C451" s="12">
        <f t="shared" ref="C451:C514" si="23">ROUND(1/12*B451-5/3,6)</f>
        <v>3.7416670000000001</v>
      </c>
      <c r="D451" s="7"/>
      <c r="E451" s="10">
        <f>(ADC!I451+5/3)/(1/12)</f>
        <v>66.028210425410023</v>
      </c>
      <c r="F451" s="11">
        <f t="shared" si="21"/>
        <v>1.7383827818336171E-2</v>
      </c>
      <c r="G451" s="2"/>
      <c r="H451" s="2"/>
      <c r="I451" s="10">
        <f>ABS(C451-ADC!I451)</f>
        <v>9.4017202117501419E-2</v>
      </c>
    </row>
    <row r="452" spans="1:9" x14ac:dyDescent="0.25">
      <c r="A452" s="3">
        <v>450</v>
      </c>
      <c r="B452" s="3">
        <f t="shared" si="22"/>
        <v>65</v>
      </c>
      <c r="C452" s="12">
        <f t="shared" si="23"/>
        <v>3.75</v>
      </c>
      <c r="D452" s="7"/>
      <c r="E452" s="10">
        <f>(ADC!I452+5/3)/(1/12)</f>
        <v>66.130725377454169</v>
      </c>
      <c r="F452" s="11">
        <f t="shared" si="21"/>
        <v>1.7395775037756449E-2</v>
      </c>
      <c r="G452" s="2"/>
      <c r="H452" s="2"/>
      <c r="I452" s="10">
        <f>ABS(C452-ADC!I452)</f>
        <v>9.4227114787846844E-2</v>
      </c>
    </row>
    <row r="453" spans="1:9" x14ac:dyDescent="0.25">
      <c r="A453" s="3">
        <v>451</v>
      </c>
      <c r="B453" s="3">
        <f t="shared" si="22"/>
        <v>65.099999999999994</v>
      </c>
      <c r="C453" s="12">
        <f t="shared" si="23"/>
        <v>3.7583329999999999</v>
      </c>
      <c r="D453" s="7"/>
      <c r="E453" s="10">
        <f>(ADC!I453+5/3)/(1/12)</f>
        <v>66.233389372144543</v>
      </c>
      <c r="F453" s="11">
        <f t="shared" si="21"/>
        <v>1.7409974994539928E-2</v>
      </c>
      <c r="G453" s="2"/>
      <c r="H453" s="2"/>
      <c r="I453" s="10">
        <f>ABS(C453-ADC!I453)</f>
        <v>9.444944767871144E-2</v>
      </c>
    </row>
    <row r="454" spans="1:9" x14ac:dyDescent="0.25">
      <c r="A454" s="3">
        <v>452</v>
      </c>
      <c r="B454" s="3">
        <f t="shared" si="22"/>
        <v>65.2</v>
      </c>
      <c r="C454" s="12">
        <f t="shared" si="23"/>
        <v>3.766667</v>
      </c>
      <c r="D454" s="7"/>
      <c r="E454" s="10">
        <f>(ADC!I454+5/3)/(1/12)</f>
        <v>66.336201014490285</v>
      </c>
      <c r="F454" s="11">
        <f t="shared" si="21"/>
        <v>1.742639592776507E-2</v>
      </c>
      <c r="G454" s="2"/>
      <c r="H454" s="2"/>
      <c r="I454" s="10">
        <f>ABS(C454-ADC!I454)</f>
        <v>9.4683084540856832E-2</v>
      </c>
    </row>
    <row r="455" spans="1:9" x14ac:dyDescent="0.25">
      <c r="A455" s="3">
        <v>453</v>
      </c>
      <c r="B455" s="3">
        <f t="shared" si="22"/>
        <v>65.300000000000011</v>
      </c>
      <c r="C455" s="12">
        <f t="shared" si="23"/>
        <v>3.7749999999999999</v>
      </c>
      <c r="D455" s="7"/>
      <c r="E455" s="10">
        <f>(ADC!I455+5/3)/(1/12)</f>
        <v>66.439158917531373</v>
      </c>
      <c r="F455" s="11">
        <f t="shared" si="21"/>
        <v>1.7445006394048407E-2</v>
      </c>
      <c r="G455" s="2"/>
      <c r="H455" s="2"/>
      <c r="I455" s="10">
        <f>ABS(C455-ADC!I455)</f>
        <v>9.4929909794280398E-2</v>
      </c>
    </row>
    <row r="456" spans="1:9" x14ac:dyDescent="0.25">
      <c r="A456" s="3">
        <v>454</v>
      </c>
      <c r="B456" s="3">
        <f t="shared" si="22"/>
        <v>65.400000000000006</v>
      </c>
      <c r="C456" s="12">
        <f t="shared" si="23"/>
        <v>3.7833329999999998</v>
      </c>
      <c r="D456" s="7"/>
      <c r="E456" s="10">
        <f>(ADC!I456+5/3)/(1/12)</f>
        <v>66.536159510677535</v>
      </c>
      <c r="F456" s="11">
        <f t="shared" si="21"/>
        <v>1.7372469582225224E-2</v>
      </c>
      <c r="G456" s="2"/>
      <c r="H456" s="2"/>
      <c r="I456" s="10">
        <f>ABS(C456-ADC!I456)</f>
        <v>9.4680292556460266E-2</v>
      </c>
    </row>
    <row r="457" spans="1:9" x14ac:dyDescent="0.25">
      <c r="A457" s="3">
        <v>455</v>
      </c>
      <c r="B457" s="3">
        <f t="shared" si="22"/>
        <v>65.5</v>
      </c>
      <c r="C457" s="12">
        <f t="shared" si="23"/>
        <v>3.7916669999999999</v>
      </c>
      <c r="D457" s="7"/>
      <c r="E457" s="10">
        <f>(ADC!I457+5/3)/(1/12)</f>
        <v>66.639417928395275</v>
      </c>
      <c r="F457" s="11">
        <f t="shared" si="21"/>
        <v>1.7395693563286643E-2</v>
      </c>
      <c r="G457" s="2"/>
      <c r="H457" s="2"/>
      <c r="I457" s="10">
        <f>ABS(C457-ADC!I457)</f>
        <v>9.4951160699605186E-2</v>
      </c>
    </row>
    <row r="458" spans="1:9" x14ac:dyDescent="0.25">
      <c r="A458" s="3">
        <v>456</v>
      </c>
      <c r="B458" s="3">
        <f t="shared" si="22"/>
        <v>65.599999999999994</v>
      </c>
      <c r="C458" s="12">
        <f t="shared" si="23"/>
        <v>3.8</v>
      </c>
      <c r="D458" s="7"/>
      <c r="E458" s="10">
        <f>(ADC!I458+5/3)/(1/12)</f>
        <v>66.742818428993814</v>
      </c>
      <c r="F458" s="11">
        <f t="shared" si="21"/>
        <v>1.7421012637100917E-2</v>
      </c>
      <c r="G458" s="2"/>
      <c r="H458" s="2"/>
      <c r="I458" s="10">
        <f>ABS(C458-ADC!I458)</f>
        <v>9.5234869082817308E-2</v>
      </c>
    </row>
    <row r="459" spans="1:9" x14ac:dyDescent="0.25">
      <c r="A459" s="3">
        <v>457</v>
      </c>
      <c r="B459" s="3">
        <f t="shared" si="22"/>
        <v>65.7</v>
      </c>
      <c r="C459" s="12">
        <f t="shared" si="23"/>
        <v>3.8083330000000002</v>
      </c>
      <c r="D459" s="7"/>
      <c r="E459" s="10">
        <f>(ADC!I459+5/3)/(1/12)</f>
        <v>66.846359641749132</v>
      </c>
      <c r="F459" s="11">
        <f t="shared" si="21"/>
        <v>1.7448396373654928E-2</v>
      </c>
      <c r="G459" s="2"/>
      <c r="H459" s="2"/>
      <c r="I459" s="10">
        <f>ABS(C459-ADC!I459)</f>
        <v>9.5530303479093526E-2</v>
      </c>
    </row>
    <row r="460" spans="1:9" x14ac:dyDescent="0.25">
      <c r="A460" s="3">
        <v>458</v>
      </c>
      <c r="B460" s="3">
        <f t="shared" si="22"/>
        <v>65.800000000000011</v>
      </c>
      <c r="C460" s="12">
        <f t="shared" si="23"/>
        <v>3.8166669999999998</v>
      </c>
      <c r="D460" s="7"/>
      <c r="E460" s="10">
        <f>(ADC!I460+5/3)/(1/12)</f>
        <v>66.950040177257094</v>
      </c>
      <c r="F460" s="11">
        <f t="shared" si="21"/>
        <v>1.7477814244028608E-2</v>
      </c>
      <c r="G460" s="2"/>
      <c r="H460" s="2"/>
      <c r="I460" s="10">
        <f>ABS(C460-ADC!I460)</f>
        <v>9.5836348104758162E-2</v>
      </c>
    </row>
    <row r="461" spans="1:9" x14ac:dyDescent="0.25">
      <c r="A461" s="3">
        <v>459</v>
      </c>
      <c r="B461" s="3">
        <f t="shared" si="22"/>
        <v>65.900000000000006</v>
      </c>
      <c r="C461" s="12">
        <f t="shared" si="23"/>
        <v>3.8250000000000002</v>
      </c>
      <c r="D461" s="7"/>
      <c r="E461" s="10">
        <f>(ADC!I461+5/3)/(1/12)</f>
        <v>67.047817167147286</v>
      </c>
      <c r="F461" s="11">
        <f t="shared" si="21"/>
        <v>1.741755944077816E-2</v>
      </c>
      <c r="G461" s="2"/>
      <c r="H461" s="2"/>
      <c r="I461" s="10">
        <f>ABS(C461-ADC!I461)</f>
        <v>9.5651430595606879E-2</v>
      </c>
    </row>
    <row r="462" spans="1:9" x14ac:dyDescent="0.25">
      <c r="A462" s="3">
        <v>460</v>
      </c>
      <c r="B462" s="3">
        <f t="shared" si="22"/>
        <v>66</v>
      </c>
      <c r="C462" s="12">
        <f t="shared" si="23"/>
        <v>3.8333330000000001</v>
      </c>
      <c r="D462" s="7"/>
      <c r="E462" s="10">
        <f>(ADC!I462+5/3)/(1/12)</f>
        <v>67.151784324162833</v>
      </c>
      <c r="F462" s="11">
        <f t="shared" si="21"/>
        <v>1.7451277638830798E-2</v>
      </c>
      <c r="G462" s="2"/>
      <c r="H462" s="2"/>
      <c r="I462" s="10">
        <f>ABS(C462-ADC!I462)</f>
        <v>9.5982360346902329E-2</v>
      </c>
    </row>
    <row r="463" spans="1:9" x14ac:dyDescent="0.25">
      <c r="A463" s="3">
        <v>461</v>
      </c>
      <c r="B463" s="3">
        <f t="shared" si="22"/>
        <v>66.099999999999994</v>
      </c>
      <c r="C463" s="12">
        <f t="shared" si="23"/>
        <v>3.8416670000000002</v>
      </c>
      <c r="D463" s="7"/>
      <c r="E463" s="10">
        <f>(ADC!I463+5/3)/(1/12)</f>
        <v>67.249869361732351</v>
      </c>
      <c r="F463" s="11">
        <f t="shared" si="21"/>
        <v>1.7395905623787546E-2</v>
      </c>
      <c r="G463" s="2"/>
      <c r="H463" s="2"/>
      <c r="I463" s="10">
        <f>ABS(C463-ADC!I463)</f>
        <v>9.5822113477695314E-2</v>
      </c>
    </row>
    <row r="464" spans="1:9" x14ac:dyDescent="0.25">
      <c r="A464" s="3">
        <v>462</v>
      </c>
      <c r="B464" s="3">
        <f t="shared" si="22"/>
        <v>66.2</v>
      </c>
      <c r="C464" s="12">
        <f t="shared" si="23"/>
        <v>3.85</v>
      </c>
      <c r="D464" s="7"/>
      <c r="E464" s="10">
        <f>(ADC!I464+5/3)/(1/12)</f>
        <v>67.342107160125195</v>
      </c>
      <c r="F464" s="11">
        <f t="shared" si="21"/>
        <v>1.7252374020018012E-2</v>
      </c>
      <c r="G464" s="2"/>
      <c r="H464" s="2"/>
      <c r="I464" s="10">
        <f>ABS(C464-ADC!I464)</f>
        <v>9.5175596677098628E-2</v>
      </c>
    </row>
    <row r="465" spans="1:9" x14ac:dyDescent="0.25">
      <c r="A465" s="3">
        <v>463</v>
      </c>
      <c r="B465" s="3">
        <f t="shared" si="22"/>
        <v>66.300000000000011</v>
      </c>
      <c r="C465" s="12">
        <f t="shared" si="23"/>
        <v>3.858333</v>
      </c>
      <c r="D465" s="7"/>
      <c r="E465" s="10">
        <f>(ADC!I465+5/3)/(1/12)</f>
        <v>67.446511937389161</v>
      </c>
      <c r="F465" s="11">
        <f t="shared" si="21"/>
        <v>1.7292789402551273E-2</v>
      </c>
      <c r="G465" s="2"/>
      <c r="H465" s="2"/>
      <c r="I465" s="10">
        <f>ABS(C465-ADC!I465)</f>
        <v>9.5542994782428892E-2</v>
      </c>
    </row>
    <row r="466" spans="1:9" x14ac:dyDescent="0.25">
      <c r="A466" s="3">
        <v>464</v>
      </c>
      <c r="B466" s="3">
        <f t="shared" si="22"/>
        <v>66.400000000000006</v>
      </c>
      <c r="C466" s="12">
        <f t="shared" si="23"/>
        <v>3.8666670000000001</v>
      </c>
      <c r="D466" s="7"/>
      <c r="E466" s="10">
        <f>(ADC!I466+5/3)/(1/12)</f>
        <v>67.551047777883412</v>
      </c>
      <c r="F466" s="11">
        <f t="shared" si="21"/>
        <v>1.7335056895834425E-2</v>
      </c>
      <c r="G466" s="2"/>
      <c r="H466" s="2"/>
      <c r="I466" s="10">
        <f>ABS(C466-ADC!I466)</f>
        <v>9.5920314823616959E-2</v>
      </c>
    </row>
    <row r="467" spans="1:9" x14ac:dyDescent="0.25">
      <c r="A467" s="3">
        <v>465</v>
      </c>
      <c r="B467" s="3">
        <f t="shared" si="22"/>
        <v>66.5</v>
      </c>
      <c r="C467" s="12">
        <f t="shared" si="23"/>
        <v>3.875</v>
      </c>
      <c r="D467" s="7"/>
      <c r="E467" s="10">
        <f>(ADC!I467+5/3)/(1/12)</f>
        <v>67.649744222085232</v>
      </c>
      <c r="F467" s="11">
        <f t="shared" si="21"/>
        <v>1.7289386798274166E-2</v>
      </c>
      <c r="G467" s="2"/>
      <c r="H467" s="2"/>
      <c r="I467" s="10">
        <f>ABS(C467-ADC!I467)</f>
        <v>9.5812018507102525E-2</v>
      </c>
    </row>
    <row r="468" spans="1:9" x14ac:dyDescent="0.25">
      <c r="A468" s="3">
        <v>466</v>
      </c>
      <c r="B468" s="3">
        <f t="shared" si="22"/>
        <v>66.599999999999994</v>
      </c>
      <c r="C468" s="12">
        <f t="shared" si="23"/>
        <v>3.8833329999999999</v>
      </c>
      <c r="D468" s="7"/>
      <c r="E468" s="10">
        <f>(ADC!I468+5/3)/(1/12)</f>
        <v>67.7485930323476</v>
      </c>
      <c r="F468" s="11">
        <f t="shared" si="21"/>
        <v>1.7246141626840926E-2</v>
      </c>
      <c r="G468" s="2"/>
      <c r="H468" s="2"/>
      <c r="I468" s="10">
        <f>ABS(C468-ADC!I468)</f>
        <v>9.5716419362299465E-2</v>
      </c>
    </row>
    <row r="469" spans="1:9" x14ac:dyDescent="0.25">
      <c r="A469" s="3">
        <v>467</v>
      </c>
      <c r="B469" s="3">
        <f t="shared" si="22"/>
        <v>66.7</v>
      </c>
      <c r="C469" s="12">
        <f t="shared" si="23"/>
        <v>3.891667</v>
      </c>
      <c r="D469" s="7"/>
      <c r="E469" s="10">
        <f>(ADC!I469+5/3)/(1/12)</f>
        <v>67.853537871206768</v>
      </c>
      <c r="F469" s="11">
        <f t="shared" si="21"/>
        <v>1.7294420857672646E-2</v>
      </c>
      <c r="G469" s="2"/>
      <c r="H469" s="2"/>
      <c r="I469" s="10">
        <f>ABS(C469-ADC!I469)</f>
        <v>9.6127822600563739E-2</v>
      </c>
    </row>
    <row r="470" spans="1:9" x14ac:dyDescent="0.25">
      <c r="A470" s="3">
        <v>468</v>
      </c>
      <c r="B470" s="3">
        <f t="shared" si="22"/>
        <v>66.800000000000011</v>
      </c>
      <c r="C470" s="12">
        <f t="shared" si="23"/>
        <v>3.9</v>
      </c>
      <c r="D470" s="7"/>
      <c r="E470" s="10">
        <f>(ADC!I470+5/3)/(1/12)</f>
        <v>67.952675236724971</v>
      </c>
      <c r="F470" s="11">
        <f t="shared" si="21"/>
        <v>1.7255617316241912E-2</v>
      </c>
      <c r="G470" s="2"/>
      <c r="H470" s="2"/>
      <c r="I470" s="10">
        <f>ABS(C470-ADC!I470)</f>
        <v>9.605626972708059E-2</v>
      </c>
    </row>
    <row r="471" spans="1:9" x14ac:dyDescent="0.25">
      <c r="A471" s="3">
        <v>469</v>
      </c>
      <c r="B471" s="3">
        <f t="shared" si="22"/>
        <v>66.900000000000006</v>
      </c>
      <c r="C471" s="12">
        <f t="shared" si="23"/>
        <v>3.9083329999999998</v>
      </c>
      <c r="D471" s="7"/>
      <c r="E471" s="10">
        <f>(ADC!I471+5/3)/(1/12)</f>
        <v>68.051960801836941</v>
      </c>
      <c r="F471" s="11">
        <f t="shared" si="21"/>
        <v>1.7219145019984086E-2</v>
      </c>
      <c r="G471" s="2"/>
      <c r="H471" s="2"/>
      <c r="I471" s="10">
        <f>ABS(C471-ADC!I471)</f>
        <v>9.5997066819744958E-2</v>
      </c>
    </row>
    <row r="472" spans="1:9" x14ac:dyDescent="0.25">
      <c r="A472" s="3">
        <v>470</v>
      </c>
      <c r="B472" s="3">
        <f t="shared" si="22"/>
        <v>67</v>
      </c>
      <c r="C472" s="12">
        <f t="shared" si="23"/>
        <v>3.9166669999999999</v>
      </c>
      <c r="D472" s="7"/>
      <c r="E472" s="10">
        <f>(ADC!I472+5/3)/(1/12)</f>
        <v>68.157302311011975</v>
      </c>
      <c r="F472" s="11">
        <f t="shared" si="21"/>
        <v>1.7273168821074252E-2</v>
      </c>
      <c r="G472" s="2"/>
      <c r="H472" s="2"/>
      <c r="I472" s="10">
        <f>ABS(C472-ADC!I472)</f>
        <v>9.6441525917664084E-2</v>
      </c>
    </row>
    <row r="473" spans="1:9" x14ac:dyDescent="0.25">
      <c r="A473" s="3">
        <v>471</v>
      </c>
      <c r="B473" s="3">
        <f t="shared" si="22"/>
        <v>67.099999999999994</v>
      </c>
      <c r="C473" s="12">
        <f t="shared" si="23"/>
        <v>3.9249999999999998</v>
      </c>
      <c r="D473" s="7"/>
      <c r="E473" s="10">
        <f>(ADC!I473+5/3)/(1/12)</f>
        <v>68.256868157847393</v>
      </c>
      <c r="F473" s="11">
        <f t="shared" si="21"/>
        <v>1.7240956152718308E-2</v>
      </c>
      <c r="G473" s="2"/>
      <c r="H473" s="2"/>
      <c r="I473" s="10">
        <f>ABS(C473-ADC!I473)</f>
        <v>9.6405679820615653E-2</v>
      </c>
    </row>
    <row r="474" spans="1:9" x14ac:dyDescent="0.25">
      <c r="A474" s="3">
        <v>472</v>
      </c>
      <c r="B474" s="3">
        <f t="shared" si="22"/>
        <v>67.2</v>
      </c>
      <c r="C474" s="12">
        <f t="shared" si="23"/>
        <v>3.9333330000000002</v>
      </c>
      <c r="D474" s="7"/>
      <c r="E474" s="10">
        <f>(ADC!I474+5/3)/(1/12)</f>
        <v>68.356578063124161</v>
      </c>
      <c r="F474" s="11">
        <f t="shared" si="21"/>
        <v>1.7210983082204732E-2</v>
      </c>
      <c r="G474" s="2"/>
      <c r="H474" s="2"/>
      <c r="I474" s="10">
        <f>ABS(C474-ADC!I474)</f>
        <v>9.6381838593678992E-2</v>
      </c>
    </row>
    <row r="475" spans="1:9" x14ac:dyDescent="0.25">
      <c r="A475" s="3">
        <v>473</v>
      </c>
      <c r="B475" s="3">
        <f t="shared" si="22"/>
        <v>67.300000000000011</v>
      </c>
      <c r="C475" s="12">
        <f t="shared" si="23"/>
        <v>3.9416669999999998</v>
      </c>
      <c r="D475" s="7"/>
      <c r="E475" s="10">
        <f>(ADC!I475+5/3)/(1/12)</f>
        <v>68.456430639969398</v>
      </c>
      <c r="F475" s="11">
        <f t="shared" si="21"/>
        <v>1.7183219018861606E-2</v>
      </c>
      <c r="G475" s="2"/>
      <c r="H475" s="2"/>
      <c r="I475" s="10">
        <f>ABS(C475-ADC!I475)</f>
        <v>9.636888666411636E-2</v>
      </c>
    </row>
    <row r="476" spans="1:9" x14ac:dyDescent="0.25">
      <c r="A476" s="3">
        <v>474</v>
      </c>
      <c r="B476" s="3">
        <f t="shared" si="22"/>
        <v>67.400000000000006</v>
      </c>
      <c r="C476" s="12">
        <f t="shared" si="23"/>
        <v>3.95</v>
      </c>
      <c r="D476" s="7"/>
      <c r="E476" s="10">
        <f>(ADC!I476+5/3)/(1/12)</f>
        <v>68.550563096381424</v>
      </c>
      <c r="F476" s="11">
        <f t="shared" si="21"/>
        <v>1.7070669085777718E-2</v>
      </c>
      <c r="G476" s="2"/>
      <c r="H476" s="2"/>
      <c r="I476" s="10">
        <f>ABS(C476-ADC!I476)</f>
        <v>9.5880258031784571E-2</v>
      </c>
    </row>
    <row r="477" spans="1:9" x14ac:dyDescent="0.25">
      <c r="A477" s="3">
        <v>475</v>
      </c>
      <c r="B477" s="3">
        <f t="shared" si="22"/>
        <v>67.5</v>
      </c>
      <c r="C477" s="12">
        <f t="shared" si="23"/>
        <v>3.9583330000000001</v>
      </c>
      <c r="D477" s="7"/>
      <c r="E477" s="10">
        <f>(ADC!I477+5/3)/(1/12)</f>
        <v>68.650708785138164</v>
      </c>
      <c r="F477" s="11">
        <f t="shared" si="21"/>
        <v>1.7047537557602431E-2</v>
      </c>
      <c r="G477" s="2"/>
      <c r="H477" s="2"/>
      <c r="I477" s="10">
        <f>ABS(C477-ADC!I477)</f>
        <v>9.5892732094845723E-2</v>
      </c>
    </row>
    <row r="478" spans="1:9" x14ac:dyDescent="0.25">
      <c r="A478" s="3">
        <v>476</v>
      </c>
      <c r="B478" s="3">
        <f t="shared" si="22"/>
        <v>67.599999999999994</v>
      </c>
      <c r="C478" s="12">
        <f t="shared" si="23"/>
        <v>3.9666670000000002</v>
      </c>
      <c r="D478" s="7"/>
      <c r="E478" s="10">
        <f>(ADC!I478+5/3)/(1/12)</f>
        <v>68.750993006187628</v>
      </c>
      <c r="F478" s="11">
        <f t="shared" si="21"/>
        <v>1.702652376017209E-2</v>
      </c>
      <c r="G478" s="2"/>
      <c r="H478" s="2"/>
      <c r="I478" s="10">
        <f>ABS(C478-ADC!I478)</f>
        <v>9.5915750515635168E-2</v>
      </c>
    </row>
    <row r="479" spans="1:9" x14ac:dyDescent="0.25">
      <c r="A479" s="3">
        <v>477</v>
      </c>
      <c r="B479" s="3">
        <f t="shared" si="22"/>
        <v>67.7</v>
      </c>
      <c r="C479" s="12">
        <f t="shared" si="23"/>
        <v>3.9750000000000001</v>
      </c>
      <c r="D479" s="7"/>
      <c r="E479" s="10">
        <f>(ADC!I479+5/3)/(1/12)</f>
        <v>68.85724018308693</v>
      </c>
      <c r="F479" s="11">
        <f t="shared" si="21"/>
        <v>1.7093651153425801E-2</v>
      </c>
      <c r="G479" s="2"/>
      <c r="H479" s="2"/>
      <c r="I479" s="10">
        <f>ABS(C479-ADC!I479)</f>
        <v>9.6436681923909529E-2</v>
      </c>
    </row>
    <row r="480" spans="1:9" x14ac:dyDescent="0.25">
      <c r="A480" s="3">
        <v>478</v>
      </c>
      <c r="B480" s="3">
        <f t="shared" si="22"/>
        <v>67.800000000000011</v>
      </c>
      <c r="C480" s="12">
        <f t="shared" si="23"/>
        <v>3.983333</v>
      </c>
      <c r="D480" s="7"/>
      <c r="E480" s="10">
        <f>(ADC!I480+5/3)/(1/12)</f>
        <v>68.946157663642481</v>
      </c>
      <c r="F480" s="11">
        <f t="shared" si="21"/>
        <v>1.6904980289711938E-2</v>
      </c>
      <c r="G480" s="2"/>
      <c r="H480" s="2"/>
      <c r="I480" s="10">
        <f>ABS(C480-ADC!I480)</f>
        <v>9.5513471970206432E-2</v>
      </c>
    </row>
    <row r="481" spans="1:9" x14ac:dyDescent="0.25">
      <c r="A481" s="3">
        <v>479</v>
      </c>
      <c r="B481" s="3">
        <f t="shared" si="22"/>
        <v>67.900000000000006</v>
      </c>
      <c r="C481" s="12">
        <f t="shared" si="23"/>
        <v>3.9916670000000001</v>
      </c>
      <c r="D481" s="7"/>
      <c r="E481" s="10">
        <f>(ADC!I481+5/3)/(1/12)</f>
        <v>69.046861120277995</v>
      </c>
      <c r="F481" s="11">
        <f t="shared" si="21"/>
        <v>1.6890443597613984E-2</v>
      </c>
      <c r="G481" s="2"/>
      <c r="H481" s="2"/>
      <c r="I481" s="10">
        <f>ABS(C481-ADC!I481)</f>
        <v>9.5571426689831984E-2</v>
      </c>
    </row>
    <row r="482" spans="1:9" x14ac:dyDescent="0.25">
      <c r="A482" s="3">
        <v>480</v>
      </c>
      <c r="B482" s="3">
        <f t="shared" si="22"/>
        <v>68</v>
      </c>
      <c r="C482" s="12">
        <f t="shared" si="23"/>
        <v>4</v>
      </c>
      <c r="D482" s="7"/>
      <c r="E482" s="10">
        <f>(ADC!I482+5/3)/(1/12)</f>
        <v>69.141907387054459</v>
      </c>
      <c r="F482" s="11">
        <f t="shared" si="21"/>
        <v>1.6792755691977343E-2</v>
      </c>
      <c r="G482" s="2"/>
      <c r="H482" s="2"/>
      <c r="I482" s="10">
        <f>ABS(C482-ADC!I482)</f>
        <v>9.5158948921204356E-2</v>
      </c>
    </row>
    <row r="483" spans="1:9" x14ac:dyDescent="0.25">
      <c r="A483" s="3">
        <v>481</v>
      </c>
      <c r="B483" s="3">
        <f t="shared" si="22"/>
        <v>68.099999999999994</v>
      </c>
      <c r="C483" s="12">
        <f t="shared" si="23"/>
        <v>4.0083330000000004</v>
      </c>
      <c r="D483" s="7"/>
      <c r="E483" s="10">
        <f>(ADC!I483+5/3)/(1/12)</f>
        <v>69.242887408493175</v>
      </c>
      <c r="F483" s="11">
        <f t="shared" si="21"/>
        <v>1.6782487643071671E-2</v>
      </c>
      <c r="G483" s="2"/>
      <c r="H483" s="2"/>
      <c r="I483" s="10">
        <f>ABS(C483-ADC!I483)</f>
        <v>9.5240950707763616E-2</v>
      </c>
    </row>
    <row r="484" spans="1:9" x14ac:dyDescent="0.25">
      <c r="A484" s="3">
        <v>482</v>
      </c>
      <c r="B484" s="3">
        <f t="shared" si="22"/>
        <v>68.2</v>
      </c>
      <c r="C484" s="12">
        <f t="shared" si="23"/>
        <v>4.016667</v>
      </c>
      <c r="D484" s="7"/>
      <c r="E484" s="10">
        <f>(ADC!I484+5/3)/(1/12)</f>
        <v>69.338231120634845</v>
      </c>
      <c r="F484" s="11">
        <f t="shared" si="21"/>
        <v>1.6689605874411172E-2</v>
      </c>
      <c r="G484" s="2"/>
      <c r="H484" s="2"/>
      <c r="I484" s="10">
        <f>ABS(C484-ADC!I484)</f>
        <v>9.4852260052903148E-2</v>
      </c>
    </row>
    <row r="485" spans="1:9" x14ac:dyDescent="0.25">
      <c r="A485" s="3">
        <v>483</v>
      </c>
      <c r="B485" s="3">
        <f t="shared" si="22"/>
        <v>68.300000000000011</v>
      </c>
      <c r="C485" s="12">
        <f t="shared" si="23"/>
        <v>4.0250000000000004</v>
      </c>
      <c r="D485" s="7"/>
      <c r="E485" s="10">
        <f>(ADC!I485+5/3)/(1/12)</f>
        <v>69.445237101079698</v>
      </c>
      <c r="F485" s="11">
        <f t="shared" si="21"/>
        <v>1.6767746721518102E-2</v>
      </c>
      <c r="G485" s="2"/>
      <c r="H485" s="2"/>
      <c r="I485" s="10">
        <f>ABS(C485-ADC!I485)</f>
        <v>9.5436425089973298E-2</v>
      </c>
    </row>
    <row r="486" spans="1:9" x14ac:dyDescent="0.25">
      <c r="A486" s="3">
        <v>484</v>
      </c>
      <c r="B486" s="3">
        <f t="shared" si="22"/>
        <v>68.400000000000006</v>
      </c>
      <c r="C486" s="12">
        <f t="shared" si="23"/>
        <v>4.0333329999999998</v>
      </c>
      <c r="D486" s="7"/>
      <c r="E486" s="10">
        <f>(ADC!I486+5/3)/(1/12)</f>
        <v>69.540860954930665</v>
      </c>
      <c r="F486" s="11">
        <f t="shared" si="21"/>
        <v>1.6679253727056417E-2</v>
      </c>
      <c r="G486" s="2"/>
      <c r="H486" s="2"/>
      <c r="I486" s="10">
        <f>ABS(C486-ADC!I486)</f>
        <v>9.5072079577555257E-2</v>
      </c>
    </row>
    <row r="487" spans="1:9" x14ac:dyDescent="0.25">
      <c r="A487" s="3">
        <v>485</v>
      </c>
      <c r="B487" s="3">
        <f t="shared" si="22"/>
        <v>68.5</v>
      </c>
      <c r="C487" s="12">
        <f t="shared" si="23"/>
        <v>4.0416670000000003</v>
      </c>
      <c r="D487" s="7"/>
      <c r="E487" s="10">
        <f>(ADC!I487+5/3)/(1/12)</f>
        <v>69.642365956683449</v>
      </c>
      <c r="F487" s="11">
        <f t="shared" si="21"/>
        <v>1.6676875280050348E-2</v>
      </c>
      <c r="G487" s="2"/>
      <c r="H487" s="2"/>
      <c r="I487" s="10">
        <f>ABS(C487-ADC!I487)</f>
        <v>9.5196829723620091E-2</v>
      </c>
    </row>
    <row r="488" spans="1:9" x14ac:dyDescent="0.25">
      <c r="A488" s="3">
        <v>486</v>
      </c>
      <c r="B488" s="3">
        <f t="shared" si="22"/>
        <v>68.599999999999994</v>
      </c>
      <c r="C488" s="12">
        <f t="shared" si="23"/>
        <v>4.05</v>
      </c>
      <c r="D488" s="7"/>
      <c r="E488" s="10">
        <f>(ADC!I488+5/3)/(1/12)</f>
        <v>69.738276258857567</v>
      </c>
      <c r="F488" s="11">
        <f t="shared" si="21"/>
        <v>1.6592948379848003E-2</v>
      </c>
      <c r="G488" s="2"/>
      <c r="H488" s="2"/>
      <c r="I488" s="10">
        <f>ABS(C488-ADC!I488)</f>
        <v>9.485635490479627E-2</v>
      </c>
    </row>
    <row r="489" spans="1:9" x14ac:dyDescent="0.25">
      <c r="A489" s="3">
        <v>487</v>
      </c>
      <c r="B489" s="3">
        <f t="shared" si="22"/>
        <v>68.7</v>
      </c>
      <c r="C489" s="12">
        <f t="shared" si="23"/>
        <v>4.0583330000000002</v>
      </c>
      <c r="D489" s="7"/>
      <c r="E489" s="10">
        <f>(ADC!I489+5/3)/(1/12)</f>
        <v>69.834333592982958</v>
      </c>
      <c r="F489" s="11">
        <f t="shared" si="21"/>
        <v>1.6511406011396723E-2</v>
      </c>
      <c r="G489" s="2"/>
      <c r="H489" s="2"/>
      <c r="I489" s="10">
        <f>ABS(C489-ADC!I489)</f>
        <v>9.4528132748578741E-2</v>
      </c>
    </row>
    <row r="490" spans="1:9" x14ac:dyDescent="0.25">
      <c r="A490" s="3">
        <v>488</v>
      </c>
      <c r="B490" s="3">
        <f t="shared" si="22"/>
        <v>68.800000000000011</v>
      </c>
      <c r="C490" s="12">
        <f t="shared" si="23"/>
        <v>4.0666669999999998</v>
      </c>
      <c r="D490" s="7"/>
      <c r="E490" s="10">
        <f>(ADC!I490+5/3)/(1/12)</f>
        <v>69.930536579519213</v>
      </c>
      <c r="F490" s="11">
        <f t="shared" si="21"/>
        <v>1.6432217725569791E-2</v>
      </c>
      <c r="G490" s="2"/>
      <c r="H490" s="2"/>
      <c r="I490" s="10">
        <f>ABS(C490-ADC!I490)</f>
        <v>9.4211048293266764E-2</v>
      </c>
    </row>
    <row r="491" spans="1:9" x14ac:dyDescent="0.25">
      <c r="A491" s="3">
        <v>489</v>
      </c>
      <c r="B491" s="3">
        <f t="shared" si="22"/>
        <v>68.900000000000006</v>
      </c>
      <c r="C491" s="12">
        <f t="shared" si="23"/>
        <v>4.0750000000000002</v>
      </c>
      <c r="D491" s="7"/>
      <c r="E491" s="10">
        <f>(ADC!I491+5/3)/(1/12)</f>
        <v>70.032568321800653</v>
      </c>
      <c r="F491" s="11">
        <f t="shared" si="21"/>
        <v>1.64378566299078E-2</v>
      </c>
      <c r="G491" s="2"/>
      <c r="H491" s="2"/>
      <c r="I491" s="10">
        <f>ABS(C491-ADC!I491)</f>
        <v>9.4380693483386402E-2</v>
      </c>
    </row>
    <row r="492" spans="1:9" x14ac:dyDescent="0.25">
      <c r="A492" s="3">
        <v>490</v>
      </c>
      <c r="B492" s="3">
        <f t="shared" si="22"/>
        <v>69</v>
      </c>
      <c r="C492" s="12">
        <f t="shared" si="23"/>
        <v>4.0833329999999997</v>
      </c>
      <c r="D492" s="7"/>
      <c r="E492" s="10">
        <f>(ADC!I492+5/3)/(1/12)</f>
        <v>70.134719611284098</v>
      </c>
      <c r="F492" s="11">
        <f t="shared" si="21"/>
        <v>1.6445211757740545E-2</v>
      </c>
      <c r="G492" s="2"/>
      <c r="H492" s="2"/>
      <c r="I492" s="10">
        <f>ABS(C492-ADC!I492)</f>
        <v>9.4560300940341513E-2</v>
      </c>
    </row>
    <row r="493" spans="1:9" x14ac:dyDescent="0.25">
      <c r="A493" s="3">
        <v>491</v>
      </c>
      <c r="B493" s="3">
        <f t="shared" si="22"/>
        <v>69.099999999999994</v>
      </c>
      <c r="C493" s="12">
        <f t="shared" si="23"/>
        <v>4.0916670000000002</v>
      </c>
      <c r="D493" s="7"/>
      <c r="E493" s="10">
        <f>(ADC!I493+5/3)/(1/12)</f>
        <v>70.231327949795698</v>
      </c>
      <c r="F493" s="11">
        <f t="shared" si="21"/>
        <v>1.6372329230039135E-2</v>
      </c>
      <c r="G493" s="2"/>
      <c r="H493" s="2"/>
      <c r="I493" s="10">
        <f>ABS(C493-ADC!I493)</f>
        <v>9.4276995816307441E-2</v>
      </c>
    </row>
    <row r="494" spans="1:9" x14ac:dyDescent="0.25">
      <c r="A494" s="3">
        <v>492</v>
      </c>
      <c r="B494" s="3">
        <f t="shared" si="22"/>
        <v>69.2</v>
      </c>
      <c r="C494" s="12">
        <f t="shared" si="23"/>
        <v>4.0999999999999996</v>
      </c>
      <c r="D494" s="7"/>
      <c r="E494" s="10">
        <f>(ADC!I494+5/3)/(1/12)</f>
        <v>70.328076472399772</v>
      </c>
      <c r="F494" s="11">
        <f t="shared" si="21"/>
        <v>1.6301683127164294E-2</v>
      </c>
      <c r="G494" s="2"/>
      <c r="H494" s="2"/>
      <c r="I494" s="10">
        <f>ABS(C494-ADC!I494)</f>
        <v>9.4006372699980467E-2</v>
      </c>
    </row>
    <row r="495" spans="1:9" x14ac:dyDescent="0.25">
      <c r="A495" s="3">
        <v>493</v>
      </c>
      <c r="B495" s="3">
        <f t="shared" si="22"/>
        <v>69.300000000000011</v>
      </c>
      <c r="C495" s="12">
        <f t="shared" si="23"/>
        <v>4.108333</v>
      </c>
      <c r="D495" s="7"/>
      <c r="E495" s="10">
        <f>(ADC!I495+5/3)/(1/12)</f>
        <v>70.419325943513215</v>
      </c>
      <c r="F495" s="11">
        <f t="shared" si="21"/>
        <v>1.6151889516785041E-2</v>
      </c>
      <c r="G495" s="2"/>
      <c r="H495" s="2"/>
      <c r="I495" s="10">
        <f>ABS(C495-ADC!I495)</f>
        <v>9.3277495292767298E-2</v>
      </c>
    </row>
    <row r="496" spans="1:9" x14ac:dyDescent="0.25">
      <c r="A496" s="3">
        <v>494</v>
      </c>
      <c r="B496" s="3">
        <f t="shared" si="22"/>
        <v>69.400000000000006</v>
      </c>
      <c r="C496" s="12">
        <f t="shared" si="23"/>
        <v>4.1166669999999996</v>
      </c>
      <c r="D496" s="7"/>
      <c r="E496" s="10">
        <f>(ADC!I496+5/3)/(1/12)</f>
        <v>70.516362352858181</v>
      </c>
      <c r="F496" s="11">
        <f t="shared" si="21"/>
        <v>1.6085912865391572E-2</v>
      </c>
      <c r="G496" s="2"/>
      <c r="H496" s="2"/>
      <c r="I496" s="10">
        <f>ABS(C496-ADC!I496)</f>
        <v>9.3029862738181812E-2</v>
      </c>
    </row>
    <row r="497" spans="1:9" x14ac:dyDescent="0.25">
      <c r="A497" s="3">
        <v>495</v>
      </c>
      <c r="B497" s="3">
        <f t="shared" si="22"/>
        <v>69.5</v>
      </c>
      <c r="C497" s="12">
        <f t="shared" si="23"/>
        <v>4.125</v>
      </c>
      <c r="D497" s="7"/>
      <c r="E497" s="10">
        <f>(ADC!I497+5/3)/(1/12)</f>
        <v>70.613534841412232</v>
      </c>
      <c r="F497" s="11">
        <f t="shared" si="21"/>
        <v>1.6022084049096861E-2</v>
      </c>
      <c r="G497" s="2"/>
      <c r="H497" s="2"/>
      <c r="I497" s="10">
        <f>ABS(C497-ADC!I497)</f>
        <v>9.2794570117685105E-2</v>
      </c>
    </row>
    <row r="498" spans="1:9" x14ac:dyDescent="0.25">
      <c r="A498" s="3">
        <v>496</v>
      </c>
      <c r="B498" s="3">
        <f t="shared" si="22"/>
        <v>69.599999999999994</v>
      </c>
      <c r="C498" s="12">
        <f t="shared" si="23"/>
        <v>4.1333330000000004</v>
      </c>
      <c r="D498" s="7"/>
      <c r="E498" s="10">
        <f>(ADC!I498+5/3)/(1/12)</f>
        <v>70.71084204770419</v>
      </c>
      <c r="F498" s="11">
        <f t="shared" si="21"/>
        <v>1.5960374248623507E-2</v>
      </c>
      <c r="G498" s="2"/>
      <c r="H498" s="2"/>
      <c r="I498" s="10">
        <f>ABS(C498-ADC!I498)</f>
        <v>9.257050397534794E-2</v>
      </c>
    </row>
    <row r="499" spans="1:9" x14ac:dyDescent="0.25">
      <c r="A499" s="3">
        <v>497</v>
      </c>
      <c r="B499" s="3">
        <f t="shared" si="22"/>
        <v>69.7</v>
      </c>
      <c r="C499" s="12">
        <f t="shared" si="23"/>
        <v>4.141667</v>
      </c>
      <c r="D499" s="7"/>
      <c r="E499" s="10">
        <f>(ADC!I499+5/3)/(1/12)</f>
        <v>70.808282620126747</v>
      </c>
      <c r="F499" s="11">
        <f t="shared" si="21"/>
        <v>1.5900754951603209E-2</v>
      </c>
      <c r="G499" s="2"/>
      <c r="H499" s="2"/>
      <c r="I499" s="10">
        <f>ABS(C499-ADC!I499)</f>
        <v>9.2356551677228005E-2</v>
      </c>
    </row>
    <row r="500" spans="1:9" x14ac:dyDescent="0.25">
      <c r="A500" s="3">
        <v>498</v>
      </c>
      <c r="B500" s="3">
        <f t="shared" si="22"/>
        <v>69.800000000000011</v>
      </c>
      <c r="C500" s="12">
        <f t="shared" si="23"/>
        <v>4.1500000000000004</v>
      </c>
      <c r="D500" s="7"/>
      <c r="E500" s="10">
        <f>(ADC!I500+5/3)/(1/12)</f>
        <v>70.905855204497414</v>
      </c>
      <c r="F500" s="11">
        <f t="shared" si="21"/>
        <v>1.5843197772169082E-2</v>
      </c>
      <c r="G500" s="2"/>
      <c r="H500" s="2"/>
      <c r="I500" s="10">
        <f>ABS(C500-ADC!I500)</f>
        <v>9.2154600374783513E-2</v>
      </c>
    </row>
    <row r="501" spans="1:9" x14ac:dyDescent="0.25">
      <c r="A501" s="3">
        <v>499</v>
      </c>
      <c r="B501" s="3">
        <f t="shared" si="22"/>
        <v>69.900000000000006</v>
      </c>
      <c r="C501" s="12">
        <f t="shared" si="23"/>
        <v>4.1583329999999998</v>
      </c>
      <c r="D501" s="7"/>
      <c r="E501" s="10">
        <f>(ADC!I501+5/3)/(1/12)</f>
        <v>70.99799010204579</v>
      </c>
      <c r="F501" s="11">
        <f t="shared" si="21"/>
        <v>1.5708012904803784E-2</v>
      </c>
      <c r="G501" s="2"/>
      <c r="H501" s="2"/>
      <c r="I501" s="10">
        <f>ABS(C501-ADC!I501)</f>
        <v>9.149950850381483E-2</v>
      </c>
    </row>
    <row r="502" spans="1:9" x14ac:dyDescent="0.25">
      <c r="A502" s="3">
        <v>500</v>
      </c>
      <c r="B502" s="3">
        <f t="shared" si="22"/>
        <v>70</v>
      </c>
      <c r="C502" s="12">
        <f t="shared" si="23"/>
        <v>4.1666670000000003</v>
      </c>
      <c r="D502" s="7"/>
      <c r="E502" s="10">
        <f>(ADC!I502+5/3)/(1/12)</f>
        <v>71.101391032986896</v>
      </c>
      <c r="F502" s="11">
        <f t="shared" si="21"/>
        <v>1.5734157614098521E-2</v>
      </c>
      <c r="G502" s="2"/>
      <c r="H502" s="2"/>
      <c r="I502" s="10">
        <f>ABS(C502-ADC!I502)</f>
        <v>9.1782252748907389E-2</v>
      </c>
    </row>
    <row r="503" spans="1:9" x14ac:dyDescent="0.25">
      <c r="A503" s="3">
        <v>501</v>
      </c>
      <c r="B503" s="3">
        <f t="shared" si="22"/>
        <v>70.099999999999994</v>
      </c>
      <c r="C503" s="12">
        <f t="shared" si="23"/>
        <v>4.1749999999999998</v>
      </c>
      <c r="D503" s="7"/>
      <c r="E503" s="10">
        <f>(ADC!I503+5/3)/(1/12)</f>
        <v>71.199351591305572</v>
      </c>
      <c r="F503" s="11">
        <f t="shared" si="21"/>
        <v>1.5682618991520365E-2</v>
      </c>
      <c r="G503" s="2"/>
      <c r="H503" s="2"/>
      <c r="I503" s="10">
        <f>ABS(C503-ADC!I503)</f>
        <v>9.1612632608796929E-2</v>
      </c>
    </row>
    <row r="504" spans="1:9" x14ac:dyDescent="0.25">
      <c r="A504" s="3">
        <v>502</v>
      </c>
      <c r="B504" s="3">
        <f t="shared" si="22"/>
        <v>70.2</v>
      </c>
      <c r="C504" s="12">
        <f t="shared" si="23"/>
        <v>4.1833330000000002</v>
      </c>
      <c r="D504" s="7"/>
      <c r="E504" s="10">
        <f>(ADC!I504+5/3)/(1/12)</f>
        <v>71.291904960603773</v>
      </c>
      <c r="F504" s="11">
        <f t="shared" si="21"/>
        <v>1.5554201718002425E-2</v>
      </c>
      <c r="G504" s="2"/>
      <c r="H504" s="2"/>
      <c r="I504" s="10">
        <f>ABS(C504-ADC!I504)</f>
        <v>9.0992413383647275E-2</v>
      </c>
    </row>
    <row r="505" spans="1:9" x14ac:dyDescent="0.25">
      <c r="A505" s="3">
        <v>503</v>
      </c>
      <c r="B505" s="3">
        <f t="shared" si="22"/>
        <v>70.300000000000011</v>
      </c>
      <c r="C505" s="12">
        <f t="shared" si="23"/>
        <v>4.1916669999999998</v>
      </c>
      <c r="D505" s="7"/>
      <c r="E505" s="10">
        <f>(ADC!I505+5/3)/(1/12)</f>
        <v>71.390128947976891</v>
      </c>
      <c r="F505" s="11">
        <f t="shared" si="21"/>
        <v>1.5506812915745079E-2</v>
      </c>
      <c r="G505" s="2"/>
      <c r="H505" s="2"/>
      <c r="I505" s="10">
        <f>ABS(C505-ADC!I505)</f>
        <v>9.0843745664740183E-2</v>
      </c>
    </row>
    <row r="506" spans="1:9" x14ac:dyDescent="0.25">
      <c r="A506" s="3">
        <v>504</v>
      </c>
      <c r="B506" s="3">
        <f t="shared" si="22"/>
        <v>70.400000000000006</v>
      </c>
      <c r="C506" s="12">
        <f t="shared" si="23"/>
        <v>4.2</v>
      </c>
      <c r="D506" s="7"/>
      <c r="E506" s="10">
        <f>(ADC!I506+5/3)/(1/12)</f>
        <v>71.482966024979362</v>
      </c>
      <c r="F506" s="11">
        <f t="shared" si="21"/>
        <v>1.5383040127547673E-2</v>
      </c>
      <c r="G506" s="2"/>
      <c r="H506" s="2"/>
      <c r="I506" s="10">
        <f>ABS(C506-ADC!I506)</f>
        <v>9.0247168748279094E-2</v>
      </c>
    </row>
    <row r="507" spans="1:9" x14ac:dyDescent="0.25">
      <c r="A507" s="3">
        <v>505</v>
      </c>
      <c r="B507" s="3">
        <f t="shared" si="22"/>
        <v>70.5</v>
      </c>
      <c r="C507" s="12">
        <f t="shared" si="23"/>
        <v>4.2083329999999997</v>
      </c>
      <c r="D507" s="7"/>
      <c r="E507" s="10">
        <f>(ADC!I507+5/3)/(1/12)</f>
        <v>71.581448053919587</v>
      </c>
      <c r="F507" s="11">
        <f t="shared" si="21"/>
        <v>1.5339688708079249E-2</v>
      </c>
      <c r="G507" s="2"/>
      <c r="H507" s="2"/>
      <c r="I507" s="10">
        <f>ABS(C507-ADC!I507)</f>
        <v>9.0121004493298074E-2</v>
      </c>
    </row>
    <row r="508" spans="1:9" x14ac:dyDescent="0.25">
      <c r="A508" s="3">
        <v>506</v>
      </c>
      <c r="B508" s="3">
        <f t="shared" si="22"/>
        <v>70.599999999999994</v>
      </c>
      <c r="C508" s="12">
        <f t="shared" si="23"/>
        <v>4.2166670000000002</v>
      </c>
      <c r="D508" s="7"/>
      <c r="E508" s="10">
        <f>(ADC!I508+5/3)/(1/12)</f>
        <v>71.680051375044286</v>
      </c>
      <c r="F508" s="11">
        <f t="shared" si="21"/>
        <v>1.5298178116774671E-2</v>
      </c>
      <c r="G508" s="2"/>
      <c r="H508" s="2"/>
      <c r="I508" s="10">
        <f>ABS(C508-ADC!I508)</f>
        <v>9.0003947920356708E-2</v>
      </c>
    </row>
    <row r="509" spans="1:9" x14ac:dyDescent="0.25">
      <c r="A509" s="3">
        <v>507</v>
      </c>
      <c r="B509" s="3">
        <f t="shared" si="22"/>
        <v>70.7</v>
      </c>
      <c r="C509" s="12">
        <f t="shared" si="23"/>
        <v>4.2249999999999996</v>
      </c>
      <c r="D509" s="7"/>
      <c r="E509" s="10">
        <f>(ADC!I509+5/3)/(1/12)</f>
        <v>71.773298105658313</v>
      </c>
      <c r="F509" s="11">
        <f t="shared" si="21"/>
        <v>1.5181019882012869E-2</v>
      </c>
      <c r="G509" s="2"/>
      <c r="H509" s="2"/>
      <c r="I509" s="10">
        <f>ABS(C509-ADC!I509)</f>
        <v>8.9441508804858572E-2</v>
      </c>
    </row>
    <row r="510" spans="1:9" x14ac:dyDescent="0.25">
      <c r="A510" s="3">
        <v>508</v>
      </c>
      <c r="B510" s="3">
        <f t="shared" si="22"/>
        <v>70.800000000000011</v>
      </c>
      <c r="C510" s="12">
        <f t="shared" si="23"/>
        <v>4.233333</v>
      </c>
      <c r="D510" s="7"/>
      <c r="E510" s="10">
        <f>(ADC!I510+5/3)/(1/12)</f>
        <v>71.861221171114792</v>
      </c>
      <c r="F510" s="11">
        <f t="shared" si="21"/>
        <v>1.4988999592016675E-2</v>
      </c>
      <c r="G510" s="2"/>
      <c r="H510" s="2"/>
      <c r="I510" s="10">
        <f>ABS(C510-ADC!I510)</f>
        <v>8.8435430926232073E-2</v>
      </c>
    </row>
    <row r="511" spans="1:9" x14ac:dyDescent="0.25">
      <c r="A511" s="3">
        <v>509</v>
      </c>
      <c r="B511" s="3">
        <f t="shared" si="22"/>
        <v>70.900000000000006</v>
      </c>
      <c r="C511" s="12">
        <f t="shared" si="23"/>
        <v>4.2416669999999996</v>
      </c>
      <c r="D511" s="7"/>
      <c r="E511" s="10">
        <f>(ADC!I511+5/3)/(1/12)</f>
        <v>71.960214606072427</v>
      </c>
      <c r="F511" s="11">
        <f t="shared" si="21"/>
        <v>1.4953661580711155E-2</v>
      </c>
      <c r="G511" s="2"/>
      <c r="H511" s="2"/>
      <c r="I511" s="10">
        <f>ABS(C511-ADC!I511)</f>
        <v>8.8350883839368066E-2</v>
      </c>
    </row>
    <row r="512" spans="1:9" x14ac:dyDescent="0.25">
      <c r="A512" s="3">
        <v>510</v>
      </c>
      <c r="B512" s="3">
        <f t="shared" si="22"/>
        <v>71</v>
      </c>
      <c r="C512" s="12">
        <f t="shared" si="23"/>
        <v>4.25</v>
      </c>
      <c r="D512" s="7"/>
      <c r="E512" s="10">
        <f>(ADC!I512+5/3)/(1/12)</f>
        <v>72.059324020185983</v>
      </c>
      <c r="F512" s="11">
        <f t="shared" si="21"/>
        <v>1.4920056622337786E-2</v>
      </c>
      <c r="G512" s="2"/>
      <c r="H512" s="2"/>
      <c r="I512" s="10">
        <f>ABS(C512-ADC!I512)</f>
        <v>8.8277001682164347E-2</v>
      </c>
    </row>
    <row r="513" spans="1:9" x14ac:dyDescent="0.25">
      <c r="A513" s="3">
        <v>511</v>
      </c>
      <c r="B513" s="3">
        <f t="shared" si="22"/>
        <v>71.099999999999994</v>
      </c>
      <c r="C513" s="12">
        <f t="shared" si="23"/>
        <v>4.2583330000000004</v>
      </c>
      <c r="D513" s="7"/>
      <c r="E513" s="10">
        <f>(ADC!I513+5/3)/(1/12)</f>
        <v>72.15311708954836</v>
      </c>
      <c r="F513" s="11">
        <f t="shared" si="21"/>
        <v>1.4811773411369416E-2</v>
      </c>
      <c r="G513" s="2"/>
      <c r="H513" s="2"/>
      <c r="I513" s="10">
        <f>ABS(C513-ADC!I513)</f>
        <v>8.7760090795695689E-2</v>
      </c>
    </row>
    <row r="514" spans="1:9" x14ac:dyDescent="0.25">
      <c r="A514" s="3">
        <v>512</v>
      </c>
      <c r="B514" s="3">
        <f t="shared" si="22"/>
        <v>71.2</v>
      </c>
      <c r="C514" s="12">
        <f t="shared" si="23"/>
        <v>4.266667</v>
      </c>
      <c r="D514" s="7"/>
      <c r="E514" s="10">
        <f>(ADC!I514+5/3)/(1/12)</f>
        <v>72.247046210710593</v>
      </c>
      <c r="F514" s="11">
        <f t="shared" ref="F514:F577" si="24">ABS(B514-E514)/B514</f>
        <v>1.4705705206609413E-2</v>
      </c>
      <c r="G514" s="2"/>
      <c r="H514" s="2"/>
      <c r="I514" s="10">
        <f>ABS(C514-ADC!I514)</f>
        <v>8.725351755921551E-2</v>
      </c>
    </row>
    <row r="515" spans="1:9" x14ac:dyDescent="0.25">
      <c r="A515" s="3">
        <v>513</v>
      </c>
      <c r="B515" s="3">
        <f t="shared" ref="B515:B578" si="25">0.1*A515+20</f>
        <v>71.300000000000011</v>
      </c>
      <c r="C515" s="12">
        <f t="shared" ref="C515:C578" si="26">ROUND(1/12*B515-5/3,6)</f>
        <v>4.2750000000000004</v>
      </c>
      <c r="D515" s="7"/>
      <c r="E515" s="10">
        <f>(ADC!I515+5/3)/(1/12)</f>
        <v>72.341110036560877</v>
      </c>
      <c r="F515" s="11">
        <f t="shared" si="24"/>
        <v>1.4601823794682552E-2</v>
      </c>
      <c r="G515" s="2"/>
      <c r="H515" s="2"/>
      <c r="I515" s="10">
        <f>ABS(C515-ADC!I515)</f>
        <v>8.6759169713404916E-2</v>
      </c>
    </row>
    <row r="516" spans="1:9" x14ac:dyDescent="0.25">
      <c r="A516" s="3">
        <v>514</v>
      </c>
      <c r="B516" s="3">
        <f t="shared" si="25"/>
        <v>71.400000000000006</v>
      </c>
      <c r="C516" s="12">
        <f t="shared" si="26"/>
        <v>4.2833329999999998</v>
      </c>
      <c r="D516" s="7"/>
      <c r="E516" s="10">
        <f>(ADC!I516+5/3)/(1/12)</f>
        <v>72.435307218546882</v>
      </c>
      <c r="F516" s="11">
        <f t="shared" si="24"/>
        <v>1.4500101100096302E-2</v>
      </c>
      <c r="G516" s="2"/>
      <c r="H516" s="2"/>
      <c r="I516" s="10">
        <f>ABS(C516-ADC!I516)</f>
        <v>8.6275934878906391E-2</v>
      </c>
    </row>
    <row r="517" spans="1:9" x14ac:dyDescent="0.25">
      <c r="A517" s="3">
        <v>515</v>
      </c>
      <c r="B517" s="3">
        <f t="shared" si="25"/>
        <v>71.5</v>
      </c>
      <c r="C517" s="12">
        <f t="shared" si="26"/>
        <v>4.2916670000000003</v>
      </c>
      <c r="D517" s="7"/>
      <c r="E517" s="10">
        <f>(ADC!I517+5/3)/(1/12)</f>
        <v>72.535022134914044</v>
      </c>
      <c r="F517" s="11">
        <f t="shared" si="24"/>
        <v>1.4475834054741874E-2</v>
      </c>
      <c r="G517" s="2"/>
      <c r="H517" s="2"/>
      <c r="I517" s="10">
        <f>ABS(C517-ADC!I517)</f>
        <v>8.6251511242835477E-2</v>
      </c>
    </row>
    <row r="518" spans="1:9" x14ac:dyDescent="0.25">
      <c r="A518" s="3">
        <v>516</v>
      </c>
      <c r="B518" s="3">
        <f t="shared" si="25"/>
        <v>71.599999999999994</v>
      </c>
      <c r="C518" s="12">
        <f t="shared" si="26"/>
        <v>4.3</v>
      </c>
      <c r="D518" s="7"/>
      <c r="E518" s="10">
        <f>(ADC!I518+5/3)/(1/12)</f>
        <v>72.629470722113325</v>
      </c>
      <c r="F518" s="11">
        <f t="shared" si="24"/>
        <v>1.4378082711080041E-2</v>
      </c>
      <c r="G518" s="2"/>
      <c r="H518" s="2"/>
      <c r="I518" s="10">
        <f>ABS(C518-ADC!I518)</f>
        <v>8.5789226842776678E-2</v>
      </c>
    </row>
    <row r="519" spans="1:9" x14ac:dyDescent="0.25">
      <c r="A519" s="3">
        <v>517</v>
      </c>
      <c r="B519" s="3">
        <f t="shared" si="25"/>
        <v>71.7</v>
      </c>
      <c r="C519" s="12">
        <f t="shared" si="26"/>
        <v>4.3083330000000002</v>
      </c>
      <c r="D519" s="7"/>
      <c r="E519" s="10">
        <f>(ADC!I519+5/3)/(1/12)</f>
        <v>72.718685499640117</v>
      </c>
      <c r="F519" s="11">
        <f t="shared" si="24"/>
        <v>1.4207608084241475E-2</v>
      </c>
      <c r="G519" s="2"/>
      <c r="H519" s="2"/>
      <c r="I519" s="10">
        <f>ABS(C519-ADC!I519)</f>
        <v>8.4890791636675011E-2</v>
      </c>
    </row>
    <row r="520" spans="1:9" x14ac:dyDescent="0.25">
      <c r="A520" s="3">
        <v>518</v>
      </c>
      <c r="B520" s="3">
        <f t="shared" si="25"/>
        <v>71.800000000000011</v>
      </c>
      <c r="C520" s="12">
        <f t="shared" si="26"/>
        <v>4.3166669999999998</v>
      </c>
      <c r="D520" s="7"/>
      <c r="E520" s="10">
        <f>(ADC!I520+5/3)/(1/12)</f>
        <v>72.813402718368906</v>
      </c>
      <c r="F520" s="11">
        <f t="shared" si="24"/>
        <v>1.4114243988424709E-2</v>
      </c>
      <c r="G520" s="2"/>
      <c r="H520" s="2"/>
      <c r="I520" s="10">
        <f>ABS(C520-ADC!I520)</f>
        <v>8.4449893197408699E-2</v>
      </c>
    </row>
    <row r="521" spans="1:9" x14ac:dyDescent="0.25">
      <c r="A521" s="3">
        <v>519</v>
      </c>
      <c r="B521" s="3">
        <f t="shared" si="25"/>
        <v>71.900000000000006</v>
      </c>
      <c r="C521" s="12">
        <f t="shared" si="26"/>
        <v>4.3250000000000002</v>
      </c>
      <c r="D521" s="7"/>
      <c r="E521" s="10">
        <f>(ADC!I521+5/3)/(1/12)</f>
        <v>72.90824661886468</v>
      </c>
      <c r="F521" s="11">
        <f t="shared" si="24"/>
        <v>1.4022901514112306E-2</v>
      </c>
      <c r="G521" s="2"/>
      <c r="H521" s="2"/>
      <c r="I521" s="10">
        <f>ABS(C521-ADC!I521)</f>
        <v>8.4020551572055346E-2</v>
      </c>
    </row>
    <row r="522" spans="1:9" x14ac:dyDescent="0.25">
      <c r="A522" s="3">
        <v>520</v>
      </c>
      <c r="B522" s="3">
        <f t="shared" si="25"/>
        <v>72</v>
      </c>
      <c r="C522" s="12">
        <f t="shared" si="26"/>
        <v>4.3333329999999997</v>
      </c>
      <c r="D522" s="7"/>
      <c r="E522" s="10">
        <f>(ADC!I522+5/3)/(1/12)</f>
        <v>73.008545333162388</v>
      </c>
      <c r="F522" s="11">
        <f t="shared" si="24"/>
        <v>1.4007574071699835E-2</v>
      </c>
      <c r="G522" s="2"/>
      <c r="H522" s="2"/>
      <c r="I522" s="10">
        <f>ABS(C522-ADC!I522)</f>
        <v>8.4045777763532392E-2</v>
      </c>
    </row>
    <row r="523" spans="1:9" x14ac:dyDescent="0.25">
      <c r="A523" s="3">
        <v>521</v>
      </c>
      <c r="B523" s="3">
        <f t="shared" si="25"/>
        <v>72.099999999999994</v>
      </c>
      <c r="C523" s="12">
        <f t="shared" si="26"/>
        <v>4.3416670000000002</v>
      </c>
      <c r="D523" s="7"/>
      <c r="E523" s="10">
        <f>(ADC!I523+5/3)/(1/12)</f>
        <v>73.098309155969147</v>
      </c>
      <c r="F523" s="11">
        <f t="shared" si="24"/>
        <v>1.3846174146590196E-2</v>
      </c>
      <c r="G523" s="2"/>
      <c r="H523" s="2"/>
      <c r="I523" s="10">
        <f>ABS(C523-ADC!I523)</f>
        <v>8.3192096330761522E-2</v>
      </c>
    </row>
    <row r="524" spans="1:9" x14ac:dyDescent="0.25">
      <c r="A524" s="3">
        <v>522</v>
      </c>
      <c r="B524" s="3">
        <f t="shared" si="25"/>
        <v>72.2</v>
      </c>
      <c r="C524" s="12">
        <f t="shared" si="26"/>
        <v>4.3499999999999996</v>
      </c>
      <c r="D524" s="7"/>
      <c r="E524" s="10">
        <f>(ADC!I524+5/3)/(1/12)</f>
        <v>73.193525154219984</v>
      </c>
      <c r="F524" s="11">
        <f t="shared" si="24"/>
        <v>1.3760736208032974E-2</v>
      </c>
      <c r="G524" s="2"/>
      <c r="H524" s="2"/>
      <c r="I524" s="10">
        <f>ABS(C524-ADC!I524)</f>
        <v>8.2793762851665065E-2</v>
      </c>
    </row>
    <row r="525" spans="1:9" x14ac:dyDescent="0.25">
      <c r="A525" s="3">
        <v>523</v>
      </c>
      <c r="B525" s="3">
        <f t="shared" si="25"/>
        <v>72.300000000000011</v>
      </c>
      <c r="C525" s="12">
        <f t="shared" si="26"/>
        <v>4.358333</v>
      </c>
      <c r="D525" s="7"/>
      <c r="E525" s="10">
        <f>(ADC!I525+5/3)/(1/12)</f>
        <v>73.283566662335616</v>
      </c>
      <c r="F525" s="11">
        <f t="shared" si="24"/>
        <v>1.3603964900907393E-2</v>
      </c>
      <c r="G525" s="2"/>
      <c r="H525" s="2"/>
      <c r="I525" s="10">
        <f>ABS(C525-ADC!I525)</f>
        <v>8.1964221861300146E-2</v>
      </c>
    </row>
    <row r="526" spans="1:9" x14ac:dyDescent="0.25">
      <c r="A526" s="3">
        <v>524</v>
      </c>
      <c r="B526" s="3">
        <f t="shared" si="25"/>
        <v>72.400000000000006</v>
      </c>
      <c r="C526" s="12">
        <f t="shared" si="26"/>
        <v>4.3666669999999996</v>
      </c>
      <c r="D526" s="7"/>
      <c r="E526" s="10">
        <f>(ADC!I526+5/3)/(1/12)</f>
        <v>73.379035302532785</v>
      </c>
      <c r="F526" s="11">
        <f t="shared" si="24"/>
        <v>1.3522587051557719E-2</v>
      </c>
      <c r="G526" s="2"/>
      <c r="H526" s="2"/>
      <c r="I526" s="10">
        <f>ABS(C526-ADC!I526)</f>
        <v>8.1585941877731827E-2</v>
      </c>
    </row>
    <row r="527" spans="1:9" x14ac:dyDescent="0.25">
      <c r="A527" s="3">
        <v>525</v>
      </c>
      <c r="B527" s="3">
        <f t="shared" si="25"/>
        <v>72.5</v>
      </c>
      <c r="C527" s="12">
        <f t="shared" si="26"/>
        <v>4.375</v>
      </c>
      <c r="D527" s="7"/>
      <c r="E527" s="10">
        <f>(ADC!I527+5/3)/(1/12)</f>
        <v>73.469349118158888</v>
      </c>
      <c r="F527" s="11">
        <f t="shared" si="24"/>
        <v>1.3370332664260527E-2</v>
      </c>
      <c r="G527" s="2"/>
      <c r="H527" s="2"/>
      <c r="I527" s="10">
        <f>ABS(C527-ADC!I527)</f>
        <v>8.077909317990617E-2</v>
      </c>
    </row>
    <row r="528" spans="1:9" x14ac:dyDescent="0.25">
      <c r="A528" s="3">
        <v>526</v>
      </c>
      <c r="B528" s="3">
        <f t="shared" si="25"/>
        <v>72.599999999999994</v>
      </c>
      <c r="C528" s="12">
        <f t="shared" si="26"/>
        <v>4.3833330000000004</v>
      </c>
      <c r="D528" s="7"/>
      <c r="E528" s="10">
        <f>(ADC!I528+5/3)/(1/12)</f>
        <v>73.565065102571339</v>
      </c>
      <c r="F528" s="11">
        <f t="shared" si="24"/>
        <v>1.329290774891659E-2</v>
      </c>
      <c r="G528" s="2"/>
      <c r="H528" s="2"/>
      <c r="I528" s="10">
        <f>ABS(C528-ADC!I528)</f>
        <v>8.042242521427756E-2</v>
      </c>
    </row>
    <row r="529" spans="1:9" x14ac:dyDescent="0.25">
      <c r="A529" s="3">
        <v>527</v>
      </c>
      <c r="B529" s="3">
        <f t="shared" si="25"/>
        <v>72.7</v>
      </c>
      <c r="C529" s="12">
        <f t="shared" si="26"/>
        <v>4.391667</v>
      </c>
      <c r="D529" s="7"/>
      <c r="E529" s="10">
        <f>(ADC!I529+5/3)/(1/12)</f>
        <v>73.655645878265204</v>
      </c>
      <c r="F529" s="11">
        <f t="shared" si="24"/>
        <v>1.314506022373042E-2</v>
      </c>
      <c r="G529" s="2"/>
      <c r="H529" s="2"/>
      <c r="I529" s="10">
        <f>ABS(C529-ADC!I529)</f>
        <v>7.9636823188766748E-2</v>
      </c>
    </row>
    <row r="530" spans="1:9" x14ac:dyDescent="0.25">
      <c r="A530" s="3">
        <v>528</v>
      </c>
      <c r="B530" s="3">
        <f t="shared" si="25"/>
        <v>72.800000000000011</v>
      </c>
      <c r="C530" s="12">
        <f t="shared" si="26"/>
        <v>4.4000000000000004</v>
      </c>
      <c r="D530" s="7"/>
      <c r="E530" s="10">
        <f>(ADC!I530+5/3)/(1/12)</f>
        <v>73.746363689218313</v>
      </c>
      <c r="F530" s="11">
        <f t="shared" si="24"/>
        <v>1.2999501225526122E-2</v>
      </c>
      <c r="G530" s="2"/>
      <c r="H530" s="2"/>
      <c r="I530" s="10">
        <f>ABS(C530-ADC!I530)</f>
        <v>7.8863640768191523E-2</v>
      </c>
    </row>
    <row r="531" spans="1:9" x14ac:dyDescent="0.25">
      <c r="A531" s="3">
        <v>529</v>
      </c>
      <c r="B531" s="3">
        <f t="shared" si="25"/>
        <v>72.900000000000006</v>
      </c>
      <c r="C531" s="12">
        <f t="shared" si="26"/>
        <v>4.4083329999999998</v>
      </c>
      <c r="D531" s="7"/>
      <c r="E531" s="10">
        <f>(ADC!I531+5/3)/(1/12)</f>
        <v>73.842446354285002</v>
      </c>
      <c r="F531" s="11">
        <f t="shared" si="24"/>
        <v>1.2927933529286643E-2</v>
      </c>
      <c r="G531" s="2"/>
      <c r="H531" s="2"/>
      <c r="I531" s="10">
        <f>ABS(C531-ADC!I531)</f>
        <v>7.8537529523750038E-2</v>
      </c>
    </row>
    <row r="532" spans="1:9" x14ac:dyDescent="0.25">
      <c r="A532" s="3">
        <v>530</v>
      </c>
      <c r="B532" s="3">
        <f t="shared" si="25"/>
        <v>73</v>
      </c>
      <c r="C532" s="12">
        <f t="shared" si="26"/>
        <v>4.4166670000000003</v>
      </c>
      <c r="D532" s="7"/>
      <c r="E532" s="10">
        <f>(ADC!I532+5/3)/(1/12)</f>
        <v>73.938641251122974</v>
      </c>
      <c r="F532" s="11">
        <f t="shared" si="24"/>
        <v>1.2858099330451693E-2</v>
      </c>
      <c r="G532" s="2"/>
      <c r="H532" s="2"/>
      <c r="I532" s="10">
        <f>ABS(C532-ADC!I532)</f>
        <v>7.8219770926913235E-2</v>
      </c>
    </row>
    <row r="533" spans="1:9" x14ac:dyDescent="0.25">
      <c r="A533" s="3">
        <v>531</v>
      </c>
      <c r="B533" s="3">
        <f t="shared" si="25"/>
        <v>73.099999999999994</v>
      </c>
      <c r="C533" s="12">
        <f t="shared" si="26"/>
        <v>4.4249999999999998</v>
      </c>
      <c r="D533" s="7"/>
      <c r="E533" s="10">
        <f>(ADC!I533+5/3)/(1/12)</f>
        <v>74.029740016071784</v>
      </c>
      <c r="F533" s="11">
        <f t="shared" si="24"/>
        <v>1.2718741669928727E-2</v>
      </c>
      <c r="G533" s="2"/>
      <c r="H533" s="2"/>
      <c r="I533" s="10">
        <f>ABS(C533-ADC!I533)</f>
        <v>7.7478334672647975E-2</v>
      </c>
    </row>
    <row r="534" spans="1:9" x14ac:dyDescent="0.25">
      <c r="A534" s="3">
        <v>532</v>
      </c>
      <c r="B534" s="3">
        <f t="shared" si="25"/>
        <v>73.2</v>
      </c>
      <c r="C534" s="12">
        <f t="shared" si="26"/>
        <v>4.4333330000000002</v>
      </c>
      <c r="D534" s="7"/>
      <c r="E534" s="10">
        <f>(ADC!I534+5/3)/(1/12)</f>
        <v>74.12097049526416</v>
      </c>
      <c r="F534" s="11">
        <f t="shared" si="24"/>
        <v>1.2581564142952969E-2</v>
      </c>
      <c r="G534" s="2"/>
      <c r="H534" s="2"/>
      <c r="I534" s="10">
        <f>ABS(C534-ADC!I534)</f>
        <v>7.6747874605345601E-2</v>
      </c>
    </row>
    <row r="535" spans="1:9" x14ac:dyDescent="0.25">
      <c r="A535" s="3">
        <v>533</v>
      </c>
      <c r="B535" s="3">
        <f t="shared" si="25"/>
        <v>73.300000000000011</v>
      </c>
      <c r="C535" s="12">
        <f t="shared" si="26"/>
        <v>4.4416669999999998</v>
      </c>
      <c r="D535" s="7"/>
      <c r="E535" s="10">
        <f>(ADC!I535+5/3)/(1/12)</f>
        <v>74.217516391068756</v>
      </c>
      <c r="F535" s="11">
        <f t="shared" si="24"/>
        <v>1.2517276822220251E-2</v>
      </c>
      <c r="G535" s="2"/>
      <c r="H535" s="2"/>
      <c r="I535" s="10">
        <f>ABS(C535-ADC!I535)</f>
        <v>7.6459365922396216E-2</v>
      </c>
    </row>
    <row r="536" spans="1:9" x14ac:dyDescent="0.25">
      <c r="A536" s="3">
        <v>534</v>
      </c>
      <c r="B536" s="3">
        <f t="shared" si="25"/>
        <v>73.400000000000006</v>
      </c>
      <c r="C536" s="12">
        <f t="shared" si="26"/>
        <v>4.45</v>
      </c>
      <c r="D536" s="7"/>
      <c r="E536" s="10">
        <f>(ADC!I536+5/3)/(1/12)</f>
        <v>74.308995319815295</v>
      </c>
      <c r="F536" s="11">
        <f t="shared" si="24"/>
        <v>1.2384132422551632E-2</v>
      </c>
      <c r="G536" s="2"/>
      <c r="H536" s="2"/>
      <c r="I536" s="10">
        <f>ABS(C536-ADC!I536)</f>
        <v>7.5749609984606892E-2</v>
      </c>
    </row>
    <row r="537" spans="1:9" x14ac:dyDescent="0.25">
      <c r="A537" s="3">
        <v>535</v>
      </c>
      <c r="B537" s="3">
        <f t="shared" si="25"/>
        <v>73.5</v>
      </c>
      <c r="C537" s="12">
        <f t="shared" si="26"/>
        <v>4.4583329999999997</v>
      </c>
      <c r="D537" s="7"/>
      <c r="E537" s="10">
        <f>(ADC!I537+5/3)/(1/12)</f>
        <v>74.400602007800018</v>
      </c>
      <c r="F537" s="11">
        <f t="shared" si="24"/>
        <v>1.2253088541496839E-2</v>
      </c>
      <c r="G537" s="2"/>
      <c r="H537" s="2"/>
      <c r="I537" s="10">
        <f>ABS(C537-ADC!I537)</f>
        <v>7.5050500650000629E-2</v>
      </c>
    </row>
    <row r="538" spans="1:9" x14ac:dyDescent="0.25">
      <c r="A538" s="3">
        <v>536</v>
      </c>
      <c r="B538" s="3">
        <f t="shared" si="25"/>
        <v>73.599999999999994</v>
      </c>
      <c r="C538" s="12">
        <f t="shared" si="26"/>
        <v>4.4666670000000002</v>
      </c>
      <c r="D538" s="7"/>
      <c r="E538" s="10">
        <f>(ADC!I538+5/3)/(1/12)</f>
        <v>74.492335132134272</v>
      </c>
      <c r="F538" s="11">
        <f t="shared" si="24"/>
        <v>1.2124118643128776E-2</v>
      </c>
      <c r="G538" s="2"/>
      <c r="H538" s="2"/>
      <c r="I538" s="10">
        <f>ABS(C538-ADC!I538)</f>
        <v>7.436092767785496E-2</v>
      </c>
    </row>
    <row r="539" spans="1:9" x14ac:dyDescent="0.25">
      <c r="A539" s="3">
        <v>537</v>
      </c>
      <c r="B539" s="3">
        <f t="shared" si="25"/>
        <v>73.7</v>
      </c>
      <c r="C539" s="12">
        <f t="shared" si="26"/>
        <v>4.4749999999999996</v>
      </c>
      <c r="D539" s="7"/>
      <c r="E539" s="10">
        <f>(ADC!I539+5/3)/(1/12)</f>
        <v>74.579052252925621</v>
      </c>
      <c r="F539" s="11">
        <f t="shared" si="24"/>
        <v>1.1927438981351669E-2</v>
      </c>
      <c r="G539" s="2"/>
      <c r="H539" s="2"/>
      <c r="I539" s="10">
        <f>ABS(C539-ADC!I539)</f>
        <v>7.3254354410468459E-2</v>
      </c>
    </row>
    <row r="540" spans="1:9" x14ac:dyDescent="0.25">
      <c r="A540" s="3">
        <v>538</v>
      </c>
      <c r="B540" s="3">
        <f t="shared" si="25"/>
        <v>73.800000000000011</v>
      </c>
      <c r="C540" s="12">
        <f t="shared" si="26"/>
        <v>4.483333</v>
      </c>
      <c r="D540" s="7"/>
      <c r="E540" s="10">
        <f>(ADC!I540+5/3)/(1/12)</f>
        <v>74.67617544781136</v>
      </c>
      <c r="F540" s="11">
        <f t="shared" si="24"/>
        <v>1.1872296040804182E-2</v>
      </c>
      <c r="G540" s="2"/>
      <c r="H540" s="2"/>
      <c r="I540" s="10">
        <f>ABS(C540-ADC!I540)</f>
        <v>7.3014953984279707E-2</v>
      </c>
    </row>
    <row r="541" spans="1:9" x14ac:dyDescent="0.25">
      <c r="A541" s="3">
        <v>539</v>
      </c>
      <c r="B541" s="3">
        <f t="shared" si="25"/>
        <v>73.900000000000006</v>
      </c>
      <c r="C541" s="12">
        <f t="shared" si="26"/>
        <v>4.4916669999999996</v>
      </c>
      <c r="D541" s="7"/>
      <c r="E541" s="10">
        <f>(ADC!I541+5/3)/(1/12)</f>
        <v>74.768280021397075</v>
      </c>
      <c r="F541" s="11">
        <f t="shared" si="24"/>
        <v>1.1749391358553036E-2</v>
      </c>
      <c r="G541" s="2"/>
      <c r="H541" s="2"/>
      <c r="I541" s="10">
        <f>ABS(C541-ADC!I541)</f>
        <v>7.2356335116422699E-2</v>
      </c>
    </row>
    <row r="542" spans="1:9" x14ac:dyDescent="0.25">
      <c r="A542" s="3">
        <v>540</v>
      </c>
      <c r="B542" s="3">
        <f t="shared" si="25"/>
        <v>74</v>
      </c>
      <c r="C542" s="12">
        <f t="shared" si="26"/>
        <v>4.5</v>
      </c>
      <c r="D542" s="7"/>
      <c r="E542" s="10">
        <f>(ADC!I542+5/3)/(1/12)</f>
        <v>74.850289046463701</v>
      </c>
      <c r="F542" s="11">
        <f t="shared" si="24"/>
        <v>1.1490392519779737E-2</v>
      </c>
      <c r="G542" s="2"/>
      <c r="H542" s="2"/>
      <c r="I542" s="10">
        <f>ABS(C542-ADC!I542)</f>
        <v>7.0857420538640525E-2</v>
      </c>
    </row>
    <row r="543" spans="1:9" x14ac:dyDescent="0.25">
      <c r="A543" s="3">
        <v>541</v>
      </c>
      <c r="B543" s="3">
        <f t="shared" si="25"/>
        <v>74.099999999999994</v>
      </c>
      <c r="C543" s="12">
        <f t="shared" si="26"/>
        <v>4.5083330000000004</v>
      </c>
      <c r="D543" s="7"/>
      <c r="E543" s="10">
        <f>(ADC!I543+5/3)/(1/12)</f>
        <v>74.942656489964108</v>
      </c>
      <c r="F543" s="11">
        <f t="shared" si="24"/>
        <v>1.1371882455656054E-2</v>
      </c>
      <c r="G543" s="2"/>
      <c r="H543" s="2"/>
      <c r="I543" s="10">
        <f>ABS(C543-ADC!I543)</f>
        <v>7.0221707497007735E-2</v>
      </c>
    </row>
    <row r="544" spans="1:9" x14ac:dyDescent="0.25">
      <c r="A544" s="3">
        <v>542</v>
      </c>
      <c r="B544" s="3">
        <f t="shared" si="25"/>
        <v>74.2</v>
      </c>
      <c r="C544" s="12">
        <f t="shared" si="26"/>
        <v>4.516667</v>
      </c>
      <c r="D544" s="7"/>
      <c r="E544" s="10">
        <f>(ADC!I544+5/3)/(1/12)</f>
        <v>75.040229136441965</v>
      </c>
      <c r="F544" s="11">
        <f t="shared" si="24"/>
        <v>1.1323842809190869E-2</v>
      </c>
      <c r="G544" s="2"/>
      <c r="H544" s="2"/>
      <c r="I544" s="10">
        <f>ABS(C544-ADC!I544)</f>
        <v>7.0018761370162608E-2</v>
      </c>
    </row>
    <row r="545" spans="1:9" x14ac:dyDescent="0.25">
      <c r="A545" s="3">
        <v>543</v>
      </c>
      <c r="B545" s="3">
        <f t="shared" si="25"/>
        <v>74.300000000000011</v>
      </c>
      <c r="C545" s="12">
        <f t="shared" si="26"/>
        <v>4.5250000000000004</v>
      </c>
      <c r="D545" s="7"/>
      <c r="E545" s="10">
        <f>(ADC!I545+5/3)/(1/12)</f>
        <v>75.127745815682516</v>
      </c>
      <c r="F545" s="11">
        <f t="shared" si="24"/>
        <v>1.1140589713088893E-2</v>
      </c>
      <c r="G545" s="2"/>
      <c r="H545" s="2"/>
      <c r="I545" s="10">
        <f>ABS(C545-ADC!I545)</f>
        <v>6.8978817973541773E-2</v>
      </c>
    </row>
    <row r="546" spans="1:9" x14ac:dyDescent="0.25">
      <c r="A546" s="3">
        <v>544</v>
      </c>
      <c r="B546" s="3">
        <f t="shared" si="25"/>
        <v>74.400000000000006</v>
      </c>
      <c r="C546" s="12">
        <f t="shared" si="26"/>
        <v>4.5333329999999998</v>
      </c>
      <c r="D546" s="7"/>
      <c r="E546" s="10">
        <f>(ADC!I546+5/3)/(1/12)</f>
        <v>75.220465116761545</v>
      </c>
      <c r="F546" s="11">
        <f t="shared" si="24"/>
        <v>1.1027756945719617E-2</v>
      </c>
      <c r="G546" s="2"/>
      <c r="H546" s="2"/>
      <c r="I546" s="10">
        <f>ABS(C546-ADC!I546)</f>
        <v>6.8372426396794417E-2</v>
      </c>
    </row>
    <row r="547" spans="1:9" x14ac:dyDescent="0.25">
      <c r="A547" s="3">
        <v>545</v>
      </c>
      <c r="B547" s="3">
        <f t="shared" si="25"/>
        <v>74.5</v>
      </c>
      <c r="C547" s="12">
        <f t="shared" si="26"/>
        <v>4.5416670000000003</v>
      </c>
      <c r="D547" s="7"/>
      <c r="E547" s="10">
        <f>(ADC!I547+5/3)/(1/12)</f>
        <v>75.308245007266578</v>
      </c>
      <c r="F547" s="11">
        <f t="shared" si="24"/>
        <v>1.0848926272034603E-2</v>
      </c>
      <c r="G547" s="2"/>
      <c r="H547" s="2"/>
      <c r="I547" s="10">
        <f>ABS(C547-ADC!I547)</f>
        <v>6.7353417272213889E-2</v>
      </c>
    </row>
    <row r="548" spans="1:9" x14ac:dyDescent="0.25">
      <c r="A548" s="3">
        <v>546</v>
      </c>
      <c r="B548" s="3">
        <f t="shared" si="25"/>
        <v>74.599999999999994</v>
      </c>
      <c r="C548" s="12">
        <f t="shared" si="26"/>
        <v>4.55</v>
      </c>
      <c r="D548" s="7"/>
      <c r="E548" s="10">
        <f>(ADC!I548+5/3)/(1/12)</f>
        <v>75.401203247263467</v>
      </c>
      <c r="F548" s="11">
        <f t="shared" si="24"/>
        <v>1.0739989909698029E-2</v>
      </c>
      <c r="G548" s="2"/>
      <c r="H548" s="2"/>
      <c r="I548" s="10">
        <f>ABS(C548-ADC!I548)</f>
        <v>6.6766937271954596E-2</v>
      </c>
    </row>
    <row r="549" spans="1:9" x14ac:dyDescent="0.25">
      <c r="A549" s="3">
        <v>547</v>
      </c>
      <c r="B549" s="3">
        <f t="shared" si="25"/>
        <v>74.7</v>
      </c>
      <c r="C549" s="12">
        <f t="shared" si="26"/>
        <v>4.5583330000000002</v>
      </c>
      <c r="D549" s="7"/>
      <c r="E549" s="10">
        <f>(ADC!I549+5/3)/(1/12)</f>
        <v>75.494273624430448</v>
      </c>
      <c r="F549" s="11">
        <f t="shared" si="24"/>
        <v>1.0632846377917612E-2</v>
      </c>
      <c r="G549" s="2"/>
      <c r="H549" s="2"/>
      <c r="I549" s="10">
        <f>ABS(C549-ADC!I549)</f>
        <v>6.6189802035869327E-2</v>
      </c>
    </row>
    <row r="550" spans="1:9" x14ac:dyDescent="0.25">
      <c r="A550" s="3">
        <v>548</v>
      </c>
      <c r="B550" s="3">
        <f t="shared" si="25"/>
        <v>74.800000000000011</v>
      </c>
      <c r="C550" s="12">
        <f t="shared" si="26"/>
        <v>4.5666669999999998</v>
      </c>
      <c r="D550" s="7"/>
      <c r="E550" s="10">
        <f>(ADC!I550+5/3)/(1/12)</f>
        <v>75.582433092664175</v>
      </c>
      <c r="F550" s="11">
        <f t="shared" si="24"/>
        <v>1.0460335463424645E-2</v>
      </c>
      <c r="G550" s="2"/>
      <c r="H550" s="2"/>
      <c r="I550" s="10">
        <f>ABS(C550-ADC!I550)</f>
        <v>6.5202424388680846E-2</v>
      </c>
    </row>
    <row r="551" spans="1:9" x14ac:dyDescent="0.25">
      <c r="A551" s="3">
        <v>549</v>
      </c>
      <c r="B551" s="3">
        <f t="shared" si="25"/>
        <v>74.900000000000006</v>
      </c>
      <c r="C551" s="12">
        <f t="shared" si="26"/>
        <v>4.5750000000000002</v>
      </c>
      <c r="D551" s="7"/>
      <c r="E551" s="10">
        <f>(ADC!I551+5/3)/(1/12)</f>
        <v>75.670723657647912</v>
      </c>
      <c r="F551" s="11">
        <f t="shared" si="24"/>
        <v>1.0290035482615568E-2</v>
      </c>
      <c r="G551" s="2"/>
      <c r="H551" s="2"/>
      <c r="I551" s="10">
        <f>ABS(C551-ADC!I551)</f>
        <v>6.4226971470658256E-2</v>
      </c>
    </row>
    <row r="552" spans="1:9" x14ac:dyDescent="0.25">
      <c r="A552" s="3">
        <v>550</v>
      </c>
      <c r="B552" s="3">
        <f t="shared" si="25"/>
        <v>75</v>
      </c>
      <c r="C552" s="12">
        <f t="shared" si="26"/>
        <v>4.5833329999999997</v>
      </c>
      <c r="D552" s="7"/>
      <c r="E552" s="10">
        <f>(ADC!I552+5/3)/(1/12)</f>
        <v>75.764144278805347</v>
      </c>
      <c r="F552" s="11">
        <f t="shared" si="24"/>
        <v>1.018859038407129E-2</v>
      </c>
      <c r="G552" s="2"/>
      <c r="H552" s="2"/>
      <c r="I552" s="10">
        <f>ABS(C552-ADC!I552)</f>
        <v>6.3679023233778942E-2</v>
      </c>
    </row>
    <row r="553" spans="1:9" x14ac:dyDescent="0.25">
      <c r="A553" s="3">
        <v>551</v>
      </c>
      <c r="B553" s="3">
        <f t="shared" si="25"/>
        <v>75.099999999999994</v>
      </c>
      <c r="C553" s="12">
        <f t="shared" si="26"/>
        <v>4.5916670000000002</v>
      </c>
      <c r="D553" s="7"/>
      <c r="E553" s="10">
        <f>(ADC!I553+5/3)/(1/12)</f>
        <v>75.85268236876135</v>
      </c>
      <c r="F553" s="11">
        <f t="shared" si="24"/>
        <v>1.0022401714532034E-2</v>
      </c>
      <c r="G553" s="2"/>
      <c r="H553" s="2"/>
      <c r="I553" s="10">
        <f>ABS(C553-ADC!I553)</f>
        <v>6.2723197396778119E-2</v>
      </c>
    </row>
    <row r="554" spans="1:9" x14ac:dyDescent="0.25">
      <c r="A554" s="3">
        <v>552</v>
      </c>
      <c r="B554" s="3">
        <f t="shared" si="25"/>
        <v>75.2</v>
      </c>
      <c r="C554" s="12">
        <f t="shared" si="26"/>
        <v>4.5999999999999996</v>
      </c>
      <c r="D554" s="7"/>
      <c r="E554" s="10">
        <f>(ADC!I554+5/3)/(1/12)</f>
        <v>75.941347635029103</v>
      </c>
      <c r="F554" s="11">
        <f t="shared" si="24"/>
        <v>9.8583462104933593E-3</v>
      </c>
      <c r="G554" s="2"/>
      <c r="H554" s="2"/>
      <c r="I554" s="10">
        <f>ABS(C554-ADC!I554)</f>
        <v>6.1778969585758681E-2</v>
      </c>
    </row>
    <row r="555" spans="1:9" x14ac:dyDescent="0.25">
      <c r="A555" s="3">
        <v>553</v>
      </c>
      <c r="B555" s="3">
        <f t="shared" si="25"/>
        <v>75.300000000000011</v>
      </c>
      <c r="C555" s="12">
        <f t="shared" si="26"/>
        <v>4.608333</v>
      </c>
      <c r="D555" s="7"/>
      <c r="E555" s="10">
        <f>(ADC!I555+5/3)/(1/12)</f>
        <v>76.030138770803006</v>
      </c>
      <c r="F555" s="11">
        <f t="shared" si="24"/>
        <v>9.69639801863207E-3</v>
      </c>
      <c r="G555" s="2"/>
      <c r="H555" s="2"/>
      <c r="I555" s="10">
        <f>ABS(C555-ADC!I555)</f>
        <v>6.0845230900249625E-2</v>
      </c>
    </row>
    <row r="556" spans="1:9" x14ac:dyDescent="0.25">
      <c r="A556" s="3">
        <v>554</v>
      </c>
      <c r="B556" s="3">
        <f t="shared" si="25"/>
        <v>75.400000000000006</v>
      </c>
      <c r="C556" s="12">
        <f t="shared" si="26"/>
        <v>4.6166669999999996</v>
      </c>
      <c r="D556" s="7"/>
      <c r="E556" s="10">
        <f>(ADC!I556+5/3)/(1/12)</f>
        <v>76.124011976542505</v>
      </c>
      <c r="F556" s="11">
        <f t="shared" si="24"/>
        <v>9.6022808560013162E-3</v>
      </c>
      <c r="G556" s="2"/>
      <c r="H556" s="2"/>
      <c r="I556" s="10">
        <f>ABS(C556-ADC!I556)</f>
        <v>6.0333998045208226E-2</v>
      </c>
    </row>
    <row r="557" spans="1:9" x14ac:dyDescent="0.25">
      <c r="A557" s="3">
        <v>555</v>
      </c>
      <c r="B557" s="3">
        <f t="shared" si="25"/>
        <v>75.5</v>
      </c>
      <c r="C557" s="12">
        <f t="shared" si="26"/>
        <v>4.625</v>
      </c>
      <c r="D557" s="7"/>
      <c r="E557" s="10">
        <f>(ADC!I557+5/3)/(1/12)</f>
        <v>76.213040298690331</v>
      </c>
      <c r="F557" s="11">
        <f t="shared" si="24"/>
        <v>9.4442423667593454E-3</v>
      </c>
      <c r="G557" s="2"/>
      <c r="H557" s="2"/>
      <c r="I557" s="10">
        <f>ABS(C557-ADC!I557)</f>
        <v>5.942002489086029E-2</v>
      </c>
    </row>
    <row r="558" spans="1:9" x14ac:dyDescent="0.25">
      <c r="A558" s="3">
        <v>556</v>
      </c>
      <c r="B558" s="3">
        <f t="shared" si="25"/>
        <v>75.599999999999994</v>
      </c>
      <c r="C558" s="12">
        <f t="shared" si="26"/>
        <v>4.6333330000000004</v>
      </c>
      <c r="D558" s="7"/>
      <c r="E558" s="10">
        <f>(ADC!I558+5/3)/(1/12)</f>
        <v>76.302190615635496</v>
      </c>
      <c r="F558" s="11">
        <f t="shared" si="24"/>
        <v>9.2882356565542543E-3</v>
      </c>
      <c r="G558" s="2"/>
      <c r="H558" s="2"/>
      <c r="I558" s="10">
        <f>ABS(C558-ADC!I558)</f>
        <v>5.8516217969623696E-2</v>
      </c>
    </row>
    <row r="559" spans="1:9" x14ac:dyDescent="0.25">
      <c r="A559" s="3">
        <v>557</v>
      </c>
      <c r="B559" s="3">
        <f t="shared" si="25"/>
        <v>75.7</v>
      </c>
      <c r="C559" s="12">
        <f t="shared" si="26"/>
        <v>4.641667</v>
      </c>
      <c r="D559" s="7"/>
      <c r="E559" s="10">
        <f>(ADC!I559+5/3)/(1/12)</f>
        <v>76.386536045937618</v>
      </c>
      <c r="F559" s="11">
        <f t="shared" si="24"/>
        <v>9.0691683743410155E-3</v>
      </c>
      <c r="G559" s="2"/>
      <c r="H559" s="2"/>
      <c r="I559" s="10">
        <f>ABS(C559-ADC!I559)</f>
        <v>5.7211003828133933E-2</v>
      </c>
    </row>
    <row r="560" spans="1:9" x14ac:dyDescent="0.25">
      <c r="A560" s="3">
        <v>558</v>
      </c>
      <c r="B560" s="3">
        <f t="shared" si="25"/>
        <v>75.800000000000011</v>
      </c>
      <c r="C560" s="12">
        <f t="shared" si="26"/>
        <v>4.6500000000000004</v>
      </c>
      <c r="D560" s="7"/>
      <c r="E560" s="10">
        <f>(ADC!I560+5/3)/(1/12)</f>
        <v>76.475937087524102</v>
      </c>
      <c r="F560" s="11">
        <f t="shared" si="24"/>
        <v>8.9173758248560723E-3</v>
      </c>
      <c r="G560" s="2"/>
      <c r="H560" s="2"/>
      <c r="I560" s="10">
        <f>ABS(C560-ADC!I560)</f>
        <v>5.6328090627007832E-2</v>
      </c>
    </row>
    <row r="561" spans="1:9" x14ac:dyDescent="0.25">
      <c r="A561" s="3">
        <v>559</v>
      </c>
      <c r="B561" s="3">
        <f t="shared" si="25"/>
        <v>75.900000000000006</v>
      </c>
      <c r="C561" s="12">
        <f t="shared" si="26"/>
        <v>4.6583329999999998</v>
      </c>
      <c r="D561" s="7"/>
      <c r="E561" s="10">
        <f>(ADC!I561+5/3)/(1/12)</f>
        <v>76.565456247802359</v>
      </c>
      <c r="F561" s="11">
        <f t="shared" si="24"/>
        <v>8.7675394967372013E-3</v>
      </c>
      <c r="G561" s="2"/>
      <c r="H561" s="2"/>
      <c r="I561" s="10">
        <f>ABS(C561-ADC!I561)</f>
        <v>5.5455020650196474E-2</v>
      </c>
    </row>
    <row r="562" spans="1:9" x14ac:dyDescent="0.25">
      <c r="A562" s="3">
        <v>560</v>
      </c>
      <c r="B562" s="3">
        <f t="shared" si="25"/>
        <v>76</v>
      </c>
      <c r="C562" s="12">
        <f t="shared" si="26"/>
        <v>4.6666670000000003</v>
      </c>
      <c r="D562" s="7"/>
      <c r="E562" s="10">
        <f>(ADC!I562+5/3)/(1/12)</f>
        <v>76.650198428673121</v>
      </c>
      <c r="F562" s="11">
        <f t="shared" si="24"/>
        <v>8.5552424825410724E-3</v>
      </c>
      <c r="G562" s="2"/>
      <c r="H562" s="2"/>
      <c r="I562" s="10">
        <f>ABS(C562-ADC!I562)</f>
        <v>5.4182869056092819E-2</v>
      </c>
    </row>
    <row r="563" spans="1:9" x14ac:dyDescent="0.25">
      <c r="A563" s="3">
        <v>561</v>
      </c>
      <c r="B563" s="3">
        <f t="shared" si="25"/>
        <v>76.099999999999994</v>
      </c>
      <c r="C563" s="12">
        <f t="shared" si="26"/>
        <v>4.6749999999999998</v>
      </c>
      <c r="D563" s="7"/>
      <c r="E563" s="10">
        <f>(ADC!I563+5/3)/(1/12)</f>
        <v>76.744843817880337</v>
      </c>
      <c r="F563" s="11">
        <f t="shared" si="24"/>
        <v>8.473637554275203E-3</v>
      </c>
      <c r="G563" s="2"/>
      <c r="H563" s="2"/>
      <c r="I563" s="10">
        <f>ABS(C563-ADC!I563)</f>
        <v>5.3736984823360423E-2</v>
      </c>
    </row>
    <row r="564" spans="1:9" x14ac:dyDescent="0.25">
      <c r="A564" s="3">
        <v>562</v>
      </c>
      <c r="B564" s="3">
        <f t="shared" si="25"/>
        <v>76.2</v>
      </c>
      <c r="C564" s="12">
        <f t="shared" si="26"/>
        <v>4.6833330000000002</v>
      </c>
      <c r="D564" s="7"/>
      <c r="E564" s="10">
        <f>(ADC!I564+5/3)/(1/12)</f>
        <v>76.834709681468411</v>
      </c>
      <c r="F564" s="11">
        <f t="shared" si="24"/>
        <v>8.3295233788504962E-3</v>
      </c>
      <c r="G564" s="2"/>
      <c r="H564" s="2"/>
      <c r="I564" s="10">
        <f>ABS(C564-ADC!I564)</f>
        <v>5.2892806789033742E-2</v>
      </c>
    </row>
    <row r="565" spans="1:9" x14ac:dyDescent="0.25">
      <c r="A565" s="3">
        <v>563</v>
      </c>
      <c r="B565" s="3">
        <f t="shared" si="25"/>
        <v>76.300000000000011</v>
      </c>
      <c r="C565" s="12">
        <f t="shared" si="26"/>
        <v>4.6916669999999998</v>
      </c>
      <c r="D565" s="7"/>
      <c r="E565" s="10">
        <f>(ADC!I565+5/3)/(1/12)</f>
        <v>76.919826347939036</v>
      </c>
      <c r="F565" s="11">
        <f t="shared" si="24"/>
        <v>8.1235432233161837E-3</v>
      </c>
      <c r="G565" s="2"/>
      <c r="H565" s="2"/>
      <c r="I565" s="10">
        <f>ABS(C565-ADC!I565)</f>
        <v>5.1651862328252918E-2</v>
      </c>
    </row>
    <row r="566" spans="1:9" x14ac:dyDescent="0.25">
      <c r="A566" s="3">
        <v>564</v>
      </c>
      <c r="B566" s="3">
        <f t="shared" si="25"/>
        <v>76.400000000000006</v>
      </c>
      <c r="C566" s="12">
        <f t="shared" si="26"/>
        <v>4.7</v>
      </c>
      <c r="D566" s="7"/>
      <c r="E566" s="10">
        <f>(ADC!I566+5/3)/(1/12)</f>
        <v>77.005075791077829</v>
      </c>
      <c r="F566" s="11">
        <f t="shared" si="24"/>
        <v>7.9198401973537037E-3</v>
      </c>
      <c r="G566" s="2"/>
      <c r="H566" s="2"/>
      <c r="I566" s="10">
        <f>ABS(C566-ADC!I566)</f>
        <v>5.0422982589818588E-2</v>
      </c>
    </row>
    <row r="567" spans="1:9" x14ac:dyDescent="0.25">
      <c r="A567" s="3">
        <v>565</v>
      </c>
      <c r="B567" s="3">
        <f t="shared" si="25"/>
        <v>76.5</v>
      </c>
      <c r="C567" s="12">
        <f t="shared" si="26"/>
        <v>4.7083329999999997</v>
      </c>
      <c r="D567" s="7"/>
      <c r="E567" s="10">
        <f>(ADC!I567+5/3)/(1/12)</f>
        <v>77.100139156049892</v>
      </c>
      <c r="F567" s="11">
        <f t="shared" si="24"/>
        <v>7.8449562882338779E-3</v>
      </c>
      <c r="G567" s="2"/>
      <c r="H567" s="2"/>
      <c r="I567" s="10">
        <f>ABS(C567-ADC!I567)</f>
        <v>5.0011929670824351E-2</v>
      </c>
    </row>
    <row r="568" spans="1:9" x14ac:dyDescent="0.25">
      <c r="A568" s="3">
        <v>566</v>
      </c>
      <c r="B568" s="3">
        <f t="shared" si="25"/>
        <v>76.599999999999994</v>
      </c>
      <c r="C568" s="12">
        <f t="shared" si="26"/>
        <v>4.7166670000000002</v>
      </c>
      <c r="D568" s="7"/>
      <c r="E568" s="10">
        <f>(ADC!I568+5/3)/(1/12)</f>
        <v>77.185629266558252</v>
      </c>
      <c r="F568" s="11">
        <f t="shared" si="24"/>
        <v>7.6452906861391289E-3</v>
      </c>
      <c r="G568" s="2"/>
      <c r="H568" s="2"/>
      <c r="I568" s="10">
        <f>ABS(C568-ADC!I568)</f>
        <v>4.8802105546520202E-2</v>
      </c>
    </row>
    <row r="569" spans="1:9" x14ac:dyDescent="0.25">
      <c r="A569" s="3">
        <v>567</v>
      </c>
      <c r="B569" s="3">
        <f t="shared" si="25"/>
        <v>76.7</v>
      </c>
      <c r="C569" s="12">
        <f t="shared" si="26"/>
        <v>4.7249999999999996</v>
      </c>
      <c r="D569" s="7"/>
      <c r="E569" s="10">
        <f>(ADC!I569+5/3)/(1/12)</f>
        <v>77.271248266477883</v>
      </c>
      <c r="F569" s="11">
        <f t="shared" si="24"/>
        <v>7.4478261600766675E-3</v>
      </c>
      <c r="G569" s="2"/>
      <c r="H569" s="2"/>
      <c r="I569" s="10">
        <f>ABS(C569-ADC!I569)</f>
        <v>4.7604022206489738E-2</v>
      </c>
    </row>
    <row r="570" spans="1:9" x14ac:dyDescent="0.25">
      <c r="A570" s="3">
        <v>568</v>
      </c>
      <c r="B570" s="3">
        <f t="shared" si="25"/>
        <v>76.800000000000011</v>
      </c>
      <c r="C570" s="12">
        <f t="shared" si="26"/>
        <v>4.733333</v>
      </c>
      <c r="D570" s="7"/>
      <c r="E570" s="10">
        <f>(ADC!I570+5/3)/(1/12)</f>
        <v>77.361804732475633</v>
      </c>
      <c r="F570" s="11">
        <f t="shared" si="24"/>
        <v>7.3151657874429921E-3</v>
      </c>
      <c r="G570" s="2"/>
      <c r="H570" s="2"/>
      <c r="I570" s="10">
        <f>ABS(C570-ADC!I570)</f>
        <v>4.6817394372968835E-2</v>
      </c>
    </row>
    <row r="571" spans="1:9" x14ac:dyDescent="0.25">
      <c r="A571" s="3">
        <v>569</v>
      </c>
      <c r="B571" s="3">
        <f t="shared" si="25"/>
        <v>76.900000000000006</v>
      </c>
      <c r="C571" s="12">
        <f t="shared" si="26"/>
        <v>4.7416669999999996</v>
      </c>
      <c r="D571" s="7"/>
      <c r="E571" s="10">
        <f>(ADC!I571+5/3)/(1/12)</f>
        <v>77.447667192801589</v>
      </c>
      <c r="F571" s="11">
        <f t="shared" si="24"/>
        <v>7.1218100494354125E-3</v>
      </c>
      <c r="G571" s="2"/>
      <c r="H571" s="2"/>
      <c r="I571" s="10">
        <f>ABS(C571-ADC!I571)</f>
        <v>4.5638599400132485E-2</v>
      </c>
    </row>
    <row r="572" spans="1:9" x14ac:dyDescent="0.25">
      <c r="A572" s="3">
        <v>570</v>
      </c>
      <c r="B572" s="3">
        <f t="shared" si="25"/>
        <v>77</v>
      </c>
      <c r="C572" s="12">
        <f t="shared" si="26"/>
        <v>4.75</v>
      </c>
      <c r="D572" s="7"/>
      <c r="E572" s="10">
        <f>(ADC!I572+5/3)/(1/12)</f>
        <v>77.533654674791237</v>
      </c>
      <c r="F572" s="11">
        <f t="shared" si="24"/>
        <v>6.9305801920939809E-3</v>
      </c>
      <c r="G572" s="2"/>
      <c r="H572" s="2"/>
      <c r="I572" s="10">
        <f>ABS(C572-ADC!I572)</f>
        <v>4.4471222899269414E-2</v>
      </c>
    </row>
    <row r="573" spans="1:9" x14ac:dyDescent="0.25">
      <c r="A573" s="3">
        <v>571</v>
      </c>
      <c r="B573" s="3">
        <f t="shared" si="25"/>
        <v>77.099999999999994</v>
      </c>
      <c r="C573" s="12">
        <f t="shared" si="26"/>
        <v>4.7583330000000004</v>
      </c>
      <c r="D573" s="7"/>
      <c r="E573" s="10">
        <f>(ADC!I573+5/3)/(1/12)</f>
        <v>77.619765889080881</v>
      </c>
      <c r="F573" s="11">
        <f t="shared" si="24"/>
        <v>6.7414512202449645E-3</v>
      </c>
      <c r="G573" s="2"/>
      <c r="H573" s="2"/>
      <c r="I573" s="10">
        <f>ABS(C573-ADC!I573)</f>
        <v>4.3314157423405497E-2</v>
      </c>
    </row>
    <row r="574" spans="1:9" x14ac:dyDescent="0.25">
      <c r="A574" s="3">
        <v>572</v>
      </c>
      <c r="B574" s="3">
        <f t="shared" si="25"/>
        <v>77.2</v>
      </c>
      <c r="C574" s="12">
        <f t="shared" si="26"/>
        <v>4.766667</v>
      </c>
      <c r="D574" s="7"/>
      <c r="E574" s="10">
        <f>(ADC!I574+5/3)/(1/12)</f>
        <v>77.710767857284793</v>
      </c>
      <c r="F574" s="11">
        <f t="shared" si="24"/>
        <v>6.6161639544661949E-3</v>
      </c>
      <c r="G574" s="2"/>
      <c r="H574" s="2"/>
      <c r="I574" s="10">
        <f>ABS(C574-ADC!I574)</f>
        <v>4.2563654773731585E-2</v>
      </c>
    </row>
    <row r="575" spans="1:9" x14ac:dyDescent="0.25">
      <c r="A575" s="3">
        <v>573</v>
      </c>
      <c r="B575" s="3">
        <f t="shared" si="25"/>
        <v>77.300000000000011</v>
      </c>
      <c r="C575" s="12">
        <f t="shared" si="26"/>
        <v>4.7750000000000004</v>
      </c>
      <c r="D575" s="7"/>
      <c r="E575" s="10">
        <f>(ADC!I575+5/3)/(1/12)</f>
        <v>77.797112338595738</v>
      </c>
      <c r="F575" s="11">
        <f t="shared" si="24"/>
        <v>6.4309487528554582E-3</v>
      </c>
      <c r="G575" s="2"/>
      <c r="H575" s="2"/>
      <c r="I575" s="10">
        <f>ABS(C575-ADC!I575)</f>
        <v>4.1426028216310584E-2</v>
      </c>
    </row>
    <row r="576" spans="1:9" x14ac:dyDescent="0.25">
      <c r="A576" s="3">
        <v>574</v>
      </c>
      <c r="B576" s="3">
        <f t="shared" si="25"/>
        <v>77.400000000000006</v>
      </c>
      <c r="C576" s="12">
        <f t="shared" si="26"/>
        <v>4.7833329999999998</v>
      </c>
      <c r="D576" s="7"/>
      <c r="E576" s="10">
        <f>(ADC!I576+5/3)/(1/12)</f>
        <v>77.878829117760759</v>
      </c>
      <c r="F576" s="11">
        <f t="shared" si="24"/>
        <v>6.1864227100872516E-3</v>
      </c>
      <c r="G576" s="2"/>
      <c r="H576" s="2"/>
      <c r="I576" s="10">
        <f>ABS(C576-ADC!I576)</f>
        <v>3.9902759813395861E-2</v>
      </c>
    </row>
    <row r="577" spans="1:9" x14ac:dyDescent="0.25">
      <c r="A577" s="3">
        <v>575</v>
      </c>
      <c r="B577" s="3">
        <f t="shared" si="25"/>
        <v>77.5</v>
      </c>
      <c r="C577" s="12">
        <f t="shared" si="26"/>
        <v>4.7916670000000003</v>
      </c>
      <c r="D577" s="7"/>
      <c r="E577" s="10">
        <f>(ADC!I577+5/3)/(1/12)</f>
        <v>77.970159770365115</v>
      </c>
      <c r="F577" s="11">
        <f t="shared" si="24"/>
        <v>6.066577682130511E-3</v>
      </c>
      <c r="G577" s="2"/>
      <c r="H577" s="2"/>
      <c r="I577" s="10">
        <f>ABS(C577-ADC!I577)</f>
        <v>3.9179647530424688E-2</v>
      </c>
    </row>
    <row r="578" spans="1:9" x14ac:dyDescent="0.25">
      <c r="A578" s="3">
        <v>576</v>
      </c>
      <c r="B578" s="3">
        <f t="shared" si="25"/>
        <v>77.599999999999994</v>
      </c>
      <c r="C578" s="12">
        <f t="shared" si="26"/>
        <v>4.8</v>
      </c>
      <c r="D578" s="7"/>
      <c r="E578" s="10">
        <f>(ADC!I578+5/3)/(1/12)</f>
        <v>78.056860181185826</v>
      </c>
      <c r="F578" s="11">
        <f t="shared" ref="F578:F602" si="27">ABS(B578-E578)/B578</f>
        <v>5.8873734688895812E-3</v>
      </c>
      <c r="G578" s="2"/>
      <c r="H578" s="2"/>
      <c r="I578" s="10">
        <f>ABS(C578-ADC!I578)</f>
        <v>3.8071681765484477E-2</v>
      </c>
    </row>
    <row r="579" spans="1:9" x14ac:dyDescent="0.25">
      <c r="A579" s="3">
        <v>577</v>
      </c>
      <c r="B579" s="3">
        <f t="shared" ref="B579:B602" si="28">0.1*A579+20</f>
        <v>77.7</v>
      </c>
      <c r="C579" s="12">
        <f t="shared" ref="C579:C602" si="29">ROUND(1/12*B579-5/3,6)</f>
        <v>4.8083330000000002</v>
      </c>
      <c r="D579" s="7"/>
      <c r="E579" s="10">
        <f>(ADC!I579+5/3)/(1/12)</f>
        <v>78.138959984529933</v>
      </c>
      <c r="F579" s="11">
        <f t="shared" si="27"/>
        <v>5.6494206503208506E-3</v>
      </c>
      <c r="G579" s="2"/>
      <c r="H579" s="2"/>
      <c r="I579" s="10">
        <f>ABS(C579-ADC!I579)</f>
        <v>3.6580332044160002E-2</v>
      </c>
    </row>
    <row r="580" spans="1:9" x14ac:dyDescent="0.25">
      <c r="A580" s="3">
        <v>578</v>
      </c>
      <c r="B580" s="3">
        <f t="shared" si="28"/>
        <v>77.800000000000011</v>
      </c>
      <c r="C580" s="12">
        <f t="shared" si="29"/>
        <v>4.8166669999999998</v>
      </c>
      <c r="D580" s="7"/>
      <c r="E580" s="10">
        <f>(ADC!I580+5/3)/(1/12)</f>
        <v>78.225901621903702</v>
      </c>
      <c r="F580" s="11">
        <f t="shared" si="27"/>
        <v>5.4743139062171054E-3</v>
      </c>
      <c r="G580" s="2"/>
      <c r="H580" s="2"/>
      <c r="I580" s="10">
        <f>ABS(C580-ADC!I580)</f>
        <v>3.5491468491974487E-2</v>
      </c>
    </row>
    <row r="581" spans="1:9" x14ac:dyDescent="0.25">
      <c r="A581" s="3">
        <v>579</v>
      </c>
      <c r="B581" s="3">
        <f t="shared" si="28"/>
        <v>77.900000000000006</v>
      </c>
      <c r="C581" s="12">
        <f t="shared" si="29"/>
        <v>4.8250000000000002</v>
      </c>
      <c r="D581" s="7"/>
      <c r="E581" s="10">
        <f>(ADC!I581+5/3)/(1/12)</f>
        <v>78.312956838673443</v>
      </c>
      <c r="F581" s="11">
        <f t="shared" si="27"/>
        <v>5.3011147454870046E-3</v>
      </c>
      <c r="G581" s="2"/>
      <c r="H581" s="2"/>
      <c r="I581" s="10">
        <f>ABS(C581-ADC!I581)</f>
        <v>3.4413069889452252E-2</v>
      </c>
    </row>
    <row r="582" spans="1:9" x14ac:dyDescent="0.25">
      <c r="A582" s="3">
        <v>580</v>
      </c>
      <c r="B582" s="3">
        <f t="shared" si="28"/>
        <v>78</v>
      </c>
      <c r="C582" s="12">
        <f t="shared" si="29"/>
        <v>4.8333329999999997</v>
      </c>
      <c r="D582" s="7"/>
      <c r="E582" s="10">
        <f>(ADC!I582+5/3)/(1/12)</f>
        <v>78.400124383534106</v>
      </c>
      <c r="F582" s="11">
        <f t="shared" si="27"/>
        <v>5.1297997888987918E-3</v>
      </c>
      <c r="G582" s="2"/>
      <c r="H582" s="2"/>
      <c r="I582" s="10">
        <f>ABS(C582-ADC!I582)</f>
        <v>3.3344031961175524E-2</v>
      </c>
    </row>
    <row r="583" spans="1:9" x14ac:dyDescent="0.25">
      <c r="A583" s="3">
        <v>581</v>
      </c>
      <c r="B583" s="3">
        <f t="shared" si="28"/>
        <v>78.099999999999994</v>
      </c>
      <c r="C583" s="12">
        <f t="shared" si="29"/>
        <v>4.8416670000000002</v>
      </c>
      <c r="D583" s="7"/>
      <c r="E583" s="10">
        <f>(ADC!I583+5/3)/(1/12)</f>
        <v>78.482727253306194</v>
      </c>
      <c r="F583" s="11">
        <f t="shared" si="27"/>
        <v>4.9004769949577472E-3</v>
      </c>
      <c r="G583" s="2"/>
      <c r="H583" s="2"/>
      <c r="I583" s="10">
        <f>ABS(C583-ADC!I583)</f>
        <v>3.1893604442181811E-2</v>
      </c>
    </row>
    <row r="584" spans="1:9" x14ac:dyDescent="0.25">
      <c r="A584" s="3">
        <v>582</v>
      </c>
      <c r="B584" s="3">
        <f t="shared" si="28"/>
        <v>78.2</v>
      </c>
      <c r="C584" s="12">
        <f t="shared" si="29"/>
        <v>4.8499999999999996</v>
      </c>
      <c r="D584" s="7"/>
      <c r="E584" s="10">
        <f>(ADC!I584+5/3)/(1/12)</f>
        <v>78.57479147528862</v>
      </c>
      <c r="F584" s="11">
        <f t="shared" si="27"/>
        <v>4.7927298630257983E-3</v>
      </c>
      <c r="G584" s="2"/>
      <c r="H584" s="2"/>
      <c r="I584" s="10">
        <f>ABS(C584-ADC!I584)</f>
        <v>3.1232622940717825E-2</v>
      </c>
    </row>
    <row r="585" spans="1:9" x14ac:dyDescent="0.25">
      <c r="A585" s="3">
        <v>583</v>
      </c>
      <c r="B585" s="3">
        <f t="shared" si="28"/>
        <v>78.300000000000011</v>
      </c>
      <c r="C585" s="12">
        <f t="shared" si="29"/>
        <v>4.858333</v>
      </c>
      <c r="D585" s="7"/>
      <c r="E585" s="10">
        <f>(ADC!I585+5/3)/(1/12)</f>
        <v>78.657633149964354</v>
      </c>
      <c r="F585" s="11">
        <f t="shared" si="27"/>
        <v>4.5674731796212387E-3</v>
      </c>
      <c r="G585" s="2"/>
      <c r="H585" s="2"/>
      <c r="I585" s="10">
        <f>ABS(C585-ADC!I585)</f>
        <v>2.9803095830362558E-2</v>
      </c>
    </row>
    <row r="586" spans="1:9" x14ac:dyDescent="0.25">
      <c r="A586" s="3">
        <v>584</v>
      </c>
      <c r="B586" s="3">
        <f t="shared" si="28"/>
        <v>78.400000000000006</v>
      </c>
      <c r="C586" s="12">
        <f t="shared" si="29"/>
        <v>4.8666669999999996</v>
      </c>
      <c r="D586" s="7"/>
      <c r="E586" s="10">
        <f>(ADC!I586+5/3)/(1/12)</f>
        <v>78.740602518563136</v>
      </c>
      <c r="F586" s="11">
        <f t="shared" si="27"/>
        <v>4.3444198796317689E-3</v>
      </c>
      <c r="G586" s="2"/>
      <c r="H586" s="2"/>
      <c r="I586" s="10">
        <f>ABS(C586-ADC!I586)</f>
        <v>2.838320988026144E-2</v>
      </c>
    </row>
    <row r="587" spans="1:9" x14ac:dyDescent="0.25">
      <c r="A587" s="3">
        <v>585</v>
      </c>
      <c r="B587" s="3">
        <f t="shared" si="28"/>
        <v>78.5</v>
      </c>
      <c r="C587" s="12">
        <f t="shared" si="29"/>
        <v>4.875</v>
      </c>
      <c r="D587" s="7"/>
      <c r="E587" s="10">
        <f>(ADC!I587+5/3)/(1/12)</f>
        <v>78.828333362138409</v>
      </c>
      <c r="F587" s="11">
        <f t="shared" si="27"/>
        <v>4.1825906004892841E-3</v>
      </c>
      <c r="G587" s="2"/>
      <c r="H587" s="2"/>
      <c r="I587" s="10">
        <f>ABS(C587-ADC!I587)</f>
        <v>2.7361113511533475E-2</v>
      </c>
    </row>
    <row r="588" spans="1:9" x14ac:dyDescent="0.25">
      <c r="A588" s="3">
        <v>586</v>
      </c>
      <c r="B588" s="3">
        <f t="shared" si="28"/>
        <v>78.599999999999994</v>
      </c>
      <c r="C588" s="12">
        <f t="shared" si="29"/>
        <v>4.8833330000000004</v>
      </c>
      <c r="D588" s="7"/>
      <c r="E588" s="10">
        <f>(ADC!I588+5/3)/(1/12)</f>
        <v>78.916169078976438</v>
      </c>
      <c r="F588" s="11">
        <f t="shared" si="27"/>
        <v>4.0225073661125134E-3</v>
      </c>
      <c r="G588" s="2"/>
      <c r="H588" s="2"/>
      <c r="I588" s="10">
        <f>ABS(C588-ADC!I588)</f>
        <v>2.6347756581368564E-2</v>
      </c>
    </row>
    <row r="589" spans="1:9" x14ac:dyDescent="0.25">
      <c r="A589" s="3">
        <v>587</v>
      </c>
      <c r="B589" s="3">
        <f t="shared" si="28"/>
        <v>78.7</v>
      </c>
      <c r="C589" s="12">
        <f t="shared" si="29"/>
        <v>4.891667</v>
      </c>
      <c r="D589" s="7"/>
      <c r="E589" s="10">
        <f>(ADC!I589+5/3)/(1/12)</f>
        <v>78.99949360396252</v>
      </c>
      <c r="F589" s="11">
        <f t="shared" si="27"/>
        <v>3.805509580209877E-3</v>
      </c>
      <c r="G589" s="2"/>
      <c r="H589" s="2"/>
      <c r="I589" s="10">
        <f>ABS(C589-ADC!I589)</f>
        <v>2.495746699687551E-2</v>
      </c>
    </row>
    <row r="590" spans="1:9" x14ac:dyDescent="0.25">
      <c r="A590" s="3">
        <v>588</v>
      </c>
      <c r="B590" s="3">
        <f t="shared" si="28"/>
        <v>78.800000000000011</v>
      </c>
      <c r="C590" s="12">
        <f t="shared" si="29"/>
        <v>4.9000000000000004</v>
      </c>
      <c r="D590" s="7"/>
      <c r="E590" s="10">
        <f>(ADC!I590+5/3)/(1/12)</f>
        <v>79.087545490032937</v>
      </c>
      <c r="F590" s="11">
        <f t="shared" si="27"/>
        <v>3.6490544420422072E-3</v>
      </c>
      <c r="G590" s="2"/>
      <c r="H590" s="2"/>
      <c r="I590" s="10">
        <f>ABS(C590-ADC!I590)</f>
        <v>2.3962124169409904E-2</v>
      </c>
    </row>
    <row r="591" spans="1:9" x14ac:dyDescent="0.25">
      <c r="A591" s="3">
        <v>589</v>
      </c>
      <c r="B591" s="3">
        <f t="shared" si="28"/>
        <v>78.900000000000006</v>
      </c>
      <c r="C591" s="12">
        <f t="shared" si="29"/>
        <v>4.9083329999999998</v>
      </c>
      <c r="D591" s="7"/>
      <c r="E591" s="10">
        <f>(ADC!I591+5/3)/(1/12)</f>
        <v>79.171103902627976</v>
      </c>
      <c r="F591" s="11">
        <f t="shared" si="27"/>
        <v>3.4360443932569158E-3</v>
      </c>
      <c r="G591" s="2"/>
      <c r="H591" s="2"/>
      <c r="I591" s="10">
        <f>ABS(C591-ADC!I591)</f>
        <v>2.2592325218997011E-2</v>
      </c>
    </row>
    <row r="592" spans="1:9" x14ac:dyDescent="0.25">
      <c r="A592" s="3">
        <v>590</v>
      </c>
      <c r="B592" s="3">
        <f t="shared" si="28"/>
        <v>79</v>
      </c>
      <c r="C592" s="12">
        <f t="shared" si="29"/>
        <v>4.9166670000000003</v>
      </c>
      <c r="D592" s="7"/>
      <c r="E592" s="10">
        <f>(ADC!I592+5/3)/(1/12)</f>
        <v>79.254782419248983</v>
      </c>
      <c r="F592" s="11">
        <f t="shared" si="27"/>
        <v>3.2250939145440851E-3</v>
      </c>
      <c r="G592" s="2"/>
      <c r="H592" s="2"/>
      <c r="I592" s="10">
        <f>ABS(C592-ADC!I592)</f>
        <v>2.1231534937413699E-2</v>
      </c>
    </row>
    <row r="593" spans="1:9" x14ac:dyDescent="0.25">
      <c r="A593" s="3">
        <v>591</v>
      </c>
      <c r="B593" s="3">
        <f t="shared" si="28"/>
        <v>79.099999999999994</v>
      </c>
      <c r="C593" s="12">
        <f t="shared" si="29"/>
        <v>4.9249999999999998</v>
      </c>
      <c r="D593" s="7"/>
      <c r="E593" s="10">
        <f>(ADC!I593+5/3)/(1/12)</f>
        <v>79.334005231437885</v>
      </c>
      <c r="F593" s="11">
        <f t="shared" si="27"/>
        <v>2.9583467944107569E-3</v>
      </c>
      <c r="G593" s="2"/>
      <c r="H593" s="2"/>
      <c r="I593" s="10">
        <f>ABS(C593-ADC!I593)</f>
        <v>1.950043595315698E-2</v>
      </c>
    </row>
    <row r="594" spans="1:9" x14ac:dyDescent="0.25">
      <c r="A594" s="3">
        <v>592</v>
      </c>
      <c r="B594" s="3">
        <f t="shared" si="28"/>
        <v>79.2</v>
      </c>
      <c r="C594" s="12">
        <f t="shared" si="29"/>
        <v>4.9333330000000002</v>
      </c>
      <c r="D594" s="7"/>
      <c r="E594" s="10">
        <f>(ADC!I594+5/3)/(1/12)</f>
        <v>79.417930212673014</v>
      </c>
      <c r="F594" s="11">
        <f t="shared" si="27"/>
        <v>2.7516440994067009E-3</v>
      </c>
      <c r="G594" s="2"/>
      <c r="H594" s="2"/>
      <c r="I594" s="10">
        <f>ABS(C594-ADC!I594)</f>
        <v>1.8161184389416718E-2</v>
      </c>
    </row>
    <row r="595" spans="1:9" x14ac:dyDescent="0.25">
      <c r="A595" s="3">
        <v>593</v>
      </c>
      <c r="B595" s="3">
        <f t="shared" si="28"/>
        <v>79.300000000000011</v>
      </c>
      <c r="C595" s="12">
        <f t="shared" si="29"/>
        <v>4.9416669999999998</v>
      </c>
      <c r="D595" s="7"/>
      <c r="E595" s="10">
        <f>(ADC!I595+5/3)/(1/12)</f>
        <v>79.501971515368496</v>
      </c>
      <c r="F595" s="11">
        <f t="shared" si="27"/>
        <v>2.5469295758951348E-3</v>
      </c>
      <c r="G595" s="2"/>
      <c r="H595" s="2"/>
      <c r="I595" s="10">
        <f>ABS(C595-ADC!I595)</f>
        <v>1.6830626280707861E-2</v>
      </c>
    </row>
    <row r="596" spans="1:9" x14ac:dyDescent="0.25">
      <c r="A596" s="3">
        <v>594</v>
      </c>
      <c r="B596" s="3">
        <f t="shared" si="28"/>
        <v>79.400000000000006</v>
      </c>
      <c r="C596" s="12">
        <f t="shared" si="29"/>
        <v>4.95</v>
      </c>
      <c r="D596" s="7"/>
      <c r="E596" s="10">
        <f>(ADC!I596+5/3)/(1/12)</f>
        <v>79.590672414197499</v>
      </c>
      <c r="F596" s="11">
        <f t="shared" si="27"/>
        <v>2.4014157959382034E-3</v>
      </c>
      <c r="G596" s="2"/>
      <c r="H596" s="2"/>
      <c r="I596" s="10">
        <f>ABS(C596-ADC!I596)</f>
        <v>1.5889367849791114E-2</v>
      </c>
    </row>
    <row r="597" spans="1:9" x14ac:dyDescent="0.25">
      <c r="A597" s="3">
        <v>595</v>
      </c>
      <c r="B597" s="3">
        <f t="shared" si="28"/>
        <v>79.5</v>
      </c>
      <c r="C597" s="12">
        <f t="shared" si="29"/>
        <v>4.9583329999999997</v>
      </c>
      <c r="D597" s="7"/>
      <c r="E597" s="10">
        <f>(ADC!I597+5/3)/(1/12)</f>
        <v>79.670398102938321</v>
      </c>
      <c r="F597" s="11">
        <f t="shared" si="27"/>
        <v>2.1433723640040436E-3</v>
      </c>
      <c r="G597" s="2"/>
      <c r="H597" s="2"/>
      <c r="I597" s="10">
        <f>ABS(C597-ADC!I597)</f>
        <v>1.4200175244859281E-2</v>
      </c>
    </row>
    <row r="598" spans="1:9" x14ac:dyDescent="0.25">
      <c r="A598" s="3">
        <v>596</v>
      </c>
      <c r="B598" s="3">
        <f t="shared" si="28"/>
        <v>79.599999999999994</v>
      </c>
      <c r="C598" s="12">
        <f t="shared" si="29"/>
        <v>4.9666670000000002</v>
      </c>
      <c r="D598" s="7"/>
      <c r="E598" s="10">
        <f>(ADC!I598+5/3)/(1/12)</f>
        <v>79.754780907183346</v>
      </c>
      <c r="F598" s="11">
        <f t="shared" si="27"/>
        <v>1.9444837585848149E-3</v>
      </c>
      <c r="G598" s="2"/>
      <c r="H598" s="2"/>
      <c r="I598" s="10">
        <f>ABS(C598-ADC!I598)</f>
        <v>1.2898075598610781E-2</v>
      </c>
    </row>
    <row r="599" spans="1:9" x14ac:dyDescent="0.25">
      <c r="A599" s="3">
        <v>597</v>
      </c>
      <c r="B599" s="3">
        <f t="shared" si="28"/>
        <v>79.7</v>
      </c>
      <c r="C599" s="12">
        <f t="shared" si="29"/>
        <v>4.9749999999999996</v>
      </c>
      <c r="D599" s="7"/>
      <c r="E599" s="10">
        <f>(ADC!I599+5/3)/(1/12)</f>
        <v>79.839275071963115</v>
      </c>
      <c r="F599" s="11">
        <f t="shared" si="27"/>
        <v>1.747491492636291E-3</v>
      </c>
      <c r="G599" s="2"/>
      <c r="H599" s="2"/>
      <c r="I599" s="10">
        <f>ABS(C599-ADC!I599)</f>
        <v>1.1606255996925441E-2</v>
      </c>
    </row>
    <row r="600" spans="1:9" x14ac:dyDescent="0.25">
      <c r="A600" s="3">
        <v>598</v>
      </c>
      <c r="B600" s="3">
        <f t="shared" si="28"/>
        <v>79.800000000000011</v>
      </c>
      <c r="C600" s="12">
        <f t="shared" si="29"/>
        <v>4.983333</v>
      </c>
      <c r="D600" s="7"/>
      <c r="E600" s="10">
        <f>(ADC!I600+5/3)/(1/12)</f>
        <v>79.923879366573345</v>
      </c>
      <c r="F600" s="11">
        <f t="shared" si="27"/>
        <v>1.552373014703433E-3</v>
      </c>
      <c r="G600" s="2"/>
      <c r="H600" s="2"/>
      <c r="I600" s="10">
        <f>ABS(C600-ADC!I600)</f>
        <v>1.0323613881110916E-2</v>
      </c>
    </row>
    <row r="601" spans="1:9" x14ac:dyDescent="0.25">
      <c r="A601" s="3">
        <v>599</v>
      </c>
      <c r="B601" s="3">
        <f t="shared" si="28"/>
        <v>79.900000000000006</v>
      </c>
      <c r="C601" s="12">
        <f t="shared" si="29"/>
        <v>4.9916669999999996</v>
      </c>
      <c r="D601" s="7"/>
      <c r="E601" s="10">
        <f>(ADC!I601+5/3)/(1/12)</f>
        <v>80.004097747883804</v>
      </c>
      <c r="F601" s="11">
        <f t="shared" si="27"/>
        <v>1.302850411561937E-3</v>
      </c>
      <c r="G601" s="2"/>
      <c r="H601" s="2"/>
      <c r="I601" s="10">
        <f>ABS(C601-ADC!I601)</f>
        <v>8.674478990316814E-3</v>
      </c>
    </row>
    <row r="602" spans="1:9" x14ac:dyDescent="0.25">
      <c r="A602" s="3">
        <v>600</v>
      </c>
      <c r="B602" s="3">
        <f t="shared" si="28"/>
        <v>80</v>
      </c>
      <c r="C602" s="12">
        <f t="shared" si="29"/>
        <v>5</v>
      </c>
      <c r="D602" s="7"/>
      <c r="E602" s="10">
        <f>(ADC!I602+5/3)/(1/12)</f>
        <v>80.135600000000011</v>
      </c>
      <c r="F602" s="11">
        <f t="shared" si="27"/>
        <v>1.6950000000001352E-3</v>
      </c>
      <c r="G602" s="2"/>
      <c r="H602" s="2"/>
      <c r="I602" s="10">
        <f>ABS(C602-ADC!I602)</f>
        <v>1.130000000000031E-2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DF46-3D37-4C8C-845B-A0FBD87A3379}">
  <dimension ref="A1:Z602"/>
  <sheetViews>
    <sheetView zoomScale="85" zoomScaleNormal="85" workbookViewId="0">
      <pane ySplit="1" topLeftCell="A11" activePane="bottomLeft" state="frozen"/>
      <selection pane="bottomLeft" activeCell="Y8" sqref="Y8"/>
    </sheetView>
  </sheetViews>
  <sheetFormatPr defaultRowHeight="15" x14ac:dyDescent="0.25"/>
  <cols>
    <col min="1" max="1" width="34" bestFit="1" customWidth="1"/>
    <col min="2" max="3" width="21.7109375" bestFit="1" customWidth="1"/>
    <col min="4" max="4" width="14.85546875" bestFit="1" customWidth="1"/>
    <col min="5" max="5" width="10.5703125" style="5" bestFit="1" customWidth="1"/>
    <col min="6" max="6" width="14.7109375" customWidth="1"/>
    <col min="7" max="7" width="9.140625" style="4"/>
    <col min="8" max="8" width="6.28515625" bestFit="1" customWidth="1"/>
    <col min="9" max="9" width="14.85546875" style="34" bestFit="1" customWidth="1"/>
    <col min="10" max="10" width="11.7109375" bestFit="1" customWidth="1"/>
    <col min="11" max="11" width="12.42578125" bestFit="1" customWidth="1"/>
    <col min="12" max="12" width="11.140625" bestFit="1" customWidth="1"/>
    <col min="13" max="13" width="14.85546875" bestFit="1" customWidth="1"/>
    <col min="14" max="14" width="16.7109375" bestFit="1" customWidth="1"/>
    <col min="15" max="15" width="13.5703125" bestFit="1" customWidth="1"/>
    <col min="16" max="16" width="13.140625" bestFit="1" customWidth="1"/>
    <col min="17" max="17" width="21.42578125" bestFit="1" customWidth="1"/>
    <col min="18" max="18" width="12.42578125" bestFit="1" customWidth="1"/>
    <col min="19" max="19" width="11.140625" bestFit="1" customWidth="1"/>
    <col min="20" max="20" width="9.42578125" customWidth="1"/>
    <col min="24" max="24" width="10" bestFit="1" customWidth="1"/>
    <col min="26" max="26" width="7.140625" customWidth="1"/>
  </cols>
  <sheetData>
    <row r="1" spans="1:26" ht="16.5" thickTop="1" thickBot="1" x14ac:dyDescent="0.3">
      <c r="H1" s="33" t="s">
        <v>20</v>
      </c>
      <c r="I1" s="6" t="s">
        <v>21</v>
      </c>
      <c r="J1" s="33" t="s">
        <v>51</v>
      </c>
      <c r="K1" s="33" t="s">
        <v>52</v>
      </c>
      <c r="L1" s="33" t="s">
        <v>57</v>
      </c>
      <c r="M1" s="33" t="s">
        <v>56</v>
      </c>
      <c r="N1" s="33" t="s">
        <v>58</v>
      </c>
      <c r="O1" s="33" t="s">
        <v>2</v>
      </c>
      <c r="P1" s="33" t="s">
        <v>67</v>
      </c>
      <c r="Q1" s="33" t="s">
        <v>68</v>
      </c>
      <c r="R1" s="33" t="s">
        <v>69</v>
      </c>
      <c r="S1" s="33" t="s">
        <v>70</v>
      </c>
      <c r="T1" s="33" t="s">
        <v>81</v>
      </c>
      <c r="U1" s="33"/>
      <c r="V1" s="33" t="s">
        <v>82</v>
      </c>
      <c r="W1" s="33"/>
    </row>
    <row r="2" spans="1:26" ht="15.75" thickTop="1" x14ac:dyDescent="0.25">
      <c r="A2" s="24" t="s">
        <v>24</v>
      </c>
      <c r="B2" s="24"/>
      <c r="C2" s="24"/>
      <c r="D2" s="24"/>
      <c r="E2" s="24"/>
      <c r="H2" s="14">
        <v>20</v>
      </c>
      <c r="I2" s="17">
        <f>-0.0063753</f>
        <v>-6.3753000000000004E-3</v>
      </c>
      <c r="J2" s="15">
        <f>ROUND(H2*0.00000575 -0.00034,6)</f>
        <v>-2.2499999999999999E-4</v>
      </c>
      <c r="K2" s="30">
        <f>ROUND(H2*0.000005-0.0001,6)</f>
        <v>0</v>
      </c>
      <c r="L2" s="15">
        <f>ROUND(K2+($C$24*(H2-25)),6)</f>
        <v>-1.5E-3</v>
      </c>
      <c r="M2" s="10">
        <f>(I2-J2)/(1-L2)+$C$26+$D$27</f>
        <v>-6.083088367448827E-3</v>
      </c>
      <c r="N2" s="18">
        <f>ABS(I2-M2)/I2</f>
        <v>-4.5834961892173454E-2</v>
      </c>
      <c r="O2" s="14">
        <f>ROUND((M2*(2^($C$12-1)))/$C$44,4)</f>
        <v>-32.453899999999997</v>
      </c>
      <c r="P2" s="14">
        <f ca="1">ROUND(O2+$C$47+$C$49+RANDBETWEEN($B$45,$D$45),0)</f>
        <v>-33</v>
      </c>
      <c r="Q2" s="14" t="str">
        <f ca="1">_xlfn.BASE(IF(P2&lt;0, P2+2^($C$12)-1, P2), 2, 16)</f>
        <v>1111111111011110</v>
      </c>
      <c r="R2" s="14">
        <f ca="1">($C$16/2^($C$12-1)) * P2</f>
        <v>-6.1873111724853515E-3</v>
      </c>
      <c r="S2" s="14">
        <f ca="1">(R2+5/3)/(1/12)</f>
        <v>19.925752265930178</v>
      </c>
      <c r="T2" s="19">
        <f ca="1">ABS(H2-S2)/H2</f>
        <v>3.7123867034910773E-3</v>
      </c>
      <c r="U2" s="18">
        <f ca="1">MAX(T:T)</f>
        <v>3.6943805131755762E-2</v>
      </c>
      <c r="V2" s="15">
        <f ca="1">ROUND(ABS(H2-S2),6)</f>
        <v>7.4247999999999995E-2</v>
      </c>
      <c r="W2" s="14">
        <f ca="1">MAX(V:V)</f>
        <v>1.838174</v>
      </c>
      <c r="X2" s="2"/>
      <c r="Z2" s="1"/>
    </row>
    <row r="3" spans="1:26" x14ac:dyDescent="0.25">
      <c r="A3" s="14" t="s">
        <v>25</v>
      </c>
      <c r="B3" s="27">
        <v>0.05</v>
      </c>
      <c r="C3" s="14"/>
      <c r="D3" s="14"/>
      <c r="E3" s="20"/>
      <c r="H3" s="14">
        <v>20.100000000000001</v>
      </c>
      <c r="I3" s="17">
        <v>1.995468196548553E-2</v>
      </c>
      <c r="J3" s="15">
        <f t="shared" ref="J3:J66" si="0">ROUND(H3*0.00000575 -0.00034,6)</f>
        <v>-2.24E-4</v>
      </c>
      <c r="K3" s="30">
        <f>ROUND(H3*0.000005-0.0001,6)</f>
        <v>9.9999999999999995E-7</v>
      </c>
      <c r="L3" s="15">
        <f t="shared" ref="L3:L66" si="1">ROUND(K3+($C$24*(H3-25)),6)</f>
        <v>-1.469E-3</v>
      </c>
      <c r="M3" s="10">
        <f t="shared" ref="M3:M66" si="2">(I3-J3)/(1-L3)+$C$26+$D$27</f>
        <v>2.0207082962613448E-2</v>
      </c>
      <c r="N3" s="18">
        <f t="shared" ref="N3:N66" si="3">ABS(I3-M3)/I3</f>
        <v>1.2648710591553492E-2</v>
      </c>
      <c r="O3" s="14">
        <f t="shared" ref="O3:O66" si="4">ROUND((M3*(2^($C$12-1)))/$C$44,4)</f>
        <v>107.80670000000001</v>
      </c>
      <c r="P3" s="14">
        <f t="shared" ref="P3:P13" ca="1" si="5">ROUND(O3+$C$47+$C$49+RANDBETWEEN($B$45,$D$45),0)</f>
        <v>111</v>
      </c>
      <c r="Q3" s="14" t="str">
        <f t="shared" ref="Q3:Q66" ca="1" si="6">_xlfn.BASE(IF(P3&lt;0, P3+2^($C$12)-1, P3), 2, 16)</f>
        <v>0000000001101111</v>
      </c>
      <c r="R3" s="14">
        <f t="shared" ref="R3:R66" ca="1" si="7">($C$16/2^($C$12-1)) * P3</f>
        <v>2.0811864852905274E-2</v>
      </c>
      <c r="S3" s="14">
        <f t="shared" ref="S3:S66" ca="1" si="8">(R3+5/3)/(1/12)</f>
        <v>20.249742378234863</v>
      </c>
      <c r="T3" s="19">
        <f ca="1">ABS(H3-S3)/H3</f>
        <v>7.4498695639234778E-3</v>
      </c>
      <c r="U3" s="18">
        <f ca="1">MIN(T:T)</f>
        <v>8.2389513651470736E-6</v>
      </c>
      <c r="V3" s="15">
        <f t="shared" ref="V3:V66" ca="1" si="9">ROUND(ABS(H3-S3),6)</f>
        <v>0.14974199999999999</v>
      </c>
      <c r="W3" s="14">
        <f ca="1">MIN(V:V)</f>
        <v>2.7099999999999997E-4</v>
      </c>
      <c r="X3" s="2"/>
      <c r="Z3" s="1"/>
    </row>
    <row r="4" spans="1:26" x14ac:dyDescent="0.25">
      <c r="H4" s="14">
        <v>20.2</v>
      </c>
      <c r="I4" s="17">
        <v>2.5642401531156576E-2</v>
      </c>
      <c r="J4" s="15">
        <f>ROUND(H4*0.00000575 -0.00034,6)</f>
        <v>-2.24E-4</v>
      </c>
      <c r="K4" s="30">
        <f t="shared" ref="K4:K66" si="10">ROUND(H4*0.000005-0.0001,6)</f>
        <v>9.9999999999999995E-7</v>
      </c>
      <c r="L4" s="15">
        <f t="shared" si="1"/>
        <v>-1.439E-3</v>
      </c>
      <c r="M4" s="10">
        <f t="shared" si="2"/>
        <v>2.5887233264488975E-2</v>
      </c>
      <c r="N4" s="18">
        <f t="shared" si="3"/>
        <v>9.5479252610142038E-3</v>
      </c>
      <c r="O4" s="14">
        <f t="shared" si="4"/>
        <v>138.11089999999999</v>
      </c>
      <c r="P4" s="14">
        <f t="shared" ca="1" si="5"/>
        <v>139</v>
      </c>
      <c r="Q4" s="14" t="str">
        <f t="shared" ca="1" si="6"/>
        <v>0000000010001011</v>
      </c>
      <c r="R4" s="14">
        <f t="shared" ca="1" si="7"/>
        <v>2.6061704635620117E-2</v>
      </c>
      <c r="S4" s="14">
        <f t="shared" ca="1" si="8"/>
        <v>20.312740455627445</v>
      </c>
      <c r="T4" s="19">
        <f t="shared" ref="T4:T67" ca="1" si="11">ABS(H4-S4)/H4</f>
        <v>5.5812106746260205E-3</v>
      </c>
      <c r="U4" s="14"/>
      <c r="V4" s="15">
        <f t="shared" ca="1" si="9"/>
        <v>0.11274000000000001</v>
      </c>
      <c r="W4" s="14"/>
      <c r="X4" s="2"/>
    </row>
    <row r="5" spans="1:26" x14ac:dyDescent="0.25">
      <c r="H5" s="14">
        <v>20.3</v>
      </c>
      <c r="I5" s="17">
        <v>3.233074243996794E-2</v>
      </c>
      <c r="J5" s="15">
        <f t="shared" si="0"/>
        <v>-2.23E-4</v>
      </c>
      <c r="K5" s="30">
        <f t="shared" si="10"/>
        <v>1.9999999999999999E-6</v>
      </c>
      <c r="L5" s="15">
        <f>ROUND(K5+($C$24*(H5-25)),6)</f>
        <v>-1.408E-3</v>
      </c>
      <c r="M5" s="10">
        <f t="shared" si="2"/>
        <v>3.2565971216495113E-2</v>
      </c>
      <c r="N5" s="18">
        <f>ABS(I5-M5)/I5</f>
        <v>7.2756998068927185E-3</v>
      </c>
      <c r="O5" s="14">
        <f>ROUND((M5*(2^($C$12-1)))/$C$44,4)</f>
        <v>173.74260000000001</v>
      </c>
      <c r="P5" s="14">
        <f ca="1">ROUND(O5+$C$47+$C$49+RANDBETWEEN($B$45,$D$45),0)</f>
        <v>176</v>
      </c>
      <c r="Q5" s="14" t="str">
        <f t="shared" ca="1" si="6"/>
        <v>0000000010110000</v>
      </c>
      <c r="R5" s="14">
        <f t="shared" ca="1" si="7"/>
        <v>3.2998992919921873E-2</v>
      </c>
      <c r="S5" s="14">
        <f t="shared" ca="1" si="8"/>
        <v>20.395987915039065</v>
      </c>
      <c r="T5" s="19">
        <f t="shared" ca="1" si="11"/>
        <v>4.7284687211361634E-3</v>
      </c>
      <c r="U5" s="14"/>
      <c r="V5" s="15">
        <f t="shared" ca="1" si="9"/>
        <v>9.5988000000000004E-2</v>
      </c>
      <c r="W5" s="14"/>
      <c r="X5" s="2"/>
    </row>
    <row r="6" spans="1:26" x14ac:dyDescent="0.25">
      <c r="H6" s="14">
        <v>20.399999999999999</v>
      </c>
      <c r="I6" s="17">
        <v>3.8074327832822344E-2</v>
      </c>
      <c r="J6" s="15">
        <f t="shared" si="0"/>
        <v>-2.23E-4</v>
      </c>
      <c r="K6" s="30">
        <f t="shared" si="10"/>
        <v>1.9999999999999999E-6</v>
      </c>
      <c r="L6" s="15">
        <f t="shared" si="1"/>
        <v>-1.3780000000000001E-3</v>
      </c>
      <c r="M6" s="10">
        <f t="shared" si="2"/>
        <v>3.8302626737178512E-2</v>
      </c>
      <c r="N6" s="18">
        <f t="shared" si="3"/>
        <v>5.9961374855673965E-3</v>
      </c>
      <c r="O6" s="14">
        <f t="shared" si="4"/>
        <v>204.34819999999999</v>
      </c>
      <c r="P6" s="14">
        <f t="shared" ca="1" si="5"/>
        <v>204</v>
      </c>
      <c r="Q6" s="14" t="str">
        <f t="shared" ca="1" si="6"/>
        <v>0000000011001100</v>
      </c>
      <c r="R6" s="14">
        <f t="shared" ca="1" si="7"/>
        <v>3.8248832702636716E-2</v>
      </c>
      <c r="S6" s="14">
        <f t="shared" ca="1" si="8"/>
        <v>20.458985992431643</v>
      </c>
      <c r="T6" s="19">
        <f t="shared" ca="1" si="11"/>
        <v>2.8914702172374643E-3</v>
      </c>
      <c r="U6" s="14"/>
      <c r="V6" s="15">
        <f t="shared" ca="1" si="9"/>
        <v>5.8985999999999997E-2</v>
      </c>
      <c r="W6" s="14"/>
      <c r="X6" s="2"/>
    </row>
    <row r="7" spans="1:26" x14ac:dyDescent="0.25">
      <c r="H7" s="14">
        <v>20.5</v>
      </c>
      <c r="I7" s="17">
        <v>4.4816928713063496E-2</v>
      </c>
      <c r="J7" s="15">
        <f t="shared" si="0"/>
        <v>-2.22E-4</v>
      </c>
      <c r="K7" s="30">
        <f t="shared" si="10"/>
        <v>3.0000000000000001E-6</v>
      </c>
      <c r="L7" s="15">
        <f t="shared" si="1"/>
        <v>-1.3470000000000001E-3</v>
      </c>
      <c r="M7" s="10">
        <f t="shared" si="2"/>
        <v>4.5036342885197138E-2</v>
      </c>
      <c r="N7" s="18">
        <f t="shared" si="3"/>
        <v>4.8957877845316449E-3</v>
      </c>
      <c r="O7" s="14">
        <f t="shared" si="4"/>
        <v>240.2732</v>
      </c>
      <c r="P7" s="14">
        <f t="shared" ca="1" si="5"/>
        <v>241</v>
      </c>
      <c r="Q7" s="14" t="str">
        <f t="shared" ca="1" si="6"/>
        <v>0000000011110001</v>
      </c>
      <c r="R7" s="14">
        <f t="shared" ca="1" si="7"/>
        <v>4.5186120986938479E-2</v>
      </c>
      <c r="S7" s="14">
        <f t="shared" ca="1" si="8"/>
        <v>20.542233451843263</v>
      </c>
      <c r="T7" s="19">
        <f t="shared" ca="1" si="11"/>
        <v>2.0601683825981838E-3</v>
      </c>
      <c r="U7" s="14"/>
      <c r="V7" s="15">
        <f t="shared" ca="1" si="9"/>
        <v>4.2233E-2</v>
      </c>
      <c r="W7" s="14"/>
      <c r="X7" s="2"/>
    </row>
    <row r="8" spans="1:26" x14ac:dyDescent="0.25">
      <c r="A8" s="24" t="s">
        <v>26</v>
      </c>
      <c r="B8" s="24"/>
      <c r="C8" s="24"/>
      <c r="D8" s="24"/>
      <c r="E8" s="24"/>
      <c r="H8" s="14">
        <v>20.6</v>
      </c>
      <c r="I8" s="17">
        <v>5.1586249909778253E-2</v>
      </c>
      <c r="J8" s="15">
        <f t="shared" si="0"/>
        <v>-2.22E-4</v>
      </c>
      <c r="K8" s="30">
        <f t="shared" si="10"/>
        <v>3.0000000000000001E-6</v>
      </c>
      <c r="L8" s="15">
        <f t="shared" si="1"/>
        <v>-1.317E-3</v>
      </c>
      <c r="M8" s="10">
        <f t="shared" si="2"/>
        <v>5.1798108187295584E-2</v>
      </c>
      <c r="N8" s="18">
        <f t="shared" si="3"/>
        <v>4.1068749499694251E-3</v>
      </c>
      <c r="O8" s="14">
        <f t="shared" si="4"/>
        <v>276.34789999999998</v>
      </c>
      <c r="P8" s="14">
        <f t="shared" ca="1" si="5"/>
        <v>275</v>
      </c>
      <c r="Q8" s="14" t="str">
        <f t="shared" ca="1" si="6"/>
        <v>0000000100010011</v>
      </c>
      <c r="R8" s="14">
        <f t="shared" ca="1" si="7"/>
        <v>5.1560926437377932E-2</v>
      </c>
      <c r="S8" s="14">
        <f t="shared" ca="1" si="8"/>
        <v>20.618731117248537</v>
      </c>
      <c r="T8" s="19">
        <f t="shared" ca="1" si="11"/>
        <v>9.0927753633665803E-4</v>
      </c>
      <c r="U8" s="14"/>
      <c r="V8" s="15">
        <f t="shared" ca="1" si="9"/>
        <v>1.8731000000000001E-2</v>
      </c>
      <c r="W8" s="14"/>
      <c r="X8" s="2"/>
    </row>
    <row r="9" spans="1:26" x14ac:dyDescent="0.25">
      <c r="A9" s="14"/>
      <c r="B9" s="14" t="s">
        <v>27</v>
      </c>
      <c r="C9" s="14" t="s">
        <v>28</v>
      </c>
      <c r="D9" s="14" t="s">
        <v>29</v>
      </c>
      <c r="E9" s="20" t="s">
        <v>35</v>
      </c>
      <c r="H9" s="14">
        <v>20.7</v>
      </c>
      <c r="I9" s="17">
        <v>5.8382283304936188E-2</v>
      </c>
      <c r="J9" s="15">
        <f t="shared" si="0"/>
        <v>-2.2100000000000001E-4</v>
      </c>
      <c r="K9" s="30">
        <f t="shared" si="10"/>
        <v>3.9999999999999998E-6</v>
      </c>
      <c r="L9" s="15">
        <f t="shared" si="1"/>
        <v>-1.286E-3</v>
      </c>
      <c r="M9" s="10">
        <f t="shared" si="2"/>
        <v>5.8586016276005251E-2</v>
      </c>
      <c r="N9" s="18">
        <f t="shared" si="3"/>
        <v>3.4896369161333926E-3</v>
      </c>
      <c r="O9" s="14">
        <f t="shared" si="4"/>
        <v>312.56200000000001</v>
      </c>
      <c r="P9" s="14">
        <f t="shared" ca="1" si="5"/>
        <v>311</v>
      </c>
      <c r="Q9" s="14" t="str">
        <f t="shared" ca="1" si="6"/>
        <v>0000000100110111</v>
      </c>
      <c r="R9" s="14">
        <f t="shared" ca="1" si="7"/>
        <v>5.8310720443725587E-2</v>
      </c>
      <c r="S9" s="14">
        <f t="shared" ca="1" si="8"/>
        <v>20.699728645324711</v>
      </c>
      <c r="T9" s="19">
        <f t="shared" ca="1" si="11"/>
        <v>1.3108921511494596E-5</v>
      </c>
      <c r="U9" s="14"/>
      <c r="V9" s="15">
        <f t="shared" ca="1" si="9"/>
        <v>2.7099999999999997E-4</v>
      </c>
      <c r="W9" s="14"/>
      <c r="X9" s="2"/>
    </row>
    <row r="10" spans="1:26" x14ac:dyDescent="0.25">
      <c r="A10" s="14" t="s">
        <v>3</v>
      </c>
      <c r="B10" s="14">
        <v>5.2</v>
      </c>
      <c r="C10" s="14">
        <v>5.5</v>
      </c>
      <c r="D10" s="14">
        <v>5.5</v>
      </c>
      <c r="E10" s="20" t="s">
        <v>22</v>
      </c>
      <c r="H10" s="14">
        <v>20.8</v>
      </c>
      <c r="I10" s="17">
        <v>6.5205020169476269E-2</v>
      </c>
      <c r="J10" s="15">
        <f t="shared" si="0"/>
        <v>-2.2000000000000001E-4</v>
      </c>
      <c r="K10" s="30">
        <f t="shared" si="10"/>
        <v>3.9999999999999998E-6</v>
      </c>
      <c r="L10" s="15">
        <f t="shared" si="1"/>
        <v>-1.256E-3</v>
      </c>
      <c r="M10" s="10">
        <f t="shared" si="2"/>
        <v>6.5400949424998481E-2</v>
      </c>
      <c r="N10" s="18">
        <f t="shared" si="3"/>
        <v>3.0048185709162659E-3</v>
      </c>
      <c r="O10" s="14">
        <f t="shared" si="4"/>
        <v>348.92039999999997</v>
      </c>
      <c r="P10" s="14">
        <f t="shared" ca="1" si="5"/>
        <v>352</v>
      </c>
      <c r="Q10" s="14" t="str">
        <f t="shared" ca="1" si="6"/>
        <v>0000000101100000</v>
      </c>
      <c r="R10" s="14">
        <f t="shared" ca="1" si="7"/>
        <v>6.5997985839843745E-2</v>
      </c>
      <c r="S10" s="14">
        <f t="shared" ca="1" si="8"/>
        <v>20.79197583007813</v>
      </c>
      <c r="T10" s="19">
        <f t="shared" ca="1" si="11"/>
        <v>3.8577740008995429E-4</v>
      </c>
      <c r="U10" s="14"/>
      <c r="V10" s="15">
        <f t="shared" ca="1" si="9"/>
        <v>8.0239999999999999E-3</v>
      </c>
      <c r="W10" s="14"/>
      <c r="X10" s="2"/>
    </row>
    <row r="11" spans="1:26" x14ac:dyDescent="0.25">
      <c r="A11" s="14" t="s">
        <v>4</v>
      </c>
      <c r="B11" s="14">
        <v>-0.3</v>
      </c>
      <c r="C11" s="14">
        <v>0</v>
      </c>
      <c r="D11" s="14">
        <v>0.3</v>
      </c>
      <c r="E11" s="20" t="s">
        <v>22</v>
      </c>
      <c r="H11" s="14">
        <v>20.9</v>
      </c>
      <c r="I11" s="17">
        <v>7.2054451745251158E-2</v>
      </c>
      <c r="J11" s="15">
        <f t="shared" si="0"/>
        <v>-2.2000000000000001E-4</v>
      </c>
      <c r="K11" s="30">
        <f t="shared" si="10"/>
        <v>5.0000000000000004E-6</v>
      </c>
      <c r="L11" s="15">
        <f t="shared" si="1"/>
        <v>-1.225E-3</v>
      </c>
      <c r="M11" s="10">
        <f t="shared" si="2"/>
        <v>7.2244023866015292E-2</v>
      </c>
      <c r="N11" s="18">
        <f t="shared" si="3"/>
        <v>2.630956397175387E-3</v>
      </c>
      <c r="O11" s="14">
        <f t="shared" si="4"/>
        <v>385.42880000000002</v>
      </c>
      <c r="P11" s="14">
        <f t="shared" ca="1" si="5"/>
        <v>389</v>
      </c>
      <c r="Q11" s="14" t="str">
        <f t="shared" ca="1" si="6"/>
        <v>0000000110000101</v>
      </c>
      <c r="R11" s="14">
        <f t="shared" ca="1" si="7"/>
        <v>7.2935274124145508E-2</v>
      </c>
      <c r="S11" s="14">
        <f t="shared" ca="1" si="8"/>
        <v>20.87522328948975</v>
      </c>
      <c r="T11" s="19">
        <f t="shared" ca="1" si="11"/>
        <v>1.1854885411602387E-3</v>
      </c>
      <c r="U11" s="14"/>
      <c r="V11" s="15">
        <f t="shared" ca="1" si="9"/>
        <v>2.4777E-2</v>
      </c>
      <c r="W11" s="14"/>
      <c r="X11" s="2"/>
    </row>
    <row r="12" spans="1:26" x14ac:dyDescent="0.25">
      <c r="A12" s="14" t="s">
        <v>9</v>
      </c>
      <c r="B12" s="14"/>
      <c r="C12" s="14">
        <v>16</v>
      </c>
      <c r="D12" s="14"/>
      <c r="E12" s="20" t="s">
        <v>1</v>
      </c>
      <c r="H12" s="14">
        <v>21</v>
      </c>
      <c r="I12" s="17">
        <v>7.8930568139319632E-2</v>
      </c>
      <c r="J12" s="15">
        <f t="shared" si="0"/>
        <v>-2.1900000000000001E-4</v>
      </c>
      <c r="K12" s="30">
        <f t="shared" si="10"/>
        <v>5.0000000000000004E-6</v>
      </c>
      <c r="L12" s="15">
        <f t="shared" si="1"/>
        <v>-1.1950000000000001E-3</v>
      </c>
      <c r="M12" s="10">
        <f t="shared" si="2"/>
        <v>7.9113097298048454E-2</v>
      </c>
      <c r="N12" s="18">
        <f t="shared" si="3"/>
        <v>2.3125281248025722E-3</v>
      </c>
      <c r="O12" s="14">
        <f t="shared" si="4"/>
        <v>422.07600000000002</v>
      </c>
      <c r="P12" s="14">
        <f t="shared" ca="1" si="5"/>
        <v>421</v>
      </c>
      <c r="Q12" s="14" t="str">
        <f t="shared" ca="1" si="6"/>
        <v>0000000110100101</v>
      </c>
      <c r="R12" s="14">
        <f t="shared" ca="1" si="7"/>
        <v>7.8935091018676753E-2</v>
      </c>
      <c r="S12" s="14">
        <f t="shared" ca="1" si="8"/>
        <v>20.947221092224122</v>
      </c>
      <c r="T12" s="19">
        <f t="shared" ca="1" si="11"/>
        <v>2.5132813226608369E-3</v>
      </c>
      <c r="U12" s="14"/>
      <c r="V12" s="15">
        <f t="shared" ca="1" si="9"/>
        <v>5.2779E-2</v>
      </c>
      <c r="W12" s="14"/>
      <c r="X12" s="2"/>
    </row>
    <row r="13" spans="1:26" x14ac:dyDescent="0.25">
      <c r="A13" s="14" t="s">
        <v>30</v>
      </c>
      <c r="B13" s="14"/>
      <c r="C13" s="14"/>
      <c r="D13" s="14"/>
      <c r="E13" s="20" t="s">
        <v>22</v>
      </c>
      <c r="H13" s="14">
        <v>21.1</v>
      </c>
      <c r="I13" s="17">
        <v>8.4867512326768008E-2</v>
      </c>
      <c r="J13" s="15">
        <f t="shared" si="0"/>
        <v>-2.1900000000000001E-4</v>
      </c>
      <c r="K13" s="30">
        <f t="shared" si="10"/>
        <v>6.0000000000000002E-6</v>
      </c>
      <c r="L13" s="15">
        <f t="shared" si="1"/>
        <v>-1.1640000000000001E-3</v>
      </c>
      <c r="M13" s="10">
        <f t="shared" si="2"/>
        <v>8.5045586775761031E-2</v>
      </c>
      <c r="N13" s="18">
        <f t="shared" si="3"/>
        <v>2.0982640366242625E-3</v>
      </c>
      <c r="O13" s="14">
        <f t="shared" si="4"/>
        <v>453.72640000000001</v>
      </c>
      <c r="P13" s="14">
        <f t="shared" ca="1" si="5"/>
        <v>453</v>
      </c>
      <c r="Q13" s="14" t="str">
        <f t="shared" ca="1" si="6"/>
        <v>0000000111000101</v>
      </c>
      <c r="R13" s="14">
        <f t="shared" ca="1" si="7"/>
        <v>8.4934907913208013E-2</v>
      </c>
      <c r="S13" s="14">
        <f t="shared" ca="1" si="8"/>
        <v>21.019218894958499</v>
      </c>
      <c r="T13" s="19">
        <f t="shared" ca="1" si="11"/>
        <v>3.8284883905925398E-3</v>
      </c>
      <c r="U13" s="14"/>
      <c r="V13" s="15">
        <f t="shared" ca="1" si="9"/>
        <v>8.0781000000000006E-2</v>
      </c>
      <c r="W13" s="14"/>
      <c r="X13" s="2"/>
    </row>
    <row r="14" spans="1:26" x14ac:dyDescent="0.25">
      <c r="A14" s="14" t="s">
        <v>31</v>
      </c>
      <c r="B14" s="14">
        <v>-60</v>
      </c>
      <c r="C14" s="14"/>
      <c r="D14" s="14">
        <v>150</v>
      </c>
      <c r="E14" s="20" t="s">
        <v>32</v>
      </c>
      <c r="H14" s="14">
        <v>21.2</v>
      </c>
      <c r="I14" s="17">
        <v>9.1797780801121082E-2</v>
      </c>
      <c r="J14" s="15">
        <f t="shared" si="0"/>
        <v>-2.1800000000000001E-4</v>
      </c>
      <c r="K14" s="30">
        <f t="shared" si="10"/>
        <v>6.0000000000000002E-6</v>
      </c>
      <c r="L14" s="15">
        <f t="shared" si="1"/>
        <v>-1.134E-3</v>
      </c>
      <c r="M14" s="10">
        <f t="shared" si="2"/>
        <v>9.1969553099905788E-2</v>
      </c>
      <c r="N14" s="18">
        <f t="shared" si="3"/>
        <v>1.8712031738201684E-3</v>
      </c>
      <c r="O14" s="14">
        <f t="shared" si="4"/>
        <v>490.66640000000001</v>
      </c>
      <c r="P14" s="14">
        <f ca="1">ROUND(O14+$C$47+$C$49+RANDBETWEEN($B$45,$D$45) + 1,0)</f>
        <v>494</v>
      </c>
      <c r="Q14" s="14" t="str">
        <f t="shared" ca="1" si="6"/>
        <v>0000000111101110</v>
      </c>
      <c r="R14" s="14">
        <f t="shared" ca="1" si="7"/>
        <v>9.2622173309326178E-2</v>
      </c>
      <c r="S14" s="14">
        <f t="shared" ca="1" si="8"/>
        <v>21.111466079711917</v>
      </c>
      <c r="T14" s="19">
        <f t="shared" ca="1" si="11"/>
        <v>4.1761283154755739E-3</v>
      </c>
      <c r="U14" s="14"/>
      <c r="V14" s="15">
        <f t="shared" ca="1" si="9"/>
        <v>8.8534000000000002E-2</v>
      </c>
      <c r="W14" s="14"/>
      <c r="X14" s="2"/>
    </row>
    <row r="15" spans="1:26" x14ac:dyDescent="0.25">
      <c r="A15" s="14" t="s">
        <v>33</v>
      </c>
      <c r="B15" s="14">
        <f>2/3</f>
        <v>0.66666666666666663</v>
      </c>
      <c r="C15" s="14">
        <f>2/3*$C$24+$B$15</f>
        <v>0.66686666666666661</v>
      </c>
      <c r="D15" s="14"/>
      <c r="E15" s="20"/>
      <c r="H15" s="14">
        <v>21.3</v>
      </c>
      <c r="I15" s="17">
        <v>9.8754704531356832E-2</v>
      </c>
      <c r="J15" s="15">
        <f t="shared" si="0"/>
        <v>-2.1800000000000001E-4</v>
      </c>
      <c r="K15" s="30">
        <f t="shared" si="10"/>
        <v>6.9999999999999999E-6</v>
      </c>
      <c r="L15" s="15">
        <f t="shared" si="1"/>
        <v>-1.103E-3</v>
      </c>
      <c r="M15" s="10">
        <f t="shared" si="2"/>
        <v>9.8921657916674732E-2</v>
      </c>
      <c r="N15" s="18">
        <f t="shared" si="3"/>
        <v>1.6905866521517324E-3</v>
      </c>
      <c r="O15" s="14">
        <f t="shared" si="4"/>
        <v>527.75660000000005</v>
      </c>
      <c r="P15" s="14">
        <f t="shared" ref="P15:P78" ca="1" si="12">ROUND(O15+$C$47+$C$49+RANDBETWEEN($B$45,$D$45) + 1,0)</f>
        <v>526</v>
      </c>
      <c r="Q15" s="14" t="str">
        <f t="shared" ca="1" si="6"/>
        <v>0000001000001110</v>
      </c>
      <c r="R15" s="14">
        <f t="shared" ca="1" si="7"/>
        <v>9.8621990203857424E-2</v>
      </c>
      <c r="S15" s="14">
        <f t="shared" ca="1" si="8"/>
        <v>21.18346388244629</v>
      </c>
      <c r="T15" s="19">
        <f t="shared" ca="1" si="11"/>
        <v>5.4711792278737438E-3</v>
      </c>
      <c r="U15" s="14"/>
      <c r="V15" s="15">
        <f t="shared" ca="1" si="9"/>
        <v>0.116536</v>
      </c>
      <c r="W15" s="14"/>
      <c r="X15" s="2"/>
    </row>
    <row r="16" spans="1:26" x14ac:dyDescent="0.25">
      <c r="A16" s="14" t="s">
        <v>34</v>
      </c>
      <c r="B16" s="14">
        <f>-4.096/$C$15</f>
        <v>-6.1421573527941629</v>
      </c>
      <c r="C16" s="14">
        <f>4.096/$B$15 * ((2^15 - 1)/(2^15))</f>
        <v>6.1438125000000001</v>
      </c>
      <c r="D16" s="14">
        <f>4.096/$C$15</f>
        <v>6.1421573527941629</v>
      </c>
      <c r="E16" s="20" t="s">
        <v>22</v>
      </c>
      <c r="H16" s="14">
        <v>21.4</v>
      </c>
      <c r="I16" s="17">
        <v>0.10573827184964983</v>
      </c>
      <c r="J16" s="15">
        <f t="shared" si="0"/>
        <v>-2.1699999999999999E-4</v>
      </c>
      <c r="K16" s="30">
        <f t="shared" si="10"/>
        <v>6.9999999999999999E-6</v>
      </c>
      <c r="L16" s="15">
        <f t="shared" si="1"/>
        <v>-1.073E-3</v>
      </c>
      <c r="M16" s="10">
        <f t="shared" si="2"/>
        <v>0.10589970370157803</v>
      </c>
      <c r="N16" s="18">
        <f t="shared" si="3"/>
        <v>1.5267116542034994E-3</v>
      </c>
      <c r="O16" s="14">
        <f t="shared" si="4"/>
        <v>564.98509999999999</v>
      </c>
      <c r="P16" s="14">
        <f t="shared" ca="1" si="12"/>
        <v>564</v>
      </c>
      <c r="Q16" s="14" t="str">
        <f t="shared" ca="1" si="6"/>
        <v>0000001000110100</v>
      </c>
      <c r="R16" s="14">
        <f t="shared" ca="1" si="7"/>
        <v>0.10574677276611329</v>
      </c>
      <c r="S16" s="14">
        <f t="shared" ca="1" si="8"/>
        <v>21.268961273193362</v>
      </c>
      <c r="T16" s="19">
        <f t="shared" ca="1" si="11"/>
        <v>6.1233049909643188E-3</v>
      </c>
      <c r="U16" s="14"/>
      <c r="V16" s="15">
        <f t="shared" ca="1" si="9"/>
        <v>0.13103899999999999</v>
      </c>
      <c r="W16" s="14"/>
      <c r="X16" s="2"/>
    </row>
    <row r="17" spans="1:24" x14ac:dyDescent="0.25">
      <c r="A17" s="14" t="s">
        <v>36</v>
      </c>
      <c r="B17" s="14"/>
      <c r="C17" s="14">
        <f>6000000</f>
        <v>6000000</v>
      </c>
      <c r="D17" s="14"/>
      <c r="E17" s="20" t="s">
        <v>37</v>
      </c>
      <c r="H17" s="14">
        <v>21.5</v>
      </c>
      <c r="I17" s="17">
        <v>0.11274847097174033</v>
      </c>
      <c r="J17" s="15">
        <f t="shared" si="0"/>
        <v>-2.1599999999999999E-4</v>
      </c>
      <c r="K17" s="30">
        <f t="shared" si="10"/>
        <v>7.9999999999999996E-6</v>
      </c>
      <c r="L17" s="15">
        <f t="shared" si="1"/>
        <v>-1.042E-3</v>
      </c>
      <c r="M17" s="10">
        <f t="shared" si="2"/>
        <v>0.1129048845180725</v>
      </c>
      <c r="N17" s="18">
        <f t="shared" si="3"/>
        <v>1.3872786476312581E-3</v>
      </c>
      <c r="O17" s="14">
        <f t="shared" si="4"/>
        <v>602.35839999999996</v>
      </c>
      <c r="P17" s="14">
        <f t="shared" ca="1" si="12"/>
        <v>607</v>
      </c>
      <c r="Q17" s="14" t="str">
        <f t="shared" ca="1" si="6"/>
        <v>0000001001011111</v>
      </c>
      <c r="R17" s="14">
        <f t="shared" ca="1" si="7"/>
        <v>0.11380902671813965</v>
      </c>
      <c r="S17" s="14">
        <f t="shared" ca="1" si="8"/>
        <v>21.365708320617678</v>
      </c>
      <c r="T17" s="19">
        <f t="shared" ca="1" si="11"/>
        <v>6.2461246224335869E-3</v>
      </c>
      <c r="U17" s="14"/>
      <c r="V17" s="15">
        <f t="shared" ca="1" si="9"/>
        <v>0.13429199999999999</v>
      </c>
      <c r="W17" s="14"/>
      <c r="X17" s="2"/>
    </row>
    <row r="18" spans="1:24" x14ac:dyDescent="0.25">
      <c r="A18" s="14" t="s">
        <v>38</v>
      </c>
      <c r="B18" s="14"/>
      <c r="C18" s="14">
        <v>128</v>
      </c>
      <c r="D18" s="14"/>
      <c r="E18" s="20" t="s">
        <v>8</v>
      </c>
      <c r="H18" s="14">
        <v>21.6</v>
      </c>
      <c r="I18" s="17">
        <v>0.11882352713321125</v>
      </c>
      <c r="J18" s="15">
        <f t="shared" si="0"/>
        <v>-2.1599999999999999E-4</v>
      </c>
      <c r="K18" s="30">
        <f t="shared" si="10"/>
        <v>7.9999999999999996E-6</v>
      </c>
      <c r="L18" s="15">
        <f>ROUND(K18+($C$24*(H18-25)),6)</f>
        <v>-1.0120000000000001E-3</v>
      </c>
      <c r="M18" s="10">
        <f t="shared" si="2"/>
        <v>0.11897718092211805</v>
      </c>
      <c r="N18" s="18">
        <f t="shared" si="3"/>
        <v>1.2931259710422976E-3</v>
      </c>
      <c r="O18" s="14">
        <f t="shared" si="4"/>
        <v>634.75469999999996</v>
      </c>
      <c r="P18" s="14">
        <f t="shared" ca="1" si="12"/>
        <v>636</v>
      </c>
      <c r="Q18" s="14" t="str">
        <f t="shared" ca="1" si="6"/>
        <v>0000001001111100</v>
      </c>
      <c r="R18" s="14">
        <f t="shared" ca="1" si="7"/>
        <v>0.1192463607788086</v>
      </c>
      <c r="S18" s="14">
        <f t="shared" ca="1" si="8"/>
        <v>21.430956329345705</v>
      </c>
      <c r="T18" s="19">
        <f t="shared" ca="1" si="11"/>
        <v>7.8260958636248521E-3</v>
      </c>
      <c r="U18" s="14"/>
      <c r="V18" s="15">
        <f t="shared" ca="1" si="9"/>
        <v>0.169044</v>
      </c>
      <c r="W18" s="14"/>
      <c r="X18" s="2"/>
    </row>
    <row r="19" spans="1:24" x14ac:dyDescent="0.25">
      <c r="A19" s="25" t="s">
        <v>39</v>
      </c>
      <c r="B19" s="25">
        <v>20</v>
      </c>
      <c r="C19" s="25"/>
      <c r="D19" s="25">
        <v>80</v>
      </c>
      <c r="E19" s="26" t="s">
        <v>32</v>
      </c>
      <c r="H19" s="14">
        <v>21.7</v>
      </c>
      <c r="I19" s="17">
        <v>0.12588777376147675</v>
      </c>
      <c r="J19" s="15">
        <f t="shared" si="0"/>
        <v>-2.1499999999999999E-4</v>
      </c>
      <c r="K19" s="30">
        <f t="shared" si="10"/>
        <v>9.0000000000000002E-6</v>
      </c>
      <c r="L19" s="15">
        <f t="shared" si="1"/>
        <v>-9.810000000000001E-4</v>
      </c>
      <c r="M19" s="10">
        <f t="shared" si="2"/>
        <v>0.12603718817787427</v>
      </c>
      <c r="N19" s="18">
        <f t="shared" si="3"/>
        <v>1.1868858423107398E-3</v>
      </c>
      <c r="O19" s="14">
        <f t="shared" si="4"/>
        <v>672.42049999999995</v>
      </c>
      <c r="P19" s="14">
        <f t="shared" ca="1" si="12"/>
        <v>677</v>
      </c>
      <c r="Q19" s="14" t="str">
        <f t="shared" ca="1" si="6"/>
        <v>0000001010100101</v>
      </c>
      <c r="R19" s="14">
        <f t="shared" ca="1" si="7"/>
        <v>0.12693362617492676</v>
      </c>
      <c r="S19" s="14">
        <f t="shared" ca="1" si="8"/>
        <v>21.523203514099123</v>
      </c>
      <c r="T19" s="19">
        <f t="shared" ca="1" si="11"/>
        <v>8.1473034977362392E-3</v>
      </c>
      <c r="U19" s="14"/>
      <c r="V19" s="15">
        <f t="shared" ca="1" si="9"/>
        <v>0.17679600000000001</v>
      </c>
      <c r="W19" s="14"/>
      <c r="X19" s="2"/>
    </row>
    <row r="20" spans="1:24" x14ac:dyDescent="0.25">
      <c r="A20" s="14" t="s">
        <v>47</v>
      </c>
      <c r="B20" s="14">
        <f>-0.000225</f>
        <v>-2.2499999999999999E-4</v>
      </c>
      <c r="C20" s="14"/>
      <c r="D20" s="14">
        <f>-0.00012</f>
        <v>-1.2E-4</v>
      </c>
      <c r="E20" s="20" t="s">
        <v>22</v>
      </c>
      <c r="H20" s="14">
        <v>21.8</v>
      </c>
      <c r="I20" s="17">
        <v>0.13297861509505859</v>
      </c>
      <c r="J20" s="15">
        <f t="shared" si="0"/>
        <v>-2.1499999999999999E-4</v>
      </c>
      <c r="K20" s="30">
        <f t="shared" si="10"/>
        <v>9.0000000000000002E-6</v>
      </c>
      <c r="L20" s="15">
        <f t="shared" si="1"/>
        <v>-9.5100000000000002E-4</v>
      </c>
      <c r="M20" s="10">
        <f t="shared" si="2"/>
        <v>0.13312506831309284</v>
      </c>
      <c r="N20" s="18">
        <f t="shared" si="3"/>
        <v>1.101329096633751E-3</v>
      </c>
      <c r="O20" s="14">
        <f t="shared" si="4"/>
        <v>710.23500000000001</v>
      </c>
      <c r="P20" s="14">
        <f t="shared" ca="1" si="12"/>
        <v>715</v>
      </c>
      <c r="Q20" s="14" t="str">
        <f t="shared" ca="1" si="6"/>
        <v>0000001011001011</v>
      </c>
      <c r="R20" s="14">
        <f t="shared" ca="1" si="7"/>
        <v>0.13405840873718261</v>
      </c>
      <c r="S20" s="14">
        <f t="shared" ca="1" si="8"/>
        <v>21.608700904846192</v>
      </c>
      <c r="T20" s="19">
        <f t="shared" ca="1" si="11"/>
        <v>8.7751878510921623E-3</v>
      </c>
      <c r="U20" s="14"/>
      <c r="V20" s="15">
        <f t="shared" ca="1" si="9"/>
        <v>0.191299</v>
      </c>
      <c r="W20" s="14"/>
      <c r="X20" s="2"/>
    </row>
    <row r="21" spans="1:24" x14ac:dyDescent="0.25">
      <c r="A21" s="14"/>
      <c r="B21" s="14"/>
      <c r="C21" s="14"/>
      <c r="D21" s="14"/>
      <c r="E21" s="20"/>
      <c r="H21" s="14">
        <v>21.9</v>
      </c>
      <c r="I21" s="17">
        <v>0.14009603751663477</v>
      </c>
      <c r="J21" s="15">
        <f t="shared" si="0"/>
        <v>-2.14E-4</v>
      </c>
      <c r="K21" s="30">
        <f t="shared" si="10"/>
        <v>1.0000000000000001E-5</v>
      </c>
      <c r="L21" s="15">
        <f t="shared" si="1"/>
        <v>-9.2000000000000003E-4</v>
      </c>
      <c r="M21" s="10">
        <f t="shared" si="2"/>
        <v>0.14023907093137788</v>
      </c>
      <c r="N21" s="18">
        <f t="shared" si="3"/>
        <v>1.0209668829936182E-3</v>
      </c>
      <c r="O21" s="14">
        <f t="shared" si="4"/>
        <v>748.18889999999999</v>
      </c>
      <c r="P21" s="14">
        <f t="shared" ca="1" si="12"/>
        <v>753</v>
      </c>
      <c r="Q21" s="14" t="str">
        <f t="shared" ca="1" si="6"/>
        <v>0000001011110001</v>
      </c>
      <c r="R21" s="14">
        <f t="shared" ca="1" si="7"/>
        <v>0.14118319129943849</v>
      </c>
      <c r="S21" s="14">
        <f t="shared" ca="1" si="8"/>
        <v>21.694198295593264</v>
      </c>
      <c r="T21" s="19">
        <f t="shared" ca="1" si="11"/>
        <v>9.3973381007641486E-3</v>
      </c>
      <c r="U21" s="14"/>
      <c r="V21" s="15">
        <f t="shared" ca="1" si="9"/>
        <v>0.20580200000000001</v>
      </c>
      <c r="W21" s="14"/>
      <c r="X21" s="2"/>
    </row>
    <row r="22" spans="1:24" x14ac:dyDescent="0.25">
      <c r="A22" s="14" t="s">
        <v>48</v>
      </c>
      <c r="B22" s="27">
        <v>0</v>
      </c>
      <c r="C22" s="14"/>
      <c r="D22" s="28">
        <v>2.9999999999999997E-4</v>
      </c>
      <c r="E22" s="20" t="s">
        <v>23</v>
      </c>
      <c r="H22" s="14">
        <v>22</v>
      </c>
      <c r="I22" s="17">
        <v>0.14628156503103817</v>
      </c>
      <c r="J22" s="15">
        <f t="shared" si="0"/>
        <v>-2.14E-4</v>
      </c>
      <c r="K22" s="30">
        <f t="shared" si="10"/>
        <v>1.0000000000000001E-5</v>
      </c>
      <c r="L22" s="15">
        <f t="shared" si="1"/>
        <v>-8.8999999999999995E-4</v>
      </c>
      <c r="M22" s="10">
        <f t="shared" si="2"/>
        <v>0.1464232999141146</v>
      </c>
      <c r="N22" s="18">
        <f t="shared" si="3"/>
        <v>9.6891828472267549E-4</v>
      </c>
      <c r="O22" s="14">
        <f t="shared" si="4"/>
        <v>781.18240000000003</v>
      </c>
      <c r="P22" s="14">
        <f t="shared" ca="1" si="12"/>
        <v>781</v>
      </c>
      <c r="Q22" s="14" t="str">
        <f t="shared" ca="1" si="6"/>
        <v>0000001100001101</v>
      </c>
      <c r="R22" s="14">
        <f t="shared" ca="1" si="7"/>
        <v>0.14643303108215333</v>
      </c>
      <c r="S22" s="14">
        <f t="shared" ca="1" si="8"/>
        <v>21.757196372985842</v>
      </c>
      <c r="T22" s="19">
        <f t="shared" ca="1" si="11"/>
        <v>1.1036528500643556E-2</v>
      </c>
      <c r="U22" s="14"/>
      <c r="V22" s="15">
        <f t="shared" ca="1" si="9"/>
        <v>0.24280399999999999</v>
      </c>
      <c r="W22" s="14"/>
      <c r="X22" s="2"/>
    </row>
    <row r="23" spans="1:24" x14ac:dyDescent="0.25">
      <c r="A23" s="14" t="s">
        <v>40</v>
      </c>
      <c r="B23" s="14"/>
      <c r="C23" s="29">
        <v>5.0000000000000004E-6</v>
      </c>
      <c r="D23" s="14"/>
      <c r="E23" s="16" t="s">
        <v>41</v>
      </c>
      <c r="H23" s="14">
        <v>22.1</v>
      </c>
      <c r="I23" s="17">
        <v>0.15345293472008928</v>
      </c>
      <c r="J23" s="15">
        <f t="shared" si="0"/>
        <v>-2.13E-4</v>
      </c>
      <c r="K23" s="30">
        <f t="shared" si="10"/>
        <v>1.1E-5</v>
      </c>
      <c r="L23" s="15">
        <f t="shared" si="1"/>
        <v>-8.5899999999999995E-4</v>
      </c>
      <c r="M23" s="10">
        <f t="shared" si="2"/>
        <v>0.1535920489720223</v>
      </c>
      <c r="N23" s="18">
        <f t="shared" si="3"/>
        <v>9.0655973563999622E-4</v>
      </c>
      <c r="O23" s="14">
        <f t="shared" si="4"/>
        <v>819.42830000000004</v>
      </c>
      <c r="P23" s="14">
        <f t="shared" ca="1" si="12"/>
        <v>819</v>
      </c>
      <c r="Q23" s="14" t="str">
        <f t="shared" ca="1" si="6"/>
        <v>0000001100110011</v>
      </c>
      <c r="R23" s="14">
        <f t="shared" ca="1" si="7"/>
        <v>0.15355781364440918</v>
      </c>
      <c r="S23" s="14">
        <f t="shared" ca="1" si="8"/>
        <v>21.84269376373291</v>
      </c>
      <c r="T23" s="19">
        <f t="shared" ca="1" si="11"/>
        <v>1.1642816120682851E-2</v>
      </c>
      <c r="U23" s="14"/>
      <c r="V23" s="15">
        <f t="shared" ca="1" si="9"/>
        <v>0.25730599999999998</v>
      </c>
      <c r="W23" s="14"/>
      <c r="X23" s="2"/>
    </row>
    <row r="24" spans="1:24" x14ac:dyDescent="0.25">
      <c r="A24" s="14"/>
      <c r="B24" s="14" t="s">
        <v>43</v>
      </c>
      <c r="C24" s="30">
        <f>($D$19-$B$19)*C23</f>
        <v>3.0000000000000003E-4</v>
      </c>
      <c r="D24" s="14"/>
      <c r="E24" s="16"/>
      <c r="H24" s="14">
        <v>22.2</v>
      </c>
      <c r="I24" s="17">
        <v>0.16065084292842172</v>
      </c>
      <c r="J24" s="15">
        <f t="shared" si="0"/>
        <v>-2.12E-4</v>
      </c>
      <c r="K24" s="30">
        <f t="shared" si="10"/>
        <v>1.1E-5</v>
      </c>
      <c r="L24" s="15">
        <f t="shared" si="1"/>
        <v>-8.2899999999999998E-4</v>
      </c>
      <c r="M24" s="10">
        <f t="shared" si="2"/>
        <v>0.16078759809160378</v>
      </c>
      <c r="N24" s="18">
        <f t="shared" si="3"/>
        <v>8.5125705342858915E-4</v>
      </c>
      <c r="O24" s="14">
        <f t="shared" si="4"/>
        <v>857.81730000000005</v>
      </c>
      <c r="P24" s="14">
        <f t="shared" ca="1" si="12"/>
        <v>860</v>
      </c>
      <c r="Q24" s="14" t="str">
        <f t="shared" ca="1" si="6"/>
        <v>0000001101011100</v>
      </c>
      <c r="R24" s="14">
        <f t="shared" ca="1" si="7"/>
        <v>0.16124507904052734</v>
      </c>
      <c r="S24" s="14">
        <f t="shared" ca="1" si="8"/>
        <v>21.934940948486329</v>
      </c>
      <c r="T24" s="19">
        <f t="shared" ca="1" si="11"/>
        <v>1.1939596915030208E-2</v>
      </c>
      <c r="U24" s="14"/>
      <c r="V24" s="15">
        <f t="shared" ca="1" si="9"/>
        <v>0.26505899999999999</v>
      </c>
      <c r="W24" s="14"/>
      <c r="X24" s="2"/>
    </row>
    <row r="25" spans="1:24" x14ac:dyDescent="0.25">
      <c r="A25" s="14" t="s">
        <v>42</v>
      </c>
      <c r="B25" s="14" t="s">
        <v>43</v>
      </c>
      <c r="C25" s="14">
        <v>90</v>
      </c>
      <c r="D25" s="14"/>
      <c r="E25" s="20" t="s">
        <v>10</v>
      </c>
      <c r="H25" s="14">
        <v>22.3</v>
      </c>
      <c r="I25" s="17">
        <v>0.16691930606887123</v>
      </c>
      <c r="J25" s="15">
        <f t="shared" si="0"/>
        <v>-2.12E-4</v>
      </c>
      <c r="K25" s="30">
        <f t="shared" si="10"/>
        <v>1.2E-5</v>
      </c>
      <c r="L25" s="15">
        <f t="shared" si="1"/>
        <v>-7.9799999999999999E-4</v>
      </c>
      <c r="M25" s="10">
        <f t="shared" si="2"/>
        <v>0.16705604163164917</v>
      </c>
      <c r="N25" s="18">
        <f t="shared" si="3"/>
        <v>8.1917164645722255E-4</v>
      </c>
      <c r="O25" s="14">
        <f t="shared" si="4"/>
        <v>891.26</v>
      </c>
      <c r="P25" s="14">
        <f t="shared" ca="1" si="12"/>
        <v>891</v>
      </c>
      <c r="Q25" s="14" t="str">
        <f t="shared" ca="1" si="6"/>
        <v>0000001101111011</v>
      </c>
      <c r="R25" s="14">
        <f t="shared" ca="1" si="7"/>
        <v>0.1670574016571045</v>
      </c>
      <c r="S25" s="14">
        <f t="shared" ca="1" si="8"/>
        <v>22.004688819885256</v>
      </c>
      <c r="T25" s="19">
        <f t="shared" ca="1" si="11"/>
        <v>1.3242653816804678E-2</v>
      </c>
      <c r="U25" s="14"/>
      <c r="V25" s="15">
        <f t="shared" ca="1" si="9"/>
        <v>0.29531099999999999</v>
      </c>
      <c r="W25" s="14"/>
      <c r="X25" s="2"/>
    </row>
    <row r="26" spans="1:24" x14ac:dyDescent="0.25">
      <c r="A26" s="14" t="s">
        <v>49</v>
      </c>
      <c r="B26" s="14"/>
      <c r="C26" s="15">
        <f>0.00002</f>
        <v>2.0000000000000002E-5</v>
      </c>
      <c r="D26" s="14"/>
      <c r="E26" s="20" t="s">
        <v>22</v>
      </c>
      <c r="H26" s="14">
        <v>22.4</v>
      </c>
      <c r="I26" s="17">
        <v>0.17417107728017503</v>
      </c>
      <c r="J26" s="15">
        <f t="shared" si="0"/>
        <v>-2.1100000000000001E-4</v>
      </c>
      <c r="K26" s="30">
        <f t="shared" si="10"/>
        <v>1.2E-5</v>
      </c>
      <c r="L26" s="15">
        <f t="shared" si="1"/>
        <v>-7.6800000000000002E-4</v>
      </c>
      <c r="M26" s="10">
        <f t="shared" si="2"/>
        <v>0.17430625462062635</v>
      </c>
      <c r="N26" s="18">
        <f t="shared" si="3"/>
        <v>7.7611818541990871E-4</v>
      </c>
      <c r="O26" s="14">
        <f t="shared" si="4"/>
        <v>929.94060000000002</v>
      </c>
      <c r="P26" s="14">
        <f t="shared" ca="1" si="12"/>
        <v>935</v>
      </c>
      <c r="Q26" s="14" t="str">
        <f t="shared" ca="1" si="6"/>
        <v>0000001110100111</v>
      </c>
      <c r="R26" s="14">
        <f t="shared" ca="1" si="7"/>
        <v>0.17530714988708496</v>
      </c>
      <c r="S26" s="14">
        <f t="shared" ca="1" si="8"/>
        <v>22.103685798645021</v>
      </c>
      <c r="T26" s="19">
        <f t="shared" ca="1" si="11"/>
        <v>1.322831256049008E-2</v>
      </c>
      <c r="U26" s="14"/>
      <c r="V26" s="15">
        <f t="shared" ca="1" si="9"/>
        <v>0.29631400000000002</v>
      </c>
      <c r="W26" s="14"/>
      <c r="X26" s="2"/>
    </row>
    <row r="27" spans="1:24" x14ac:dyDescent="0.25">
      <c r="A27" s="14" t="s">
        <v>50</v>
      </c>
      <c r="B27" s="14">
        <f>0.000022</f>
        <v>2.1999999999999999E-5</v>
      </c>
      <c r="C27" s="14"/>
      <c r="D27" s="14">
        <f>0.000038</f>
        <v>3.8000000000000002E-5</v>
      </c>
      <c r="E27" s="20" t="s">
        <v>22</v>
      </c>
      <c r="H27" s="14">
        <v>22.5</v>
      </c>
      <c r="I27" s="17">
        <v>0.18144933920461195</v>
      </c>
      <c r="J27" s="15">
        <f t="shared" si="0"/>
        <v>-2.1100000000000001E-4</v>
      </c>
      <c r="K27" s="30">
        <f t="shared" si="10"/>
        <v>1.2999999999999999E-5</v>
      </c>
      <c r="L27" s="15">
        <f t="shared" si="1"/>
        <v>-7.3700000000000002E-4</v>
      </c>
      <c r="M27" s="10">
        <f t="shared" si="2"/>
        <v>0.18158455413421504</v>
      </c>
      <c r="N27" s="18">
        <f t="shared" si="3"/>
        <v>7.4519383865381838E-4</v>
      </c>
      <c r="O27" s="14">
        <f t="shared" si="4"/>
        <v>968.77110000000005</v>
      </c>
      <c r="P27" s="14">
        <f t="shared" ca="1" si="12"/>
        <v>970</v>
      </c>
      <c r="Q27" s="14" t="str">
        <f t="shared" ca="1" si="6"/>
        <v>0000001111001010</v>
      </c>
      <c r="R27" s="14">
        <f t="shared" ca="1" si="7"/>
        <v>0.18186944961547852</v>
      </c>
      <c r="S27" s="14">
        <f t="shared" ca="1" si="8"/>
        <v>22.182433395385743</v>
      </c>
      <c r="T27" s="19">
        <f t="shared" ca="1" si="11"/>
        <v>1.4114071316189185E-2</v>
      </c>
      <c r="U27" s="14"/>
      <c r="V27" s="15">
        <f t="shared" ca="1" si="9"/>
        <v>0.31756699999999999</v>
      </c>
      <c r="W27" s="14"/>
      <c r="X27" s="2"/>
    </row>
    <row r="28" spans="1:24" x14ac:dyDescent="0.25">
      <c r="A28" s="31" t="s">
        <v>44</v>
      </c>
      <c r="B28" s="31"/>
      <c r="C28" s="31"/>
      <c r="D28" s="31"/>
      <c r="E28" s="32"/>
      <c r="H28" s="14">
        <v>22.6</v>
      </c>
      <c r="I28" s="17">
        <v>0.18780061867398354</v>
      </c>
      <c r="J28" s="15">
        <f t="shared" si="0"/>
        <v>-2.1000000000000001E-4</v>
      </c>
      <c r="K28" s="30">
        <f t="shared" si="10"/>
        <v>1.2999999999999999E-5</v>
      </c>
      <c r="L28" s="15">
        <f t="shared" si="1"/>
        <v>-7.0699999999999995E-4</v>
      </c>
      <c r="M28" s="10">
        <f t="shared" si="2"/>
        <v>0.18793578907710601</v>
      </c>
      <c r="N28" s="18">
        <f t="shared" si="3"/>
        <v>7.1975483401959283E-4</v>
      </c>
      <c r="O28" s="14">
        <f t="shared" si="4"/>
        <v>1002.6555</v>
      </c>
      <c r="P28" s="14">
        <f t="shared" ca="1" si="12"/>
        <v>1003</v>
      </c>
      <c r="Q28" s="14" t="str">
        <f t="shared" ca="1" si="6"/>
        <v>0000001111101011</v>
      </c>
      <c r="R28" s="14">
        <f t="shared" ca="1" si="7"/>
        <v>0.18805676078796388</v>
      </c>
      <c r="S28" s="14">
        <f t="shared" ca="1" si="8"/>
        <v>22.256681129455568</v>
      </c>
      <c r="T28" s="19">
        <f t="shared" ca="1" si="11"/>
        <v>1.519110046656783E-2</v>
      </c>
      <c r="U28" s="14"/>
      <c r="V28" s="15">
        <f t="shared" ca="1" si="9"/>
        <v>0.34331899999999999</v>
      </c>
      <c r="W28" s="14"/>
      <c r="X28" s="2"/>
    </row>
    <row r="29" spans="1:24" x14ac:dyDescent="0.25">
      <c r="A29" s="14" t="s">
        <v>45</v>
      </c>
      <c r="B29" s="14">
        <f>0.7*$C$10</f>
        <v>3.8499999999999996</v>
      </c>
      <c r="C29" s="14"/>
      <c r="D29" s="14">
        <f>$D$10</f>
        <v>5.5</v>
      </c>
      <c r="E29" s="20"/>
      <c r="H29" s="14">
        <v>22.7</v>
      </c>
      <c r="I29" s="17">
        <v>0.19513265060782023</v>
      </c>
      <c r="J29" s="15">
        <f t="shared" si="0"/>
        <v>-2.0900000000000001E-4</v>
      </c>
      <c r="K29" s="30">
        <f t="shared" si="10"/>
        <v>1.4E-5</v>
      </c>
      <c r="L29" s="15">
        <f t="shared" si="1"/>
        <v>-6.7599999999999995E-4</v>
      </c>
      <c r="M29" s="10">
        <f t="shared" si="2"/>
        <v>0.19526768885815213</v>
      </c>
      <c r="N29" s="18">
        <f t="shared" si="3"/>
        <v>6.9203308575610685E-4</v>
      </c>
      <c r="O29" s="14">
        <f t="shared" si="4"/>
        <v>1041.7719</v>
      </c>
      <c r="P29" s="14">
        <f t="shared" ca="1" si="12"/>
        <v>1041</v>
      </c>
      <c r="Q29" s="14" t="str">
        <f t="shared" ca="1" si="6"/>
        <v>0000010000010001</v>
      </c>
      <c r="R29" s="14">
        <f t="shared" ca="1" si="7"/>
        <v>0.19518154335021973</v>
      </c>
      <c r="S29" s="14">
        <f t="shared" ca="1" si="8"/>
        <v>22.342178520202641</v>
      </c>
      <c r="T29" s="19">
        <f t="shared" ca="1" si="11"/>
        <v>1.5763060784024611E-2</v>
      </c>
      <c r="U29" s="14"/>
      <c r="V29" s="15">
        <f t="shared" ca="1" si="9"/>
        <v>0.357821</v>
      </c>
      <c r="W29" s="14"/>
      <c r="X29" s="2"/>
    </row>
    <row r="30" spans="1:24" x14ac:dyDescent="0.25">
      <c r="A30" s="14" t="s">
        <v>46</v>
      </c>
      <c r="B30" s="14">
        <f>$C$11-0.5</f>
        <v>-0.5</v>
      </c>
      <c r="C30" s="14"/>
      <c r="D30" s="14">
        <f>0.3*$C$10</f>
        <v>1.65</v>
      </c>
      <c r="E30" s="20"/>
      <c r="H30" s="14">
        <v>22.8</v>
      </c>
      <c r="I30" s="17">
        <v>0.20249112198613889</v>
      </c>
      <c r="J30" s="15">
        <f t="shared" si="0"/>
        <v>-2.0900000000000001E-4</v>
      </c>
      <c r="K30" s="30">
        <f t="shared" si="10"/>
        <v>1.4E-5</v>
      </c>
      <c r="L30" s="15">
        <f t="shared" si="1"/>
        <v>-6.4599999999999998E-4</v>
      </c>
      <c r="M30" s="10">
        <f t="shared" si="2"/>
        <v>0.20262726224273009</v>
      </c>
      <c r="N30" s="18">
        <f t="shared" si="3"/>
        <v>6.723270396048215E-4</v>
      </c>
      <c r="O30" s="14">
        <f t="shared" si="4"/>
        <v>1081.0359000000001</v>
      </c>
      <c r="P30" s="14">
        <f t="shared" ca="1" si="12"/>
        <v>1083</v>
      </c>
      <c r="Q30" s="14" t="str">
        <f t="shared" ca="1" si="6"/>
        <v>0000010000111011</v>
      </c>
      <c r="R30" s="14">
        <f t="shared" ca="1" si="7"/>
        <v>0.20305630302429201</v>
      </c>
      <c r="S30" s="14">
        <f t="shared" ca="1" si="8"/>
        <v>22.436675636291508</v>
      </c>
      <c r="T30" s="19">
        <f t="shared" ca="1" si="11"/>
        <v>1.5935279110021627E-2</v>
      </c>
      <c r="U30" s="14"/>
      <c r="V30" s="15">
        <f t="shared" ca="1" si="9"/>
        <v>0.36332399999999998</v>
      </c>
      <c r="W30" s="14"/>
      <c r="X30" s="2"/>
    </row>
    <row r="31" spans="1:24" x14ac:dyDescent="0.25">
      <c r="H31" s="14">
        <v>22.9</v>
      </c>
      <c r="I31" s="17">
        <v>0.20892508411344421</v>
      </c>
      <c r="J31" s="15">
        <f t="shared" si="0"/>
        <v>-2.0799999999999999E-4</v>
      </c>
      <c r="K31" s="30">
        <f t="shared" si="10"/>
        <v>1.5E-5</v>
      </c>
      <c r="L31" s="15">
        <f t="shared" si="1"/>
        <v>-6.1499999999999999E-4</v>
      </c>
      <c r="M31" s="10">
        <f t="shared" si="2"/>
        <v>0.20906254631745899</v>
      </c>
      <c r="N31" s="18">
        <f t="shared" si="3"/>
        <v>6.5794973637603785E-4</v>
      </c>
      <c r="O31" s="14">
        <f t="shared" si="4"/>
        <v>1115.3688</v>
      </c>
      <c r="P31" s="14">
        <f t="shared" ca="1" si="12"/>
        <v>1114</v>
      </c>
      <c r="Q31" s="14" t="str">
        <f t="shared" ca="1" si="6"/>
        <v>0000010001011010</v>
      </c>
      <c r="R31" s="14">
        <f t="shared" ca="1" si="7"/>
        <v>0.20886862564086914</v>
      </c>
      <c r="S31" s="14">
        <f t="shared" ca="1" si="8"/>
        <v>22.506423507690432</v>
      </c>
      <c r="T31" s="19">
        <f t="shared" ca="1" si="11"/>
        <v>1.7186746389064055E-2</v>
      </c>
      <c r="U31" s="14"/>
      <c r="V31" s="15">
        <f t="shared" ca="1" si="9"/>
        <v>0.39357599999999998</v>
      </c>
      <c r="W31" s="14"/>
      <c r="X31" s="2"/>
    </row>
    <row r="32" spans="1:24" x14ac:dyDescent="0.25">
      <c r="A32" s="24" t="s">
        <v>53</v>
      </c>
      <c r="B32" s="24"/>
      <c r="C32" s="24"/>
      <c r="D32" s="24"/>
      <c r="E32" s="24"/>
      <c r="H32" s="14">
        <v>23</v>
      </c>
      <c r="I32" s="17">
        <v>0.2163372233129775</v>
      </c>
      <c r="J32" s="15">
        <f t="shared" si="0"/>
        <v>-2.0799999999999999E-4</v>
      </c>
      <c r="K32" s="30">
        <f t="shared" si="10"/>
        <v>1.5E-5</v>
      </c>
      <c r="L32" s="15">
        <f t="shared" si="1"/>
        <v>-5.8500000000000002E-4</v>
      </c>
      <c r="M32" s="10">
        <f t="shared" si="2"/>
        <v>0.21647661842120111</v>
      </c>
      <c r="N32" s="18">
        <f t="shared" si="3"/>
        <v>6.4434176462525199E-4</v>
      </c>
      <c r="O32" s="14">
        <f t="shared" si="4"/>
        <v>1154.9236000000001</v>
      </c>
      <c r="P32" s="14">
        <f t="shared" ca="1" si="12"/>
        <v>1159</v>
      </c>
      <c r="Q32" s="14" t="str">
        <f t="shared" ca="1" si="6"/>
        <v>0000010010000111</v>
      </c>
      <c r="R32" s="14">
        <f t="shared" ca="1" si="7"/>
        <v>0.2173058681488037</v>
      </c>
      <c r="S32" s="14">
        <f t="shared" ca="1" si="8"/>
        <v>22.607670417785648</v>
      </c>
      <c r="T32" s="19">
        <f t="shared" ca="1" si="11"/>
        <v>1.7057807922363111E-2</v>
      </c>
      <c r="U32" s="14"/>
      <c r="V32" s="15">
        <f t="shared" ca="1" si="9"/>
        <v>0.39233000000000001</v>
      </c>
      <c r="W32" s="14"/>
      <c r="X32" s="2"/>
    </row>
    <row r="33" spans="1:24" x14ac:dyDescent="0.25">
      <c r="A33" s="14"/>
      <c r="B33" s="14" t="s">
        <v>54</v>
      </c>
      <c r="C33" s="14" t="s">
        <v>55</v>
      </c>
      <c r="D33" s="14" t="s">
        <v>19</v>
      </c>
      <c r="E33" s="20"/>
      <c r="H33" s="14">
        <v>23.1</v>
      </c>
      <c r="I33" s="17">
        <v>0.22282650945483459</v>
      </c>
      <c r="J33" s="15">
        <f t="shared" si="0"/>
        <v>-2.0699999999999999E-4</v>
      </c>
      <c r="K33" s="30">
        <f t="shared" si="10"/>
        <v>1.5999999999999999E-5</v>
      </c>
      <c r="L33" s="15">
        <f t="shared" si="1"/>
        <v>-5.5400000000000002E-4</v>
      </c>
      <c r="M33" s="10">
        <f t="shared" si="2"/>
        <v>0.22296801730524751</v>
      </c>
      <c r="N33" s="18">
        <f t="shared" si="3"/>
        <v>6.3505841723739056E-4</v>
      </c>
      <c r="O33" s="14">
        <f t="shared" si="4"/>
        <v>1189.5558000000001</v>
      </c>
      <c r="P33" s="14">
        <f t="shared" ca="1" si="12"/>
        <v>1191</v>
      </c>
      <c r="Q33" s="14" t="str">
        <f t="shared" ca="1" si="6"/>
        <v>0000010010100111</v>
      </c>
      <c r="R33" s="14">
        <f t="shared" ca="1" si="7"/>
        <v>0.22330568504333498</v>
      </c>
      <c r="S33" s="14">
        <f t="shared" ca="1" si="8"/>
        <v>22.679668220520021</v>
      </c>
      <c r="T33" s="19">
        <f t="shared" ca="1" si="11"/>
        <v>1.8196180929869268E-2</v>
      </c>
      <c r="U33" s="14"/>
      <c r="V33" s="15">
        <f t="shared" ca="1" si="9"/>
        <v>0.42033199999999998</v>
      </c>
      <c r="W33" s="14"/>
      <c r="X33" s="2"/>
    </row>
    <row r="34" spans="1:24" x14ac:dyDescent="0.25">
      <c r="A34" s="14" t="s">
        <v>11</v>
      </c>
      <c r="B34" s="14">
        <v>0</v>
      </c>
      <c r="C34" s="14">
        <v>0</v>
      </c>
      <c r="D34" s="14">
        <f>B34-C34</f>
        <v>0</v>
      </c>
      <c r="E34" s="20"/>
      <c r="H34" s="14">
        <v>23.2</v>
      </c>
      <c r="I34" s="17">
        <v>0.23029224443177557</v>
      </c>
      <c r="J34" s="15">
        <f t="shared" si="0"/>
        <v>-2.0699999999999999E-4</v>
      </c>
      <c r="K34" s="30">
        <f t="shared" si="10"/>
        <v>1.5999999999999999E-5</v>
      </c>
      <c r="L34" s="15">
        <f t="shared" si="1"/>
        <v>-5.2400000000000005E-4</v>
      </c>
      <c r="M34" s="10">
        <f t="shared" si="2"/>
        <v>0.23043652608410753</v>
      </c>
      <c r="N34" s="18">
        <f t="shared" si="3"/>
        <v>6.265154638097506E-4</v>
      </c>
      <c r="O34" s="14">
        <f t="shared" si="4"/>
        <v>1229.4010000000001</v>
      </c>
      <c r="P34" s="14">
        <f t="shared" ca="1" si="12"/>
        <v>1232</v>
      </c>
      <c r="Q34" s="14" t="str">
        <f t="shared" ca="1" si="6"/>
        <v>0000010011010000</v>
      </c>
      <c r="R34" s="14">
        <f t="shared" ca="1" si="7"/>
        <v>0.23099295043945314</v>
      </c>
      <c r="S34" s="14">
        <f t="shared" ca="1" si="8"/>
        <v>22.77191540527344</v>
      </c>
      <c r="T34" s="19">
        <f t="shared" ca="1" si="11"/>
        <v>1.8451922186489642E-2</v>
      </c>
      <c r="U34" s="14"/>
      <c r="V34" s="15">
        <f t="shared" ca="1" si="9"/>
        <v>0.42808499999999999</v>
      </c>
      <c r="W34" s="14"/>
      <c r="X34" s="2"/>
    </row>
    <row r="35" spans="1:24" x14ac:dyDescent="0.25">
      <c r="A35" s="14" t="s">
        <v>12</v>
      </c>
      <c r="B35" s="14">
        <v>5</v>
      </c>
      <c r="C35" s="14">
        <v>5</v>
      </c>
      <c r="D35" s="14">
        <f t="shared" ref="D35:D41" si="13">B35-C35</f>
        <v>0</v>
      </c>
      <c r="E35" s="20"/>
      <c r="H35" s="14">
        <v>23.3</v>
      </c>
      <c r="I35" s="17">
        <v>0.23683678783996759</v>
      </c>
      <c r="J35" s="15">
        <f t="shared" si="0"/>
        <v>-2.0599999999999999E-4</v>
      </c>
      <c r="K35" s="30">
        <f t="shared" si="10"/>
        <v>1.7E-5</v>
      </c>
      <c r="L35" s="15">
        <f t="shared" si="1"/>
        <v>-4.9299999999999995E-4</v>
      </c>
      <c r="M35" s="10">
        <f t="shared" si="2"/>
        <v>0.2369839833301858</v>
      </c>
      <c r="N35" s="18">
        <f t="shared" si="3"/>
        <v>6.2150602345475612E-4</v>
      </c>
      <c r="O35" s="14">
        <f t="shared" si="4"/>
        <v>1264.3323</v>
      </c>
      <c r="P35" s="14">
        <f t="shared" ca="1" si="12"/>
        <v>1264</v>
      </c>
      <c r="Q35" s="14" t="str">
        <f t="shared" ca="1" si="6"/>
        <v>0000010011110000</v>
      </c>
      <c r="R35" s="14">
        <f t="shared" ca="1" si="7"/>
        <v>0.23699276733398439</v>
      </c>
      <c r="S35" s="14">
        <f t="shared" ca="1" si="8"/>
        <v>22.843913208007816</v>
      </c>
      <c r="T35" s="19">
        <f t="shared" ca="1" si="11"/>
        <v>1.9574540428849128E-2</v>
      </c>
      <c r="U35" s="14"/>
      <c r="V35" s="15">
        <f t="shared" ca="1" si="9"/>
        <v>0.45608700000000002</v>
      </c>
      <c r="W35" s="14"/>
      <c r="X35" s="2"/>
    </row>
    <row r="36" spans="1:24" x14ac:dyDescent="0.25">
      <c r="A36" s="14" t="s">
        <v>13</v>
      </c>
      <c r="B36" s="14">
        <v>0</v>
      </c>
      <c r="C36" s="14">
        <v>0</v>
      </c>
      <c r="D36" s="14">
        <f t="shared" si="13"/>
        <v>0</v>
      </c>
      <c r="E36" s="20"/>
      <c r="H36" s="14">
        <v>23.4</v>
      </c>
      <c r="I36" s="17">
        <v>0.24435604308794578</v>
      </c>
      <c r="J36" s="15">
        <f t="shared" si="0"/>
        <v>-2.05E-4</v>
      </c>
      <c r="K36" s="30">
        <f t="shared" si="10"/>
        <v>1.7E-5</v>
      </c>
      <c r="L36" s="15">
        <f t="shared" si="1"/>
        <v>-4.6299999999999998E-4</v>
      </c>
      <c r="M36" s="10">
        <f t="shared" si="2"/>
        <v>0.24450586372704014</v>
      </c>
      <c r="N36" s="18">
        <f t="shared" si="3"/>
        <v>6.1312434593825053E-4</v>
      </c>
      <c r="O36" s="14">
        <f t="shared" si="4"/>
        <v>1304.4622999999999</v>
      </c>
      <c r="P36" s="14">
        <f t="shared" ca="1" si="12"/>
        <v>1303</v>
      </c>
      <c r="Q36" s="14" t="str">
        <f t="shared" ca="1" si="6"/>
        <v>0000010100010111</v>
      </c>
      <c r="R36" s="14">
        <f t="shared" ca="1" si="7"/>
        <v>0.24430504417419435</v>
      </c>
      <c r="S36" s="14">
        <f t="shared" ca="1" si="8"/>
        <v>22.931660530090333</v>
      </c>
      <c r="T36" s="19">
        <f t="shared" ca="1" si="11"/>
        <v>2.0014507261096805E-2</v>
      </c>
      <c r="U36" s="14"/>
      <c r="V36" s="15">
        <f t="shared" ca="1" si="9"/>
        <v>0.46833900000000001</v>
      </c>
      <c r="W36" s="14"/>
      <c r="X36" s="2"/>
    </row>
    <row r="37" spans="1:24" x14ac:dyDescent="0.25">
      <c r="A37" s="14" t="s">
        <v>14</v>
      </c>
      <c r="B37" s="14">
        <v>5</v>
      </c>
      <c r="C37" s="14">
        <v>5</v>
      </c>
      <c r="D37" s="14">
        <f t="shared" si="13"/>
        <v>0</v>
      </c>
      <c r="E37" s="20"/>
      <c r="H37" s="14">
        <v>23.5</v>
      </c>
      <c r="I37" s="17">
        <v>0.25190160169437648</v>
      </c>
      <c r="J37" s="15">
        <f t="shared" si="0"/>
        <v>-2.05E-4</v>
      </c>
      <c r="K37" s="30">
        <f t="shared" si="10"/>
        <v>1.8E-5</v>
      </c>
      <c r="L37" s="15">
        <f t="shared" si="1"/>
        <v>-4.3199999999999998E-4</v>
      </c>
      <c r="M37" s="10">
        <f t="shared" si="2"/>
        <v>0.25205573867127051</v>
      </c>
      <c r="N37" s="18">
        <f t="shared" si="3"/>
        <v>6.1189359598056911E-4</v>
      </c>
      <c r="O37" s="14">
        <f t="shared" si="4"/>
        <v>1344.7416000000001</v>
      </c>
      <c r="P37" s="14">
        <f t="shared" ca="1" si="12"/>
        <v>1346</v>
      </c>
      <c r="Q37" s="14" t="str">
        <f t="shared" ca="1" si="6"/>
        <v>0000010101000010</v>
      </c>
      <c r="R37" s="14">
        <f t="shared" ca="1" si="7"/>
        <v>0.25236729812622072</v>
      </c>
      <c r="S37" s="14">
        <f t="shared" ca="1" si="8"/>
        <v>23.028407577514653</v>
      </c>
      <c r="T37" s="19">
        <f t="shared" ca="1" si="11"/>
        <v>2.0067762658950952E-2</v>
      </c>
      <c r="U37" s="14"/>
      <c r="V37" s="15">
        <f t="shared" ca="1" si="9"/>
        <v>0.47159200000000001</v>
      </c>
      <c r="W37" s="14"/>
      <c r="X37" s="2"/>
    </row>
    <row r="38" spans="1:24" x14ac:dyDescent="0.25">
      <c r="A38" s="14" t="s">
        <v>15</v>
      </c>
      <c r="B38" s="14">
        <v>0</v>
      </c>
      <c r="C38" s="14">
        <v>0</v>
      </c>
      <c r="D38" s="14">
        <f t="shared" si="13"/>
        <v>0</v>
      </c>
      <c r="E38" s="20"/>
      <c r="H38" s="14">
        <v>23.6</v>
      </c>
      <c r="I38" s="17">
        <v>0.25852846858885725</v>
      </c>
      <c r="J38" s="15">
        <f t="shared" si="0"/>
        <v>-2.04E-4</v>
      </c>
      <c r="K38" s="30">
        <f t="shared" si="10"/>
        <v>1.8E-5</v>
      </c>
      <c r="L38" s="15">
        <f t="shared" si="1"/>
        <v>-4.0200000000000001E-4</v>
      </c>
      <c r="M38" s="10">
        <f t="shared" si="2"/>
        <v>0.25868649993188464</v>
      </c>
      <c r="N38" s="18">
        <f t="shared" si="3"/>
        <v>6.1127249888563511E-4</v>
      </c>
      <c r="O38" s="14">
        <f t="shared" si="4"/>
        <v>1380.1172999999999</v>
      </c>
      <c r="P38" s="14">
        <f t="shared" ca="1" si="12"/>
        <v>1381</v>
      </c>
      <c r="Q38" s="14" t="str">
        <f t="shared" ca="1" si="6"/>
        <v>0000010101100101</v>
      </c>
      <c r="R38" s="14">
        <f t="shared" ca="1" si="7"/>
        <v>0.25892959785461428</v>
      </c>
      <c r="S38" s="14">
        <f t="shared" ca="1" si="8"/>
        <v>23.107155174255372</v>
      </c>
      <c r="T38" s="19">
        <f t="shared" ca="1" si="11"/>
        <v>2.0883255328162282E-2</v>
      </c>
      <c r="U38" s="14"/>
      <c r="V38" s="15">
        <f t="shared" ca="1" si="9"/>
        <v>0.49284499999999998</v>
      </c>
      <c r="W38" s="14"/>
      <c r="X38" s="2"/>
    </row>
    <row r="39" spans="1:24" x14ac:dyDescent="0.25">
      <c r="A39" s="14" t="s">
        <v>16</v>
      </c>
      <c r="B39" s="14">
        <v>5</v>
      </c>
      <c r="C39" s="14">
        <v>5</v>
      </c>
      <c r="D39" s="14">
        <f t="shared" si="13"/>
        <v>0</v>
      </c>
      <c r="E39" s="20"/>
      <c r="H39" s="14">
        <v>23.7</v>
      </c>
      <c r="I39" s="17">
        <v>0.26612742456119354</v>
      </c>
      <c r="J39" s="15">
        <f t="shared" si="0"/>
        <v>-2.04E-4</v>
      </c>
      <c r="K39" s="30">
        <f t="shared" si="10"/>
        <v>1.9000000000000001E-5</v>
      </c>
      <c r="L39" s="15">
        <f t="shared" si="1"/>
        <v>-3.7100000000000002E-4</v>
      </c>
      <c r="M39" s="10">
        <f t="shared" si="2"/>
        <v>0.26629065224720982</v>
      </c>
      <c r="N39" s="18">
        <f t="shared" si="3"/>
        <v>6.1334410117794779E-4</v>
      </c>
      <c r="O39" s="14">
        <f t="shared" si="4"/>
        <v>1420.6862000000001</v>
      </c>
      <c r="P39" s="14">
        <f t="shared" ca="1" si="12"/>
        <v>1419</v>
      </c>
      <c r="Q39" s="14" t="str">
        <f t="shared" ca="1" si="6"/>
        <v>0000010110001011</v>
      </c>
      <c r="R39" s="14">
        <f t="shared" ca="1" si="7"/>
        <v>0.26605438041687013</v>
      </c>
      <c r="S39" s="14">
        <f t="shared" ca="1" si="8"/>
        <v>23.192652565002444</v>
      </c>
      <c r="T39" s="19">
        <f t="shared" ca="1" si="11"/>
        <v>2.1407064767829349E-2</v>
      </c>
      <c r="U39" s="14"/>
      <c r="V39" s="15">
        <f t="shared" ca="1" si="9"/>
        <v>0.50734699999999999</v>
      </c>
      <c r="W39" s="14"/>
      <c r="X39" s="2"/>
    </row>
    <row r="40" spans="1:24" x14ac:dyDescent="0.25">
      <c r="A40" s="14" t="s">
        <v>17</v>
      </c>
      <c r="B40" s="14">
        <v>0</v>
      </c>
      <c r="C40" s="14">
        <v>0</v>
      </c>
      <c r="D40" s="14">
        <f t="shared" si="13"/>
        <v>0</v>
      </c>
      <c r="E40" s="20"/>
      <c r="H40" s="14">
        <v>23.8</v>
      </c>
      <c r="I40" s="17">
        <v>0.27280936229843805</v>
      </c>
      <c r="J40" s="15">
        <f t="shared" si="0"/>
        <v>-2.03E-4</v>
      </c>
      <c r="K40" s="30">
        <f t="shared" si="10"/>
        <v>1.9000000000000001E-5</v>
      </c>
      <c r="L40" s="15">
        <f t="shared" si="1"/>
        <v>-3.4099999999999999E-4</v>
      </c>
      <c r="M40" s="10">
        <f t="shared" si="2"/>
        <v>0.27297729681822308</v>
      </c>
      <c r="N40" s="18">
        <f t="shared" si="3"/>
        <v>6.155746209373788E-4</v>
      </c>
      <c r="O40" s="14">
        <f t="shared" si="4"/>
        <v>1456.3601000000001</v>
      </c>
      <c r="P40" s="14">
        <f t="shared" ca="1" si="12"/>
        <v>1460</v>
      </c>
      <c r="Q40" s="14" t="str">
        <f t="shared" ca="1" si="6"/>
        <v>0000010110110100</v>
      </c>
      <c r="R40" s="14">
        <f t="shared" ca="1" si="7"/>
        <v>0.27374164581298827</v>
      </c>
      <c r="S40" s="14">
        <f t="shared" ca="1" si="8"/>
        <v>23.284899749755862</v>
      </c>
      <c r="T40" s="19">
        <f t="shared" ca="1" si="11"/>
        <v>2.1642867657316749E-2</v>
      </c>
      <c r="U40" s="14"/>
      <c r="V40" s="15">
        <f t="shared" ca="1" si="9"/>
        <v>0.5151</v>
      </c>
      <c r="W40" s="14"/>
      <c r="X40" s="2"/>
    </row>
    <row r="41" spans="1:24" x14ac:dyDescent="0.25">
      <c r="A41" s="14" t="s">
        <v>18</v>
      </c>
      <c r="B41" s="14">
        <v>5</v>
      </c>
      <c r="C41" s="14">
        <v>5</v>
      </c>
      <c r="D41" s="14">
        <f t="shared" si="13"/>
        <v>0</v>
      </c>
      <c r="E41" s="20"/>
      <c r="H41" s="14">
        <v>23.9</v>
      </c>
      <c r="I41" s="17">
        <v>0.28046162997551971</v>
      </c>
      <c r="J41" s="15">
        <f t="shared" si="0"/>
        <v>-2.03E-4</v>
      </c>
      <c r="K41" s="30">
        <f t="shared" si="10"/>
        <v>2.0000000000000002E-5</v>
      </c>
      <c r="L41" s="15">
        <f t="shared" si="1"/>
        <v>-3.1E-4</v>
      </c>
      <c r="M41" s="10">
        <f t="shared" si="2"/>
        <v>0.28063565090373954</v>
      </c>
      <c r="N41" s="18">
        <f t="shared" si="3"/>
        <v>6.2048034248043417E-4</v>
      </c>
      <c r="O41" s="14">
        <f t="shared" si="4"/>
        <v>1497.2182</v>
      </c>
      <c r="P41" s="14">
        <f t="shared" ca="1" si="12"/>
        <v>1497</v>
      </c>
      <c r="Q41" s="14" t="str">
        <f t="shared" ca="1" si="6"/>
        <v>0000010111011001</v>
      </c>
      <c r="R41" s="14">
        <f t="shared" ca="1" si="7"/>
        <v>0.28067893409729006</v>
      </c>
      <c r="S41" s="14">
        <f t="shared" ca="1" si="8"/>
        <v>23.368147209167482</v>
      </c>
      <c r="T41" s="19">
        <f t="shared" ca="1" si="11"/>
        <v>2.225325484654881E-2</v>
      </c>
      <c r="U41" s="14"/>
      <c r="V41" s="15">
        <f t="shared" ca="1" si="9"/>
        <v>0.53185300000000002</v>
      </c>
      <c r="W41" s="14"/>
      <c r="X41" s="2"/>
    </row>
    <row r="42" spans="1:24" x14ac:dyDescent="0.25">
      <c r="H42" s="14">
        <v>24</v>
      </c>
      <c r="I42" s="17">
        <v>0.28719855798630539</v>
      </c>
      <c r="J42" s="15">
        <f t="shared" si="0"/>
        <v>-2.02E-4</v>
      </c>
      <c r="K42" s="30">
        <f t="shared" si="10"/>
        <v>2.0000000000000002E-5</v>
      </c>
      <c r="L42" s="15">
        <f t="shared" si="1"/>
        <v>-2.7999999999999998E-4</v>
      </c>
      <c r="M42" s="10">
        <f t="shared" si="2"/>
        <v>0.28737810835596567</v>
      </c>
      <c r="N42" s="18">
        <f t="shared" si="3"/>
        <v>6.2517852080871776E-4</v>
      </c>
      <c r="O42" s="14">
        <f t="shared" si="4"/>
        <v>1533.1898000000001</v>
      </c>
      <c r="P42" s="14">
        <f t="shared" ca="1" si="12"/>
        <v>1538</v>
      </c>
      <c r="Q42" s="14" t="str">
        <f t="shared" ca="1" si="6"/>
        <v>0000011000000010</v>
      </c>
      <c r="R42" s="14">
        <f t="shared" ca="1" si="7"/>
        <v>0.28836619949340819</v>
      </c>
      <c r="S42" s="14">
        <f t="shared" ca="1" si="8"/>
        <v>23.4603943939209</v>
      </c>
      <c r="T42" s="19">
        <f t="shared" ca="1" si="11"/>
        <v>2.2483566919962488E-2</v>
      </c>
      <c r="U42" s="14"/>
      <c r="V42" s="15">
        <f t="shared" ca="1" si="9"/>
        <v>0.53960600000000003</v>
      </c>
      <c r="W42" s="14"/>
      <c r="X42" s="2"/>
    </row>
    <row r="43" spans="1:24" x14ac:dyDescent="0.25">
      <c r="A43" s="24" t="s">
        <v>59</v>
      </c>
      <c r="B43" s="24"/>
      <c r="C43" s="24"/>
      <c r="D43" s="24"/>
      <c r="E43" s="24"/>
      <c r="H43" s="14">
        <v>24.1</v>
      </c>
      <c r="I43" s="17">
        <v>0.29396338299060693</v>
      </c>
      <c r="J43" s="15">
        <f t="shared" si="0"/>
        <v>-2.0100000000000001E-4</v>
      </c>
      <c r="K43" s="30">
        <f t="shared" si="10"/>
        <v>2.0999999999999999E-5</v>
      </c>
      <c r="L43" s="15">
        <f t="shared" si="1"/>
        <v>-2.4899999999999998E-4</v>
      </c>
      <c r="M43" s="10">
        <f t="shared" si="2"/>
        <v>0.29414915429318794</v>
      </c>
      <c r="N43" s="18">
        <f t="shared" si="3"/>
        <v>6.3195388721918818E-4</v>
      </c>
      <c r="O43" s="14">
        <f t="shared" si="4"/>
        <v>1569.3140000000001</v>
      </c>
      <c r="P43" s="14">
        <f t="shared" ca="1" si="12"/>
        <v>1570</v>
      </c>
      <c r="Q43" s="14" t="str">
        <f t="shared" ca="1" si="6"/>
        <v>0000011000100010</v>
      </c>
      <c r="R43" s="14">
        <f t="shared" ca="1" si="7"/>
        <v>0.29436601638793947</v>
      </c>
      <c r="S43" s="14">
        <f t="shared" ca="1" si="8"/>
        <v>23.532392196655273</v>
      </c>
      <c r="T43" s="19">
        <f t="shared" ca="1" si="11"/>
        <v>2.35521910101547E-2</v>
      </c>
      <c r="U43" s="14"/>
      <c r="V43" s="15">
        <f t="shared" ca="1" si="9"/>
        <v>0.567608</v>
      </c>
      <c r="W43" s="14"/>
      <c r="X43" s="2"/>
    </row>
    <row r="44" spans="1:24" x14ac:dyDescent="0.25">
      <c r="A44" s="14" t="s">
        <v>60</v>
      </c>
      <c r="B44" s="14" t="s">
        <v>61</v>
      </c>
      <c r="C44" s="14">
        <f>$D$16*(2^($C$12-1) - 1)/(2^($C$12-1))</f>
        <v>6.141969909027293</v>
      </c>
      <c r="D44" s="14" t="s">
        <v>22</v>
      </c>
      <c r="E44" s="20"/>
      <c r="H44" s="14">
        <v>24.2</v>
      </c>
      <c r="I44" s="17">
        <v>0.30075608447513652</v>
      </c>
      <c r="J44" s="15">
        <f t="shared" si="0"/>
        <v>-2.0100000000000001E-4</v>
      </c>
      <c r="K44" s="30">
        <f t="shared" si="10"/>
        <v>2.0999999999999999E-5</v>
      </c>
      <c r="L44" s="15">
        <f t="shared" si="1"/>
        <v>-2.1900000000000001E-4</v>
      </c>
      <c r="M44" s="10">
        <f t="shared" si="2"/>
        <v>0.30094918930467879</v>
      </c>
      <c r="N44" s="18">
        <f t="shared" si="3"/>
        <v>6.4206458160028239E-4</v>
      </c>
      <c r="O44" s="14">
        <f t="shared" si="4"/>
        <v>1605.5929000000001</v>
      </c>
      <c r="P44" s="14">
        <f t="shared" ca="1" si="12"/>
        <v>1604</v>
      </c>
      <c r="Q44" s="14" t="str">
        <f t="shared" ca="1" si="6"/>
        <v>0000011001000100</v>
      </c>
      <c r="R44" s="14">
        <f t="shared" ca="1" si="7"/>
        <v>0.30074082183837891</v>
      </c>
      <c r="S44" s="14">
        <f t="shared" ca="1" si="8"/>
        <v>23.608889862060551</v>
      </c>
      <c r="T44" s="19">
        <f t="shared" ca="1" si="11"/>
        <v>2.4426038757828464E-2</v>
      </c>
      <c r="U44" s="14"/>
      <c r="V44" s="15">
        <f t="shared" ca="1" si="9"/>
        <v>0.59111000000000002</v>
      </c>
      <c r="W44" s="14"/>
      <c r="X44" s="2"/>
    </row>
    <row r="45" spans="1:24" x14ac:dyDescent="0.25">
      <c r="A45" s="14" t="s">
        <v>5</v>
      </c>
      <c r="B45" s="14">
        <v>-3</v>
      </c>
      <c r="C45" s="14"/>
      <c r="D45" s="14">
        <v>3</v>
      </c>
      <c r="E45" s="20" t="s">
        <v>6</v>
      </c>
      <c r="H45" s="14">
        <v>24.3</v>
      </c>
      <c r="I45" s="17">
        <v>0.3075766423630712</v>
      </c>
      <c r="J45" s="15">
        <f t="shared" si="0"/>
        <v>-2.0000000000000001E-4</v>
      </c>
      <c r="K45" s="30">
        <f t="shared" si="10"/>
        <v>2.1999999999999999E-5</v>
      </c>
      <c r="L45" s="15">
        <f t="shared" si="1"/>
        <v>-1.8799999999999999E-4</v>
      </c>
      <c r="M45" s="10">
        <f t="shared" si="2"/>
        <v>0.30777679123031987</v>
      </c>
      <c r="N45" s="18">
        <f t="shared" si="3"/>
        <v>6.5072843539403793E-4</v>
      </c>
      <c r="O45" s="14">
        <f t="shared" si="4"/>
        <v>1642.0188000000001</v>
      </c>
      <c r="P45" s="14">
        <f t="shared" ca="1" si="12"/>
        <v>1646</v>
      </c>
      <c r="Q45" s="14" t="str">
        <f t="shared" ca="1" si="6"/>
        <v>0000011001101110</v>
      </c>
      <c r="R45" s="14">
        <f t="shared" ca="1" si="7"/>
        <v>0.30861558151245116</v>
      </c>
      <c r="S45" s="14">
        <f t="shared" ca="1" si="8"/>
        <v>23.703386978149418</v>
      </c>
      <c r="T45" s="19">
        <f t="shared" ca="1" si="11"/>
        <v>2.455197620784293E-2</v>
      </c>
      <c r="U45" s="14"/>
      <c r="V45" s="15">
        <f t="shared" ca="1" si="9"/>
        <v>0.59661299999999995</v>
      </c>
      <c r="W45" s="14"/>
      <c r="X45" s="2"/>
    </row>
    <row r="46" spans="1:24" x14ac:dyDescent="0.25">
      <c r="A46" s="14" t="s">
        <v>62</v>
      </c>
      <c r="B46" s="14"/>
      <c r="C46" s="14">
        <v>5.0000000000000001E-3</v>
      </c>
      <c r="D46" s="14"/>
      <c r="E46" s="20" t="s">
        <v>63</v>
      </c>
      <c r="H46" s="14">
        <v>24.4</v>
      </c>
      <c r="I46" s="17">
        <v>0.31536309117376748</v>
      </c>
      <c r="J46" s="15">
        <f t="shared" si="0"/>
        <v>-2.0000000000000001E-4</v>
      </c>
      <c r="K46" s="30">
        <f t="shared" si="10"/>
        <v>2.1999999999999999E-5</v>
      </c>
      <c r="L46" s="15">
        <f t="shared" si="1"/>
        <v>-1.5799999999999999E-4</v>
      </c>
      <c r="M46" s="10">
        <f t="shared" si="2"/>
        <v>0.31557124008183451</v>
      </c>
      <c r="N46" s="18">
        <f t="shared" si="3"/>
        <v>6.6002938800576989E-4</v>
      </c>
      <c r="O46" s="14">
        <f t="shared" si="4"/>
        <v>1683.6029000000001</v>
      </c>
      <c r="P46" s="14">
        <f t="shared" ca="1" si="12"/>
        <v>1688</v>
      </c>
      <c r="Q46" s="14" t="str">
        <f t="shared" ca="1" si="6"/>
        <v>0000011010011000</v>
      </c>
      <c r="R46" s="14">
        <f t="shared" ca="1" si="7"/>
        <v>0.31649034118652342</v>
      </c>
      <c r="S46" s="14">
        <f t="shared" ca="1" si="8"/>
        <v>23.797884094238285</v>
      </c>
      <c r="T46" s="19">
        <f t="shared" ca="1" si="11"/>
        <v>2.4676881383676807E-2</v>
      </c>
      <c r="U46" s="14"/>
      <c r="V46" s="15">
        <f t="shared" ca="1" si="9"/>
        <v>0.60211599999999998</v>
      </c>
      <c r="W46" s="14"/>
      <c r="X46" s="2"/>
    </row>
    <row r="47" spans="1:24" x14ac:dyDescent="0.25">
      <c r="A47" s="14"/>
      <c r="B47" s="14" t="s">
        <v>64</v>
      </c>
      <c r="C47" s="14">
        <f>($D$19-$B$19)*C46</f>
        <v>0.3</v>
      </c>
      <c r="D47" s="14"/>
      <c r="E47" s="20" t="s">
        <v>6</v>
      </c>
      <c r="H47" s="14">
        <v>24.5</v>
      </c>
      <c r="I47" s="17">
        <v>0.32223842483318871</v>
      </c>
      <c r="J47" s="15">
        <f t="shared" si="0"/>
        <v>-1.9900000000000001E-4</v>
      </c>
      <c r="K47" s="30">
        <f t="shared" si="10"/>
        <v>2.3E-5</v>
      </c>
      <c r="L47" s="15">
        <f t="shared" si="1"/>
        <v>-1.27E-4</v>
      </c>
      <c r="M47" s="10">
        <f t="shared" si="2"/>
        <v>0.32245448048016773</v>
      </c>
      <c r="N47" s="18">
        <f t="shared" si="3"/>
        <v>6.7048381052279215E-4</v>
      </c>
      <c r="O47" s="14">
        <f t="shared" si="4"/>
        <v>1720.3257000000001</v>
      </c>
      <c r="P47" s="14">
        <f t="shared" ca="1" si="12"/>
        <v>1725</v>
      </c>
      <c r="Q47" s="14" t="str">
        <f t="shared" ca="1" si="6"/>
        <v>0000011010111101</v>
      </c>
      <c r="R47" s="14">
        <f t="shared" ca="1" si="7"/>
        <v>0.32342762947082521</v>
      </c>
      <c r="S47" s="14">
        <f t="shared" ca="1" si="8"/>
        <v>23.881131553649904</v>
      </c>
      <c r="T47" s="19">
        <f t="shared" ca="1" si="11"/>
        <v>2.5259936585718186E-2</v>
      </c>
      <c r="U47" s="14"/>
      <c r="V47" s="15">
        <f t="shared" ca="1" si="9"/>
        <v>0.61886799999999997</v>
      </c>
      <c r="W47" s="14"/>
      <c r="X47" s="2"/>
    </row>
    <row r="48" spans="1:24" x14ac:dyDescent="0.25">
      <c r="A48" s="14" t="s">
        <v>65</v>
      </c>
      <c r="B48" s="14"/>
      <c r="C48" s="14">
        <v>1</v>
      </c>
      <c r="D48" s="14"/>
      <c r="E48" s="20" t="s">
        <v>7</v>
      </c>
      <c r="H48" s="14">
        <v>24.6</v>
      </c>
      <c r="I48" s="17">
        <v>0.32914154829328945</v>
      </c>
      <c r="J48" s="15">
        <f t="shared" si="0"/>
        <v>-1.9900000000000001E-4</v>
      </c>
      <c r="K48" s="30">
        <f t="shared" si="10"/>
        <v>2.3E-5</v>
      </c>
      <c r="L48" s="15">
        <f t="shared" si="1"/>
        <v>-9.7E-5</v>
      </c>
      <c r="M48" s="10">
        <f t="shared" si="2"/>
        <v>0.32936660535856965</v>
      </c>
      <c r="N48" s="18">
        <f t="shared" si="3"/>
        <v>6.8376984445505545E-4</v>
      </c>
      <c r="O48" s="14">
        <f t="shared" si="4"/>
        <v>1757.2025000000001</v>
      </c>
      <c r="P48" s="14">
        <f t="shared" ca="1" si="12"/>
        <v>1758</v>
      </c>
      <c r="Q48" s="14" t="str">
        <f t="shared" ca="1" si="6"/>
        <v>0000011011011110</v>
      </c>
      <c r="R48" s="14">
        <f t="shared" ca="1" si="7"/>
        <v>0.32961494064331054</v>
      </c>
      <c r="S48" s="14">
        <f t="shared" ca="1" si="8"/>
        <v>23.955379287719726</v>
      </c>
      <c r="T48" s="19">
        <f t="shared" ca="1" si="11"/>
        <v>2.6204093995133144E-2</v>
      </c>
      <c r="U48" s="14"/>
      <c r="V48" s="15">
        <f t="shared" ca="1" si="9"/>
        <v>0.644621</v>
      </c>
      <c r="W48" s="14"/>
      <c r="X48" s="2"/>
    </row>
    <row r="49" spans="1:24" x14ac:dyDescent="0.25">
      <c r="A49" s="14"/>
      <c r="B49" s="14" t="s">
        <v>66</v>
      </c>
      <c r="C49" s="14">
        <f>($D$10-$B$10)*C48</f>
        <v>0.29999999999999982</v>
      </c>
      <c r="D49" s="14"/>
      <c r="E49" s="20" t="s">
        <v>6</v>
      </c>
      <c r="H49" s="14">
        <v>24.7</v>
      </c>
      <c r="I49" s="17">
        <v>0.33700787307874169</v>
      </c>
      <c r="J49" s="15">
        <f t="shared" si="0"/>
        <v>-1.9799999999999999E-4</v>
      </c>
      <c r="K49" s="30">
        <f t="shared" si="10"/>
        <v>2.4000000000000001E-5</v>
      </c>
      <c r="L49" s="15">
        <f t="shared" si="1"/>
        <v>-6.6000000000000005E-5</v>
      </c>
      <c r="M49" s="10">
        <f t="shared" si="2"/>
        <v>0.33724161895989035</v>
      </c>
      <c r="N49" s="18">
        <f t="shared" si="3"/>
        <v>6.9359175206582446E-4</v>
      </c>
      <c r="O49" s="14">
        <f t="shared" si="4"/>
        <v>1799.2165</v>
      </c>
      <c r="P49" s="14">
        <f t="shared" ca="1" si="12"/>
        <v>1801</v>
      </c>
      <c r="Q49" s="14" t="str">
        <f t="shared" ca="1" si="6"/>
        <v>0000011100001001</v>
      </c>
      <c r="R49" s="14">
        <f t="shared" ca="1" si="7"/>
        <v>0.3376771945953369</v>
      </c>
      <c r="S49" s="14">
        <f t="shared" ca="1" si="8"/>
        <v>24.052126335144042</v>
      </c>
      <c r="T49" s="19">
        <f t="shared" ca="1" si="11"/>
        <v>2.622970303060557E-2</v>
      </c>
      <c r="U49" s="14"/>
      <c r="V49" s="15">
        <f t="shared" ca="1" si="9"/>
        <v>0.64787399999999995</v>
      </c>
      <c r="W49" s="14"/>
      <c r="X49" s="2"/>
    </row>
    <row r="50" spans="1:24" x14ac:dyDescent="0.25">
      <c r="A50" s="14" t="s">
        <v>80</v>
      </c>
      <c r="B50" s="14"/>
      <c r="C50" s="14">
        <v>1</v>
      </c>
      <c r="D50" s="14"/>
      <c r="E50" s="20" t="s">
        <v>6</v>
      </c>
      <c r="H50" s="14">
        <v>24.8</v>
      </c>
      <c r="I50" s="17">
        <v>0.34396563034674654</v>
      </c>
      <c r="J50" s="15">
        <f t="shared" si="0"/>
        <v>-1.9699999999999999E-4</v>
      </c>
      <c r="K50" s="30">
        <f t="shared" si="10"/>
        <v>2.4000000000000001E-5</v>
      </c>
      <c r="L50" s="15">
        <f t="shared" si="1"/>
        <v>-3.6000000000000001E-5</v>
      </c>
      <c r="M50" s="10">
        <f t="shared" si="2"/>
        <v>0.34420824093807278</v>
      </c>
      <c r="N50" s="18">
        <f t="shared" si="3"/>
        <v>7.0533381803777927E-4</v>
      </c>
      <c r="O50" s="14">
        <f t="shared" si="4"/>
        <v>1836.3841</v>
      </c>
      <c r="P50" s="14">
        <f t="shared" ca="1" si="12"/>
        <v>1836</v>
      </c>
      <c r="Q50" s="14" t="str">
        <f t="shared" ca="1" si="6"/>
        <v>0000011100101100</v>
      </c>
      <c r="R50" s="14">
        <f t="shared" ca="1" si="7"/>
        <v>0.34423949432373047</v>
      </c>
      <c r="S50" s="14">
        <f t="shared" ca="1" si="8"/>
        <v>24.130873931884768</v>
      </c>
      <c r="T50" s="19">
        <f t="shared" ca="1" si="11"/>
        <v>2.6980889843356164E-2</v>
      </c>
      <c r="U50" s="14"/>
      <c r="V50" s="15">
        <f t="shared" ca="1" si="9"/>
        <v>0.669126</v>
      </c>
      <c r="W50" s="14"/>
      <c r="X50" s="2"/>
    </row>
    <row r="51" spans="1:24" x14ac:dyDescent="0.25">
      <c r="H51" s="14">
        <v>24.9</v>
      </c>
      <c r="I51" s="17">
        <v>0.35095110636090465</v>
      </c>
      <c r="J51" s="15">
        <f t="shared" si="0"/>
        <v>-1.9699999999999999E-4</v>
      </c>
      <c r="K51" s="30">
        <f t="shared" si="10"/>
        <v>2.5000000000000001E-5</v>
      </c>
      <c r="L51" s="15">
        <f t="shared" si="1"/>
        <v>-5.0000000000000004E-6</v>
      </c>
      <c r="M51" s="10">
        <f t="shared" si="2"/>
        <v>0.35120435062915151</v>
      </c>
      <c r="N51" s="18">
        <f t="shared" si="3"/>
        <v>7.2159415843649829E-4</v>
      </c>
      <c r="O51" s="14">
        <f t="shared" si="4"/>
        <v>1873.7090000000001</v>
      </c>
      <c r="P51" s="14">
        <f t="shared" ca="1" si="12"/>
        <v>1873</v>
      </c>
      <c r="Q51" s="14" t="str">
        <f t="shared" ca="1" si="6"/>
        <v>0000011101010001</v>
      </c>
      <c r="R51" s="14">
        <f t="shared" ca="1" si="7"/>
        <v>0.35117678260803226</v>
      </c>
      <c r="S51" s="14">
        <f t="shared" ca="1" si="8"/>
        <v>24.214121391296388</v>
      </c>
      <c r="T51" s="19">
        <f t="shared" ca="1" si="11"/>
        <v>2.7545325650747424E-2</v>
      </c>
      <c r="U51" s="14"/>
      <c r="V51" s="15">
        <f t="shared" ca="1" si="9"/>
        <v>0.68587900000000002</v>
      </c>
      <c r="W51" s="14"/>
      <c r="X51" s="2"/>
    </row>
    <row r="52" spans="1:24" x14ac:dyDescent="0.25">
      <c r="H52" s="14">
        <v>25</v>
      </c>
      <c r="I52" s="17">
        <v>0.35889707489905992</v>
      </c>
      <c r="J52" s="15">
        <f t="shared" si="0"/>
        <v>-1.9599999999999999E-4</v>
      </c>
      <c r="K52" s="30">
        <f t="shared" si="10"/>
        <v>2.5000000000000001E-5</v>
      </c>
      <c r="L52" s="15">
        <f t="shared" si="1"/>
        <v>2.5000000000000001E-5</v>
      </c>
      <c r="M52" s="10">
        <f t="shared" si="2"/>
        <v>0.35916005245037119</v>
      </c>
      <c r="N52" s="18">
        <f t="shared" si="3"/>
        <v>7.3273807368096999E-4</v>
      </c>
      <c r="O52" s="14">
        <f t="shared" si="4"/>
        <v>1916.1533999999999</v>
      </c>
      <c r="P52" s="14">
        <f t="shared" ca="1" si="12"/>
        <v>1917</v>
      </c>
      <c r="Q52" s="14" t="str">
        <f t="shared" ca="1" si="6"/>
        <v>0000011101111101</v>
      </c>
      <c r="R52" s="14">
        <f t="shared" ca="1" si="7"/>
        <v>0.35942653083801268</v>
      </c>
      <c r="S52" s="14">
        <f t="shared" ca="1" si="8"/>
        <v>24.313118370056156</v>
      </c>
      <c r="T52" s="19">
        <f t="shared" ca="1" si="11"/>
        <v>2.747526519775377E-2</v>
      </c>
      <c r="U52" s="14"/>
      <c r="V52" s="15">
        <f t="shared" ca="1" si="9"/>
        <v>0.68688199999999999</v>
      </c>
      <c r="W52" s="14"/>
      <c r="X52" s="2"/>
    </row>
    <row r="53" spans="1:24" x14ac:dyDescent="0.25">
      <c r="H53" s="14">
        <v>25.1</v>
      </c>
      <c r="I53" s="17">
        <v>0.36593703327195687</v>
      </c>
      <c r="J53" s="15">
        <f t="shared" si="0"/>
        <v>-1.9599999999999999E-4</v>
      </c>
      <c r="K53" s="30">
        <f t="shared" si="10"/>
        <v>2.5999999999999998E-5</v>
      </c>
      <c r="L53" s="15">
        <f t="shared" si="1"/>
        <v>5.5999999999999999E-5</v>
      </c>
      <c r="M53" s="10">
        <f t="shared" si="2"/>
        <v>0.36621153787007754</v>
      </c>
      <c r="N53" s="18">
        <f t="shared" si="3"/>
        <v>7.5014161771559944E-4</v>
      </c>
      <c r="O53" s="14">
        <f t="shared" si="4"/>
        <v>1953.7737999999999</v>
      </c>
      <c r="P53" s="14">
        <f t="shared" ca="1" si="12"/>
        <v>1953</v>
      </c>
      <c r="Q53" s="14" t="str">
        <f t="shared" ca="1" si="6"/>
        <v>0000011110100001</v>
      </c>
      <c r="R53" s="14">
        <f t="shared" ca="1" si="7"/>
        <v>0.36617632484436036</v>
      </c>
      <c r="S53" s="14">
        <f t="shared" ca="1" si="8"/>
        <v>24.394115898132327</v>
      </c>
      <c r="T53" s="19">
        <f t="shared" ca="1" si="11"/>
        <v>2.8122872584369501E-2</v>
      </c>
      <c r="U53" s="14"/>
      <c r="V53" s="15">
        <f t="shared" ca="1" si="9"/>
        <v>0.70588399999999996</v>
      </c>
      <c r="W53" s="14"/>
      <c r="X53" s="2"/>
    </row>
    <row r="54" spans="1:24" x14ac:dyDescent="0.25">
      <c r="H54" s="14">
        <v>25.2</v>
      </c>
      <c r="I54" s="17">
        <v>0.37300463549568846</v>
      </c>
      <c r="J54" s="15">
        <f t="shared" si="0"/>
        <v>-1.95E-4</v>
      </c>
      <c r="K54" s="30">
        <f t="shared" si="10"/>
        <v>2.5999999999999998E-5</v>
      </c>
      <c r="L54" s="15">
        <f t="shared" si="1"/>
        <v>8.6000000000000003E-5</v>
      </c>
      <c r="M54" s="10">
        <f t="shared" si="2"/>
        <v>0.37328973342476302</v>
      </c>
      <c r="N54" s="18">
        <f t="shared" si="3"/>
        <v>7.643281126940495E-4</v>
      </c>
      <c r="O54" s="14">
        <f t="shared" si="4"/>
        <v>1991.5365999999999</v>
      </c>
      <c r="P54" s="14">
        <f t="shared" ca="1" si="12"/>
        <v>1994</v>
      </c>
      <c r="Q54" s="14" t="str">
        <f t="shared" ca="1" si="6"/>
        <v>0000011111001010</v>
      </c>
      <c r="R54" s="14">
        <f t="shared" ca="1" si="7"/>
        <v>0.37386359024047855</v>
      </c>
      <c r="S54" s="14">
        <f t="shared" ca="1" si="8"/>
        <v>24.486363082885745</v>
      </c>
      <c r="T54" s="19">
        <f t="shared" ca="1" si="11"/>
        <v>2.8318925282311669E-2</v>
      </c>
      <c r="U54" s="14"/>
      <c r="V54" s="15">
        <f t="shared" ca="1" si="9"/>
        <v>0.71363699999999997</v>
      </c>
      <c r="W54" s="14"/>
      <c r="X54" s="2"/>
    </row>
    <row r="55" spans="1:24" x14ac:dyDescent="0.25">
      <c r="H55" s="14">
        <v>25.3</v>
      </c>
      <c r="I55" s="17">
        <v>0.38103000066690296</v>
      </c>
      <c r="J55" s="15">
        <f t="shared" si="0"/>
        <v>-1.95E-4</v>
      </c>
      <c r="K55" s="30">
        <f t="shared" si="10"/>
        <v>2.6999999999999999E-5</v>
      </c>
      <c r="L55" s="15">
        <f t="shared" si="1"/>
        <v>1.17E-4</v>
      </c>
      <c r="M55" s="10">
        <f t="shared" si="2"/>
        <v>0.3813276092111807</v>
      </c>
      <c r="N55" s="18">
        <f t="shared" si="3"/>
        <v>7.8106328571725414E-4</v>
      </c>
      <c r="O55" s="14">
        <f t="shared" si="4"/>
        <v>2034.4195</v>
      </c>
      <c r="P55" s="14">
        <f t="shared" ca="1" si="12"/>
        <v>2033</v>
      </c>
      <c r="Q55" s="14" t="str">
        <f t="shared" ca="1" si="6"/>
        <v>0000011111110001</v>
      </c>
      <c r="R55" s="14">
        <f t="shared" ca="1" si="7"/>
        <v>0.38117586708068846</v>
      </c>
      <c r="S55" s="14">
        <f t="shared" ca="1" si="8"/>
        <v>24.574110404968266</v>
      </c>
      <c r="T55" s="19">
        <f t="shared" ca="1" si="11"/>
        <v>2.8691288341175278E-2</v>
      </c>
      <c r="U55" s="14"/>
      <c r="V55" s="15">
        <f t="shared" ca="1" si="9"/>
        <v>0.72589000000000004</v>
      </c>
      <c r="W55" s="14"/>
      <c r="X55" s="2"/>
    </row>
    <row r="56" spans="1:24" x14ac:dyDescent="0.25">
      <c r="H56" s="14">
        <v>25.4</v>
      </c>
      <c r="I56" s="17">
        <v>0.38815192414007077</v>
      </c>
      <c r="J56" s="15">
        <f t="shared" si="0"/>
        <v>-1.94E-4</v>
      </c>
      <c r="K56" s="30">
        <f t="shared" si="10"/>
        <v>2.6999999999999999E-5</v>
      </c>
      <c r="L56" s="15">
        <f t="shared" si="1"/>
        <v>1.47E-4</v>
      </c>
      <c r="M56" s="10">
        <f t="shared" si="2"/>
        <v>0.38846101938392025</v>
      </c>
      <c r="N56" s="18">
        <f t="shared" si="3"/>
        <v>7.9632541957446465E-4</v>
      </c>
      <c r="O56" s="14">
        <f t="shared" si="4"/>
        <v>2072.4769000000001</v>
      </c>
      <c r="P56" s="14">
        <f t="shared" ca="1" si="12"/>
        <v>2072</v>
      </c>
      <c r="Q56" s="14" t="str">
        <f t="shared" ca="1" si="6"/>
        <v>0000100000011000</v>
      </c>
      <c r="R56" s="14">
        <f t="shared" ca="1" si="7"/>
        <v>0.38848814392089842</v>
      </c>
      <c r="S56" s="14">
        <f t="shared" ca="1" si="8"/>
        <v>24.66185772705078</v>
      </c>
      <c r="T56" s="19">
        <f t="shared" ca="1" si="11"/>
        <v>2.9060719407449555E-2</v>
      </c>
      <c r="U56" s="14"/>
      <c r="V56" s="15">
        <f t="shared" ca="1" si="9"/>
        <v>0.73814199999999996</v>
      </c>
      <c r="W56" s="14"/>
      <c r="X56" s="2"/>
    </row>
    <row r="57" spans="1:24" x14ac:dyDescent="0.25">
      <c r="H57" s="14">
        <v>25.5</v>
      </c>
      <c r="I57" s="17">
        <v>0.39530141165136579</v>
      </c>
      <c r="J57" s="15">
        <f t="shared" si="0"/>
        <v>-1.93E-4</v>
      </c>
      <c r="K57" s="30">
        <f t="shared" si="10"/>
        <v>2.8E-5</v>
      </c>
      <c r="L57" s="15">
        <f t="shared" si="1"/>
        <v>1.7799999999999999E-4</v>
      </c>
      <c r="M57" s="10">
        <f t="shared" si="2"/>
        <v>0.39562282218971556</v>
      </c>
      <c r="N57" s="18">
        <f t="shared" si="3"/>
        <v>8.1307713273040907E-4</v>
      </c>
      <c r="O57" s="14">
        <f t="shared" si="4"/>
        <v>2110.6858000000002</v>
      </c>
      <c r="P57" s="14">
        <f t="shared" ca="1" si="12"/>
        <v>2111</v>
      </c>
      <c r="Q57" s="14" t="str">
        <f t="shared" ca="1" si="6"/>
        <v>0000100000111111</v>
      </c>
      <c r="R57" s="14">
        <f t="shared" ca="1" si="7"/>
        <v>0.39580042076110838</v>
      </c>
      <c r="S57" s="14">
        <f t="shared" ca="1" si="8"/>
        <v>24.749605049133301</v>
      </c>
      <c r="T57" s="19">
        <f t="shared" ca="1" si="11"/>
        <v>2.9427252975164672E-2</v>
      </c>
      <c r="U57" s="14"/>
      <c r="V57" s="15">
        <f t="shared" ca="1" si="9"/>
        <v>0.75039500000000003</v>
      </c>
      <c r="W57" s="14"/>
      <c r="X57" s="2"/>
    </row>
    <row r="58" spans="1:24" x14ac:dyDescent="0.25">
      <c r="H58" s="14">
        <v>25.6</v>
      </c>
      <c r="I58" s="17">
        <v>0.40247843538420425</v>
      </c>
      <c r="J58" s="15">
        <f t="shared" si="0"/>
        <v>-1.93E-4</v>
      </c>
      <c r="K58" s="30">
        <f t="shared" si="10"/>
        <v>2.8E-5</v>
      </c>
      <c r="L58" s="15">
        <f t="shared" si="1"/>
        <v>2.0799999999999999E-4</v>
      </c>
      <c r="M58" s="10">
        <f t="shared" si="2"/>
        <v>0.40281320846756552</v>
      </c>
      <c r="N58" s="18">
        <f t="shared" si="3"/>
        <v>8.3177893255746672E-4</v>
      </c>
      <c r="O58" s="14">
        <f t="shared" si="4"/>
        <v>2149.0472</v>
      </c>
      <c r="P58" s="14">
        <f t="shared" ca="1" si="12"/>
        <v>2150</v>
      </c>
      <c r="Q58" s="14" t="str">
        <f t="shared" ca="1" si="6"/>
        <v>0000100001100110</v>
      </c>
      <c r="R58" s="14">
        <f t="shared" ca="1" si="7"/>
        <v>0.40311269760131835</v>
      </c>
      <c r="S58" s="14">
        <f t="shared" ca="1" si="8"/>
        <v>24.837352371215822</v>
      </c>
      <c r="T58" s="19">
        <f t="shared" ca="1" si="11"/>
        <v>2.9790922999382019E-2</v>
      </c>
      <c r="U58" s="14"/>
      <c r="V58" s="15">
        <f t="shared" ca="1" si="9"/>
        <v>0.76264799999999999</v>
      </c>
      <c r="W58" s="14"/>
      <c r="X58" s="2"/>
    </row>
    <row r="59" spans="1:24" x14ac:dyDescent="0.25">
      <c r="H59" s="14">
        <v>25.7</v>
      </c>
      <c r="I59" s="17">
        <v>0.41060955286309969</v>
      </c>
      <c r="J59" s="15">
        <f t="shared" si="0"/>
        <v>-1.92E-4</v>
      </c>
      <c r="K59" s="30">
        <f t="shared" si="10"/>
        <v>2.9E-5</v>
      </c>
      <c r="L59" s="15">
        <f t="shared" si="1"/>
        <v>2.3900000000000001E-4</v>
      </c>
      <c r="M59" s="10">
        <f t="shared" si="2"/>
        <v>0.41095775790523908</v>
      </c>
      <c r="N59" s="18">
        <f t="shared" si="3"/>
        <v>8.4801982737963137E-4</v>
      </c>
      <c r="O59" s="14">
        <f t="shared" si="4"/>
        <v>2192.4992000000002</v>
      </c>
      <c r="P59" s="14">
        <f t="shared" ca="1" si="12"/>
        <v>2197</v>
      </c>
      <c r="Q59" s="14" t="str">
        <f t="shared" ca="1" si="6"/>
        <v>0000100010010101</v>
      </c>
      <c r="R59" s="14">
        <f t="shared" ca="1" si="7"/>
        <v>0.41192492866516112</v>
      </c>
      <c r="S59" s="14">
        <f t="shared" ca="1" si="8"/>
        <v>24.943099143981932</v>
      </c>
      <c r="T59" s="19">
        <f t="shared" ca="1" si="11"/>
        <v>2.9451395175800272E-2</v>
      </c>
      <c r="U59" s="14"/>
      <c r="V59" s="15">
        <f t="shared" ca="1" si="9"/>
        <v>0.75690100000000005</v>
      </c>
      <c r="W59" s="14"/>
      <c r="X59" s="2"/>
    </row>
    <row r="60" spans="1:24" x14ac:dyDescent="0.25">
      <c r="H60" s="14">
        <v>25.8</v>
      </c>
      <c r="I60" s="17">
        <v>0.41784067109353551</v>
      </c>
      <c r="J60" s="15">
        <f t="shared" si="0"/>
        <v>-1.92E-4</v>
      </c>
      <c r="K60" s="30">
        <f t="shared" si="10"/>
        <v>2.9E-5</v>
      </c>
      <c r="L60" s="15">
        <f t="shared" si="1"/>
        <v>2.6899999999999998E-4</v>
      </c>
      <c r="M60" s="10">
        <f t="shared" si="2"/>
        <v>0.41820315213946102</v>
      </c>
      <c r="N60" s="18">
        <f t="shared" si="3"/>
        <v>8.6751020425287464E-4</v>
      </c>
      <c r="O60" s="14">
        <f t="shared" si="4"/>
        <v>2231.154</v>
      </c>
      <c r="P60" s="14">
        <f t="shared" ca="1" si="12"/>
        <v>2234</v>
      </c>
      <c r="Q60" s="14" t="str">
        <f t="shared" ca="1" si="6"/>
        <v>0000100010111010</v>
      </c>
      <c r="R60" s="14">
        <f t="shared" ca="1" si="7"/>
        <v>0.41886221694946291</v>
      </c>
      <c r="S60" s="14">
        <f t="shared" ca="1" si="8"/>
        <v>25.026346603393556</v>
      </c>
      <c r="T60" s="19">
        <f t="shared" ca="1" si="11"/>
        <v>2.9986565759939725E-2</v>
      </c>
      <c r="U60" s="14"/>
      <c r="V60" s="15">
        <f t="shared" ca="1" si="9"/>
        <v>0.77365300000000004</v>
      </c>
      <c r="W60" s="14"/>
      <c r="X60" s="2"/>
    </row>
    <row r="61" spans="1:24" x14ac:dyDescent="0.25">
      <c r="H61" s="14">
        <v>25.9</v>
      </c>
      <c r="I61" s="17">
        <v>0.42509923950608502</v>
      </c>
      <c r="J61" s="15">
        <f t="shared" si="0"/>
        <v>-1.9100000000000001E-4</v>
      </c>
      <c r="K61" s="30">
        <f t="shared" si="10"/>
        <v>3.0000000000000001E-5</v>
      </c>
      <c r="L61" s="15">
        <f t="shared" si="1"/>
        <v>2.9999999999999997E-4</v>
      </c>
      <c r="M61" s="10">
        <f t="shared" si="2"/>
        <v>0.42547586486554467</v>
      </c>
      <c r="N61" s="18">
        <f t="shared" si="3"/>
        <v>8.8597043809638917E-4</v>
      </c>
      <c r="O61" s="14">
        <f t="shared" si="4"/>
        <v>2269.9546</v>
      </c>
      <c r="P61" s="14">
        <f t="shared" ca="1" si="12"/>
        <v>2270</v>
      </c>
      <c r="Q61" s="14" t="str">
        <f t="shared" ca="1" si="6"/>
        <v>0000100011011110</v>
      </c>
      <c r="R61" s="14">
        <f t="shared" ca="1" si="7"/>
        <v>0.42561201095581058</v>
      </c>
      <c r="S61" s="14">
        <f t="shared" ca="1" si="8"/>
        <v>25.107344131469731</v>
      </c>
      <c r="T61" s="19">
        <f t="shared" ca="1" si="11"/>
        <v>3.060447368842734E-2</v>
      </c>
      <c r="U61" s="14"/>
      <c r="V61" s="15">
        <f t="shared" ca="1" si="9"/>
        <v>0.79265600000000003</v>
      </c>
      <c r="W61" s="14"/>
      <c r="X61" s="2"/>
    </row>
    <row r="62" spans="1:24" x14ac:dyDescent="0.25">
      <c r="H62" s="14">
        <v>26</v>
      </c>
      <c r="I62" s="17">
        <v>0.43238522906209365</v>
      </c>
      <c r="J62" s="15">
        <f t="shared" si="0"/>
        <v>-1.9100000000000001E-4</v>
      </c>
      <c r="K62" s="30">
        <f t="shared" si="10"/>
        <v>3.0000000000000001E-5</v>
      </c>
      <c r="L62" s="15">
        <f t="shared" si="1"/>
        <v>3.3E-4</v>
      </c>
      <c r="M62" s="10">
        <f t="shared" si="2"/>
        <v>0.43277702634078613</v>
      </c>
      <c r="N62" s="18">
        <f t="shared" si="3"/>
        <v>9.0613011814106193E-4</v>
      </c>
      <c r="O62" s="14">
        <f t="shared" si="4"/>
        <v>2308.9070000000002</v>
      </c>
      <c r="P62" s="14">
        <f t="shared" ca="1" si="12"/>
        <v>2313</v>
      </c>
      <c r="Q62" s="14" t="str">
        <f t="shared" ca="1" si="6"/>
        <v>0000100100001001</v>
      </c>
      <c r="R62" s="14">
        <f t="shared" ca="1" si="7"/>
        <v>0.43367426490783695</v>
      </c>
      <c r="S62" s="14">
        <f t="shared" ca="1" si="8"/>
        <v>25.204091178894046</v>
      </c>
      <c r="T62" s="19">
        <f t="shared" ca="1" si="11"/>
        <v>3.0611877734844375E-2</v>
      </c>
      <c r="U62" s="14"/>
      <c r="V62" s="15">
        <f t="shared" ca="1" si="9"/>
        <v>0.79590899999999998</v>
      </c>
      <c r="W62" s="14"/>
      <c r="X62" s="2"/>
    </row>
    <row r="63" spans="1:24" x14ac:dyDescent="0.25">
      <c r="H63" s="14">
        <v>26.1</v>
      </c>
      <c r="I63" s="17">
        <v>0.43969860987909182</v>
      </c>
      <c r="J63" s="15">
        <f t="shared" si="0"/>
        <v>-1.9000000000000001E-4</v>
      </c>
      <c r="K63" s="30">
        <f t="shared" si="10"/>
        <v>3.1000000000000001E-5</v>
      </c>
      <c r="L63" s="15">
        <f t="shared" si="1"/>
        <v>3.6099999999999999E-4</v>
      </c>
      <c r="M63" s="10">
        <f t="shared" si="2"/>
        <v>0.44010546701468412</v>
      </c>
      <c r="N63" s="18">
        <f t="shared" si="3"/>
        <v>9.2530912413886252E-4</v>
      </c>
      <c r="O63" s="14">
        <f t="shared" si="4"/>
        <v>2348.0050000000001</v>
      </c>
      <c r="P63" s="14">
        <f t="shared" ca="1" si="12"/>
        <v>2347</v>
      </c>
      <c r="Q63" s="14" t="str">
        <f t="shared" ca="1" si="6"/>
        <v>0000100100101011</v>
      </c>
      <c r="R63" s="14">
        <f t="shared" ca="1" si="7"/>
        <v>0.4400490703582764</v>
      </c>
      <c r="S63" s="14">
        <f t="shared" ca="1" si="8"/>
        <v>25.28058884429932</v>
      </c>
      <c r="T63" s="19">
        <f t="shared" ca="1" si="11"/>
        <v>3.1395063436807716E-2</v>
      </c>
      <c r="U63" s="14"/>
      <c r="V63" s="15">
        <f t="shared" ca="1" si="9"/>
        <v>0.819411</v>
      </c>
      <c r="W63" s="14"/>
      <c r="X63" s="2"/>
    </row>
    <row r="64" spans="1:24" x14ac:dyDescent="0.25">
      <c r="H64" s="14">
        <v>26.2</v>
      </c>
      <c r="I64" s="17">
        <v>0.44796144896305884</v>
      </c>
      <c r="J64" s="15">
        <f t="shared" si="0"/>
        <v>-1.8900000000000001E-4</v>
      </c>
      <c r="K64" s="30">
        <f t="shared" si="10"/>
        <v>3.1000000000000001E-5</v>
      </c>
      <c r="L64" s="15">
        <f t="shared" si="1"/>
        <v>3.9100000000000002E-4</v>
      </c>
      <c r="M64" s="10">
        <f t="shared" si="2"/>
        <v>0.4483837443290915</v>
      </c>
      <c r="N64" s="18">
        <f t="shared" si="3"/>
        <v>9.4270470597457637E-4</v>
      </c>
      <c r="O64" s="14">
        <f t="shared" si="4"/>
        <v>2392.1704</v>
      </c>
      <c r="P64" s="14">
        <f t="shared" ca="1" si="12"/>
        <v>2394</v>
      </c>
      <c r="Q64" s="14" t="str">
        <f t="shared" ca="1" si="6"/>
        <v>0000100101011010</v>
      </c>
      <c r="R64" s="14">
        <f t="shared" ca="1" si="7"/>
        <v>0.44886130142211916</v>
      </c>
      <c r="S64" s="14">
        <f t="shared" ca="1" si="8"/>
        <v>25.386335617065431</v>
      </c>
      <c r="T64" s="19">
        <f t="shared" ca="1" si="11"/>
        <v>3.1055892478418654E-2</v>
      </c>
      <c r="U64" s="14"/>
      <c r="V64" s="15">
        <f t="shared" ca="1" si="9"/>
        <v>0.81366400000000005</v>
      </c>
      <c r="W64" s="14"/>
      <c r="X64" s="2"/>
    </row>
    <row r="65" spans="8:24" x14ac:dyDescent="0.25">
      <c r="H65" s="14">
        <v>26.3</v>
      </c>
      <c r="I65" s="17">
        <v>0.45532861785860756</v>
      </c>
      <c r="J65" s="15">
        <f t="shared" si="0"/>
        <v>-1.8900000000000001E-4</v>
      </c>
      <c r="K65" s="30">
        <f t="shared" si="10"/>
        <v>3.1999999999999999E-5</v>
      </c>
      <c r="L65" s="15">
        <f t="shared" si="1"/>
        <v>4.2200000000000001E-4</v>
      </c>
      <c r="M65" s="10">
        <f t="shared" si="2"/>
        <v>0.45576792744799061</v>
      </c>
      <c r="N65" s="18">
        <f t="shared" si="3"/>
        <v>9.648187532097077E-4</v>
      </c>
      <c r="O65" s="14">
        <f t="shared" si="4"/>
        <v>2431.5657000000001</v>
      </c>
      <c r="P65" s="14">
        <f t="shared" ca="1" si="12"/>
        <v>2435</v>
      </c>
      <c r="Q65" s="14" t="str">
        <f t="shared" ca="1" si="6"/>
        <v>0000100110000011</v>
      </c>
      <c r="R65" s="14">
        <f t="shared" ca="1" si="7"/>
        <v>0.4565485668182373</v>
      </c>
      <c r="S65" s="14">
        <f t="shared" ca="1" si="8"/>
        <v>25.478582801818849</v>
      </c>
      <c r="T65" s="19">
        <f t="shared" ca="1" si="11"/>
        <v>3.1232593086735809E-2</v>
      </c>
      <c r="U65" s="14"/>
      <c r="V65" s="15">
        <f t="shared" ca="1" si="9"/>
        <v>0.82141699999999995</v>
      </c>
      <c r="W65" s="14"/>
      <c r="X65" s="2"/>
    </row>
    <row r="66" spans="8:24" x14ac:dyDescent="0.25">
      <c r="H66" s="14">
        <v>26.4</v>
      </c>
      <c r="I66" s="17">
        <v>0.46272308426503905</v>
      </c>
      <c r="J66" s="15">
        <f t="shared" si="0"/>
        <v>-1.8799999999999999E-4</v>
      </c>
      <c r="K66" s="30">
        <f t="shared" si="10"/>
        <v>3.1999999999999999E-5</v>
      </c>
      <c r="L66" s="15">
        <f t="shared" si="1"/>
        <v>4.5199999999999998E-4</v>
      </c>
      <c r="M66" s="10">
        <f t="shared" si="2"/>
        <v>0.46317841469248006</v>
      </c>
      <c r="N66" s="18">
        <f t="shared" si="3"/>
        <v>9.8402358327167086E-4</v>
      </c>
      <c r="O66" s="14">
        <f t="shared" si="4"/>
        <v>2471.1014</v>
      </c>
      <c r="P66" s="14">
        <f t="shared" ca="1" si="12"/>
        <v>2476</v>
      </c>
      <c r="Q66" s="14" t="str">
        <f t="shared" ca="1" si="6"/>
        <v>0000100110101100</v>
      </c>
      <c r="R66" s="14">
        <f t="shared" ca="1" si="7"/>
        <v>0.46423583221435549</v>
      </c>
      <c r="S66" s="14">
        <f t="shared" ca="1" si="8"/>
        <v>25.570829986572267</v>
      </c>
      <c r="T66" s="19">
        <f t="shared" ca="1" si="11"/>
        <v>3.1407955054080734E-2</v>
      </c>
      <c r="U66" s="14"/>
      <c r="V66" s="15">
        <f t="shared" ca="1" si="9"/>
        <v>0.82916999999999996</v>
      </c>
      <c r="W66" s="14"/>
      <c r="X66" s="2"/>
    </row>
    <row r="67" spans="8:24" x14ac:dyDescent="0.25">
      <c r="H67" s="14">
        <v>26.5</v>
      </c>
      <c r="I67" s="17">
        <v>0.47014481623402016</v>
      </c>
      <c r="J67" s="15">
        <f t="shared" ref="J67:J130" si="14">ROUND(H67*0.00000575 -0.00034,6)</f>
        <v>-1.8799999999999999E-4</v>
      </c>
      <c r="K67" s="30">
        <f t="shared" ref="K67:K130" si="15">ROUND(H67*0.000005-0.0001,6)</f>
        <v>3.3000000000000003E-5</v>
      </c>
      <c r="L67" s="15">
        <f t="shared" ref="L67:L130" si="16">ROUND(K67+($C$24*(H67-25)),6)</f>
        <v>4.8299999999999998E-4</v>
      </c>
      <c r="M67" s="10">
        <f t="shared" ref="M67:M130" si="17">(I67-J67)/(1-L67)+$C$26+$D$27</f>
        <v>0.47061809676075561</v>
      </c>
      <c r="N67" s="18">
        <f t="shared" ref="N67:N130" si="18">ABS(I67-M67)/I67</f>
        <v>1.0066696694149499E-3</v>
      </c>
      <c r="O67" s="14">
        <f t="shared" ref="O67:O130" si="19">ROUND((M67*(2^($C$12-1)))/$C$44,4)</f>
        <v>2510.7928000000002</v>
      </c>
      <c r="P67" s="14">
        <f t="shared" ca="1" si="12"/>
        <v>2511</v>
      </c>
      <c r="Q67" s="14" t="str">
        <f t="shared" ref="Q67:Q130" ca="1" si="20">_xlfn.BASE(IF(P67&lt;0, P67+2^($C$12)-1, P67), 2, 16)</f>
        <v>0000100111001111</v>
      </c>
      <c r="R67" s="14">
        <f t="shared" ref="R67:R130" ca="1" si="21">($C$16/2^($C$12-1)) * P67</f>
        <v>0.47079813194274905</v>
      </c>
      <c r="S67" s="14">
        <f t="shared" ref="S67:S130" ca="1" si="22">(R67+5/3)/(1/12)</f>
        <v>25.649577583312993</v>
      </c>
      <c r="T67" s="19">
        <f t="shared" ca="1" si="11"/>
        <v>3.2091411950453085E-2</v>
      </c>
      <c r="U67" s="14"/>
      <c r="V67" s="15">
        <f t="shared" ref="V67:V130" ca="1" si="23">ROUND(ABS(H67-S67),6)</f>
        <v>0.85042200000000001</v>
      </c>
      <c r="W67" s="14"/>
      <c r="X67" s="2"/>
    </row>
    <row r="68" spans="8:24" x14ac:dyDescent="0.25">
      <c r="H68" s="14">
        <v>26.6</v>
      </c>
      <c r="I68" s="17">
        <v>0.477593781497132</v>
      </c>
      <c r="J68" s="15">
        <f t="shared" si="14"/>
        <v>-1.8699999999999999E-4</v>
      </c>
      <c r="K68" s="30">
        <f t="shared" si="15"/>
        <v>3.3000000000000003E-5</v>
      </c>
      <c r="L68" s="15">
        <f t="shared" si="16"/>
        <v>5.13E-4</v>
      </c>
      <c r="M68" s="10">
        <f t="shared" si="17"/>
        <v>0.47808400883966673</v>
      </c>
      <c r="N68" s="18">
        <f t="shared" si="18"/>
        <v>1.0264525241471898E-3</v>
      </c>
      <c r="O68" s="14">
        <f t="shared" si="19"/>
        <v>2550.6242000000002</v>
      </c>
      <c r="P68" s="14">
        <f t="shared" ca="1" si="12"/>
        <v>2549</v>
      </c>
      <c r="Q68" s="14" t="str">
        <f t="shared" ca="1" si="20"/>
        <v>0000100111110101</v>
      </c>
      <c r="R68" s="14">
        <f t="shared" ca="1" si="21"/>
        <v>0.4779229145050049</v>
      </c>
      <c r="S68" s="14">
        <f t="shared" ca="1" si="22"/>
        <v>25.735074974060058</v>
      </c>
      <c r="T68" s="19">
        <f t="shared" ref="T68:T131" ca="1" si="24">ABS(H68-S68)/H68</f>
        <v>3.2515978418794847E-2</v>
      </c>
      <c r="U68" s="14"/>
      <c r="V68" s="15">
        <f t="shared" ca="1" si="23"/>
        <v>0.86492500000000005</v>
      </c>
      <c r="W68" s="14"/>
      <c r="X68" s="2"/>
    </row>
    <row r="69" spans="8:24" x14ac:dyDescent="0.25">
      <c r="H69" s="14">
        <v>26.7</v>
      </c>
      <c r="I69" s="17">
        <v>0.48506994729129216</v>
      </c>
      <c r="J69" s="15">
        <f t="shared" si="14"/>
        <v>-1.8599999999999999E-4</v>
      </c>
      <c r="K69" s="30">
        <f t="shared" si="15"/>
        <v>3.4E-5</v>
      </c>
      <c r="L69" s="15">
        <f t="shared" si="16"/>
        <v>5.44E-4</v>
      </c>
      <c r="M69" s="10">
        <f t="shared" si="17"/>
        <v>0.48557807020948612</v>
      </c>
      <c r="N69" s="18">
        <f t="shared" si="18"/>
        <v>1.0475250446485178E-3</v>
      </c>
      <c r="O69" s="14">
        <f t="shared" si="19"/>
        <v>2590.6057000000001</v>
      </c>
      <c r="P69" s="14">
        <f t="shared" ca="1" si="12"/>
        <v>2593</v>
      </c>
      <c r="Q69" s="14" t="str">
        <f t="shared" ca="1" si="20"/>
        <v>0000101000100001</v>
      </c>
      <c r="R69" s="14">
        <f t="shared" ca="1" si="21"/>
        <v>0.48617266273498538</v>
      </c>
      <c r="S69" s="14">
        <f t="shared" ca="1" si="22"/>
        <v>25.834071952819823</v>
      </c>
      <c r="T69" s="19">
        <f t="shared" ca="1" si="24"/>
        <v>3.2431762066673274E-2</v>
      </c>
      <c r="U69" s="14"/>
      <c r="V69" s="15">
        <f t="shared" ca="1" si="23"/>
        <v>0.86592800000000003</v>
      </c>
      <c r="W69" s="14"/>
      <c r="X69" s="2"/>
    </row>
    <row r="70" spans="8:24" x14ac:dyDescent="0.25">
      <c r="H70" s="14">
        <v>26.8</v>
      </c>
      <c r="I70" s="17">
        <v>0.49257327998054118</v>
      </c>
      <c r="J70" s="15">
        <f t="shared" si="14"/>
        <v>-1.8599999999999999E-4</v>
      </c>
      <c r="K70" s="30">
        <f t="shared" si="15"/>
        <v>3.4E-5</v>
      </c>
      <c r="L70" s="15">
        <f t="shared" si="16"/>
        <v>5.7399999999999997E-4</v>
      </c>
      <c r="M70" s="10">
        <f t="shared" si="17"/>
        <v>0.4931002862528503</v>
      </c>
      <c r="N70" s="18">
        <f t="shared" si="18"/>
        <v>1.069904304045756E-3</v>
      </c>
      <c r="O70" s="14">
        <f t="shared" si="19"/>
        <v>2630.7374</v>
      </c>
      <c r="P70" s="14">
        <f t="shared" ca="1" si="12"/>
        <v>2635</v>
      </c>
      <c r="Q70" s="14" t="str">
        <f t="shared" ca="1" si="20"/>
        <v>0000101001001011</v>
      </c>
      <c r="R70" s="14">
        <f t="shared" ca="1" si="21"/>
        <v>0.49404742240905763</v>
      </c>
      <c r="S70" s="14">
        <f t="shared" ca="1" si="22"/>
        <v>25.92856906890869</v>
      </c>
      <c r="T70" s="19">
        <f t="shared" ca="1" si="24"/>
        <v>3.2516079518332491E-2</v>
      </c>
      <c r="U70" s="14"/>
      <c r="V70" s="15">
        <f t="shared" ca="1" si="23"/>
        <v>0.87143099999999996</v>
      </c>
      <c r="W70" s="14"/>
      <c r="X70" s="2"/>
    </row>
    <row r="71" spans="8:24" x14ac:dyDescent="0.25">
      <c r="H71" s="14">
        <v>26.9</v>
      </c>
      <c r="I71" s="17">
        <v>0.50010374619077613</v>
      </c>
      <c r="J71" s="15">
        <f t="shared" si="14"/>
        <v>-1.85E-4</v>
      </c>
      <c r="K71" s="30">
        <f t="shared" si="15"/>
        <v>3.4999999999999997E-5</v>
      </c>
      <c r="L71" s="15">
        <f t="shared" si="16"/>
        <v>6.0499999999999996E-4</v>
      </c>
      <c r="M71" s="10">
        <f t="shared" si="17"/>
        <v>0.50064960411126347</v>
      </c>
      <c r="N71" s="18">
        <f t="shared" si="18"/>
        <v>1.0914893652468379E-3</v>
      </c>
      <c r="O71" s="14">
        <f t="shared" si="19"/>
        <v>2671.0138000000002</v>
      </c>
      <c r="P71" s="14">
        <f t="shared" ca="1" si="12"/>
        <v>2672</v>
      </c>
      <c r="Q71" s="14" t="str">
        <f t="shared" ca="1" si="20"/>
        <v>0000101001110000</v>
      </c>
      <c r="R71" s="14">
        <f t="shared" ca="1" si="21"/>
        <v>0.50098471069335937</v>
      </c>
      <c r="S71" s="14">
        <f t="shared" ca="1" si="22"/>
        <v>26.011816528320313</v>
      </c>
      <c r="T71" s="19">
        <f t="shared" ca="1" si="24"/>
        <v>3.3017972924895361E-2</v>
      </c>
      <c r="U71" s="14"/>
      <c r="V71" s="15">
        <f t="shared" ca="1" si="23"/>
        <v>0.88818299999999994</v>
      </c>
      <c r="W71" s="14"/>
      <c r="X71" s="2"/>
    </row>
    <row r="72" spans="8:24" x14ac:dyDescent="0.25">
      <c r="H72" s="14">
        <v>27</v>
      </c>
      <c r="I72" s="17">
        <v>0.50766131109306611</v>
      </c>
      <c r="J72" s="15">
        <f t="shared" si="14"/>
        <v>-1.85E-4</v>
      </c>
      <c r="K72" s="30">
        <f t="shared" si="15"/>
        <v>3.4999999999999997E-5</v>
      </c>
      <c r="L72" s="15">
        <f t="shared" si="16"/>
        <v>6.3500000000000004E-4</v>
      </c>
      <c r="M72" s="10">
        <f t="shared" si="17"/>
        <v>0.50822699840705465</v>
      </c>
      <c r="N72" s="18">
        <f t="shared" si="18"/>
        <v>1.1143006205663664E-3</v>
      </c>
      <c r="O72" s="14">
        <f t="shared" si="19"/>
        <v>2711.4398999999999</v>
      </c>
      <c r="P72" s="14">
        <f t="shared" ca="1" si="12"/>
        <v>2716</v>
      </c>
      <c r="Q72" s="14" t="str">
        <f t="shared" ca="1" si="20"/>
        <v>0000101010011100</v>
      </c>
      <c r="R72" s="14">
        <f t="shared" ca="1" si="21"/>
        <v>0.50923445892333985</v>
      </c>
      <c r="S72" s="14">
        <f t="shared" ca="1" si="22"/>
        <v>26.110813507080078</v>
      </c>
      <c r="T72" s="19">
        <f t="shared" ca="1" si="24"/>
        <v>3.2932833071108232E-2</v>
      </c>
      <c r="U72" s="14"/>
      <c r="V72" s="15">
        <f t="shared" ca="1" si="23"/>
        <v>0.88918600000000003</v>
      </c>
      <c r="W72" s="14"/>
      <c r="X72" s="2"/>
    </row>
    <row r="73" spans="8:24" x14ac:dyDescent="0.25">
      <c r="H73" s="14">
        <v>27.1</v>
      </c>
      <c r="I73" s="17">
        <v>0.51524594038218385</v>
      </c>
      <c r="J73" s="15">
        <f t="shared" si="14"/>
        <v>-1.84E-4</v>
      </c>
      <c r="K73" s="30">
        <f t="shared" si="15"/>
        <v>3.6000000000000001E-5</v>
      </c>
      <c r="L73" s="15">
        <f t="shared" si="16"/>
        <v>6.6600000000000003E-4</v>
      </c>
      <c r="M73" s="10">
        <f t="shared" si="17"/>
        <v>0.51583144549688476</v>
      </c>
      <c r="N73" s="18">
        <f t="shared" si="18"/>
        <v>1.1363604616983552E-3</v>
      </c>
      <c r="O73" s="14">
        <f t="shared" si="19"/>
        <v>2752.0104000000001</v>
      </c>
      <c r="P73" s="14">
        <f t="shared" ca="1" si="12"/>
        <v>2755</v>
      </c>
      <c r="Q73" s="14" t="str">
        <f t="shared" ca="1" si="20"/>
        <v>0000101011000011</v>
      </c>
      <c r="R73" s="14">
        <f t="shared" ca="1" si="21"/>
        <v>0.51654673576354981</v>
      </c>
      <c r="S73" s="14">
        <f t="shared" ca="1" si="22"/>
        <v>26.198560829162599</v>
      </c>
      <c r="T73" s="19">
        <f t="shared" ca="1" si="24"/>
        <v>3.3263438038280545E-2</v>
      </c>
      <c r="U73" s="14"/>
      <c r="V73" s="15">
        <f t="shared" ca="1" si="23"/>
        <v>0.90143899999999999</v>
      </c>
      <c r="W73" s="14"/>
      <c r="X73" s="2"/>
    </row>
    <row r="74" spans="8:24" x14ac:dyDescent="0.25">
      <c r="H74" s="14">
        <v>27.2</v>
      </c>
      <c r="I74" s="17">
        <v>0.52285759806535193</v>
      </c>
      <c r="J74" s="15">
        <f t="shared" si="14"/>
        <v>-1.84E-4</v>
      </c>
      <c r="K74" s="30">
        <f t="shared" si="15"/>
        <v>3.6000000000000001E-5</v>
      </c>
      <c r="L74" s="15">
        <f t="shared" si="16"/>
        <v>6.96E-4</v>
      </c>
      <c r="M74" s="10">
        <f t="shared" si="17"/>
        <v>0.52346388856379233</v>
      </c>
      <c r="N74" s="18">
        <f t="shared" si="18"/>
        <v>1.1595709820107255E-3</v>
      </c>
      <c r="O74" s="14">
        <f t="shared" si="19"/>
        <v>2792.7302</v>
      </c>
      <c r="P74" s="14">
        <f t="shared" ca="1" si="12"/>
        <v>2791</v>
      </c>
      <c r="Q74" s="14" t="str">
        <f t="shared" ca="1" si="20"/>
        <v>0000101011100111</v>
      </c>
      <c r="R74" s="14">
        <f t="shared" ca="1" si="21"/>
        <v>0.52329652976989749</v>
      </c>
      <c r="S74" s="14">
        <f t="shared" ca="1" si="22"/>
        <v>26.279558357238773</v>
      </c>
      <c r="T74" s="19">
        <f t="shared" ca="1" si="24"/>
        <v>3.3839766277986245E-2</v>
      </c>
      <c r="U74" s="14"/>
      <c r="V74" s="15">
        <f t="shared" ca="1" si="23"/>
        <v>0.92044199999999998</v>
      </c>
      <c r="W74" s="14"/>
      <c r="X74" s="2"/>
    </row>
    <row r="75" spans="8:24" x14ac:dyDescent="0.25">
      <c r="H75" s="14">
        <v>27.3</v>
      </c>
      <c r="I75" s="17">
        <v>0.53049624849889043</v>
      </c>
      <c r="J75" s="15">
        <f t="shared" si="14"/>
        <v>-1.83E-4</v>
      </c>
      <c r="K75" s="30">
        <f t="shared" si="15"/>
        <v>3.6999999999999998E-5</v>
      </c>
      <c r="L75" s="15">
        <f t="shared" si="16"/>
        <v>7.27E-4</v>
      </c>
      <c r="M75" s="10">
        <f t="shared" si="17"/>
        <v>0.53112333299597858</v>
      </c>
      <c r="N75" s="18">
        <f t="shared" si="18"/>
        <v>1.1820715016601291E-3</v>
      </c>
      <c r="O75" s="14">
        <f t="shared" si="19"/>
        <v>2833.5940000000001</v>
      </c>
      <c r="P75" s="14">
        <f t="shared" ca="1" si="12"/>
        <v>2836</v>
      </c>
      <c r="Q75" s="14" t="str">
        <f t="shared" ca="1" si="20"/>
        <v>0000101100010100</v>
      </c>
      <c r="R75" s="14">
        <f t="shared" ca="1" si="21"/>
        <v>0.53173377227783203</v>
      </c>
      <c r="S75" s="14">
        <f t="shared" ca="1" si="22"/>
        <v>26.380805267333987</v>
      </c>
      <c r="T75" s="19">
        <f t="shared" ca="1" si="24"/>
        <v>3.3670136727692826E-2</v>
      </c>
      <c r="U75" s="14"/>
      <c r="V75" s="15">
        <f t="shared" ca="1" si="23"/>
        <v>0.91919499999999998</v>
      </c>
      <c r="W75" s="14"/>
      <c r="X75" s="2"/>
    </row>
    <row r="76" spans="8:24" x14ac:dyDescent="0.25">
      <c r="H76" s="14">
        <v>27.4</v>
      </c>
      <c r="I76" s="17">
        <v>0.53725069866832043</v>
      </c>
      <c r="J76" s="15">
        <f t="shared" si="14"/>
        <v>-1.8200000000000001E-4</v>
      </c>
      <c r="K76" s="30">
        <f t="shared" si="15"/>
        <v>3.6999999999999998E-5</v>
      </c>
      <c r="L76" s="15">
        <f t="shared" si="16"/>
        <v>7.5699999999999997E-4</v>
      </c>
      <c r="M76" s="10">
        <f t="shared" si="17"/>
        <v>0.53789784342979685</v>
      </c>
      <c r="N76" s="18">
        <f t="shared" si="18"/>
        <v>1.2045489435016075E-3</v>
      </c>
      <c r="O76" s="14">
        <f t="shared" si="19"/>
        <v>2869.7366999999999</v>
      </c>
      <c r="P76" s="14">
        <f t="shared" ca="1" si="12"/>
        <v>2868</v>
      </c>
      <c r="Q76" s="14" t="str">
        <f t="shared" ca="1" si="20"/>
        <v>0000101100110100</v>
      </c>
      <c r="R76" s="14">
        <f t="shared" ca="1" si="21"/>
        <v>0.53773358917236325</v>
      </c>
      <c r="S76" s="14">
        <f t="shared" ca="1" si="22"/>
        <v>26.452803070068363</v>
      </c>
      <c r="T76" s="19">
        <f t="shared" ca="1" si="24"/>
        <v>3.4569231019402763E-2</v>
      </c>
      <c r="U76" s="14"/>
      <c r="V76" s="15">
        <f t="shared" ca="1" si="23"/>
        <v>0.94719699999999996</v>
      </c>
      <c r="W76" s="14"/>
      <c r="X76" s="2"/>
    </row>
    <row r="77" spans="8:24" x14ac:dyDescent="0.25">
      <c r="H77" s="14">
        <v>27.5</v>
      </c>
      <c r="I77" s="17">
        <v>0.54494414692876847</v>
      </c>
      <c r="J77" s="15">
        <f t="shared" si="14"/>
        <v>-1.8200000000000001E-4</v>
      </c>
      <c r="K77" s="30">
        <f t="shared" si="15"/>
        <v>3.8000000000000002E-5</v>
      </c>
      <c r="L77" s="15">
        <f t="shared" si="16"/>
        <v>7.8799999999999996E-4</v>
      </c>
      <c r="M77" s="10">
        <f t="shared" si="17"/>
        <v>0.54561404509230127</v>
      </c>
      <c r="N77" s="18">
        <f t="shared" si="18"/>
        <v>1.2292969239292796E-3</v>
      </c>
      <c r="O77" s="14">
        <f t="shared" si="19"/>
        <v>2910.9034000000001</v>
      </c>
      <c r="P77" s="14">
        <f t="shared" ca="1" si="12"/>
        <v>2915</v>
      </c>
      <c r="Q77" s="14" t="str">
        <f t="shared" ca="1" si="20"/>
        <v>0000101101100011</v>
      </c>
      <c r="R77" s="14">
        <f t="shared" ca="1" si="21"/>
        <v>0.54654582023620601</v>
      </c>
      <c r="S77" s="14">
        <f t="shared" ca="1" si="22"/>
        <v>26.558549842834474</v>
      </c>
      <c r="T77" s="19">
        <f t="shared" ca="1" si="24"/>
        <v>3.4234551169655507E-2</v>
      </c>
      <c r="U77" s="14"/>
      <c r="V77" s="15">
        <f t="shared" ca="1" si="23"/>
        <v>0.94145000000000001</v>
      </c>
      <c r="W77" s="14"/>
      <c r="X77" s="2"/>
    </row>
    <row r="78" spans="8:24" x14ac:dyDescent="0.25">
      <c r="H78" s="14">
        <v>27.6</v>
      </c>
      <c r="I78" s="17">
        <v>0.55266447868087576</v>
      </c>
      <c r="J78" s="15">
        <f t="shared" si="14"/>
        <v>-1.8100000000000001E-4</v>
      </c>
      <c r="K78" s="30">
        <f t="shared" si="15"/>
        <v>3.8000000000000002E-5</v>
      </c>
      <c r="L78" s="15">
        <f t="shared" si="16"/>
        <v>8.1800000000000004E-4</v>
      </c>
      <c r="M78" s="10">
        <f t="shared" si="17"/>
        <v>0.55335607650745888</v>
      </c>
      <c r="N78" s="18">
        <f t="shared" si="18"/>
        <v>1.2513882351076011E-3</v>
      </c>
      <c r="O78" s="14">
        <f t="shared" si="19"/>
        <v>2952.2078999999999</v>
      </c>
      <c r="P78" s="14">
        <f t="shared" ca="1" si="12"/>
        <v>2955</v>
      </c>
      <c r="Q78" s="14" t="str">
        <f t="shared" ca="1" si="20"/>
        <v>0000101110001011</v>
      </c>
      <c r="R78" s="14">
        <f t="shared" ca="1" si="21"/>
        <v>0.55404559135437015</v>
      </c>
      <c r="S78" s="14">
        <f t="shared" ca="1" si="22"/>
        <v>26.648547096252443</v>
      </c>
      <c r="T78" s="19">
        <f t="shared" ca="1" si="24"/>
        <v>3.4472931295201389E-2</v>
      </c>
      <c r="U78" s="14"/>
      <c r="V78" s="15">
        <f t="shared" ca="1" si="23"/>
        <v>0.95145299999999999</v>
      </c>
      <c r="W78" s="14"/>
      <c r="X78" s="2"/>
    </row>
    <row r="79" spans="8:24" x14ac:dyDescent="0.25">
      <c r="H79" s="14">
        <v>27.7</v>
      </c>
      <c r="I79" s="17">
        <v>0.56041165598234544</v>
      </c>
      <c r="J79" s="15">
        <f t="shared" si="14"/>
        <v>-1.8100000000000001E-4</v>
      </c>
      <c r="K79" s="30">
        <f t="shared" si="15"/>
        <v>3.8999999999999999E-5</v>
      </c>
      <c r="L79" s="15">
        <f t="shared" si="16"/>
        <v>8.4900000000000004E-4</v>
      </c>
      <c r="M79" s="10">
        <f t="shared" si="17"/>
        <v>0.56112700356637324</v>
      </c>
      <c r="N79" s="18">
        <f t="shared" si="18"/>
        <v>1.2764680684128006E-3</v>
      </c>
      <c r="O79" s="14">
        <f t="shared" si="19"/>
        <v>2993.6664999999998</v>
      </c>
      <c r="P79" s="14">
        <f t="shared" ref="P79:P142" ca="1" si="25">ROUND(O79+$C$47+$C$49+RANDBETWEEN($B$45,$D$45) + 1,0)</f>
        <v>2994</v>
      </c>
      <c r="Q79" s="14" t="str">
        <f t="shared" ca="1" si="20"/>
        <v>0000101110110010</v>
      </c>
      <c r="R79" s="14">
        <f t="shared" ca="1" si="21"/>
        <v>0.56135786819458011</v>
      </c>
      <c r="S79" s="14">
        <f t="shared" ca="1" si="22"/>
        <v>26.736294418334964</v>
      </c>
      <c r="T79" s="19">
        <f t="shared" ca="1" si="24"/>
        <v>3.4790815222564449E-2</v>
      </c>
      <c r="U79" s="14"/>
      <c r="V79" s="15">
        <f t="shared" ca="1" si="23"/>
        <v>0.96370599999999995</v>
      </c>
      <c r="W79" s="14"/>
      <c r="X79" s="2"/>
    </row>
    <row r="80" spans="8:24" x14ac:dyDescent="0.25">
      <c r="H80" s="14">
        <v>27.8</v>
      </c>
      <c r="I80" s="17">
        <v>0.56818564016343787</v>
      </c>
      <c r="J80" s="15">
        <f t="shared" si="14"/>
        <v>-1.8000000000000001E-4</v>
      </c>
      <c r="K80" s="30">
        <f t="shared" si="15"/>
        <v>3.8999999999999999E-5</v>
      </c>
      <c r="L80" s="15">
        <f t="shared" si="16"/>
        <v>8.7900000000000001E-4</v>
      </c>
      <c r="M80" s="10">
        <f t="shared" si="17"/>
        <v>0.56892367309008396</v>
      </c>
      <c r="N80" s="18">
        <f t="shared" si="18"/>
        <v>1.2989292134060243E-3</v>
      </c>
      <c r="O80" s="14">
        <f t="shared" si="19"/>
        <v>3035.2624999999998</v>
      </c>
      <c r="P80" s="14">
        <f t="shared" ca="1" si="25"/>
        <v>3034</v>
      </c>
      <c r="Q80" s="14" t="str">
        <f t="shared" ca="1" si="20"/>
        <v>0000101111011010</v>
      </c>
      <c r="R80" s="14">
        <f t="shared" ca="1" si="21"/>
        <v>0.56885763931274413</v>
      </c>
      <c r="S80" s="14">
        <f t="shared" ca="1" si="22"/>
        <v>26.826291671752934</v>
      </c>
      <c r="T80" s="19">
        <f t="shared" ca="1" si="24"/>
        <v>3.5025479433347738E-2</v>
      </c>
      <c r="U80" s="14"/>
      <c r="V80" s="15">
        <f t="shared" ca="1" si="23"/>
        <v>0.97370800000000002</v>
      </c>
      <c r="W80" s="14"/>
      <c r="X80" s="2"/>
    </row>
    <row r="81" spans="8:24" x14ac:dyDescent="0.25">
      <c r="H81" s="14">
        <v>27.9</v>
      </c>
      <c r="I81" s="17">
        <v>0.57598639235075</v>
      </c>
      <c r="J81" s="15">
        <f t="shared" si="14"/>
        <v>-1.8000000000000001E-4</v>
      </c>
      <c r="K81" s="30">
        <f t="shared" si="15"/>
        <v>4.0000000000000003E-5</v>
      </c>
      <c r="L81" s="15">
        <f t="shared" si="16"/>
        <v>9.1E-4</v>
      </c>
      <c r="M81" s="10">
        <f t="shared" si="17"/>
        <v>0.57674918132575637</v>
      </c>
      <c r="N81" s="18">
        <f t="shared" si="18"/>
        <v>1.3243177011408687E-3</v>
      </c>
      <c r="O81" s="14">
        <f t="shared" si="19"/>
        <v>3077.0122999999999</v>
      </c>
      <c r="P81" s="14">
        <f t="shared" ca="1" si="25"/>
        <v>3078</v>
      </c>
      <c r="Q81" s="14" t="str">
        <f t="shared" ca="1" si="20"/>
        <v>0000110000000110</v>
      </c>
      <c r="R81" s="14">
        <f t="shared" ca="1" si="21"/>
        <v>0.57710738754272461</v>
      </c>
      <c r="S81" s="14">
        <f t="shared" ca="1" si="22"/>
        <v>26.925288650512698</v>
      </c>
      <c r="T81" s="19">
        <f t="shared" ca="1" si="24"/>
        <v>3.4935890662627263E-2</v>
      </c>
      <c r="U81" s="14"/>
      <c r="V81" s="15">
        <f t="shared" ca="1" si="23"/>
        <v>0.97471099999999999</v>
      </c>
      <c r="W81" s="14"/>
      <c r="X81" s="2"/>
    </row>
    <row r="82" spans="8:24" x14ac:dyDescent="0.25">
      <c r="H82" s="14">
        <v>28</v>
      </c>
      <c r="I82" s="17">
        <v>0.58381387303076104</v>
      </c>
      <c r="J82" s="15">
        <f t="shared" si="14"/>
        <v>-1.7899999999999999E-4</v>
      </c>
      <c r="K82" s="30">
        <f t="shared" si="15"/>
        <v>4.0000000000000003E-5</v>
      </c>
      <c r="L82" s="15">
        <f t="shared" si="16"/>
        <v>9.3999999999999997E-4</v>
      </c>
      <c r="M82" s="10">
        <f t="shared" si="17"/>
        <v>0.5846003428330242</v>
      </c>
      <c r="N82" s="18">
        <f t="shared" si="18"/>
        <v>1.347124209605272E-3</v>
      </c>
      <c r="O82" s="14">
        <f t="shared" si="19"/>
        <v>3118.8989999999999</v>
      </c>
      <c r="P82" s="14">
        <f t="shared" ca="1" si="25"/>
        <v>3121</v>
      </c>
      <c r="Q82" s="14" t="str">
        <f t="shared" ca="1" si="20"/>
        <v>0000110000110001</v>
      </c>
      <c r="R82" s="14">
        <f t="shared" ca="1" si="21"/>
        <v>0.58516964149475104</v>
      </c>
      <c r="S82" s="14">
        <f t="shared" ca="1" si="22"/>
        <v>27.022035697937014</v>
      </c>
      <c r="T82" s="19">
        <f t="shared" ca="1" si="24"/>
        <v>3.4927296502249509E-2</v>
      </c>
      <c r="U82" s="14"/>
      <c r="V82" s="15">
        <f t="shared" ca="1" si="23"/>
        <v>0.97796400000000006</v>
      </c>
      <c r="W82" s="14"/>
      <c r="X82" s="2"/>
    </row>
    <row r="83" spans="8:24" x14ac:dyDescent="0.25">
      <c r="H83" s="14">
        <v>28.1</v>
      </c>
      <c r="I83" s="17">
        <v>0.59166804242804827</v>
      </c>
      <c r="J83" s="15">
        <f t="shared" si="14"/>
        <v>-1.7799999999999999E-4</v>
      </c>
      <c r="K83" s="30">
        <f t="shared" si="15"/>
        <v>4.1E-5</v>
      </c>
      <c r="L83" s="15">
        <f t="shared" si="16"/>
        <v>9.7099999999999997E-4</v>
      </c>
      <c r="M83" s="10">
        <f t="shared" si="17"/>
        <v>0.59247928349432133</v>
      </c>
      <c r="N83" s="18">
        <f t="shared" si="18"/>
        <v>1.3711084731633351E-3</v>
      </c>
      <c r="O83" s="14">
        <f t="shared" si="19"/>
        <v>3160.9339</v>
      </c>
      <c r="P83" s="14">
        <f t="shared" ca="1" si="25"/>
        <v>3161</v>
      </c>
      <c r="Q83" s="14" t="str">
        <f t="shared" ca="1" si="20"/>
        <v>0000110001011001</v>
      </c>
      <c r="R83" s="14">
        <f t="shared" ca="1" si="21"/>
        <v>0.59266941261291506</v>
      </c>
      <c r="S83" s="14">
        <f t="shared" ca="1" si="22"/>
        <v>27.112032951354983</v>
      </c>
      <c r="T83" s="19">
        <f t="shared" ca="1" si="24"/>
        <v>3.5158969702669678E-2</v>
      </c>
      <c r="U83" s="14"/>
      <c r="V83" s="15">
        <f t="shared" ca="1" si="23"/>
        <v>0.98796700000000004</v>
      </c>
      <c r="W83" s="14"/>
      <c r="X83" s="2"/>
    </row>
    <row r="84" spans="8:24" x14ac:dyDescent="0.25">
      <c r="H84" s="14">
        <v>28.200000000000003</v>
      </c>
      <c r="I84" s="17">
        <v>0.59864512554000371</v>
      </c>
      <c r="J84" s="15">
        <f t="shared" si="14"/>
        <v>-1.7799999999999999E-4</v>
      </c>
      <c r="K84" s="30">
        <f t="shared" si="15"/>
        <v>4.1E-5</v>
      </c>
      <c r="L84" s="15">
        <f t="shared" si="16"/>
        <v>1.0009999999999999E-3</v>
      </c>
      <c r="M84" s="10">
        <f t="shared" si="17"/>
        <v>0.59948114811126307</v>
      </c>
      <c r="N84" s="18">
        <f t="shared" si="18"/>
        <v>1.3965244776782181E-3</v>
      </c>
      <c r="O84" s="14">
        <f t="shared" si="19"/>
        <v>3198.2896000000001</v>
      </c>
      <c r="P84" s="14">
        <f t="shared" ca="1" si="25"/>
        <v>3198</v>
      </c>
      <c r="Q84" s="14" t="str">
        <f t="shared" ca="1" si="20"/>
        <v>0000110001111110</v>
      </c>
      <c r="R84" s="14">
        <f t="shared" ca="1" si="21"/>
        <v>0.59960670089721679</v>
      </c>
      <c r="S84" s="14">
        <f t="shared" ca="1" si="22"/>
        <v>27.1952804107666</v>
      </c>
      <c r="T84" s="19">
        <f t="shared" ca="1" si="24"/>
        <v>3.5628354228134859E-2</v>
      </c>
      <c r="U84" s="14"/>
      <c r="V84" s="15">
        <f t="shared" ca="1" si="23"/>
        <v>1.0047200000000001</v>
      </c>
      <c r="W84" s="14"/>
      <c r="X84" s="2"/>
    </row>
    <row r="85" spans="8:24" x14ac:dyDescent="0.25">
      <c r="H85" s="14">
        <v>28.3</v>
      </c>
      <c r="I85" s="17">
        <v>0.60655348394148934</v>
      </c>
      <c r="J85" s="15">
        <f t="shared" si="14"/>
        <v>-1.7699999999999999E-4</v>
      </c>
      <c r="K85" s="30">
        <f t="shared" si="15"/>
        <v>4.1999999999999998E-5</v>
      </c>
      <c r="L85" s="15">
        <f t="shared" si="16"/>
        <v>1.0319999999999999E-3</v>
      </c>
      <c r="M85" s="10">
        <f t="shared" si="17"/>
        <v>0.60741527665099315</v>
      </c>
      <c r="N85" s="18">
        <f t="shared" si="18"/>
        <v>1.4208025051702597E-3</v>
      </c>
      <c r="O85" s="14">
        <f t="shared" si="19"/>
        <v>3240.6188999999999</v>
      </c>
      <c r="P85" s="14">
        <f t="shared" ca="1" si="25"/>
        <v>3245</v>
      </c>
      <c r="Q85" s="14" t="str">
        <f t="shared" ca="1" si="20"/>
        <v>0000110010101101</v>
      </c>
      <c r="R85" s="14">
        <f t="shared" ca="1" si="21"/>
        <v>0.60841893196105956</v>
      </c>
      <c r="S85" s="14">
        <f t="shared" ca="1" si="22"/>
        <v>27.301027183532717</v>
      </c>
      <c r="T85" s="19">
        <f t="shared" ca="1" si="24"/>
        <v>3.529939280803121E-2</v>
      </c>
      <c r="U85" s="14"/>
      <c r="V85" s="15">
        <f t="shared" ca="1" si="23"/>
        <v>0.998973</v>
      </c>
      <c r="W85" s="14"/>
      <c r="X85" s="2"/>
    </row>
    <row r="86" spans="8:24" x14ac:dyDescent="0.25">
      <c r="H86" s="14">
        <v>28.4</v>
      </c>
      <c r="I86" s="17">
        <v>0.61448840940626959</v>
      </c>
      <c r="J86" s="15">
        <f t="shared" si="14"/>
        <v>-1.7699999999999999E-4</v>
      </c>
      <c r="K86" s="30">
        <f t="shared" si="15"/>
        <v>4.1999999999999998E-5</v>
      </c>
      <c r="L86" s="15">
        <f t="shared" si="16"/>
        <v>1.062E-3</v>
      </c>
      <c r="M86" s="10">
        <f t="shared" si="17"/>
        <v>0.61537687805476371</v>
      </c>
      <c r="N86" s="18">
        <f t="shared" si="18"/>
        <v>1.4458672204290691E-3</v>
      </c>
      <c r="O86" s="14">
        <f t="shared" si="19"/>
        <v>3283.0947999999999</v>
      </c>
      <c r="P86" s="14">
        <f t="shared" ca="1" si="25"/>
        <v>3286</v>
      </c>
      <c r="Q86" s="14" t="str">
        <f t="shared" ca="1" si="20"/>
        <v>0000110011010110</v>
      </c>
      <c r="R86" s="14">
        <f t="shared" ca="1" si="21"/>
        <v>0.61610619735717775</v>
      </c>
      <c r="S86" s="14">
        <f t="shared" ca="1" si="22"/>
        <v>27.393274368286136</v>
      </c>
      <c r="T86" s="19">
        <f t="shared" ca="1" si="24"/>
        <v>3.5448085623727567E-2</v>
      </c>
      <c r="U86" s="14"/>
      <c r="V86" s="15">
        <f t="shared" ca="1" si="23"/>
        <v>1.006726</v>
      </c>
      <c r="W86" s="14"/>
      <c r="X86" s="2"/>
    </row>
    <row r="87" spans="8:24" x14ac:dyDescent="0.25">
      <c r="H87" s="14">
        <v>28.5</v>
      </c>
      <c r="I87" s="17">
        <v>0.62244985945293896</v>
      </c>
      <c r="J87" s="15">
        <f t="shared" si="14"/>
        <v>-1.76E-4</v>
      </c>
      <c r="K87" s="30">
        <f t="shared" si="15"/>
        <v>4.3000000000000002E-5</v>
      </c>
      <c r="L87" s="15">
        <f t="shared" si="16"/>
        <v>1.093E-3</v>
      </c>
      <c r="M87" s="10">
        <f t="shared" si="17"/>
        <v>0.62336513415056549</v>
      </c>
      <c r="N87" s="18">
        <f t="shared" si="18"/>
        <v>1.4704392389628838E-3</v>
      </c>
      <c r="O87" s="14">
        <f t="shared" si="19"/>
        <v>3325.7129</v>
      </c>
      <c r="P87" s="14">
        <f t="shared" ca="1" si="25"/>
        <v>3326</v>
      </c>
      <c r="Q87" s="14" t="str">
        <f t="shared" ca="1" si="20"/>
        <v>0000110011111110</v>
      </c>
      <c r="R87" s="14">
        <f t="shared" ca="1" si="21"/>
        <v>0.62360596847534178</v>
      </c>
      <c r="S87" s="14">
        <f t="shared" ca="1" si="22"/>
        <v>27.483271621704105</v>
      </c>
      <c r="T87" s="19">
        <f t="shared" ca="1" si="24"/>
        <v>3.567467994020683E-2</v>
      </c>
      <c r="U87" s="14"/>
      <c r="V87" s="15">
        <f t="shared" ca="1" si="23"/>
        <v>1.0167280000000001</v>
      </c>
      <c r="W87" s="14"/>
      <c r="X87" s="2"/>
    </row>
    <row r="88" spans="8:24" x14ac:dyDescent="0.25">
      <c r="H88" s="14">
        <v>28.6</v>
      </c>
      <c r="I88" s="17">
        <v>0.63043779197832295</v>
      </c>
      <c r="J88" s="15">
        <f t="shared" si="14"/>
        <v>-1.76E-4</v>
      </c>
      <c r="K88" s="30">
        <f t="shared" si="15"/>
        <v>4.3000000000000002E-5</v>
      </c>
      <c r="L88" s="15">
        <f t="shared" si="16"/>
        <v>1.1230000000000001E-3</v>
      </c>
      <c r="M88" s="10">
        <f t="shared" si="17"/>
        <v>0.63138076744616489</v>
      </c>
      <c r="N88" s="18">
        <f t="shared" si="18"/>
        <v>1.495747050447077E-3</v>
      </c>
      <c r="O88" s="14">
        <f t="shared" si="19"/>
        <v>3368.4771000000001</v>
      </c>
      <c r="P88" s="14">
        <f t="shared" ca="1" si="25"/>
        <v>3370</v>
      </c>
      <c r="Q88" s="14" t="str">
        <f t="shared" ca="1" si="20"/>
        <v>0000110100101010</v>
      </c>
      <c r="R88" s="14">
        <f t="shared" ca="1" si="21"/>
        <v>0.63185571670532226</v>
      </c>
      <c r="S88" s="14">
        <f t="shared" ca="1" si="22"/>
        <v>27.58226860046387</v>
      </c>
      <c r="T88" s="19">
        <f t="shared" ca="1" si="24"/>
        <v>3.5585013969794813E-2</v>
      </c>
      <c r="U88" s="14"/>
      <c r="V88" s="15">
        <f t="shared" ca="1" si="23"/>
        <v>1.0177309999999999</v>
      </c>
      <c r="W88" s="14"/>
      <c r="X88" s="2"/>
    </row>
    <row r="89" spans="8:24" x14ac:dyDescent="0.25">
      <c r="H89" s="14">
        <v>28.700000000000003</v>
      </c>
      <c r="I89" s="17">
        <v>0.63755311904766421</v>
      </c>
      <c r="J89" s="15">
        <f t="shared" si="14"/>
        <v>-1.75E-4</v>
      </c>
      <c r="K89" s="30">
        <f t="shared" si="15"/>
        <v>4.3999999999999999E-5</v>
      </c>
      <c r="L89" s="15">
        <f t="shared" si="16"/>
        <v>1.1540000000000001E-3</v>
      </c>
      <c r="M89" s="10">
        <f t="shared" si="17"/>
        <v>0.63852290755097807</v>
      </c>
      <c r="N89" s="18">
        <f t="shared" si="18"/>
        <v>1.521110122969E-3</v>
      </c>
      <c r="O89" s="14">
        <f t="shared" si="19"/>
        <v>3406.5810999999999</v>
      </c>
      <c r="P89" s="14">
        <f t="shared" ca="1" si="25"/>
        <v>3406</v>
      </c>
      <c r="Q89" s="14" t="str">
        <f t="shared" ca="1" si="20"/>
        <v>0000110101001110</v>
      </c>
      <c r="R89" s="14">
        <f t="shared" ca="1" si="21"/>
        <v>0.63860551071166993</v>
      </c>
      <c r="S89" s="14">
        <f t="shared" ca="1" si="22"/>
        <v>27.663266128540037</v>
      </c>
      <c r="T89" s="19">
        <f t="shared" ca="1" si="24"/>
        <v>3.6123131409754893E-2</v>
      </c>
      <c r="U89" s="14"/>
      <c r="V89" s="15">
        <f t="shared" ca="1" si="23"/>
        <v>1.036734</v>
      </c>
      <c r="W89" s="14"/>
      <c r="X89" s="2"/>
    </row>
    <row r="90" spans="8:24" x14ac:dyDescent="0.25">
      <c r="H90" s="14">
        <v>28.8</v>
      </c>
      <c r="I90" s="17">
        <v>0.64559482810015167</v>
      </c>
      <c r="J90" s="15">
        <f t="shared" si="14"/>
        <v>-1.74E-4</v>
      </c>
      <c r="K90" s="30">
        <f t="shared" si="15"/>
        <v>4.3999999999999999E-5</v>
      </c>
      <c r="L90" s="15">
        <f t="shared" si="16"/>
        <v>1.1839999999999999E-3</v>
      </c>
      <c r="M90" s="10">
        <f t="shared" si="17"/>
        <v>0.64659232474064454</v>
      </c>
      <c r="N90" s="18">
        <f t="shared" si="18"/>
        <v>1.5450815233887299E-3</v>
      </c>
      <c r="O90" s="14">
        <f t="shared" si="19"/>
        <v>3449.6322</v>
      </c>
      <c r="P90" s="14">
        <f t="shared" ca="1" si="25"/>
        <v>3449</v>
      </c>
      <c r="Q90" s="14" t="str">
        <f t="shared" ca="1" si="20"/>
        <v>0000110101111001</v>
      </c>
      <c r="R90" s="14">
        <f t="shared" ca="1" si="21"/>
        <v>0.64666776466369635</v>
      </c>
      <c r="S90" s="14">
        <f t="shared" ca="1" si="22"/>
        <v>27.76001317596436</v>
      </c>
      <c r="T90" s="19">
        <f t="shared" ca="1" si="24"/>
        <v>3.611065361234863E-2</v>
      </c>
      <c r="U90" s="14"/>
      <c r="V90" s="15">
        <f t="shared" ca="1" si="23"/>
        <v>1.039987</v>
      </c>
      <c r="W90" s="14"/>
      <c r="X90" s="2"/>
    </row>
    <row r="91" spans="8:24" x14ac:dyDescent="0.25">
      <c r="H91" s="14">
        <v>28.9</v>
      </c>
      <c r="I91" s="17">
        <v>0.65366288962659969</v>
      </c>
      <c r="J91" s="15">
        <f t="shared" si="14"/>
        <v>-1.74E-4</v>
      </c>
      <c r="K91" s="30">
        <f t="shared" si="15"/>
        <v>4.5000000000000003E-5</v>
      </c>
      <c r="L91" s="15">
        <f t="shared" si="16"/>
        <v>1.2149999999999999E-3</v>
      </c>
      <c r="M91" s="10">
        <f t="shared" si="17"/>
        <v>0.65469026783201556</v>
      </c>
      <c r="N91" s="18">
        <f t="shared" si="18"/>
        <v>1.5717248473486949E-3</v>
      </c>
      <c r="O91" s="14">
        <f t="shared" si="19"/>
        <v>3492.8355000000001</v>
      </c>
      <c r="P91" s="14">
        <f t="shared" ca="1" si="25"/>
        <v>3497</v>
      </c>
      <c r="Q91" s="14" t="str">
        <f t="shared" ca="1" si="20"/>
        <v>0000110110101001</v>
      </c>
      <c r="R91" s="14">
        <f t="shared" ca="1" si="21"/>
        <v>0.65566749000549318</v>
      </c>
      <c r="S91" s="14">
        <f t="shared" ca="1" si="22"/>
        <v>27.86800988006592</v>
      </c>
      <c r="T91" s="19">
        <f t="shared" ca="1" si="24"/>
        <v>3.5709000689760524E-2</v>
      </c>
      <c r="U91" s="14"/>
      <c r="V91" s="15">
        <f t="shared" ca="1" si="23"/>
        <v>1.03199</v>
      </c>
      <c r="W91" s="14"/>
      <c r="X91" s="2"/>
    </row>
    <row r="92" spans="8:24" x14ac:dyDescent="0.25">
      <c r="H92" s="14">
        <v>29</v>
      </c>
      <c r="I92" s="17">
        <v>0.66175725931248441</v>
      </c>
      <c r="J92" s="15">
        <f t="shared" si="14"/>
        <v>-1.73E-4</v>
      </c>
      <c r="K92" s="30">
        <f t="shared" si="15"/>
        <v>4.5000000000000003E-5</v>
      </c>
      <c r="L92" s="15">
        <f t="shared" si="16"/>
        <v>1.245E-3</v>
      </c>
      <c r="M92" s="10">
        <f t="shared" si="17"/>
        <v>0.6628133897727515</v>
      </c>
      <c r="N92" s="18">
        <f t="shared" si="18"/>
        <v>1.5959484318529881E-3</v>
      </c>
      <c r="O92" s="14">
        <f t="shared" si="19"/>
        <v>3536.1732000000002</v>
      </c>
      <c r="P92" s="14">
        <f t="shared" ca="1" si="25"/>
        <v>3536</v>
      </c>
      <c r="Q92" s="14" t="str">
        <f t="shared" ca="1" si="20"/>
        <v>0000110111010000</v>
      </c>
      <c r="R92" s="14">
        <f t="shared" ca="1" si="21"/>
        <v>0.66297976684570314</v>
      </c>
      <c r="S92" s="14">
        <f t="shared" ca="1" si="22"/>
        <v>27.95575720214844</v>
      </c>
      <c r="T92" s="19">
        <f t="shared" ca="1" si="24"/>
        <v>3.6008372339708952E-2</v>
      </c>
      <c r="U92" s="14"/>
      <c r="V92" s="15">
        <f t="shared" ca="1" si="23"/>
        <v>1.044243</v>
      </c>
      <c r="W92" s="14"/>
      <c r="X92" s="2"/>
    </row>
    <row r="93" spans="8:24" x14ac:dyDescent="0.25">
      <c r="H93" s="14">
        <v>29.1</v>
      </c>
      <c r="I93" s="17">
        <v>0.66898262768316286</v>
      </c>
      <c r="J93" s="15">
        <f t="shared" si="14"/>
        <v>-1.73E-4</v>
      </c>
      <c r="K93" s="30">
        <f t="shared" si="15"/>
        <v>4.6E-5</v>
      </c>
      <c r="L93" s="15">
        <f t="shared" si="16"/>
        <v>1.276E-3</v>
      </c>
      <c r="M93" s="10">
        <f t="shared" si="17"/>
        <v>0.67006856115920199</v>
      </c>
      <c r="N93" s="18">
        <f t="shared" si="18"/>
        <v>1.6232610999181961E-3</v>
      </c>
      <c r="O93" s="14">
        <f t="shared" si="19"/>
        <v>3574.8802000000001</v>
      </c>
      <c r="P93" s="14">
        <f t="shared" ca="1" si="25"/>
        <v>3577</v>
      </c>
      <c r="Q93" s="14" t="str">
        <f t="shared" ca="1" si="20"/>
        <v>0000110111111001</v>
      </c>
      <c r="R93" s="14">
        <f t="shared" ca="1" si="21"/>
        <v>0.67066703224182134</v>
      </c>
      <c r="S93" s="14">
        <f t="shared" ca="1" si="22"/>
        <v>28.048004386901859</v>
      </c>
      <c r="T93" s="19">
        <f t="shared" ca="1" si="24"/>
        <v>3.6151051996499747E-2</v>
      </c>
      <c r="U93" s="14"/>
      <c r="V93" s="15">
        <f t="shared" ca="1" si="23"/>
        <v>1.0519959999999999</v>
      </c>
      <c r="W93" s="14"/>
      <c r="X93" s="2"/>
    </row>
    <row r="94" spans="8:24" x14ac:dyDescent="0.25">
      <c r="H94" s="14">
        <v>29.200000000000003</v>
      </c>
      <c r="I94" s="17">
        <v>0.6771304260722687</v>
      </c>
      <c r="J94" s="15">
        <f t="shared" si="14"/>
        <v>-1.7200000000000001E-4</v>
      </c>
      <c r="K94" s="30">
        <f t="shared" si="15"/>
        <v>4.6E-5</v>
      </c>
      <c r="L94" s="15">
        <f t="shared" si="16"/>
        <v>1.3060000000000001E-3</v>
      </c>
      <c r="M94" s="10">
        <f t="shared" si="17"/>
        <v>0.678246139782825</v>
      </c>
      <c r="N94" s="18">
        <f t="shared" si="18"/>
        <v>1.6477087243414179E-3</v>
      </c>
      <c r="O94" s="14">
        <f t="shared" si="19"/>
        <v>3618.5084000000002</v>
      </c>
      <c r="P94" s="14">
        <f t="shared" ca="1" si="25"/>
        <v>3622</v>
      </c>
      <c r="Q94" s="14" t="str">
        <f t="shared" ca="1" si="20"/>
        <v>0000111000100110</v>
      </c>
      <c r="R94" s="14">
        <f t="shared" ca="1" si="21"/>
        <v>0.67910427474975588</v>
      </c>
      <c r="S94" s="14">
        <f t="shared" ca="1" si="22"/>
        <v>28.149251296997072</v>
      </c>
      <c r="T94" s="19">
        <f t="shared" ca="1" si="24"/>
        <v>3.5984544623388043E-2</v>
      </c>
      <c r="U94" s="14"/>
      <c r="V94" s="15">
        <f t="shared" ca="1" si="23"/>
        <v>1.0507489999999999</v>
      </c>
      <c r="W94" s="14"/>
      <c r="X94" s="2"/>
    </row>
    <row r="95" spans="8:24" x14ac:dyDescent="0.25">
      <c r="H95" s="14">
        <v>29.3</v>
      </c>
      <c r="I95" s="17">
        <v>0.68530439670937193</v>
      </c>
      <c r="J95" s="15">
        <f t="shared" si="14"/>
        <v>-1.7200000000000001E-4</v>
      </c>
      <c r="K95" s="30">
        <f t="shared" si="15"/>
        <v>4.6999999999999997E-5</v>
      </c>
      <c r="L95" s="15">
        <f t="shared" si="16"/>
        <v>1.3370000000000001E-3</v>
      </c>
      <c r="M95" s="10">
        <f t="shared" si="17"/>
        <v>0.68645210562859738</v>
      </c>
      <c r="N95" s="18">
        <f t="shared" si="18"/>
        <v>1.6747432596907305E-3</v>
      </c>
      <c r="O95" s="14">
        <f t="shared" si="19"/>
        <v>3662.288</v>
      </c>
      <c r="P95" s="14">
        <f t="shared" ca="1" si="25"/>
        <v>3663</v>
      </c>
      <c r="Q95" s="14" t="str">
        <f t="shared" ca="1" si="20"/>
        <v>0000111001001111</v>
      </c>
      <c r="R95" s="14">
        <f t="shared" ca="1" si="21"/>
        <v>0.68679154014587407</v>
      </c>
      <c r="S95" s="14">
        <f t="shared" ca="1" si="22"/>
        <v>28.24149848175049</v>
      </c>
      <c r="T95" s="19">
        <f t="shared" ca="1" si="24"/>
        <v>3.6126331680870663E-2</v>
      </c>
      <c r="U95" s="14"/>
      <c r="V95" s="15">
        <f t="shared" ca="1" si="23"/>
        <v>1.0585020000000001</v>
      </c>
      <c r="W95" s="14"/>
      <c r="X95" s="2"/>
    </row>
    <row r="96" spans="8:24" x14ac:dyDescent="0.25">
      <c r="H96" s="14">
        <v>29.4</v>
      </c>
      <c r="I96" s="17">
        <v>0.69261207995366536</v>
      </c>
      <c r="J96" s="15">
        <f t="shared" si="14"/>
        <v>-1.7100000000000001E-4</v>
      </c>
      <c r="K96" s="30">
        <f t="shared" si="15"/>
        <v>4.6999999999999997E-5</v>
      </c>
      <c r="L96" s="15">
        <f t="shared" si="16"/>
        <v>1.3669999999999999E-3</v>
      </c>
      <c r="M96" s="10">
        <f t="shared" si="17"/>
        <v>0.69378941079221834</v>
      </c>
      <c r="N96" s="18">
        <f t="shared" si="18"/>
        <v>1.6998416178818927E-3</v>
      </c>
      <c r="O96" s="14">
        <f t="shared" si="19"/>
        <v>3701.4331999999999</v>
      </c>
      <c r="P96" s="14">
        <f t="shared" ca="1" si="25"/>
        <v>3705</v>
      </c>
      <c r="Q96" s="14" t="str">
        <f t="shared" ca="1" si="20"/>
        <v>0000111001111001</v>
      </c>
      <c r="R96" s="14">
        <f t="shared" ca="1" si="21"/>
        <v>0.69466629981994632</v>
      </c>
      <c r="S96" s="14">
        <f t="shared" ca="1" si="22"/>
        <v>28.335995597839357</v>
      </c>
      <c r="T96" s="19">
        <f t="shared" ca="1" si="24"/>
        <v>3.6190625923831342E-2</v>
      </c>
      <c r="U96" s="14"/>
      <c r="V96" s="15">
        <f t="shared" ca="1" si="23"/>
        <v>1.0640039999999999</v>
      </c>
      <c r="W96" s="14"/>
      <c r="X96" s="2"/>
    </row>
    <row r="97" spans="8:24" x14ac:dyDescent="0.25">
      <c r="H97" s="14">
        <v>29.5</v>
      </c>
      <c r="I97" s="17">
        <v>0.70083920825673973</v>
      </c>
      <c r="J97" s="15">
        <f t="shared" si="14"/>
        <v>-1.7000000000000001E-4</v>
      </c>
      <c r="K97" s="30">
        <f t="shared" si="15"/>
        <v>4.8000000000000001E-5</v>
      </c>
      <c r="L97" s="15">
        <f t="shared" si="16"/>
        <v>1.3979999999999999E-3</v>
      </c>
      <c r="M97" s="10">
        <f t="shared" si="17"/>
        <v>0.70204859110310192</v>
      </c>
      <c r="N97" s="18">
        <f t="shared" si="18"/>
        <v>1.7256209871168455E-3</v>
      </c>
      <c r="O97" s="14">
        <f t="shared" si="19"/>
        <v>3745.4967000000001</v>
      </c>
      <c r="P97" s="14">
        <f t="shared" ca="1" si="25"/>
        <v>3744</v>
      </c>
      <c r="Q97" s="14" t="str">
        <f t="shared" ca="1" si="20"/>
        <v>0000111010100000</v>
      </c>
      <c r="R97" s="14">
        <f t="shared" ca="1" si="21"/>
        <v>0.70197857666015628</v>
      </c>
      <c r="S97" s="14">
        <f t="shared" ca="1" si="22"/>
        <v>28.423742919921878</v>
      </c>
      <c r="T97" s="19">
        <f t="shared" ca="1" si="24"/>
        <v>3.6483290850105828E-2</v>
      </c>
      <c r="U97" s="14"/>
      <c r="V97" s="15">
        <f t="shared" ca="1" si="23"/>
        <v>1.076257</v>
      </c>
      <c r="W97" s="14"/>
      <c r="X97" s="2"/>
    </row>
    <row r="98" spans="8:24" x14ac:dyDescent="0.25">
      <c r="H98" s="14">
        <v>29.6</v>
      </c>
      <c r="I98" s="17">
        <v>0.70909236864822833</v>
      </c>
      <c r="J98" s="15">
        <f t="shared" si="14"/>
        <v>-1.7000000000000001E-4</v>
      </c>
      <c r="K98" s="30">
        <f t="shared" si="15"/>
        <v>4.8000000000000001E-5</v>
      </c>
      <c r="L98" s="15">
        <f t="shared" si="16"/>
        <v>1.428E-3</v>
      </c>
      <c r="M98" s="10">
        <f t="shared" si="17"/>
        <v>0.71033464369542543</v>
      </c>
      <c r="N98" s="18">
        <f t="shared" si="18"/>
        <v>1.751922742540995E-3</v>
      </c>
      <c r="O98" s="14">
        <f t="shared" si="19"/>
        <v>3789.7035999999998</v>
      </c>
      <c r="P98" s="14">
        <f t="shared" ca="1" si="25"/>
        <v>3789</v>
      </c>
      <c r="Q98" s="14" t="str">
        <f t="shared" ca="1" si="20"/>
        <v>0000111011001101</v>
      </c>
      <c r="R98" s="14">
        <f t="shared" ca="1" si="21"/>
        <v>0.71041581916809082</v>
      </c>
      <c r="S98" s="14">
        <f t="shared" ca="1" si="22"/>
        <v>28.524989830017091</v>
      </c>
      <c r="T98" s="19">
        <f t="shared" ca="1" si="24"/>
        <v>3.6317911148071293E-2</v>
      </c>
      <c r="U98" s="14"/>
      <c r="V98" s="15">
        <f t="shared" ca="1" si="23"/>
        <v>1.07501</v>
      </c>
      <c r="W98" s="14"/>
      <c r="X98" s="2"/>
    </row>
    <row r="99" spans="8:24" x14ac:dyDescent="0.25">
      <c r="H99" s="14">
        <v>29.700000000000003</v>
      </c>
      <c r="I99" s="17">
        <v>0.71648196432747047</v>
      </c>
      <c r="J99" s="15">
        <f t="shared" si="14"/>
        <v>-1.6899999999999999E-4</v>
      </c>
      <c r="K99" s="30">
        <f t="shared" si="15"/>
        <v>4.8999999999999998E-5</v>
      </c>
      <c r="L99" s="15">
        <f t="shared" si="16"/>
        <v>1.459E-3</v>
      </c>
      <c r="M99" s="10">
        <f t="shared" si="17"/>
        <v>0.71775608583470329</v>
      </c>
      <c r="N99" s="18">
        <f t="shared" si="18"/>
        <v>1.7783022751016336E-3</v>
      </c>
      <c r="O99" s="14">
        <f t="shared" si="19"/>
        <v>3829.2977000000001</v>
      </c>
      <c r="P99" s="14">
        <f t="shared" ca="1" si="25"/>
        <v>3828</v>
      </c>
      <c r="Q99" s="14" t="str">
        <f t="shared" ca="1" si="20"/>
        <v>0000111011110100</v>
      </c>
      <c r="R99" s="14">
        <f t="shared" ca="1" si="21"/>
        <v>0.71772809600830079</v>
      </c>
      <c r="S99" s="14">
        <f t="shared" ca="1" si="22"/>
        <v>28.612737152099612</v>
      </c>
      <c r="T99" s="19">
        <f t="shared" ca="1" si="24"/>
        <v>3.6608176696982853E-2</v>
      </c>
      <c r="U99" s="14"/>
      <c r="V99" s="15">
        <f t="shared" ca="1" si="23"/>
        <v>1.0872630000000001</v>
      </c>
      <c r="W99" s="14"/>
      <c r="X99" s="2"/>
    </row>
    <row r="100" spans="8:24" x14ac:dyDescent="0.25">
      <c r="H100" s="14">
        <v>29.8</v>
      </c>
      <c r="I100" s="17">
        <v>0.72478800183298819</v>
      </c>
      <c r="J100" s="15">
        <f t="shared" si="14"/>
        <v>-1.6899999999999999E-4</v>
      </c>
      <c r="K100" s="30">
        <f t="shared" si="15"/>
        <v>4.8999999999999998E-5</v>
      </c>
      <c r="L100" s="15">
        <f t="shared" si="16"/>
        <v>1.4890000000000001E-3</v>
      </c>
      <c r="M100" s="10">
        <f t="shared" si="17"/>
        <v>0.72609607252297481</v>
      </c>
      <c r="N100" s="18">
        <f t="shared" si="18"/>
        <v>1.804763167544866E-3</v>
      </c>
      <c r="O100" s="14">
        <f t="shared" si="19"/>
        <v>3873.7923999999998</v>
      </c>
      <c r="P100" s="14">
        <f t="shared" ca="1" si="25"/>
        <v>3874</v>
      </c>
      <c r="Q100" s="14" t="str">
        <f t="shared" ca="1" si="20"/>
        <v>0000111100100010</v>
      </c>
      <c r="R100" s="14">
        <f t="shared" ca="1" si="21"/>
        <v>0.7263528327941895</v>
      </c>
      <c r="S100" s="14">
        <f t="shared" ca="1" si="22"/>
        <v>28.716233993530278</v>
      </c>
      <c r="T100" s="19">
        <f t="shared" ca="1" si="24"/>
        <v>3.636798679428601E-2</v>
      </c>
      <c r="U100" s="14"/>
      <c r="V100" s="15">
        <f t="shared" ca="1" si="23"/>
        <v>1.083766</v>
      </c>
      <c r="W100" s="14"/>
      <c r="X100" s="2"/>
    </row>
    <row r="101" spans="8:24" x14ac:dyDescent="0.25">
      <c r="H101" s="14">
        <v>29.9</v>
      </c>
      <c r="I101" s="17">
        <v>0.73223229559510361</v>
      </c>
      <c r="J101" s="15">
        <f t="shared" si="14"/>
        <v>-1.6799999999999999E-4</v>
      </c>
      <c r="K101" s="30">
        <f t="shared" si="15"/>
        <v>5.0000000000000002E-5</v>
      </c>
      <c r="L101" s="15">
        <f t="shared" si="16"/>
        <v>1.5200000000000001E-3</v>
      </c>
      <c r="M101" s="10">
        <f t="shared" si="17"/>
        <v>0.73357323875801572</v>
      </c>
      <c r="N101" s="18">
        <f t="shared" si="18"/>
        <v>1.8313084126155531E-3</v>
      </c>
      <c r="O101" s="14">
        <f t="shared" si="19"/>
        <v>3913.6837999999998</v>
      </c>
      <c r="P101" s="14">
        <f t="shared" ca="1" si="25"/>
        <v>3912</v>
      </c>
      <c r="Q101" s="14" t="str">
        <f t="shared" ca="1" si="20"/>
        <v>0000111101001000</v>
      </c>
      <c r="R101" s="14">
        <f t="shared" ca="1" si="21"/>
        <v>0.73347761535644529</v>
      </c>
      <c r="S101" s="14">
        <f t="shared" ca="1" si="22"/>
        <v>28.801731384277346</v>
      </c>
      <c r="T101" s="19">
        <f t="shared" ca="1" si="24"/>
        <v>3.6731391830189045E-2</v>
      </c>
      <c r="U101" s="14"/>
      <c r="V101" s="15">
        <f t="shared" ca="1" si="23"/>
        <v>1.0982689999999999</v>
      </c>
      <c r="W101" s="14"/>
      <c r="X101" s="2"/>
    </row>
    <row r="102" spans="8:24" x14ac:dyDescent="0.25">
      <c r="H102" s="14">
        <v>30</v>
      </c>
      <c r="I102" s="17">
        <v>0.74059101875731626</v>
      </c>
      <c r="J102" s="15">
        <f t="shared" si="14"/>
        <v>-1.6799999999999999E-4</v>
      </c>
      <c r="K102" s="30">
        <f t="shared" si="15"/>
        <v>5.0000000000000002E-5</v>
      </c>
      <c r="L102" s="15">
        <f t="shared" si="16"/>
        <v>1.5499999999999999E-3</v>
      </c>
      <c r="M102" s="10">
        <f t="shared" si="17"/>
        <v>0.74196697767270892</v>
      </c>
      <c r="N102" s="18">
        <f t="shared" si="18"/>
        <v>1.8579200672747397E-3</v>
      </c>
      <c r="O102" s="14">
        <f t="shared" si="19"/>
        <v>3958.4652000000001</v>
      </c>
      <c r="P102" s="14">
        <f t="shared" ca="1" si="25"/>
        <v>3957</v>
      </c>
      <c r="Q102" s="14" t="str">
        <f t="shared" ca="1" si="20"/>
        <v>0000111101110101</v>
      </c>
      <c r="R102" s="14">
        <f t="shared" ca="1" si="21"/>
        <v>0.74191485786437994</v>
      </c>
      <c r="S102" s="14">
        <f t="shared" ca="1" si="22"/>
        <v>28.902978294372563</v>
      </c>
      <c r="T102" s="19">
        <f t="shared" ca="1" si="24"/>
        <v>3.656739018758124E-2</v>
      </c>
      <c r="U102" s="14"/>
      <c r="V102" s="15">
        <f t="shared" ca="1" si="23"/>
        <v>1.0970219999999999</v>
      </c>
      <c r="W102" s="14"/>
      <c r="X102" s="2"/>
    </row>
    <row r="103" spans="8:24" x14ac:dyDescent="0.25">
      <c r="H103" s="14">
        <v>30.1</v>
      </c>
      <c r="I103" s="17">
        <v>0.74808982272386637</v>
      </c>
      <c r="J103" s="15">
        <f t="shared" si="14"/>
        <v>-1.6699999999999999E-4</v>
      </c>
      <c r="K103" s="30">
        <f t="shared" si="15"/>
        <v>5.1E-5</v>
      </c>
      <c r="L103" s="15">
        <f t="shared" si="16"/>
        <v>1.5809999999999999E-3</v>
      </c>
      <c r="M103" s="10">
        <f t="shared" si="17"/>
        <v>0.74949969003581307</v>
      </c>
      <c r="N103" s="18">
        <f t="shared" si="18"/>
        <v>1.8846230347222724E-3</v>
      </c>
      <c r="O103" s="14">
        <f t="shared" si="19"/>
        <v>3998.6529</v>
      </c>
      <c r="P103" s="14">
        <f t="shared" ca="1" si="25"/>
        <v>4000</v>
      </c>
      <c r="Q103" s="14" t="str">
        <f t="shared" ca="1" si="20"/>
        <v>0000111110100000</v>
      </c>
      <c r="R103" s="14">
        <f t="shared" ca="1" si="21"/>
        <v>0.74997711181640625</v>
      </c>
      <c r="S103" s="14">
        <f t="shared" ca="1" si="22"/>
        <v>28.999725341796879</v>
      </c>
      <c r="T103" s="19">
        <f t="shared" ca="1" si="24"/>
        <v>3.6553975355585473E-2</v>
      </c>
      <c r="U103" s="14"/>
      <c r="V103" s="15">
        <f t="shared" ca="1" si="23"/>
        <v>1.1002749999999999</v>
      </c>
      <c r="W103" s="14"/>
      <c r="X103" s="2"/>
    </row>
    <row r="104" spans="8:24" x14ac:dyDescent="0.25">
      <c r="H104" s="14">
        <v>30.200000000000003</v>
      </c>
      <c r="I104" s="17">
        <v>0.75561629312041301</v>
      </c>
      <c r="J104" s="15">
        <f t="shared" si="14"/>
        <v>-1.66E-4</v>
      </c>
      <c r="K104" s="30">
        <f t="shared" si="15"/>
        <v>5.1E-5</v>
      </c>
      <c r="L104" s="15">
        <f t="shared" si="16"/>
        <v>1.611E-3</v>
      </c>
      <c r="M104" s="10">
        <f t="shared" si="17"/>
        <v>0.75705982305735842</v>
      </c>
      <c r="N104" s="18">
        <f t="shared" si="18"/>
        <v>1.9104007551030561E-3</v>
      </c>
      <c r="O104" s="14">
        <f t="shared" si="19"/>
        <v>4038.9868999999999</v>
      </c>
      <c r="P104" s="14">
        <f t="shared" ca="1" si="25"/>
        <v>4039</v>
      </c>
      <c r="Q104" s="14" t="str">
        <f t="shared" ca="1" si="20"/>
        <v>0000111111000111</v>
      </c>
      <c r="R104" s="14">
        <f t="shared" ca="1" si="21"/>
        <v>0.75728938865661621</v>
      </c>
      <c r="S104" s="14">
        <f t="shared" ca="1" si="22"/>
        <v>29.087472663879396</v>
      </c>
      <c r="T104" s="19">
        <f t="shared" ca="1" si="24"/>
        <v>3.6838653513927379E-2</v>
      </c>
      <c r="U104" s="14"/>
      <c r="V104" s="15">
        <f t="shared" ca="1" si="23"/>
        <v>1.112527</v>
      </c>
      <c r="W104" s="14"/>
      <c r="X104" s="2"/>
    </row>
    <row r="105" spans="8:24" x14ac:dyDescent="0.25">
      <c r="H105" s="14">
        <v>30.3</v>
      </c>
      <c r="I105" s="17">
        <v>0.76405416003487836</v>
      </c>
      <c r="J105" s="15">
        <f t="shared" si="14"/>
        <v>-1.66E-4</v>
      </c>
      <c r="K105" s="30">
        <f t="shared" si="15"/>
        <v>5.1999999999999997E-5</v>
      </c>
      <c r="L105" s="15">
        <f t="shared" si="16"/>
        <v>1.642E-3</v>
      </c>
      <c r="M105" s="10">
        <f t="shared" si="17"/>
        <v>0.76553507338938376</v>
      </c>
      <c r="N105" s="18">
        <f t="shared" si="18"/>
        <v>1.9382308636835318E-3</v>
      </c>
      <c r="O105" s="14">
        <f t="shared" si="19"/>
        <v>4084.2031999999999</v>
      </c>
      <c r="P105" s="14">
        <f t="shared" ca="1" si="25"/>
        <v>4088</v>
      </c>
      <c r="Q105" s="14" t="str">
        <f t="shared" ca="1" si="20"/>
        <v>0000111111111000</v>
      </c>
      <c r="R105" s="14">
        <f t="shared" ca="1" si="21"/>
        <v>0.76647660827636721</v>
      </c>
      <c r="S105" s="14">
        <f t="shared" ca="1" si="22"/>
        <v>29.197719299316407</v>
      </c>
      <c r="T105" s="19">
        <f t="shared" ca="1" si="24"/>
        <v>3.6378901012659844E-2</v>
      </c>
      <c r="U105" s="14"/>
      <c r="V105" s="15">
        <f t="shared" ca="1" si="23"/>
        <v>1.1022810000000001</v>
      </c>
      <c r="W105" s="14"/>
      <c r="X105" s="2"/>
    </row>
    <row r="106" spans="8:24" x14ac:dyDescent="0.25">
      <c r="H106" s="14">
        <v>30.4</v>
      </c>
      <c r="I106" s="17">
        <v>0.77163485353713046</v>
      </c>
      <c r="J106" s="15">
        <f t="shared" si="14"/>
        <v>-1.65E-4</v>
      </c>
      <c r="K106" s="30">
        <f t="shared" si="15"/>
        <v>5.1999999999999997E-5</v>
      </c>
      <c r="L106" s="15">
        <f t="shared" si="16"/>
        <v>1.6720000000000001E-3</v>
      </c>
      <c r="M106" s="10">
        <f t="shared" si="17"/>
        <v>0.77315046413716781</v>
      </c>
      <c r="N106" s="18">
        <f t="shared" si="18"/>
        <v>1.9641551869901686E-3</v>
      </c>
      <c r="O106" s="14">
        <f t="shared" si="19"/>
        <v>4124.8320999999996</v>
      </c>
      <c r="P106" s="14">
        <f t="shared" ca="1" si="25"/>
        <v>4128</v>
      </c>
      <c r="Q106" s="14" t="str">
        <f t="shared" ca="1" si="20"/>
        <v>0001000000100000</v>
      </c>
      <c r="R106" s="14">
        <f t="shared" ca="1" si="21"/>
        <v>0.77397637939453123</v>
      </c>
      <c r="S106" s="14">
        <f t="shared" ca="1" si="22"/>
        <v>29.287716552734377</v>
      </c>
      <c r="T106" s="19">
        <f t="shared" ca="1" si="24"/>
        <v>3.6588271291632293E-2</v>
      </c>
      <c r="U106" s="14"/>
      <c r="V106" s="15">
        <f t="shared" ca="1" si="23"/>
        <v>1.1122829999999999</v>
      </c>
      <c r="W106" s="14"/>
      <c r="X106" s="2"/>
    </row>
    <row r="107" spans="8:24" x14ac:dyDescent="0.25">
      <c r="H107" s="14">
        <v>30.5</v>
      </c>
      <c r="I107" s="17">
        <v>0.77924306938172661</v>
      </c>
      <c r="J107" s="15">
        <f t="shared" si="14"/>
        <v>-1.65E-4</v>
      </c>
      <c r="K107" s="30">
        <f t="shared" si="15"/>
        <v>5.3000000000000001E-5</v>
      </c>
      <c r="L107" s="15">
        <f t="shared" si="16"/>
        <v>1.7030000000000001E-3</v>
      </c>
      <c r="M107" s="10">
        <f t="shared" si="17"/>
        <v>0.7807956656262881</v>
      </c>
      <c r="N107" s="18">
        <f t="shared" si="18"/>
        <v>1.992441518656525E-3</v>
      </c>
      <c r="O107" s="14">
        <f t="shared" si="19"/>
        <v>4165.6198999999997</v>
      </c>
      <c r="P107" s="14">
        <f t="shared" ca="1" si="25"/>
        <v>4166</v>
      </c>
      <c r="Q107" s="14" t="str">
        <f t="shared" ca="1" si="20"/>
        <v>0001000001000110</v>
      </c>
      <c r="R107" s="14">
        <f t="shared" ca="1" si="21"/>
        <v>0.78110116195678714</v>
      </c>
      <c r="S107" s="14">
        <f t="shared" ca="1" si="22"/>
        <v>29.373213943481449</v>
      </c>
      <c r="T107" s="19">
        <f t="shared" ca="1" si="24"/>
        <v>3.6943805131755762E-2</v>
      </c>
      <c r="U107" s="14"/>
      <c r="V107" s="15">
        <f t="shared" ca="1" si="23"/>
        <v>1.1267860000000001</v>
      </c>
      <c r="W107" s="14"/>
      <c r="X107" s="2"/>
    </row>
    <row r="108" spans="8:24" x14ac:dyDescent="0.25">
      <c r="H108" s="14">
        <v>30.6</v>
      </c>
      <c r="I108" s="17">
        <v>0.78775963120027137</v>
      </c>
      <c r="J108" s="15">
        <f t="shared" si="14"/>
        <v>-1.64E-4</v>
      </c>
      <c r="K108" s="30">
        <f t="shared" si="15"/>
        <v>5.3000000000000001E-5</v>
      </c>
      <c r="L108" s="15">
        <f t="shared" si="16"/>
        <v>1.7329999999999999E-3</v>
      </c>
      <c r="M108" s="10">
        <f t="shared" si="17"/>
        <v>0.78934947332354111</v>
      </c>
      <c r="N108" s="18">
        <f t="shared" si="18"/>
        <v>2.018181765480125E-3</v>
      </c>
      <c r="O108" s="14">
        <f t="shared" si="19"/>
        <v>4211.2552999999998</v>
      </c>
      <c r="P108" s="14">
        <f t="shared" ca="1" si="25"/>
        <v>4210</v>
      </c>
      <c r="Q108" s="14" t="str">
        <f t="shared" ca="1" si="20"/>
        <v>0001000001110010</v>
      </c>
      <c r="R108" s="14">
        <f t="shared" ca="1" si="21"/>
        <v>0.78935091018676762</v>
      </c>
      <c r="S108" s="14">
        <f t="shared" ca="1" si="22"/>
        <v>29.472210922241214</v>
      </c>
      <c r="T108" s="19">
        <f t="shared" ca="1" si="24"/>
        <v>3.6855852214339471E-2</v>
      </c>
      <c r="U108" s="14"/>
      <c r="V108" s="15">
        <f t="shared" ca="1" si="23"/>
        <v>1.1277889999999999</v>
      </c>
      <c r="W108" s="14"/>
      <c r="X108" s="2"/>
    </row>
    <row r="109" spans="8:24" x14ac:dyDescent="0.25">
      <c r="H109" s="14">
        <v>30.700000000000003</v>
      </c>
      <c r="I109" s="17">
        <v>0.79542177374086231</v>
      </c>
      <c r="J109" s="15">
        <f t="shared" si="14"/>
        <v>-1.63E-4</v>
      </c>
      <c r="K109" s="30">
        <f t="shared" si="15"/>
        <v>5.3999999999999998E-5</v>
      </c>
      <c r="L109" s="15">
        <f t="shared" si="16"/>
        <v>1.7639999999999999E-3</v>
      </c>
      <c r="M109" s="10">
        <f t="shared" si="17"/>
        <v>0.79704866527440643</v>
      </c>
      <c r="N109" s="18">
        <f t="shared" si="18"/>
        <v>2.0453193352915886E-3</v>
      </c>
      <c r="O109" s="14">
        <f t="shared" si="19"/>
        <v>4252.3312999999998</v>
      </c>
      <c r="P109" s="14">
        <f t="shared" ca="1" si="25"/>
        <v>4257</v>
      </c>
      <c r="Q109" s="14" t="str">
        <f t="shared" ca="1" si="20"/>
        <v>0001000010100001</v>
      </c>
      <c r="R109" s="14">
        <f t="shared" ca="1" si="21"/>
        <v>0.79816314125061039</v>
      </c>
      <c r="S109" s="14">
        <f t="shared" ca="1" si="22"/>
        <v>29.577957695007324</v>
      </c>
      <c r="T109" s="19">
        <f t="shared" ca="1" si="24"/>
        <v>3.6548609283149139E-2</v>
      </c>
      <c r="U109" s="14"/>
      <c r="V109" s="15">
        <f t="shared" ca="1" si="23"/>
        <v>1.122042</v>
      </c>
      <c r="W109" s="14"/>
      <c r="X109" s="2"/>
    </row>
    <row r="110" spans="8:24" x14ac:dyDescent="0.25">
      <c r="H110" s="14">
        <v>30.8</v>
      </c>
      <c r="I110" s="17">
        <v>0.80399021907383783</v>
      </c>
      <c r="J110" s="15">
        <f t="shared" si="14"/>
        <v>-1.63E-4</v>
      </c>
      <c r="K110" s="30">
        <f t="shared" si="15"/>
        <v>5.3999999999999998E-5</v>
      </c>
      <c r="L110" s="15">
        <f t="shared" si="16"/>
        <v>1.794E-3</v>
      </c>
      <c r="M110" s="10">
        <f t="shared" si="17"/>
        <v>0.80565646271595026</v>
      </c>
      <c r="N110" s="18">
        <f t="shared" si="18"/>
        <v>2.0724675531897285E-3</v>
      </c>
      <c r="O110" s="14">
        <f t="shared" si="19"/>
        <v>4298.2547000000004</v>
      </c>
      <c r="P110" s="14">
        <f t="shared" ca="1" si="25"/>
        <v>4302</v>
      </c>
      <c r="Q110" s="14" t="str">
        <f t="shared" ca="1" si="20"/>
        <v>0001000011001110</v>
      </c>
      <c r="R110" s="14">
        <f t="shared" ca="1" si="21"/>
        <v>0.80660038375854493</v>
      </c>
      <c r="S110" s="14">
        <f t="shared" ca="1" si="22"/>
        <v>29.679204605102537</v>
      </c>
      <c r="T110" s="19">
        <f t="shared" ca="1" si="24"/>
        <v>3.6389460873294262E-2</v>
      </c>
      <c r="U110" s="14"/>
      <c r="V110" s="15">
        <f t="shared" ca="1" si="23"/>
        <v>1.120795</v>
      </c>
      <c r="W110" s="14"/>
      <c r="X110" s="2"/>
    </row>
    <row r="111" spans="8:24" x14ac:dyDescent="0.25">
      <c r="H111" s="14">
        <v>30.9</v>
      </c>
      <c r="I111" s="17">
        <v>0.81170608454510429</v>
      </c>
      <c r="J111" s="15">
        <f t="shared" si="14"/>
        <v>-1.6200000000000001E-4</v>
      </c>
      <c r="K111" s="30">
        <f t="shared" si="15"/>
        <v>5.5000000000000002E-5</v>
      </c>
      <c r="L111" s="15">
        <f t="shared" si="16"/>
        <v>1.825E-3</v>
      </c>
      <c r="M111" s="10">
        <f t="shared" si="17"/>
        <v>0.81341045277141211</v>
      </c>
      <c r="N111" s="18">
        <f t="shared" si="18"/>
        <v>2.0997356786637594E-3</v>
      </c>
      <c r="O111" s="14">
        <f t="shared" si="19"/>
        <v>4339.6229999999996</v>
      </c>
      <c r="P111" s="14">
        <f t="shared" ca="1" si="25"/>
        <v>4341</v>
      </c>
      <c r="Q111" s="14" t="str">
        <f t="shared" ca="1" si="20"/>
        <v>0001000011110101</v>
      </c>
      <c r="R111" s="14">
        <f t="shared" ca="1" si="21"/>
        <v>0.81391266059875489</v>
      </c>
      <c r="S111" s="14">
        <f t="shared" ca="1" si="22"/>
        <v>29.766951927185058</v>
      </c>
      <c r="T111" s="19">
        <f t="shared" ca="1" si="24"/>
        <v>3.6668222421195482E-2</v>
      </c>
      <c r="U111" s="14"/>
      <c r="V111" s="15">
        <f t="shared" ca="1" si="23"/>
        <v>1.1330480000000001</v>
      </c>
      <c r="W111" s="14"/>
      <c r="X111" s="2"/>
    </row>
    <row r="112" spans="8:24" x14ac:dyDescent="0.25">
      <c r="H112" s="14">
        <v>31</v>
      </c>
      <c r="I112" s="17">
        <v>0.82032620185833582</v>
      </c>
      <c r="J112" s="15">
        <f t="shared" si="14"/>
        <v>-1.6200000000000001E-4</v>
      </c>
      <c r="K112" s="30">
        <f t="shared" si="15"/>
        <v>5.5000000000000002E-5</v>
      </c>
      <c r="L112" s="15">
        <f t="shared" si="16"/>
        <v>1.8550000000000001E-3</v>
      </c>
      <c r="M112" s="10">
        <f t="shared" si="17"/>
        <v>0.82207103604019038</v>
      </c>
      <c r="N112" s="18">
        <f t="shared" si="18"/>
        <v>2.127000427271345E-3</v>
      </c>
      <c r="O112" s="14">
        <f t="shared" si="19"/>
        <v>4385.8280000000004</v>
      </c>
      <c r="P112" s="14">
        <f t="shared" ca="1" si="25"/>
        <v>4390</v>
      </c>
      <c r="Q112" s="14" t="str">
        <f t="shared" ca="1" si="20"/>
        <v>0001000100100110</v>
      </c>
      <c r="R112" s="14">
        <f t="shared" ca="1" si="21"/>
        <v>0.82309988021850589</v>
      </c>
      <c r="S112" s="14">
        <f t="shared" ca="1" si="22"/>
        <v>29.877198562622073</v>
      </c>
      <c r="T112" s="19">
        <f t="shared" ca="1" si="24"/>
        <v>3.621940120573957E-2</v>
      </c>
      <c r="U112" s="14"/>
      <c r="V112" s="15">
        <f t="shared" ca="1" si="23"/>
        <v>1.1228009999999999</v>
      </c>
      <c r="W112" s="14"/>
      <c r="X112" s="2"/>
    </row>
    <row r="113" spans="8:24" x14ac:dyDescent="0.25">
      <c r="H113" s="14">
        <v>31.1</v>
      </c>
      <c r="I113" s="17">
        <v>0.82809558250869664</v>
      </c>
      <c r="J113" s="15">
        <f t="shared" si="14"/>
        <v>-1.6100000000000001E-4</v>
      </c>
      <c r="K113" s="30">
        <f t="shared" si="15"/>
        <v>5.5999999999999999E-5</v>
      </c>
      <c r="L113" s="15">
        <f t="shared" si="16"/>
        <v>1.8860000000000001E-3</v>
      </c>
      <c r="M113" s="10">
        <f t="shared" si="17"/>
        <v>0.8298796260955128</v>
      </c>
      <c r="N113" s="18">
        <f t="shared" si="18"/>
        <v>2.1543933146116355E-3</v>
      </c>
      <c r="O113" s="14">
        <f t="shared" si="19"/>
        <v>4427.4876000000004</v>
      </c>
      <c r="P113" s="14">
        <f t="shared" ca="1" si="25"/>
        <v>4430</v>
      </c>
      <c r="Q113" s="14" t="str">
        <f t="shared" ca="1" si="20"/>
        <v>0001000101001110</v>
      </c>
      <c r="R113" s="14">
        <f t="shared" ca="1" si="21"/>
        <v>0.83059965133666991</v>
      </c>
      <c r="S113" s="14">
        <f t="shared" ca="1" si="22"/>
        <v>29.967195816040043</v>
      </c>
      <c r="T113" s="19">
        <f t="shared" ca="1" si="24"/>
        <v>3.6424571831509919E-2</v>
      </c>
      <c r="U113" s="14"/>
      <c r="V113" s="15">
        <f t="shared" ca="1" si="23"/>
        <v>1.1328039999999999</v>
      </c>
      <c r="W113" s="14"/>
      <c r="X113" s="2"/>
    </row>
    <row r="114" spans="8:24" x14ac:dyDescent="0.25">
      <c r="H114" s="14">
        <v>31.200000000000003</v>
      </c>
      <c r="I114" s="17">
        <v>0.83589213069428647</v>
      </c>
      <c r="J114" s="15">
        <f t="shared" si="14"/>
        <v>-1.6100000000000001E-4</v>
      </c>
      <c r="K114" s="30">
        <f t="shared" si="15"/>
        <v>5.5999999999999999E-5</v>
      </c>
      <c r="L114" s="15">
        <f t="shared" si="16"/>
        <v>1.916E-3</v>
      </c>
      <c r="M114" s="10">
        <f t="shared" si="17"/>
        <v>0.83771608358243044</v>
      </c>
      <c r="N114" s="18">
        <f t="shared" si="18"/>
        <v>2.1820433775695453E-3</v>
      </c>
      <c r="O114" s="14">
        <f t="shared" si="19"/>
        <v>4469.2959000000001</v>
      </c>
      <c r="P114" s="14">
        <f t="shared" ca="1" si="25"/>
        <v>4473</v>
      </c>
      <c r="Q114" s="14" t="str">
        <f t="shared" ca="1" si="20"/>
        <v>0001000101111001</v>
      </c>
      <c r="R114" s="14">
        <f t="shared" ca="1" si="21"/>
        <v>0.83866190528869633</v>
      </c>
      <c r="S114" s="14">
        <f t="shared" ca="1" si="22"/>
        <v>30.063942863464359</v>
      </c>
      <c r="T114" s="19">
        <f t="shared" ca="1" si="24"/>
        <v>3.6412087709475773E-2</v>
      </c>
      <c r="U114" s="14"/>
      <c r="V114" s="15">
        <f t="shared" ca="1" si="23"/>
        <v>1.1360570000000001</v>
      </c>
      <c r="W114" s="14"/>
      <c r="X114" s="2"/>
    </row>
    <row r="115" spans="8:24" x14ac:dyDescent="0.25">
      <c r="H115" s="14">
        <v>31.3</v>
      </c>
      <c r="I115" s="17">
        <v>0.84458984034423867</v>
      </c>
      <c r="J115" s="15">
        <f t="shared" si="14"/>
        <v>-1.6000000000000001E-4</v>
      </c>
      <c r="K115" s="30">
        <f t="shared" si="15"/>
        <v>5.7000000000000003E-5</v>
      </c>
      <c r="L115" s="15">
        <f t="shared" si="16"/>
        <v>1.9469999999999999E-3</v>
      </c>
      <c r="M115" s="10">
        <f t="shared" si="17"/>
        <v>0.84645577681569895</v>
      </c>
      <c r="N115" s="18">
        <f t="shared" si="18"/>
        <v>2.2092812183245681E-3</v>
      </c>
      <c r="O115" s="14">
        <f t="shared" si="19"/>
        <v>4515.9229999999998</v>
      </c>
      <c r="P115" s="14">
        <f t="shared" ca="1" si="25"/>
        <v>4517</v>
      </c>
      <c r="Q115" s="14" t="str">
        <f t="shared" ca="1" si="20"/>
        <v>0001000110100101</v>
      </c>
      <c r="R115" s="14">
        <f t="shared" ca="1" si="21"/>
        <v>0.84691165351867681</v>
      </c>
      <c r="S115" s="14">
        <f t="shared" ca="1" si="22"/>
        <v>30.162939842224123</v>
      </c>
      <c r="T115" s="19">
        <f t="shared" ca="1" si="24"/>
        <v>3.6327800567919413E-2</v>
      </c>
      <c r="U115" s="14"/>
      <c r="V115" s="15">
        <f t="shared" ca="1" si="23"/>
        <v>1.13706</v>
      </c>
      <c r="W115" s="14"/>
      <c r="X115" s="2"/>
    </row>
    <row r="116" spans="8:24" x14ac:dyDescent="0.25">
      <c r="H116" s="14">
        <v>31.4</v>
      </c>
      <c r="I116" s="17">
        <v>0.8524395855056488</v>
      </c>
      <c r="J116" s="15">
        <f t="shared" si="14"/>
        <v>-1.5899999999999999E-4</v>
      </c>
      <c r="K116" s="30">
        <f t="shared" si="15"/>
        <v>5.7000000000000003E-5</v>
      </c>
      <c r="L116" s="15">
        <f t="shared" si="16"/>
        <v>1.977E-3</v>
      </c>
      <c r="M116" s="10">
        <f t="shared" si="17"/>
        <v>0.85434551191670816</v>
      </c>
      <c r="N116" s="18">
        <f t="shared" si="18"/>
        <v>2.2358492536791344E-3</v>
      </c>
      <c r="O116" s="14">
        <f t="shared" si="19"/>
        <v>4558.0154000000002</v>
      </c>
      <c r="P116" s="14">
        <f t="shared" ca="1" si="25"/>
        <v>4558</v>
      </c>
      <c r="Q116" s="14" t="str">
        <f t="shared" ca="1" si="20"/>
        <v>0001000111001110</v>
      </c>
      <c r="R116" s="14">
        <f t="shared" ca="1" si="21"/>
        <v>0.85459891891479489</v>
      </c>
      <c r="S116" s="14">
        <f t="shared" ca="1" si="22"/>
        <v>30.255187026977541</v>
      </c>
      <c r="T116" s="19">
        <f t="shared" ca="1" si="24"/>
        <v>3.6459011879696093E-2</v>
      </c>
      <c r="U116" s="14"/>
      <c r="V116" s="15">
        <f t="shared" ca="1" si="23"/>
        <v>1.1448130000000001</v>
      </c>
      <c r="W116" s="14"/>
      <c r="X116" s="2"/>
    </row>
    <row r="117" spans="8:24" x14ac:dyDescent="0.25">
      <c r="H117" s="14">
        <v>31.5</v>
      </c>
      <c r="I117" s="17">
        <v>0.86031633918793504</v>
      </c>
      <c r="J117" s="15">
        <f t="shared" si="14"/>
        <v>-1.5899999999999999E-4</v>
      </c>
      <c r="K117" s="30">
        <f t="shared" si="15"/>
        <v>5.8E-5</v>
      </c>
      <c r="L117" s="15">
        <f t="shared" si="16"/>
        <v>2.0079999999999998E-3</v>
      </c>
      <c r="M117" s="10">
        <f t="shared" si="17"/>
        <v>0.86226465014141906</v>
      </c>
      <c r="N117" s="18">
        <f t="shared" si="18"/>
        <v>2.2646448343908721E-3</v>
      </c>
      <c r="O117" s="14">
        <f t="shared" si="19"/>
        <v>4600.2647999999999</v>
      </c>
      <c r="P117" s="14">
        <f t="shared" ca="1" si="25"/>
        <v>4601</v>
      </c>
      <c r="Q117" s="14" t="str">
        <f t="shared" ca="1" si="20"/>
        <v>0001000111111001</v>
      </c>
      <c r="R117" s="14">
        <f t="shared" ca="1" si="21"/>
        <v>0.86266117286682131</v>
      </c>
      <c r="S117" s="14">
        <f t="shared" ca="1" si="22"/>
        <v>30.351934074401857</v>
      </c>
      <c r="T117" s="19">
        <f t="shared" ca="1" si="24"/>
        <v>3.6446537320575963E-2</v>
      </c>
      <c r="U117" s="14"/>
      <c r="V117" s="15">
        <f t="shared" ca="1" si="23"/>
        <v>1.148066</v>
      </c>
      <c r="W117" s="14"/>
      <c r="X117" s="2"/>
    </row>
    <row r="118" spans="8:24" x14ac:dyDescent="0.25">
      <c r="H118" s="14">
        <v>31.6</v>
      </c>
      <c r="I118" s="17">
        <v>0.86996224843285996</v>
      </c>
      <c r="J118" s="15">
        <f t="shared" si="14"/>
        <v>-1.5799999999999999E-4</v>
      </c>
      <c r="K118" s="30">
        <f t="shared" si="15"/>
        <v>5.8E-5</v>
      </c>
      <c r="L118" s="15">
        <f t="shared" si="16"/>
        <v>2.0379999999999999E-3</v>
      </c>
      <c r="M118" s="10">
        <f t="shared" si="17"/>
        <v>0.87195517487525576</v>
      </c>
      <c r="N118" s="18">
        <f t="shared" si="18"/>
        <v>2.2908194533565423E-3</v>
      </c>
      <c r="O118" s="14">
        <f t="shared" si="19"/>
        <v>4651.9647000000004</v>
      </c>
      <c r="P118" s="14">
        <f t="shared" ca="1" si="25"/>
        <v>4651</v>
      </c>
      <c r="Q118" s="14" t="str">
        <f t="shared" ca="1" si="20"/>
        <v>0001001000101011</v>
      </c>
      <c r="R118" s="14">
        <f t="shared" ca="1" si="21"/>
        <v>0.87203588676452637</v>
      </c>
      <c r="S118" s="14">
        <f t="shared" ca="1" si="22"/>
        <v>30.464430641174317</v>
      </c>
      <c r="T118" s="19">
        <f t="shared" ca="1" si="24"/>
        <v>3.5935739203344433E-2</v>
      </c>
      <c r="U118" s="14"/>
      <c r="V118" s="15">
        <f t="shared" ca="1" si="23"/>
        <v>1.1355690000000001</v>
      </c>
      <c r="W118" s="14"/>
      <c r="X118" s="2"/>
    </row>
    <row r="119" spans="8:24" x14ac:dyDescent="0.25">
      <c r="H119" s="14">
        <v>31.700000000000003</v>
      </c>
      <c r="I119" s="17">
        <v>0.87789088624060807</v>
      </c>
      <c r="J119" s="15">
        <f t="shared" si="14"/>
        <v>-1.5799999999999999E-4</v>
      </c>
      <c r="K119" s="30">
        <f t="shared" si="15"/>
        <v>5.8999999999999998E-5</v>
      </c>
      <c r="L119" s="15">
        <f t="shared" si="16"/>
        <v>2.0690000000000001E-3</v>
      </c>
      <c r="M119" s="10">
        <f t="shared" si="17"/>
        <v>0.87992733589657812</v>
      </c>
      <c r="N119" s="18">
        <f t="shared" si="18"/>
        <v>2.3197070249706539E-3</v>
      </c>
      <c r="O119" s="14">
        <f t="shared" si="19"/>
        <v>4694.4969000000001</v>
      </c>
      <c r="P119" s="14">
        <f t="shared" ca="1" si="25"/>
        <v>4697</v>
      </c>
      <c r="Q119" s="14" t="str">
        <f t="shared" ca="1" si="20"/>
        <v>0001001001011001</v>
      </c>
      <c r="R119" s="14">
        <f t="shared" ca="1" si="21"/>
        <v>0.88066062355041508</v>
      </c>
      <c r="S119" s="14">
        <f t="shared" ca="1" si="22"/>
        <v>30.567927482604979</v>
      </c>
      <c r="T119" s="19">
        <f t="shared" ca="1" si="24"/>
        <v>3.5712066794795695E-2</v>
      </c>
      <c r="U119" s="14"/>
      <c r="V119" s="15">
        <f t="shared" ca="1" si="23"/>
        <v>1.1320730000000001</v>
      </c>
      <c r="W119" s="14"/>
      <c r="X119" s="2"/>
    </row>
    <row r="120" spans="8:24" x14ac:dyDescent="0.25">
      <c r="H120" s="14">
        <v>31.8</v>
      </c>
      <c r="I120" s="17">
        <v>0.88584636744454393</v>
      </c>
      <c r="J120" s="15">
        <f t="shared" si="14"/>
        <v>-1.5699999999999999E-4</v>
      </c>
      <c r="K120" s="30">
        <f t="shared" si="15"/>
        <v>5.8999999999999998E-5</v>
      </c>
      <c r="L120" s="15">
        <f t="shared" si="16"/>
        <v>2.0990000000000002E-3</v>
      </c>
      <c r="M120" s="10">
        <f t="shared" si="17"/>
        <v>0.8879250002781276</v>
      </c>
      <c r="N120" s="18">
        <f t="shared" si="18"/>
        <v>2.3464936020226989E-3</v>
      </c>
      <c r="O120" s="14">
        <f t="shared" si="19"/>
        <v>4737.1652000000004</v>
      </c>
      <c r="P120" s="14">
        <f t="shared" ca="1" si="25"/>
        <v>4739</v>
      </c>
      <c r="Q120" s="14" t="str">
        <f t="shared" ca="1" si="20"/>
        <v>0001001010000011</v>
      </c>
      <c r="R120" s="14">
        <f t="shared" ca="1" si="21"/>
        <v>0.88853538322448733</v>
      </c>
      <c r="S120" s="14">
        <f t="shared" ca="1" si="22"/>
        <v>30.662424598693846</v>
      </c>
      <c r="T120" s="19">
        <f t="shared" ca="1" si="24"/>
        <v>3.5772811361828756E-2</v>
      </c>
      <c r="U120" s="14"/>
      <c r="V120" s="15">
        <f t="shared" ca="1" si="23"/>
        <v>1.137575</v>
      </c>
      <c r="W120" s="14"/>
      <c r="X120" s="2"/>
    </row>
    <row r="121" spans="8:24" x14ac:dyDescent="0.25">
      <c r="H121" s="14">
        <v>31.9</v>
      </c>
      <c r="I121" s="17">
        <v>0.8938286367024495</v>
      </c>
      <c r="J121" s="15">
        <f t="shared" si="14"/>
        <v>-1.5699999999999999E-4</v>
      </c>
      <c r="K121" s="30">
        <f t="shared" si="15"/>
        <v>6.0000000000000002E-5</v>
      </c>
      <c r="L121" s="15">
        <f t="shared" si="16"/>
        <v>2.1299999999999999E-3</v>
      </c>
      <c r="M121" s="10">
        <f t="shared" si="17"/>
        <v>0.89595189068961834</v>
      </c>
      <c r="N121" s="18">
        <f t="shared" si="18"/>
        <v>2.3754597917135848E-3</v>
      </c>
      <c r="O121" s="14">
        <f t="shared" si="19"/>
        <v>4779.9894999999997</v>
      </c>
      <c r="P121" s="14">
        <f t="shared" ca="1" si="25"/>
        <v>4785</v>
      </c>
      <c r="Q121" s="14" t="str">
        <f t="shared" ca="1" si="20"/>
        <v>0001001010110001</v>
      </c>
      <c r="R121" s="14">
        <f t="shared" ca="1" si="21"/>
        <v>0.89716012001037604</v>
      </c>
      <c r="S121" s="14">
        <f t="shared" ca="1" si="22"/>
        <v>30.765921440124515</v>
      </c>
      <c r="T121" s="19">
        <f t="shared" ca="1" si="24"/>
        <v>3.5551052033714219E-2</v>
      </c>
      <c r="U121" s="14"/>
      <c r="V121" s="15">
        <f t="shared" ca="1" si="23"/>
        <v>1.1340790000000001</v>
      </c>
      <c r="W121" s="14"/>
      <c r="X121" s="2"/>
    </row>
    <row r="122" spans="8:24" x14ac:dyDescent="0.25">
      <c r="H122" s="14">
        <v>32</v>
      </c>
      <c r="I122" s="17">
        <v>0.90270479181287655</v>
      </c>
      <c r="J122" s="15">
        <f t="shared" si="14"/>
        <v>-1.56E-4</v>
      </c>
      <c r="K122" s="30">
        <f t="shared" si="15"/>
        <v>6.0000000000000002E-5</v>
      </c>
      <c r="L122" s="15">
        <f t="shared" si="16"/>
        <v>2.16E-3</v>
      </c>
      <c r="M122" s="10">
        <f t="shared" si="17"/>
        <v>0.90487319262895516</v>
      </c>
      <c r="N122" s="18">
        <f t="shared" si="18"/>
        <v>2.4021151053423236E-3</v>
      </c>
      <c r="O122" s="14">
        <f t="shared" si="19"/>
        <v>4827.5855000000001</v>
      </c>
      <c r="P122" s="14">
        <f t="shared" ca="1" si="25"/>
        <v>4832</v>
      </c>
      <c r="Q122" s="14" t="str">
        <f t="shared" ca="1" si="20"/>
        <v>0001001011100000</v>
      </c>
      <c r="R122" s="14">
        <f t="shared" ca="1" si="21"/>
        <v>0.90597235107421881</v>
      </c>
      <c r="S122" s="14">
        <f t="shared" ca="1" si="22"/>
        <v>30.871668212890629</v>
      </c>
      <c r="T122" s="19">
        <f t="shared" ca="1" si="24"/>
        <v>3.5260368347167836E-2</v>
      </c>
      <c r="U122" s="14"/>
      <c r="V122" s="15">
        <f t="shared" ca="1" si="23"/>
        <v>1.1283319999999999</v>
      </c>
      <c r="W122" s="14"/>
      <c r="X122" s="2"/>
    </row>
    <row r="123" spans="8:24" x14ac:dyDescent="0.25">
      <c r="H123" s="14">
        <v>32.1</v>
      </c>
      <c r="I123" s="17">
        <v>0.91073947900725294</v>
      </c>
      <c r="J123" s="15">
        <f t="shared" si="14"/>
        <v>-1.55E-4</v>
      </c>
      <c r="K123" s="30">
        <f t="shared" si="15"/>
        <v>6.0999999999999999E-5</v>
      </c>
      <c r="L123" s="15">
        <f t="shared" si="16"/>
        <v>2.1909999999999998E-3</v>
      </c>
      <c r="M123" s="10">
        <f t="shared" si="17"/>
        <v>0.91295263114408975</v>
      </c>
      <c r="N123" s="18">
        <f t="shared" si="18"/>
        <v>2.4300606132164723E-3</v>
      </c>
      <c r="O123" s="14">
        <f t="shared" si="19"/>
        <v>4870.6900999999998</v>
      </c>
      <c r="P123" s="14">
        <f t="shared" ca="1" si="25"/>
        <v>4875</v>
      </c>
      <c r="Q123" s="14" t="str">
        <f t="shared" ca="1" si="20"/>
        <v>0001001100001011</v>
      </c>
      <c r="R123" s="14">
        <f t="shared" ca="1" si="21"/>
        <v>0.91403460502624512</v>
      </c>
      <c r="S123" s="14">
        <f t="shared" ca="1" si="22"/>
        <v>30.968415260314945</v>
      </c>
      <c r="T123" s="19">
        <f t="shared" ca="1" si="24"/>
        <v>3.5251861049378705E-2</v>
      </c>
      <c r="U123" s="14"/>
      <c r="V123" s="15">
        <f t="shared" ca="1" si="23"/>
        <v>1.1315850000000001</v>
      </c>
      <c r="W123" s="14"/>
      <c r="X123" s="2"/>
    </row>
    <row r="124" spans="8:24" x14ac:dyDescent="0.25">
      <c r="H124" s="14">
        <v>32.200000000000003</v>
      </c>
      <c r="I124" s="17">
        <v>0.91880078467908355</v>
      </c>
      <c r="J124" s="15">
        <f t="shared" si="14"/>
        <v>-1.55E-4</v>
      </c>
      <c r="K124" s="30">
        <f t="shared" si="15"/>
        <v>6.0999999999999999E-5</v>
      </c>
      <c r="L124" s="15">
        <f t="shared" si="16"/>
        <v>2.2209999999999999E-3</v>
      </c>
      <c r="M124" s="10">
        <f t="shared" si="17"/>
        <v>0.92105932862997075</v>
      </c>
      <c r="N124" s="18">
        <f t="shared" si="18"/>
        <v>2.4581432542812452E-3</v>
      </c>
      <c r="O124" s="14">
        <f t="shared" si="19"/>
        <v>4913.9400999999998</v>
      </c>
      <c r="P124" s="14">
        <f t="shared" ca="1" si="25"/>
        <v>4913</v>
      </c>
      <c r="Q124" s="14" t="str">
        <f t="shared" ca="1" si="20"/>
        <v>0001001100110001</v>
      </c>
      <c r="R124" s="14">
        <f t="shared" ca="1" si="21"/>
        <v>0.92115938758850102</v>
      </c>
      <c r="S124" s="14">
        <f t="shared" ca="1" si="22"/>
        <v>31.053912651062014</v>
      </c>
      <c r="T124" s="19">
        <f t="shared" ca="1" si="24"/>
        <v>3.5592774811738795E-2</v>
      </c>
      <c r="U124" s="14"/>
      <c r="V124" s="15">
        <f t="shared" ca="1" si="23"/>
        <v>1.1460870000000001</v>
      </c>
      <c r="W124" s="14"/>
      <c r="X124" s="2"/>
    </row>
    <row r="125" spans="8:24" x14ac:dyDescent="0.25">
      <c r="H125" s="14">
        <v>32.299999999999997</v>
      </c>
      <c r="I125" s="17">
        <v>0.92688865159483547</v>
      </c>
      <c r="J125" s="15">
        <f t="shared" si="14"/>
        <v>-1.54E-4</v>
      </c>
      <c r="K125" s="30">
        <f t="shared" si="15"/>
        <v>6.2000000000000003E-5</v>
      </c>
      <c r="L125" s="15">
        <f t="shared" si="16"/>
        <v>2.2520000000000001E-3</v>
      </c>
      <c r="M125" s="10">
        <f t="shared" si="17"/>
        <v>0.92919306375841948</v>
      </c>
      <c r="N125" s="18">
        <f t="shared" si="18"/>
        <v>2.4861801464706305E-3</v>
      </c>
      <c r="O125" s="14">
        <f t="shared" si="19"/>
        <v>4957.3343000000004</v>
      </c>
      <c r="P125" s="14">
        <f t="shared" ca="1" si="25"/>
        <v>4959</v>
      </c>
      <c r="Q125" s="14" t="str">
        <f t="shared" ca="1" si="20"/>
        <v>0001001101011111</v>
      </c>
      <c r="R125" s="14">
        <f t="shared" ca="1" si="21"/>
        <v>0.92978412437438962</v>
      </c>
      <c r="S125" s="14">
        <f t="shared" ca="1" si="22"/>
        <v>31.157409492492679</v>
      </c>
      <c r="T125" s="19">
        <f t="shared" ca="1" si="24"/>
        <v>3.5374319117873629E-2</v>
      </c>
      <c r="U125" s="14"/>
      <c r="V125" s="15">
        <f t="shared" ca="1" si="23"/>
        <v>1.1425909999999999</v>
      </c>
      <c r="W125" s="14"/>
      <c r="X125" s="2"/>
    </row>
    <row r="126" spans="8:24" x14ac:dyDescent="0.25">
      <c r="H126" s="14">
        <v>32.4</v>
      </c>
      <c r="I126" s="17">
        <v>0.93500302185177786</v>
      </c>
      <c r="J126" s="15">
        <f t="shared" si="14"/>
        <v>-1.54E-4</v>
      </c>
      <c r="K126" s="30">
        <f t="shared" si="15"/>
        <v>6.2000000000000003E-5</v>
      </c>
      <c r="L126" s="15">
        <f t="shared" si="16"/>
        <v>2.2820000000000002E-3</v>
      </c>
      <c r="M126" s="10">
        <f t="shared" si="17"/>
        <v>0.93735393116670029</v>
      </c>
      <c r="N126" s="18">
        <f t="shared" si="18"/>
        <v>2.5143333871439758E-3</v>
      </c>
      <c r="O126" s="14">
        <f t="shared" si="19"/>
        <v>5000.8733000000002</v>
      </c>
      <c r="P126" s="14">
        <f t="shared" ca="1" si="25"/>
        <v>5004</v>
      </c>
      <c r="Q126" s="14" t="str">
        <f t="shared" ca="1" si="20"/>
        <v>0001001110001100</v>
      </c>
      <c r="R126" s="14">
        <f t="shared" ca="1" si="21"/>
        <v>0.93822136688232427</v>
      </c>
      <c r="S126" s="14">
        <f t="shared" ca="1" si="22"/>
        <v>31.258656402587892</v>
      </c>
      <c r="T126" s="19">
        <f t="shared" ca="1" si="24"/>
        <v>3.5226654241114395E-2</v>
      </c>
      <c r="U126" s="14"/>
      <c r="V126" s="15">
        <f t="shared" ca="1" si="23"/>
        <v>1.1413439999999999</v>
      </c>
      <c r="W126" s="14"/>
      <c r="X126" s="2"/>
    </row>
    <row r="127" spans="8:24" x14ac:dyDescent="0.25">
      <c r="H127" s="14">
        <v>32.5</v>
      </c>
      <c r="I127" s="17">
        <v>0.94400602463942607</v>
      </c>
      <c r="J127" s="15">
        <f t="shared" si="14"/>
        <v>-1.5300000000000001E-4</v>
      </c>
      <c r="K127" s="30">
        <f t="shared" si="15"/>
        <v>6.3E-5</v>
      </c>
      <c r="L127" s="15">
        <f t="shared" si="16"/>
        <v>2.313E-3</v>
      </c>
      <c r="M127" s="10">
        <f t="shared" si="17"/>
        <v>0.94640592739549179</v>
      </c>
      <c r="N127" s="18">
        <f t="shared" si="18"/>
        <v>2.5422536439662973E-3</v>
      </c>
      <c r="O127" s="14">
        <f t="shared" si="19"/>
        <v>5049.1665999999996</v>
      </c>
      <c r="P127" s="14">
        <f t="shared" ca="1" si="25"/>
        <v>5052</v>
      </c>
      <c r="Q127" s="14" t="str">
        <f t="shared" ca="1" si="20"/>
        <v>0001001110111100</v>
      </c>
      <c r="R127" s="14">
        <f t="shared" ca="1" si="21"/>
        <v>0.9472210922241211</v>
      </c>
      <c r="S127" s="14">
        <f t="shared" ca="1" si="22"/>
        <v>31.366653106689451</v>
      </c>
      <c r="T127" s="19">
        <f t="shared" ca="1" si="24"/>
        <v>3.4872212101863032E-2</v>
      </c>
      <c r="U127" s="14"/>
      <c r="V127" s="15">
        <f t="shared" ca="1" si="23"/>
        <v>1.1333470000000001</v>
      </c>
      <c r="W127" s="14"/>
      <c r="X127" s="2"/>
    </row>
    <row r="128" spans="8:24" x14ac:dyDescent="0.25">
      <c r="H128" s="14">
        <v>32.6</v>
      </c>
      <c r="I128" s="17">
        <v>0.95217222949896918</v>
      </c>
      <c r="J128" s="15">
        <f t="shared" si="14"/>
        <v>-1.5300000000000001E-4</v>
      </c>
      <c r="K128" s="30">
        <f t="shared" si="15"/>
        <v>6.3E-5</v>
      </c>
      <c r="L128" s="15">
        <f t="shared" si="16"/>
        <v>2.343E-3</v>
      </c>
      <c r="M128" s="10">
        <f t="shared" si="17"/>
        <v>0.95461976772073887</v>
      </c>
      <c r="N128" s="18">
        <f t="shared" si="18"/>
        <v>2.5704784764176269E-3</v>
      </c>
      <c r="O128" s="14">
        <f t="shared" si="19"/>
        <v>5092.9881999999998</v>
      </c>
      <c r="P128" s="14">
        <f t="shared" ca="1" si="25"/>
        <v>5098</v>
      </c>
      <c r="Q128" s="14" t="str">
        <f t="shared" ca="1" si="20"/>
        <v>0001001111101010</v>
      </c>
      <c r="R128" s="14">
        <f t="shared" ca="1" si="21"/>
        <v>0.95584582901000981</v>
      </c>
      <c r="S128" s="14">
        <f t="shared" ca="1" si="22"/>
        <v>31.47014994812012</v>
      </c>
      <c r="T128" s="19">
        <f t="shared" ca="1" si="24"/>
        <v>3.4657977051530092E-2</v>
      </c>
      <c r="U128" s="14"/>
      <c r="V128" s="15">
        <f t="shared" ca="1" si="23"/>
        <v>1.12985</v>
      </c>
      <c r="W128" s="14"/>
      <c r="X128" s="2"/>
    </row>
    <row r="129" spans="8:24" x14ac:dyDescent="0.25">
      <c r="H129" s="14">
        <v>32.700000000000003</v>
      </c>
      <c r="I129" s="17">
        <v>0.95950456892844371</v>
      </c>
      <c r="J129" s="15">
        <f t="shared" si="14"/>
        <v>-1.5200000000000001E-4</v>
      </c>
      <c r="K129" s="30">
        <f t="shared" si="15"/>
        <v>6.3999999999999997E-5</v>
      </c>
      <c r="L129" s="15">
        <f t="shared" si="16"/>
        <v>2.3739999999999998E-3</v>
      </c>
      <c r="M129" s="10">
        <f t="shared" si="17"/>
        <v>0.96199821499885096</v>
      </c>
      <c r="N129" s="18">
        <f t="shared" si="18"/>
        <v>2.598889209242753E-3</v>
      </c>
      <c r="O129" s="14">
        <f t="shared" si="19"/>
        <v>5132.3530000000001</v>
      </c>
      <c r="P129" s="14">
        <f t="shared" ca="1" si="25"/>
        <v>5135</v>
      </c>
      <c r="Q129" s="14" t="str">
        <f t="shared" ca="1" si="20"/>
        <v>0001010000001111</v>
      </c>
      <c r="R129" s="14">
        <f t="shared" ca="1" si="21"/>
        <v>0.96278311729431154</v>
      </c>
      <c r="S129" s="14">
        <f t="shared" ca="1" si="22"/>
        <v>31.553397407531737</v>
      </c>
      <c r="T129" s="19">
        <f t="shared" ca="1" si="24"/>
        <v>3.5064299463861345E-2</v>
      </c>
      <c r="U129" s="14"/>
      <c r="V129" s="15">
        <f t="shared" ca="1" si="23"/>
        <v>1.146603</v>
      </c>
      <c r="W129" s="14"/>
      <c r="X129" s="2"/>
    </row>
    <row r="130" spans="8:24" x14ac:dyDescent="0.25">
      <c r="H130" s="14">
        <v>32.799999999999997</v>
      </c>
      <c r="I130" s="17">
        <v>0.96772436639382187</v>
      </c>
      <c r="J130" s="15">
        <f t="shared" si="14"/>
        <v>-1.5100000000000001E-4</v>
      </c>
      <c r="K130" s="30">
        <f t="shared" si="15"/>
        <v>6.3999999999999997E-5</v>
      </c>
      <c r="L130" s="15">
        <f t="shared" si="16"/>
        <v>2.4039999999999999E-3</v>
      </c>
      <c r="M130" s="10">
        <f t="shared" si="17"/>
        <v>0.97026574581476055</v>
      </c>
      <c r="N130" s="18">
        <f t="shared" si="18"/>
        <v>2.6261397451518252E-3</v>
      </c>
      <c r="O130" s="14">
        <f t="shared" si="19"/>
        <v>5176.4610000000002</v>
      </c>
      <c r="P130" s="14">
        <f t="shared" ca="1" si="25"/>
        <v>5175</v>
      </c>
      <c r="Q130" s="14" t="str">
        <f t="shared" ca="1" si="20"/>
        <v>0001010000110111</v>
      </c>
      <c r="R130" s="14">
        <f t="shared" ca="1" si="21"/>
        <v>0.97028288841247556</v>
      </c>
      <c r="S130" s="14">
        <f t="shared" ca="1" si="22"/>
        <v>31.643394660949706</v>
      </c>
      <c r="T130" s="19">
        <f t="shared" ca="1" si="24"/>
        <v>3.5262357897874727E-2</v>
      </c>
      <c r="U130" s="14"/>
      <c r="V130" s="15">
        <f t="shared" ca="1" si="23"/>
        <v>1.1566050000000001</v>
      </c>
      <c r="W130" s="14"/>
      <c r="X130" s="2"/>
    </row>
    <row r="131" spans="8:24" x14ac:dyDescent="0.25">
      <c r="H131" s="14">
        <v>32.9</v>
      </c>
      <c r="I131" s="17">
        <v>0.97597037099435158</v>
      </c>
      <c r="J131" s="15">
        <f t="shared" ref="J131:J194" si="26">ROUND(H131*0.00000575 -0.00034,6)</f>
        <v>-1.5100000000000001E-4</v>
      </c>
      <c r="K131" s="30">
        <f t="shared" ref="K131:K194" si="27">ROUND(H131*0.000005-0.0001,6)</f>
        <v>6.4999999999999994E-5</v>
      </c>
      <c r="L131" s="15">
        <f t="shared" ref="L131:L194" si="28">ROUND(K131+($C$24*(H131-25)),6)</f>
        <v>2.4350000000000001E-3</v>
      </c>
      <c r="M131" s="10">
        <f t="shared" ref="M131:M194" si="29">(I131-J131)/(1-L131)+$C$26+$D$27</f>
        <v>0.97856202830326999</v>
      </c>
      <c r="N131" s="18">
        <f t="shared" ref="N131:N194" si="30">ABS(I131-M131)/I131</f>
        <v>2.6554672005851447E-3</v>
      </c>
      <c r="O131" s="14">
        <f t="shared" ref="O131:O194" si="31">ROUND((M131*(2^($C$12-1)))/$C$44,4)</f>
        <v>5220.7224999999999</v>
      </c>
      <c r="P131" s="14">
        <f t="shared" ca="1" si="25"/>
        <v>5225</v>
      </c>
      <c r="Q131" s="14" t="str">
        <f t="shared" ref="Q131:Q194" ca="1" si="32">_xlfn.BASE(IF(P131&lt;0, P131+2^($C$12)-1, P131), 2, 16)</f>
        <v>0001010001101001</v>
      </c>
      <c r="R131" s="14">
        <f t="shared" ref="R131:R194" ca="1" si="33">($C$16/2^($C$12-1)) * P131</f>
        <v>0.97965760231018073</v>
      </c>
      <c r="S131" s="14">
        <f t="shared" ref="S131:S194" ca="1" si="34">(R131+5/3)/(1/12)</f>
        <v>31.75589122772217</v>
      </c>
      <c r="T131" s="19">
        <f t="shared" ca="1" si="24"/>
        <v>3.4775342622426396E-2</v>
      </c>
      <c r="U131" s="14"/>
      <c r="V131" s="15">
        <f t="shared" ref="V131:V194" ca="1" si="35">ROUND(ABS(H131-S131),6)</f>
        <v>1.144109</v>
      </c>
      <c r="W131" s="14"/>
      <c r="X131" s="2"/>
    </row>
    <row r="132" spans="8:24" x14ac:dyDescent="0.25">
      <c r="H132" s="14">
        <v>33</v>
      </c>
      <c r="I132" s="17">
        <v>0.98424252299414594</v>
      </c>
      <c r="J132" s="15">
        <f t="shared" si="26"/>
        <v>-1.4999999999999999E-4</v>
      </c>
      <c r="K132" s="30">
        <f t="shared" si="27"/>
        <v>6.4999999999999994E-5</v>
      </c>
      <c r="L132" s="15">
        <f t="shared" si="28"/>
        <v>2.4650000000000002E-3</v>
      </c>
      <c r="M132" s="10">
        <f t="shared" si="29"/>
        <v>0.98688304673434613</v>
      </c>
      <c r="N132" s="18">
        <f t="shared" si="30"/>
        <v>2.6827978658831935E-3</v>
      </c>
      <c r="O132" s="14">
        <f t="shared" si="31"/>
        <v>5265.1158999999998</v>
      </c>
      <c r="P132" s="14">
        <f t="shared" ca="1" si="25"/>
        <v>5266</v>
      </c>
      <c r="Q132" s="14" t="str">
        <f t="shared" ca="1" si="32"/>
        <v>0001010010010010</v>
      </c>
      <c r="R132" s="14">
        <f t="shared" ca="1" si="33"/>
        <v>0.98734486770629881</v>
      </c>
      <c r="S132" s="14">
        <f t="shared" ca="1" si="34"/>
        <v>31.848138412475588</v>
      </c>
      <c r="T132" s="19">
        <f t="shared" ref="T132:T195" ca="1" si="36">ABS(H132-S132)/H132</f>
        <v>3.4904896591648839E-2</v>
      </c>
      <c r="U132" s="14"/>
      <c r="V132" s="15">
        <f t="shared" ca="1" si="35"/>
        <v>1.1518619999999999</v>
      </c>
      <c r="W132" s="14"/>
      <c r="X132" s="2"/>
    </row>
    <row r="133" spans="8:24" x14ac:dyDescent="0.25">
      <c r="H133" s="14">
        <v>33.1</v>
      </c>
      <c r="I133" s="17">
        <v>0.99254076050420348</v>
      </c>
      <c r="J133" s="15">
        <f t="shared" si="26"/>
        <v>-1.4999999999999999E-4</v>
      </c>
      <c r="K133" s="30">
        <f t="shared" si="27"/>
        <v>6.6000000000000005E-5</v>
      </c>
      <c r="L133" s="15">
        <f t="shared" si="28"/>
        <v>2.496E-3</v>
      </c>
      <c r="M133" s="10">
        <f t="shared" si="29"/>
        <v>0.99523271659682921</v>
      </c>
      <c r="N133" s="18">
        <f t="shared" si="30"/>
        <v>2.7121869446029012E-3</v>
      </c>
      <c r="O133" s="14">
        <f t="shared" si="31"/>
        <v>5309.6621999999998</v>
      </c>
      <c r="P133" s="14">
        <f t="shared" ca="1" si="25"/>
        <v>5313</v>
      </c>
      <c r="Q133" s="14" t="str">
        <f t="shared" ca="1" si="32"/>
        <v>0001010011000001</v>
      </c>
      <c r="R133" s="14">
        <f t="shared" ca="1" si="33"/>
        <v>0.99615709877014158</v>
      </c>
      <c r="S133" s="14">
        <f t="shared" ca="1" si="34"/>
        <v>31.953885185241703</v>
      </c>
      <c r="T133" s="19">
        <f t="shared" ca="1" si="36"/>
        <v>3.4625825219283951E-2</v>
      </c>
      <c r="U133" s="14"/>
      <c r="V133" s="15">
        <f t="shared" ca="1" si="35"/>
        <v>1.146115</v>
      </c>
      <c r="W133" s="14"/>
      <c r="X133" s="2"/>
    </row>
    <row r="134" spans="8:24" x14ac:dyDescent="0.25">
      <c r="H134" s="14">
        <v>33.200000000000003</v>
      </c>
      <c r="I134" s="17">
        <v>1.0008650220137523</v>
      </c>
      <c r="J134" s="15">
        <f t="shared" si="26"/>
        <v>-1.4899999999999999E-4</v>
      </c>
      <c r="K134" s="30">
        <f t="shared" si="27"/>
        <v>6.6000000000000005E-5</v>
      </c>
      <c r="L134" s="15">
        <f t="shared" si="28"/>
        <v>2.526E-3</v>
      </c>
      <c r="M134" s="10">
        <f t="shared" si="29"/>
        <v>1.0036069867542934</v>
      </c>
      <c r="N134" s="18">
        <f t="shared" si="30"/>
        <v>2.7395949306173659E-3</v>
      </c>
      <c r="O134" s="14">
        <f t="shared" si="31"/>
        <v>5354.3397999999997</v>
      </c>
      <c r="P134" s="14">
        <f t="shared" ca="1" si="25"/>
        <v>5355</v>
      </c>
      <c r="Q134" s="14" t="str">
        <f t="shared" ca="1" si="32"/>
        <v>0001010011101011</v>
      </c>
      <c r="R134" s="14">
        <f t="shared" ca="1" si="33"/>
        <v>1.0040318584442138</v>
      </c>
      <c r="S134" s="14">
        <f t="shared" ca="1" si="34"/>
        <v>32.04838230133057</v>
      </c>
      <c r="T134" s="19">
        <f t="shared" ca="1" si="36"/>
        <v>3.4687280080404614E-2</v>
      </c>
      <c r="U134" s="14"/>
      <c r="V134" s="15">
        <f t="shared" ca="1" si="35"/>
        <v>1.151618</v>
      </c>
      <c r="W134" s="14"/>
      <c r="X134" s="2"/>
    </row>
    <row r="135" spans="8:24" x14ac:dyDescent="0.25">
      <c r="H135" s="14">
        <v>33.299999999999997</v>
      </c>
      <c r="I135" s="17">
        <v>1.0092152451391387</v>
      </c>
      <c r="J135" s="15">
        <f t="shared" si="26"/>
        <v>-1.4899999999999999E-4</v>
      </c>
      <c r="K135" s="30">
        <f t="shared" si="27"/>
        <v>6.7000000000000002E-5</v>
      </c>
      <c r="L135" s="15">
        <f t="shared" si="28"/>
        <v>2.5569999999999998E-3</v>
      </c>
      <c r="M135" s="10">
        <f t="shared" si="29"/>
        <v>1.0120098059068423</v>
      </c>
      <c r="N135" s="18">
        <f t="shared" si="30"/>
        <v>2.7690433543919443E-3</v>
      </c>
      <c r="O135" s="14">
        <f t="shared" si="31"/>
        <v>5399.1696000000002</v>
      </c>
      <c r="P135" s="14">
        <f t="shared" ca="1" si="25"/>
        <v>5403</v>
      </c>
      <c r="Q135" s="14" t="str">
        <f t="shared" ca="1" si="32"/>
        <v>0001010100011011</v>
      </c>
      <c r="R135" s="14">
        <f t="shared" ca="1" si="33"/>
        <v>1.0130315837860107</v>
      </c>
      <c r="S135" s="14">
        <f t="shared" ca="1" si="34"/>
        <v>32.156379005432129</v>
      </c>
      <c r="T135" s="19">
        <f t="shared" ca="1" si="36"/>
        <v>3.4342972809845898E-2</v>
      </c>
      <c r="U135" s="14"/>
      <c r="V135" s="15">
        <f t="shared" ca="1" si="35"/>
        <v>1.143621</v>
      </c>
      <c r="W135" s="14"/>
      <c r="X135" s="2"/>
    </row>
    <row r="136" spans="8:24" x14ac:dyDescent="0.25">
      <c r="H136" s="14">
        <v>33.4</v>
      </c>
      <c r="I136" s="17">
        <v>1.0175913680495066</v>
      </c>
      <c r="J136" s="15">
        <f t="shared" si="26"/>
        <v>-1.4799999999999999E-4</v>
      </c>
      <c r="K136" s="30">
        <f t="shared" si="27"/>
        <v>6.7000000000000002E-5</v>
      </c>
      <c r="L136" s="15">
        <f t="shared" si="28"/>
        <v>2.5869999999999999E-3</v>
      </c>
      <c r="M136" s="10">
        <f t="shared" si="29"/>
        <v>1.0204370887521081</v>
      </c>
      <c r="N136" s="18">
        <f t="shared" si="30"/>
        <v>2.7965259847439446E-3</v>
      </c>
      <c r="O136" s="14">
        <f t="shared" si="31"/>
        <v>5444.13</v>
      </c>
      <c r="P136" s="14">
        <f t="shared" ca="1" si="25"/>
        <v>5443</v>
      </c>
      <c r="Q136" s="14" t="str">
        <f t="shared" ca="1" si="32"/>
        <v>0001010101000011</v>
      </c>
      <c r="R136" s="14">
        <f t="shared" ca="1" si="33"/>
        <v>1.0205313549041748</v>
      </c>
      <c r="S136" s="14">
        <f t="shared" ca="1" si="34"/>
        <v>32.246376258850098</v>
      </c>
      <c r="T136" s="19">
        <f t="shared" ca="1" si="36"/>
        <v>3.4539632968559886E-2</v>
      </c>
      <c r="U136" s="14"/>
      <c r="V136" s="15">
        <f t="shared" ca="1" si="35"/>
        <v>1.153624</v>
      </c>
      <c r="W136" s="14"/>
      <c r="X136" s="2"/>
    </row>
    <row r="137" spans="8:24" x14ac:dyDescent="0.25">
      <c r="H137" s="14">
        <v>33.5</v>
      </c>
      <c r="I137" s="17">
        <v>1.0259933269063579</v>
      </c>
      <c r="J137" s="15">
        <f t="shared" si="26"/>
        <v>-1.47E-4</v>
      </c>
      <c r="K137" s="30">
        <f t="shared" si="27"/>
        <v>6.7999999999999999E-5</v>
      </c>
      <c r="L137" s="15">
        <f t="shared" si="28"/>
        <v>2.6180000000000001E-3</v>
      </c>
      <c r="M137" s="10">
        <f t="shared" si="29"/>
        <v>1.0288918138309673</v>
      </c>
      <c r="N137" s="18">
        <f t="shared" si="30"/>
        <v>2.8250543630230756E-3</v>
      </c>
      <c r="O137" s="14">
        <f t="shared" si="31"/>
        <v>5489.2367999999997</v>
      </c>
      <c r="P137" s="14">
        <f t="shared" ca="1" si="25"/>
        <v>5489</v>
      </c>
      <c r="Q137" s="14" t="str">
        <f t="shared" ca="1" si="32"/>
        <v>0001010101110001</v>
      </c>
      <c r="R137" s="14">
        <f t="shared" ca="1" si="33"/>
        <v>1.0291560916900635</v>
      </c>
      <c r="S137" s="14">
        <f t="shared" ca="1" si="34"/>
        <v>32.34987310028076</v>
      </c>
      <c r="T137" s="19">
        <f t="shared" ca="1" si="36"/>
        <v>3.4332146260275816E-2</v>
      </c>
      <c r="U137" s="14"/>
      <c r="V137" s="15">
        <f t="shared" ca="1" si="35"/>
        <v>1.1501269999999999</v>
      </c>
      <c r="W137" s="14"/>
      <c r="X137" s="2"/>
    </row>
    <row r="138" spans="8:24" x14ac:dyDescent="0.25">
      <c r="H138" s="14">
        <v>33.6</v>
      </c>
      <c r="I138" s="17">
        <v>1.0344210583367337</v>
      </c>
      <c r="J138" s="15">
        <f t="shared" si="26"/>
        <v>-1.47E-4</v>
      </c>
      <c r="K138" s="30">
        <f t="shared" si="27"/>
        <v>6.7999999999999999E-5</v>
      </c>
      <c r="L138" s="15">
        <f t="shared" si="28"/>
        <v>2.6480000000000002E-3</v>
      </c>
      <c r="M138" s="10">
        <f t="shared" si="29"/>
        <v>1.0373728681074821</v>
      </c>
      <c r="N138" s="18">
        <f t="shared" si="30"/>
        <v>2.8535863099061957E-3</v>
      </c>
      <c r="O138" s="14">
        <f t="shared" si="31"/>
        <v>5534.4840000000004</v>
      </c>
      <c r="P138" s="14">
        <f t="shared" ca="1" si="25"/>
        <v>5536</v>
      </c>
      <c r="Q138" s="14" t="str">
        <f t="shared" ca="1" si="32"/>
        <v>0001010110100000</v>
      </c>
      <c r="R138" s="14">
        <f t="shared" ca="1" si="33"/>
        <v>1.0379683227539063</v>
      </c>
      <c r="S138" s="14">
        <f t="shared" ca="1" si="34"/>
        <v>32.455619873046878</v>
      </c>
      <c r="T138" s="19">
        <f t="shared" ca="1" si="36"/>
        <v>3.4058932349795339E-2</v>
      </c>
      <c r="U138" s="14"/>
      <c r="V138" s="15">
        <f t="shared" ca="1" si="35"/>
        <v>1.14438</v>
      </c>
      <c r="W138" s="14"/>
      <c r="X138" s="2"/>
    </row>
    <row r="139" spans="8:24" x14ac:dyDescent="0.25">
      <c r="H139" s="14">
        <v>33.700000000000003</v>
      </c>
      <c r="I139" s="17">
        <v>1.0428744983857243</v>
      </c>
      <c r="J139" s="15">
        <f t="shared" si="26"/>
        <v>-1.46E-4</v>
      </c>
      <c r="K139" s="30">
        <f t="shared" si="27"/>
        <v>6.8999999999999997E-5</v>
      </c>
      <c r="L139" s="15">
        <f t="shared" si="28"/>
        <v>2.679E-3</v>
      </c>
      <c r="M139" s="10">
        <f t="shared" si="29"/>
        <v>1.045880256210111</v>
      </c>
      <c r="N139" s="18">
        <f t="shared" si="30"/>
        <v>2.8821855640725376E-3</v>
      </c>
      <c r="O139" s="14">
        <f t="shared" si="31"/>
        <v>5579.8716999999997</v>
      </c>
      <c r="P139" s="14">
        <f t="shared" ca="1" si="25"/>
        <v>5583</v>
      </c>
      <c r="Q139" s="14" t="str">
        <f t="shared" ca="1" si="32"/>
        <v>0001010111001111</v>
      </c>
      <c r="R139" s="14">
        <f t="shared" ca="1" si="33"/>
        <v>1.046780553817749</v>
      </c>
      <c r="S139" s="14">
        <f t="shared" ca="1" si="34"/>
        <v>32.561366645812996</v>
      </c>
      <c r="T139" s="19">
        <f t="shared" ca="1" si="36"/>
        <v>3.3787339886854811E-2</v>
      </c>
      <c r="U139" s="14"/>
      <c r="V139" s="15">
        <f t="shared" ca="1" si="35"/>
        <v>1.138633</v>
      </c>
      <c r="W139" s="14"/>
      <c r="X139" s="2"/>
    </row>
    <row r="140" spans="8:24" x14ac:dyDescent="0.25">
      <c r="H140" s="14">
        <v>33.799999999999997</v>
      </c>
      <c r="I140" s="17">
        <v>1.0513535823128199</v>
      </c>
      <c r="J140" s="15">
        <f t="shared" si="26"/>
        <v>-1.46E-4</v>
      </c>
      <c r="K140" s="30">
        <f t="shared" si="27"/>
        <v>6.8999999999999997E-5</v>
      </c>
      <c r="L140" s="15">
        <f t="shared" si="28"/>
        <v>2.709E-3</v>
      </c>
      <c r="M140" s="10">
        <f t="shared" si="29"/>
        <v>1.0544138322624186</v>
      </c>
      <c r="N140" s="18">
        <f t="shared" si="30"/>
        <v>2.9107714103817923E-3</v>
      </c>
      <c r="O140" s="14">
        <f t="shared" si="31"/>
        <v>5625.3991999999998</v>
      </c>
      <c r="P140" s="14">
        <f t="shared" ca="1" si="25"/>
        <v>5627</v>
      </c>
      <c r="Q140" s="14" t="str">
        <f t="shared" ca="1" si="32"/>
        <v>0001010111111011</v>
      </c>
      <c r="R140" s="14">
        <f t="shared" ca="1" si="33"/>
        <v>1.0550303020477294</v>
      </c>
      <c r="S140" s="14">
        <f t="shared" ca="1" si="34"/>
        <v>32.66036362457276</v>
      </c>
      <c r="T140" s="19">
        <f t="shared" ca="1" si="36"/>
        <v>3.3717052527433053E-2</v>
      </c>
      <c r="U140" s="14"/>
      <c r="V140" s="15">
        <f t="shared" ca="1" si="35"/>
        <v>1.1396360000000001</v>
      </c>
      <c r="W140" s="14"/>
      <c r="X140" s="2"/>
    </row>
    <row r="141" spans="8:24" x14ac:dyDescent="0.25">
      <c r="H141" s="14">
        <v>33.9</v>
      </c>
      <c r="I141" s="17">
        <v>1.0598582447373701</v>
      </c>
      <c r="J141" s="15">
        <f t="shared" si="26"/>
        <v>-1.45E-4</v>
      </c>
      <c r="K141" s="30">
        <f t="shared" si="27"/>
        <v>6.9999999999999994E-5</v>
      </c>
      <c r="L141" s="15">
        <f t="shared" si="28"/>
        <v>2.7399999999999998E-3</v>
      </c>
      <c r="M141" s="10">
        <f t="shared" si="29"/>
        <v>1.0629736335733611</v>
      </c>
      <c r="N141" s="18">
        <f t="shared" si="30"/>
        <v>2.9394391669453159E-3</v>
      </c>
      <c r="O141" s="14">
        <f t="shared" si="31"/>
        <v>5671.0664999999999</v>
      </c>
      <c r="P141" s="14">
        <f t="shared" ca="1" si="25"/>
        <v>5676</v>
      </c>
      <c r="Q141" s="14" t="str">
        <f t="shared" ca="1" si="32"/>
        <v>0001011000101100</v>
      </c>
      <c r="R141" s="14">
        <f t="shared" ca="1" si="33"/>
        <v>1.0642175216674805</v>
      </c>
      <c r="S141" s="14">
        <f t="shared" ca="1" si="34"/>
        <v>32.770610260009768</v>
      </c>
      <c r="T141" s="19">
        <f t="shared" ca="1" si="36"/>
        <v>3.3315331563133647E-2</v>
      </c>
      <c r="U141" s="14"/>
      <c r="V141" s="15">
        <f t="shared" ca="1" si="35"/>
        <v>1.1293899999999999</v>
      </c>
      <c r="W141" s="14"/>
      <c r="X141" s="2"/>
    </row>
    <row r="142" spans="8:24" x14ac:dyDescent="0.25">
      <c r="H142" s="14">
        <v>34</v>
      </c>
      <c r="I142" s="17">
        <v>1.0675413284923381</v>
      </c>
      <c r="J142" s="15">
        <f t="shared" si="26"/>
        <v>-1.45E-4</v>
      </c>
      <c r="K142" s="30">
        <f t="shared" si="27"/>
        <v>6.9999999999999994E-5</v>
      </c>
      <c r="L142" s="15">
        <f t="shared" si="28"/>
        <v>2.7699999999999999E-3</v>
      </c>
      <c r="M142" s="10">
        <f t="shared" si="29"/>
        <v>1.0707100346282583</v>
      </c>
      <c r="N142" s="18">
        <f t="shared" si="30"/>
        <v>2.9682280688798487E-3</v>
      </c>
      <c r="O142" s="14">
        <f t="shared" si="31"/>
        <v>5712.3410000000003</v>
      </c>
      <c r="P142" s="14">
        <f t="shared" ca="1" si="25"/>
        <v>5716</v>
      </c>
      <c r="Q142" s="14" t="str">
        <f t="shared" ca="1" si="32"/>
        <v>0001011001010100</v>
      </c>
      <c r="R142" s="14">
        <f t="shared" ca="1" si="33"/>
        <v>1.0717172927856446</v>
      </c>
      <c r="S142" s="14">
        <f t="shared" ca="1" si="34"/>
        <v>32.860607513427738</v>
      </c>
      <c r="T142" s="19">
        <f t="shared" ca="1" si="36"/>
        <v>3.3511543722713602E-2</v>
      </c>
      <c r="U142" s="14"/>
      <c r="V142" s="15">
        <f t="shared" ca="1" si="35"/>
        <v>1.139392</v>
      </c>
      <c r="W142" s="14"/>
      <c r="X142" s="2"/>
    </row>
    <row r="143" spans="8:24" x14ac:dyDescent="0.25">
      <c r="H143" s="14">
        <v>34.1</v>
      </c>
      <c r="I143" s="17">
        <v>1.0760979677449558</v>
      </c>
      <c r="J143" s="15">
        <f t="shared" si="26"/>
        <v>-1.44E-4</v>
      </c>
      <c r="K143" s="30">
        <f t="shared" si="27"/>
        <v>7.1000000000000005E-5</v>
      </c>
      <c r="L143" s="15">
        <f t="shared" si="28"/>
        <v>2.8010000000000001E-3</v>
      </c>
      <c r="M143" s="10">
        <f t="shared" si="29"/>
        <v>1.0793229889790861</v>
      </c>
      <c r="N143" s="18">
        <f t="shared" si="30"/>
        <v>2.9969587628610986E-3</v>
      </c>
      <c r="O143" s="14">
        <f t="shared" si="31"/>
        <v>5758.2919000000002</v>
      </c>
      <c r="P143" s="14">
        <f t="shared" ref="P143:P206" ca="1" si="37">ROUND(O143+$C$47+$C$49+RANDBETWEEN($B$45,$D$45) + 1,0)</f>
        <v>5759</v>
      </c>
      <c r="Q143" s="14" t="str">
        <f t="shared" ca="1" si="32"/>
        <v>0001011001111111</v>
      </c>
      <c r="R143" s="14">
        <f t="shared" ca="1" si="33"/>
        <v>1.079779546737671</v>
      </c>
      <c r="S143" s="14">
        <f t="shared" ca="1" si="34"/>
        <v>32.957354560852053</v>
      </c>
      <c r="T143" s="19">
        <f t="shared" ca="1" si="36"/>
        <v>3.3508663904631912E-2</v>
      </c>
      <c r="U143" s="14"/>
      <c r="V143" s="15">
        <f t="shared" ca="1" si="35"/>
        <v>1.1426449999999999</v>
      </c>
      <c r="W143" s="14"/>
      <c r="X143" s="2"/>
    </row>
    <row r="144" spans="8:24" x14ac:dyDescent="0.25">
      <c r="H144" s="14">
        <v>34.200000000000003</v>
      </c>
      <c r="I144" s="17">
        <v>1.0846799886256711</v>
      </c>
      <c r="J144" s="15">
        <f t="shared" si="26"/>
        <v>-1.4300000000000001E-4</v>
      </c>
      <c r="K144" s="30">
        <f t="shared" si="27"/>
        <v>7.1000000000000005E-5</v>
      </c>
      <c r="L144" s="15">
        <f t="shared" si="28"/>
        <v>2.8310000000000002E-3</v>
      </c>
      <c r="M144" s="10">
        <f t="shared" si="29"/>
        <v>1.087960841570156</v>
      </c>
      <c r="N144" s="18">
        <f t="shared" si="30"/>
        <v>3.0247197135460672E-3</v>
      </c>
      <c r="O144" s="14">
        <f t="shared" si="31"/>
        <v>5804.3756999999996</v>
      </c>
      <c r="P144" s="14">
        <f t="shared" ca="1" si="37"/>
        <v>5806</v>
      </c>
      <c r="Q144" s="14" t="str">
        <f t="shared" ca="1" si="32"/>
        <v>0001011010101110</v>
      </c>
      <c r="R144" s="14">
        <f t="shared" ca="1" si="33"/>
        <v>1.0885917778015137</v>
      </c>
      <c r="S144" s="14">
        <f t="shared" ca="1" si="34"/>
        <v>33.063101333618171</v>
      </c>
      <c r="T144" s="19">
        <f t="shared" ca="1" si="36"/>
        <v>3.3242651063796251E-2</v>
      </c>
      <c r="U144" s="14"/>
      <c r="V144" s="15">
        <f t="shared" ca="1" si="35"/>
        <v>1.1368990000000001</v>
      </c>
      <c r="W144" s="14"/>
      <c r="X144" s="2"/>
    </row>
    <row r="145" spans="8:24" x14ac:dyDescent="0.25">
      <c r="H145" s="14">
        <v>34.299999999999997</v>
      </c>
      <c r="I145" s="17">
        <v>1.0932873247063608</v>
      </c>
      <c r="J145" s="15">
        <f t="shared" si="26"/>
        <v>-1.4300000000000001E-4</v>
      </c>
      <c r="K145" s="30">
        <f t="shared" si="27"/>
        <v>7.2000000000000002E-5</v>
      </c>
      <c r="L145" s="15">
        <f t="shared" si="28"/>
        <v>2.862E-3</v>
      </c>
      <c r="M145" s="10">
        <f t="shared" si="29"/>
        <v>1.0966267043381766</v>
      </c>
      <c r="N145" s="18">
        <f t="shared" si="30"/>
        <v>3.0544391728977971E-3</v>
      </c>
      <c r="O145" s="14">
        <f t="shared" si="31"/>
        <v>5850.6089000000002</v>
      </c>
      <c r="P145" s="14">
        <f t="shared" ca="1" si="37"/>
        <v>5851</v>
      </c>
      <c r="Q145" s="14" t="str">
        <f t="shared" ca="1" si="32"/>
        <v>0001011011011011</v>
      </c>
      <c r="R145" s="14">
        <f t="shared" ca="1" si="33"/>
        <v>1.0970290203094482</v>
      </c>
      <c r="S145" s="14">
        <f t="shared" ca="1" si="34"/>
        <v>33.164348243713384</v>
      </c>
      <c r="T145" s="19">
        <f t="shared" ca="1" si="36"/>
        <v>3.3109380649755486E-2</v>
      </c>
      <c r="U145" s="14"/>
      <c r="V145" s="15">
        <f t="shared" ca="1" si="35"/>
        <v>1.1356520000000001</v>
      </c>
      <c r="W145" s="14"/>
      <c r="X145" s="2"/>
    </row>
    <row r="146" spans="8:24" x14ac:dyDescent="0.25">
      <c r="H146" s="14">
        <v>34.4</v>
      </c>
      <c r="I146" s="17">
        <v>1.1019199083658999</v>
      </c>
      <c r="J146" s="15">
        <f t="shared" si="26"/>
        <v>-1.4200000000000001E-4</v>
      </c>
      <c r="K146" s="30">
        <f t="shared" si="27"/>
        <v>7.2000000000000002E-5</v>
      </c>
      <c r="L146" s="15">
        <f t="shared" si="28"/>
        <v>2.892E-3</v>
      </c>
      <c r="M146" s="10">
        <f t="shared" si="29"/>
        <v>1.1053163154140775</v>
      </c>
      <c r="N146" s="18">
        <f t="shared" si="30"/>
        <v>3.0822630777351955E-3</v>
      </c>
      <c r="O146" s="14">
        <f t="shared" si="31"/>
        <v>5896.9687999999996</v>
      </c>
      <c r="P146" s="14">
        <f t="shared" ca="1" si="37"/>
        <v>5899</v>
      </c>
      <c r="Q146" s="14" t="str">
        <f t="shared" ca="1" si="32"/>
        <v>0001011100001011</v>
      </c>
      <c r="R146" s="14">
        <f t="shared" ca="1" si="33"/>
        <v>1.1060287456512452</v>
      </c>
      <c r="S146" s="14">
        <f t="shared" ca="1" si="34"/>
        <v>33.272344947814943</v>
      </c>
      <c r="T146" s="19">
        <f t="shared" ca="1" si="36"/>
        <v>3.2780670121658584E-2</v>
      </c>
      <c r="U146" s="14"/>
      <c r="V146" s="15">
        <f t="shared" ca="1" si="35"/>
        <v>1.1276550000000001</v>
      </c>
      <c r="W146" s="14"/>
      <c r="X146" s="2"/>
    </row>
    <row r="147" spans="8:24" x14ac:dyDescent="0.25">
      <c r="H147" s="14">
        <v>34.5</v>
      </c>
      <c r="I147" s="17">
        <v>1.1105776716631319</v>
      </c>
      <c r="J147" s="15">
        <f t="shared" si="26"/>
        <v>-1.4200000000000001E-4</v>
      </c>
      <c r="K147" s="30">
        <f t="shared" si="27"/>
        <v>7.2999999999999999E-5</v>
      </c>
      <c r="L147" s="15">
        <f t="shared" si="28"/>
        <v>2.9229999999999998E-3</v>
      </c>
      <c r="M147" s="10">
        <f t="shared" si="29"/>
        <v>1.1140338229937425</v>
      </c>
      <c r="N147" s="18">
        <f t="shared" si="30"/>
        <v>3.1120302692876005E-3</v>
      </c>
      <c r="O147" s="14">
        <f t="shared" si="31"/>
        <v>5943.4776000000002</v>
      </c>
      <c r="P147" s="14">
        <f t="shared" ca="1" si="37"/>
        <v>5944</v>
      </c>
      <c r="Q147" s="14" t="str">
        <f t="shared" ca="1" si="32"/>
        <v>0001011100111000</v>
      </c>
      <c r="R147" s="14">
        <f t="shared" ca="1" si="33"/>
        <v>1.1144659881591796</v>
      </c>
      <c r="S147" s="14">
        <f t="shared" ca="1" si="34"/>
        <v>33.373591857910156</v>
      </c>
      <c r="T147" s="19">
        <f t="shared" ca="1" si="36"/>
        <v>3.2649511364923001E-2</v>
      </c>
      <c r="U147" s="14"/>
      <c r="V147" s="15">
        <f t="shared" ca="1" si="35"/>
        <v>1.1264080000000001</v>
      </c>
      <c r="W147" s="14"/>
      <c r="X147" s="2"/>
    </row>
    <row r="148" spans="8:24" x14ac:dyDescent="0.25">
      <c r="H148" s="14">
        <v>34.6</v>
      </c>
      <c r="I148" s="17">
        <v>1.1184195694302885</v>
      </c>
      <c r="J148" s="15">
        <f t="shared" si="26"/>
        <v>-1.4100000000000001E-4</v>
      </c>
      <c r="K148" s="30">
        <f t="shared" si="27"/>
        <v>7.2999999999999999E-5</v>
      </c>
      <c r="L148" s="15">
        <f t="shared" si="28"/>
        <v>2.9529999999999999E-3</v>
      </c>
      <c r="M148" s="10">
        <f t="shared" si="29"/>
        <v>1.1219314617628742</v>
      </c>
      <c r="N148" s="18">
        <f t="shared" si="30"/>
        <v>3.1400490733317229E-3</v>
      </c>
      <c r="O148" s="14">
        <f t="shared" si="31"/>
        <v>5985.6121999999996</v>
      </c>
      <c r="P148" s="14">
        <f t="shared" ca="1" si="37"/>
        <v>5987</v>
      </c>
      <c r="Q148" s="14" t="str">
        <f t="shared" ca="1" si="32"/>
        <v>0001011101100011</v>
      </c>
      <c r="R148" s="14">
        <f t="shared" ca="1" si="33"/>
        <v>1.1225282421112062</v>
      </c>
      <c r="S148" s="14">
        <f t="shared" ca="1" si="34"/>
        <v>33.470338905334472</v>
      </c>
      <c r="T148" s="19">
        <f t="shared" ca="1" si="36"/>
        <v>3.2649164585708934E-2</v>
      </c>
      <c r="U148" s="14"/>
      <c r="V148" s="15">
        <f t="shared" ca="1" si="35"/>
        <v>1.129661</v>
      </c>
      <c r="W148" s="14"/>
      <c r="X148" s="2"/>
    </row>
    <row r="149" spans="8:24" x14ac:dyDescent="0.25">
      <c r="H149" s="14">
        <v>34.700000000000003</v>
      </c>
      <c r="I149" s="17">
        <v>1.1271285090718575</v>
      </c>
      <c r="J149" s="15">
        <f t="shared" si="26"/>
        <v>-1.3999999999999999E-4</v>
      </c>
      <c r="K149" s="30">
        <f t="shared" si="27"/>
        <v>7.3999999999999996E-5</v>
      </c>
      <c r="L149" s="15">
        <f t="shared" si="28"/>
        <v>2.9840000000000001E-3</v>
      </c>
      <c r="M149" s="10">
        <f t="shared" si="29"/>
        <v>1.1307003458318194</v>
      </c>
      <c r="N149" s="18">
        <f t="shared" si="30"/>
        <v>3.1689702915093801E-3</v>
      </c>
      <c r="O149" s="14">
        <f t="shared" si="31"/>
        <v>6032.3950999999997</v>
      </c>
      <c r="P149" s="14">
        <f t="shared" ca="1" si="37"/>
        <v>6033</v>
      </c>
      <c r="Q149" s="14" t="str">
        <f t="shared" ca="1" si="32"/>
        <v>0001011110010001</v>
      </c>
      <c r="R149" s="14">
        <f t="shared" ca="1" si="33"/>
        <v>1.1311529788970947</v>
      </c>
      <c r="S149" s="14">
        <f t="shared" ca="1" si="34"/>
        <v>33.573835746765134</v>
      </c>
      <c r="T149" s="19">
        <f t="shared" ca="1" si="36"/>
        <v>3.2454301245961631E-2</v>
      </c>
      <c r="U149" s="14"/>
      <c r="V149" s="15">
        <f t="shared" ca="1" si="35"/>
        <v>1.1261639999999999</v>
      </c>
      <c r="W149" s="14"/>
      <c r="X149" s="2"/>
    </row>
    <row r="150" spans="8:24" x14ac:dyDescent="0.25">
      <c r="H150" s="14">
        <v>34.799999999999997</v>
      </c>
      <c r="I150" s="17">
        <v>1.1358624229854624</v>
      </c>
      <c r="J150" s="15">
        <f t="shared" si="26"/>
        <v>-1.3999999999999999E-4</v>
      </c>
      <c r="K150" s="30">
        <f t="shared" si="27"/>
        <v>7.3999999999999996E-5</v>
      </c>
      <c r="L150" s="15">
        <f t="shared" si="28"/>
        <v>3.0140000000000002E-3</v>
      </c>
      <c r="M150" s="10">
        <f t="shared" si="29"/>
        <v>1.139494685154518</v>
      </c>
      <c r="N150" s="18">
        <f t="shared" si="30"/>
        <v>3.1978011558026018E-3</v>
      </c>
      <c r="O150" s="14">
        <f t="shared" si="31"/>
        <v>6079.3136999999997</v>
      </c>
      <c r="P150" s="14">
        <f t="shared" ca="1" si="37"/>
        <v>6079</v>
      </c>
      <c r="Q150" s="14" t="str">
        <f t="shared" ca="1" si="32"/>
        <v>0001011110111111</v>
      </c>
      <c r="R150" s="14">
        <f t="shared" ca="1" si="33"/>
        <v>1.1397777156829834</v>
      </c>
      <c r="S150" s="14">
        <f t="shared" ca="1" si="34"/>
        <v>33.677332588195803</v>
      </c>
      <c r="T150" s="19">
        <f t="shared" ca="1" si="36"/>
        <v>3.226055781046535E-2</v>
      </c>
      <c r="U150" s="14"/>
      <c r="V150" s="15">
        <f t="shared" ca="1" si="35"/>
        <v>1.1226670000000001</v>
      </c>
      <c r="W150" s="14"/>
      <c r="X150" s="2"/>
    </row>
    <row r="151" spans="8:24" x14ac:dyDescent="0.25">
      <c r="H151" s="14">
        <v>34.9</v>
      </c>
      <c r="I151" s="17">
        <v>1.1437833388646295</v>
      </c>
      <c r="J151" s="15">
        <f t="shared" si="26"/>
        <v>-1.3899999999999999E-4</v>
      </c>
      <c r="K151" s="30">
        <f t="shared" si="27"/>
        <v>7.4999999999999993E-5</v>
      </c>
      <c r="L151" s="15">
        <f t="shared" si="28"/>
        <v>3.045E-3</v>
      </c>
      <c r="M151" s="10">
        <f t="shared" si="29"/>
        <v>1.1474742212583608</v>
      </c>
      <c r="N151" s="18">
        <f t="shared" si="30"/>
        <v>3.2269069397313677E-3</v>
      </c>
      <c r="O151" s="14">
        <f t="shared" si="31"/>
        <v>6121.8852999999999</v>
      </c>
      <c r="P151" s="14">
        <f t="shared" ca="1" si="37"/>
        <v>6125</v>
      </c>
      <c r="Q151" s="14" t="str">
        <f t="shared" ca="1" si="32"/>
        <v>0001011111101101</v>
      </c>
      <c r="R151" s="14">
        <f t="shared" ca="1" si="33"/>
        <v>1.1484024524688721</v>
      </c>
      <c r="S151" s="14">
        <f t="shared" ca="1" si="34"/>
        <v>33.780829429626472</v>
      </c>
      <c r="T151" s="19">
        <f t="shared" ca="1" si="36"/>
        <v>3.2067924652536578E-2</v>
      </c>
      <c r="U151" s="14"/>
      <c r="V151" s="15">
        <f t="shared" ca="1" si="35"/>
        <v>1.1191709999999999</v>
      </c>
      <c r="W151" s="14"/>
      <c r="X151" s="2"/>
    </row>
    <row r="152" spans="8:24" x14ac:dyDescent="0.25">
      <c r="H152" s="14">
        <v>35</v>
      </c>
      <c r="I152" s="17">
        <v>1.1525680177511508</v>
      </c>
      <c r="J152" s="15">
        <f t="shared" si="26"/>
        <v>-1.3899999999999999E-4</v>
      </c>
      <c r="K152" s="30">
        <f t="shared" si="27"/>
        <v>7.4999999999999993E-5</v>
      </c>
      <c r="L152" s="15">
        <f t="shared" si="28"/>
        <v>3.075E-3</v>
      </c>
      <c r="M152" s="10">
        <f t="shared" si="29"/>
        <v>1.1563205250155735</v>
      </c>
      <c r="N152" s="18">
        <f t="shared" si="30"/>
        <v>3.2557794478320018E-3</v>
      </c>
      <c r="O152" s="14">
        <f t="shared" si="31"/>
        <v>6169.0811999999996</v>
      </c>
      <c r="P152" s="14">
        <f t="shared" ca="1" si="37"/>
        <v>6168</v>
      </c>
      <c r="Q152" s="14" t="str">
        <f t="shared" ca="1" si="32"/>
        <v>0001100000011000</v>
      </c>
      <c r="R152" s="14">
        <f t="shared" ca="1" si="33"/>
        <v>1.1564647064208984</v>
      </c>
      <c r="S152" s="14">
        <f t="shared" ca="1" si="34"/>
        <v>33.877576477050788</v>
      </c>
      <c r="T152" s="19">
        <f t="shared" ca="1" si="36"/>
        <v>3.206924351283464E-2</v>
      </c>
      <c r="U152" s="14"/>
      <c r="V152" s="15">
        <f t="shared" ca="1" si="35"/>
        <v>1.1224240000000001</v>
      </c>
      <c r="W152" s="14"/>
      <c r="X152" s="2"/>
    </row>
    <row r="153" spans="8:24" x14ac:dyDescent="0.25">
      <c r="H153" s="14">
        <v>35.1</v>
      </c>
      <c r="I153" s="17">
        <v>1.1605416141950511</v>
      </c>
      <c r="J153" s="15">
        <f t="shared" si="26"/>
        <v>-1.3799999999999999E-4</v>
      </c>
      <c r="K153" s="30">
        <f t="shared" si="27"/>
        <v>7.6000000000000004E-5</v>
      </c>
      <c r="L153" s="15">
        <f t="shared" si="28"/>
        <v>3.1059999999999998E-3</v>
      </c>
      <c r="M153" s="10">
        <f t="shared" si="29"/>
        <v>1.164353917314229</v>
      </c>
      <c r="N153" s="18">
        <f t="shared" si="30"/>
        <v>3.2849344414263948E-3</v>
      </c>
      <c r="O153" s="14">
        <f t="shared" si="31"/>
        <v>6211.9400999999998</v>
      </c>
      <c r="P153" s="14">
        <f t="shared" ca="1" si="37"/>
        <v>6217</v>
      </c>
      <c r="Q153" s="14" t="str">
        <f t="shared" ca="1" si="32"/>
        <v>0001100001001001</v>
      </c>
      <c r="R153" s="14">
        <f t="shared" ca="1" si="33"/>
        <v>1.1656519260406495</v>
      </c>
      <c r="S153" s="14">
        <f t="shared" ca="1" si="34"/>
        <v>33.987823112487796</v>
      </c>
      <c r="T153" s="19">
        <f t="shared" ca="1" si="36"/>
        <v>3.168595121117395E-2</v>
      </c>
      <c r="U153" s="14"/>
      <c r="V153" s="15">
        <f t="shared" ca="1" si="35"/>
        <v>1.112177</v>
      </c>
      <c r="W153" s="14"/>
      <c r="X153" s="2"/>
    </row>
    <row r="154" spans="8:24" x14ac:dyDescent="0.25">
      <c r="H154" s="14">
        <v>35.200000000000003</v>
      </c>
      <c r="I154" s="17">
        <v>1.1685419635148073</v>
      </c>
      <c r="J154" s="15">
        <f t="shared" si="26"/>
        <v>-1.3799999999999999E-4</v>
      </c>
      <c r="K154" s="30">
        <f t="shared" si="27"/>
        <v>7.6000000000000004E-5</v>
      </c>
      <c r="L154" s="15">
        <f t="shared" si="28"/>
        <v>3.1359999999999999E-3</v>
      </c>
      <c r="M154" s="10">
        <f t="shared" si="29"/>
        <v>1.172414473415438</v>
      </c>
      <c r="N154" s="18">
        <f t="shared" si="30"/>
        <v>3.3139673383938634E-3</v>
      </c>
      <c r="O154" s="14">
        <f t="shared" si="31"/>
        <v>6254.9439000000002</v>
      </c>
      <c r="P154" s="14">
        <f t="shared" ca="1" si="37"/>
        <v>6259</v>
      </c>
      <c r="Q154" s="14" t="str">
        <f t="shared" ca="1" si="32"/>
        <v>0001100001110011</v>
      </c>
      <c r="R154" s="14">
        <f t="shared" ca="1" si="33"/>
        <v>1.1735266857147217</v>
      </c>
      <c r="S154" s="14">
        <f t="shared" ca="1" si="34"/>
        <v>34.082320228576663</v>
      </c>
      <c r="T154" s="19">
        <f t="shared" ca="1" si="36"/>
        <v>3.175226623361762E-2</v>
      </c>
      <c r="U154" s="14"/>
      <c r="V154" s="15">
        <f t="shared" ca="1" si="35"/>
        <v>1.11768</v>
      </c>
      <c r="W154" s="14"/>
      <c r="X154" s="2"/>
    </row>
    <row r="155" spans="8:24" x14ac:dyDescent="0.25">
      <c r="H155" s="14">
        <v>35.299999999999997</v>
      </c>
      <c r="I155" s="17">
        <v>1.1774027814080497</v>
      </c>
      <c r="J155" s="15">
        <f t="shared" si="26"/>
        <v>-1.37E-4</v>
      </c>
      <c r="K155" s="30">
        <f t="shared" si="27"/>
        <v>7.7000000000000001E-5</v>
      </c>
      <c r="L155" s="15">
        <f t="shared" si="28"/>
        <v>3.1670000000000001E-3</v>
      </c>
      <c r="M155" s="10">
        <f t="shared" si="29"/>
        <v>1.1813388980120538</v>
      </c>
      <c r="N155" s="18">
        <f t="shared" si="30"/>
        <v>3.3430502001167255E-3</v>
      </c>
      <c r="O155" s="14">
        <f t="shared" si="31"/>
        <v>6302.5565999999999</v>
      </c>
      <c r="P155" s="14">
        <f t="shared" ca="1" si="37"/>
        <v>6305</v>
      </c>
      <c r="Q155" s="14" t="str">
        <f t="shared" ca="1" si="32"/>
        <v>0001100010100001</v>
      </c>
      <c r="R155" s="14">
        <f t="shared" ca="1" si="33"/>
        <v>1.1821514225006104</v>
      </c>
      <c r="S155" s="14">
        <f t="shared" ca="1" si="34"/>
        <v>34.185817070007332</v>
      </c>
      <c r="T155" s="19">
        <f t="shared" ca="1" si="36"/>
        <v>3.1563255807157665E-2</v>
      </c>
      <c r="U155" s="14"/>
      <c r="V155" s="15">
        <f t="shared" ca="1" si="35"/>
        <v>1.1141829999999999</v>
      </c>
      <c r="W155" s="14"/>
      <c r="X155" s="2"/>
    </row>
    <row r="156" spans="8:24" x14ac:dyDescent="0.25">
      <c r="H156" s="14">
        <v>35.4</v>
      </c>
      <c r="I156" s="17">
        <v>1.1862881511451235</v>
      </c>
      <c r="J156" s="15">
        <f t="shared" si="26"/>
        <v>-1.36E-4</v>
      </c>
      <c r="K156" s="30">
        <f t="shared" si="27"/>
        <v>7.7000000000000001E-5</v>
      </c>
      <c r="L156" s="15">
        <f t="shared" si="28"/>
        <v>3.1970000000000002E-3</v>
      </c>
      <c r="M156" s="10">
        <f t="shared" si="29"/>
        <v>1.1902873142628216</v>
      </c>
      <c r="N156" s="18">
        <f t="shared" si="30"/>
        <v>3.3711565894320957E-3</v>
      </c>
      <c r="O156" s="14">
        <f t="shared" si="31"/>
        <v>6350.2973000000002</v>
      </c>
      <c r="P156" s="14">
        <f t="shared" ca="1" si="37"/>
        <v>6349</v>
      </c>
      <c r="Q156" s="14" t="str">
        <f t="shared" ca="1" si="32"/>
        <v>0001100011001101</v>
      </c>
      <c r="R156" s="14">
        <f t="shared" ca="1" si="33"/>
        <v>1.1904011707305908</v>
      </c>
      <c r="S156" s="14">
        <f t="shared" ca="1" si="34"/>
        <v>34.284814048767096</v>
      </c>
      <c r="T156" s="19">
        <f t="shared" ca="1" si="36"/>
        <v>3.150242800092945E-2</v>
      </c>
      <c r="U156" s="14"/>
      <c r="V156" s="15">
        <f t="shared" ca="1" si="35"/>
        <v>1.115186</v>
      </c>
      <c r="W156" s="14"/>
      <c r="X156" s="2"/>
    </row>
    <row r="157" spans="8:24" x14ac:dyDescent="0.25">
      <c r="H157" s="14">
        <v>35.5</v>
      </c>
      <c r="I157" s="17">
        <v>1.194366278119519</v>
      </c>
      <c r="J157" s="15">
        <f t="shared" si="26"/>
        <v>-1.36E-4</v>
      </c>
      <c r="K157" s="30">
        <f t="shared" si="27"/>
        <v>7.7999999999999999E-5</v>
      </c>
      <c r="L157" s="15">
        <f t="shared" si="28"/>
        <v>3.228E-3</v>
      </c>
      <c r="M157" s="10">
        <f t="shared" si="29"/>
        <v>1.1984286184759592</v>
      </c>
      <c r="N157" s="18">
        <f t="shared" si="30"/>
        <v>3.40125171889158E-3</v>
      </c>
      <c r="O157" s="14">
        <f t="shared" si="31"/>
        <v>6393.7318999999998</v>
      </c>
      <c r="P157" s="14">
        <f t="shared" ca="1" si="37"/>
        <v>6393</v>
      </c>
      <c r="Q157" s="14" t="str">
        <f t="shared" ca="1" si="32"/>
        <v>0001100011111001</v>
      </c>
      <c r="R157" s="14">
        <f t="shared" ca="1" si="33"/>
        <v>1.1986509189605714</v>
      </c>
      <c r="S157" s="14">
        <f t="shared" ca="1" si="34"/>
        <v>34.38381102752686</v>
      </c>
      <c r="T157" s="19">
        <f t="shared" ca="1" si="36"/>
        <v>3.1441942886567313E-2</v>
      </c>
      <c r="U157" s="14"/>
      <c r="V157" s="15">
        <f t="shared" ca="1" si="35"/>
        <v>1.1161890000000001</v>
      </c>
      <c r="W157" s="14"/>
      <c r="X157" s="2"/>
    </row>
    <row r="158" spans="8:24" x14ac:dyDescent="0.25">
      <c r="H158" s="14">
        <v>35.6</v>
      </c>
      <c r="I158" s="17">
        <v>1.2033015661108566</v>
      </c>
      <c r="J158" s="15">
        <f t="shared" si="26"/>
        <v>-1.35E-4</v>
      </c>
      <c r="K158" s="30">
        <f t="shared" si="27"/>
        <v>7.7999999999999999E-5</v>
      </c>
      <c r="L158" s="15">
        <f t="shared" si="28"/>
        <v>3.258E-3</v>
      </c>
      <c r="M158" s="10">
        <f t="shared" si="29"/>
        <v>1.2074281781512732</v>
      </c>
      <c r="N158" s="18">
        <f t="shared" si="30"/>
        <v>3.4294080192666114E-3</v>
      </c>
      <c r="O158" s="14">
        <f t="shared" si="31"/>
        <v>6441.7453999999998</v>
      </c>
      <c r="P158" s="14">
        <f t="shared" ca="1" si="37"/>
        <v>6441</v>
      </c>
      <c r="Q158" s="14" t="str">
        <f t="shared" ca="1" si="32"/>
        <v>0001100100101001</v>
      </c>
      <c r="R158" s="14">
        <f t="shared" ca="1" si="33"/>
        <v>1.2076506443023682</v>
      </c>
      <c r="S158" s="14">
        <f t="shared" ca="1" si="34"/>
        <v>34.49180773162842</v>
      </c>
      <c r="T158" s="19">
        <f t="shared" ca="1" si="36"/>
        <v>3.1128996302572518E-2</v>
      </c>
      <c r="U158" s="14"/>
      <c r="V158" s="15">
        <f t="shared" ca="1" si="35"/>
        <v>1.1081920000000001</v>
      </c>
      <c r="W158" s="14"/>
      <c r="X158" s="2"/>
    </row>
    <row r="159" spans="8:24" x14ac:dyDescent="0.25">
      <c r="H159" s="14">
        <v>35.700000000000003</v>
      </c>
      <c r="I159" s="17">
        <v>1.2114315351948444</v>
      </c>
      <c r="J159" s="15">
        <f t="shared" si="26"/>
        <v>-1.35E-4</v>
      </c>
      <c r="K159" s="30">
        <f t="shared" si="27"/>
        <v>7.8999999999999996E-5</v>
      </c>
      <c r="L159" s="15">
        <f t="shared" si="28"/>
        <v>3.2889999999999998E-3</v>
      </c>
      <c r="M159" s="10">
        <f t="shared" si="29"/>
        <v>1.2156225269238969</v>
      </c>
      <c r="N159" s="18">
        <f t="shared" si="30"/>
        <v>3.4595365955852404E-3</v>
      </c>
      <c r="O159" s="14">
        <f t="shared" si="31"/>
        <v>6485.4630999999999</v>
      </c>
      <c r="P159" s="14">
        <f t="shared" ca="1" si="37"/>
        <v>6485</v>
      </c>
      <c r="Q159" s="14" t="str">
        <f t="shared" ca="1" si="32"/>
        <v>0001100101010101</v>
      </c>
      <c r="R159" s="14">
        <f t="shared" ca="1" si="33"/>
        <v>1.2159003925323486</v>
      </c>
      <c r="S159" s="14">
        <f t="shared" ca="1" si="34"/>
        <v>34.590804710388184</v>
      </c>
      <c r="T159" s="19">
        <f t="shared" ca="1" si="36"/>
        <v>3.1069896067557945E-2</v>
      </c>
      <c r="U159" s="14"/>
      <c r="V159" s="15">
        <f t="shared" ca="1" si="35"/>
        <v>1.1091949999999999</v>
      </c>
      <c r="W159" s="14"/>
      <c r="X159" s="2"/>
    </row>
    <row r="160" spans="8:24" x14ac:dyDescent="0.25">
      <c r="H160" s="14">
        <v>35.799999999999997</v>
      </c>
      <c r="I160" s="17">
        <v>1.2204164520721725</v>
      </c>
      <c r="J160" s="15">
        <f t="shared" si="26"/>
        <v>-1.34E-4</v>
      </c>
      <c r="K160" s="30">
        <f t="shared" si="27"/>
        <v>7.8999999999999996E-5</v>
      </c>
      <c r="L160" s="15">
        <f t="shared" si="28"/>
        <v>3.3189999999999999E-3</v>
      </c>
      <c r="M160" s="10">
        <f t="shared" si="29"/>
        <v>1.2246729490881962</v>
      </c>
      <c r="N160" s="18">
        <f t="shared" si="30"/>
        <v>3.4877414253114223E-3</v>
      </c>
      <c r="O160" s="14">
        <f t="shared" si="31"/>
        <v>6533.7479000000003</v>
      </c>
      <c r="P160" s="14">
        <f t="shared" ca="1" si="37"/>
        <v>6538</v>
      </c>
      <c r="Q160" s="14" t="str">
        <f t="shared" ca="1" si="32"/>
        <v>0001100110001010</v>
      </c>
      <c r="R160" s="14">
        <f t="shared" ca="1" si="33"/>
        <v>1.2258375892639159</v>
      </c>
      <c r="S160" s="14">
        <f t="shared" ca="1" si="34"/>
        <v>34.710051071166994</v>
      </c>
      <c r="T160" s="19">
        <f t="shared" ca="1" si="36"/>
        <v>3.044550080539115E-2</v>
      </c>
      <c r="U160" s="14"/>
      <c r="V160" s="15">
        <f t="shared" ca="1" si="35"/>
        <v>1.0899490000000001</v>
      </c>
      <c r="W160" s="14"/>
      <c r="X160" s="2"/>
    </row>
    <row r="161" spans="8:24" x14ac:dyDescent="0.25">
      <c r="H161" s="14">
        <v>35.9</v>
      </c>
      <c r="I161" s="17">
        <v>1.2285979759924559</v>
      </c>
      <c r="J161" s="15">
        <f t="shared" si="26"/>
        <v>-1.34E-4</v>
      </c>
      <c r="K161" s="30">
        <f t="shared" si="27"/>
        <v>8.0000000000000007E-5</v>
      </c>
      <c r="L161" s="15">
        <f t="shared" si="28"/>
        <v>3.3500000000000001E-3</v>
      </c>
      <c r="M161" s="10">
        <f t="shared" si="29"/>
        <v>1.2329200639065427</v>
      </c>
      <c r="N161" s="18">
        <f t="shared" si="30"/>
        <v>3.5179025185968363E-3</v>
      </c>
      <c r="O161" s="14">
        <f t="shared" si="31"/>
        <v>6577.7470999999996</v>
      </c>
      <c r="P161" s="14">
        <f t="shared" ca="1" si="37"/>
        <v>6581</v>
      </c>
      <c r="Q161" s="14" t="str">
        <f t="shared" ca="1" si="32"/>
        <v>0001100110110101</v>
      </c>
      <c r="R161" s="14">
        <f t="shared" ca="1" si="33"/>
        <v>1.2338998432159425</v>
      </c>
      <c r="S161" s="14">
        <f t="shared" ca="1" si="34"/>
        <v>34.806798118591317</v>
      </c>
      <c r="T161" s="19">
        <f t="shared" ca="1" si="36"/>
        <v>3.0451305888821219E-2</v>
      </c>
      <c r="U161" s="14"/>
      <c r="V161" s="15">
        <f t="shared" ca="1" si="35"/>
        <v>1.093202</v>
      </c>
      <c r="W161" s="14"/>
      <c r="X161" s="2"/>
    </row>
    <row r="162" spans="8:24" x14ac:dyDescent="0.25">
      <c r="H162" s="14">
        <v>36</v>
      </c>
      <c r="I162" s="17">
        <v>1.2376322285757886</v>
      </c>
      <c r="J162" s="15">
        <f t="shared" si="26"/>
        <v>-1.3300000000000001E-4</v>
      </c>
      <c r="K162" s="30">
        <f t="shared" si="27"/>
        <v>8.0000000000000007E-5</v>
      </c>
      <c r="L162" s="15">
        <f t="shared" si="28"/>
        <v>3.3800000000000002E-3</v>
      </c>
      <c r="M162" s="10">
        <f t="shared" si="29"/>
        <v>1.2420210637311999</v>
      </c>
      <c r="N162" s="18">
        <f t="shared" si="30"/>
        <v>3.5461545474311088E-3</v>
      </c>
      <c r="O162" s="14">
        <f t="shared" si="31"/>
        <v>6626.3018000000002</v>
      </c>
      <c r="P162" s="14">
        <f t="shared" ca="1" si="37"/>
        <v>6625</v>
      </c>
      <c r="Q162" s="14" t="str">
        <f t="shared" ca="1" si="32"/>
        <v>0001100111100001</v>
      </c>
      <c r="R162" s="14">
        <f t="shared" ca="1" si="33"/>
        <v>1.2421495914459229</v>
      </c>
      <c r="S162" s="14">
        <f t="shared" ca="1" si="34"/>
        <v>34.905795097351081</v>
      </c>
      <c r="T162" s="19">
        <f t="shared" ca="1" si="36"/>
        <v>3.0394580629136629E-2</v>
      </c>
      <c r="U162" s="14"/>
      <c r="V162" s="15">
        <f t="shared" ca="1" si="35"/>
        <v>1.0942050000000001</v>
      </c>
      <c r="W162" s="14"/>
      <c r="X162" s="2"/>
    </row>
    <row r="163" spans="8:24" x14ac:dyDescent="0.25">
      <c r="H163" s="14">
        <v>36.1</v>
      </c>
      <c r="I163" s="17">
        <v>1.2458650165092511</v>
      </c>
      <c r="J163" s="15">
        <f t="shared" si="26"/>
        <v>-1.3200000000000001E-4</v>
      </c>
      <c r="K163" s="30">
        <f t="shared" si="27"/>
        <v>8.1000000000000004E-5</v>
      </c>
      <c r="L163" s="15">
        <f t="shared" si="28"/>
        <v>3.411E-3</v>
      </c>
      <c r="M163" s="10">
        <f t="shared" si="29"/>
        <v>1.2503196590281962</v>
      </c>
      <c r="N163" s="18">
        <f t="shared" si="30"/>
        <v>3.5755418604067049E-3</v>
      </c>
      <c r="O163" s="14">
        <f t="shared" si="31"/>
        <v>6670.5756000000001</v>
      </c>
      <c r="P163" s="14">
        <f t="shared" ca="1" si="37"/>
        <v>6669</v>
      </c>
      <c r="Q163" s="14" t="str">
        <f t="shared" ca="1" si="32"/>
        <v>0001101000001101</v>
      </c>
      <c r="R163" s="14">
        <f t="shared" ca="1" si="33"/>
        <v>1.2503993396759034</v>
      </c>
      <c r="S163" s="14">
        <f t="shared" ca="1" si="34"/>
        <v>35.004792076110846</v>
      </c>
      <c r="T163" s="19">
        <f t="shared" ca="1" si="36"/>
        <v>3.0338169636818714E-2</v>
      </c>
      <c r="U163" s="14"/>
      <c r="V163" s="15">
        <f t="shared" ca="1" si="35"/>
        <v>1.095208</v>
      </c>
      <c r="W163" s="14"/>
      <c r="X163" s="2"/>
    </row>
    <row r="164" spans="8:24" x14ac:dyDescent="0.25">
      <c r="H164" s="14">
        <v>36.200000000000003</v>
      </c>
      <c r="I164" s="17">
        <v>1.254948308359771</v>
      </c>
      <c r="J164" s="15">
        <f t="shared" si="26"/>
        <v>-1.3200000000000001E-4</v>
      </c>
      <c r="K164" s="30">
        <f t="shared" si="27"/>
        <v>8.1000000000000004E-5</v>
      </c>
      <c r="L164" s="15">
        <f t="shared" si="28"/>
        <v>3.441E-3</v>
      </c>
      <c r="M164" s="10">
        <f t="shared" si="29"/>
        <v>1.2594719517678039</v>
      </c>
      <c r="N164" s="18">
        <f t="shared" si="30"/>
        <v>3.6046452096065618E-3</v>
      </c>
      <c r="O164" s="14">
        <f t="shared" si="31"/>
        <v>6719.4040000000005</v>
      </c>
      <c r="P164" s="14">
        <f t="shared" ca="1" si="37"/>
        <v>6720</v>
      </c>
      <c r="Q164" s="14" t="str">
        <f t="shared" ca="1" si="32"/>
        <v>0001101001000000</v>
      </c>
      <c r="R164" s="14">
        <f t="shared" ca="1" si="33"/>
        <v>1.2599615478515624</v>
      </c>
      <c r="S164" s="14">
        <f t="shared" ca="1" si="34"/>
        <v>35.119538574218751</v>
      </c>
      <c r="T164" s="19">
        <f t="shared" ca="1" si="36"/>
        <v>2.9847000712189271E-2</v>
      </c>
      <c r="U164" s="14"/>
      <c r="V164" s="15">
        <f t="shared" ca="1" si="35"/>
        <v>1.0804609999999999</v>
      </c>
      <c r="W164" s="14"/>
      <c r="X164" s="2"/>
    </row>
    <row r="165" spans="8:24" x14ac:dyDescent="0.25">
      <c r="H165" s="14">
        <v>36.299999999999997</v>
      </c>
      <c r="I165" s="17">
        <v>1.2632320658461689</v>
      </c>
      <c r="J165" s="15">
        <f t="shared" si="26"/>
        <v>-1.3100000000000001E-4</v>
      </c>
      <c r="K165" s="30">
        <f t="shared" si="27"/>
        <v>8.2000000000000001E-5</v>
      </c>
      <c r="L165" s="15">
        <f t="shared" si="28"/>
        <v>3.4719999999999998E-3</v>
      </c>
      <c r="M165" s="10">
        <f t="shared" si="29"/>
        <v>1.2678227450409512</v>
      </c>
      <c r="N165" s="18">
        <f t="shared" si="30"/>
        <v>3.6340743074054624E-3</v>
      </c>
      <c r="O165" s="14">
        <f t="shared" si="31"/>
        <v>6763.9561999999996</v>
      </c>
      <c r="P165" s="14">
        <f t="shared" ca="1" si="37"/>
        <v>6769</v>
      </c>
      <c r="Q165" s="14" t="str">
        <f t="shared" ca="1" si="32"/>
        <v>0001101001110001</v>
      </c>
      <c r="R165" s="14">
        <f t="shared" ca="1" si="33"/>
        <v>1.2691487674713136</v>
      </c>
      <c r="S165" s="14">
        <f t="shared" ca="1" si="34"/>
        <v>35.229785209655766</v>
      </c>
      <c r="T165" s="19">
        <f t="shared" ca="1" si="36"/>
        <v>2.9482501111411322E-2</v>
      </c>
      <c r="U165" s="14"/>
      <c r="V165" s="15">
        <f t="shared" ca="1" si="35"/>
        <v>1.0702149999999999</v>
      </c>
      <c r="W165" s="14"/>
      <c r="X165" s="2"/>
    </row>
    <row r="166" spans="8:24" x14ac:dyDescent="0.25">
      <c r="H166" s="14">
        <v>36.400000000000006</v>
      </c>
      <c r="I166" s="17">
        <v>1.2723640959277791</v>
      </c>
      <c r="J166" s="15">
        <f t="shared" si="26"/>
        <v>-1.3100000000000001E-4</v>
      </c>
      <c r="K166" s="30">
        <f t="shared" si="27"/>
        <v>8.2000000000000001E-5</v>
      </c>
      <c r="L166" s="15">
        <f t="shared" si="28"/>
        <v>3.5019999999999999E-3</v>
      </c>
      <c r="M166" s="10">
        <f t="shared" si="29"/>
        <v>1.2770250344825369</v>
      </c>
      <c r="N166" s="18">
        <f t="shared" si="30"/>
        <v>3.6632113163796464E-3</v>
      </c>
      <c r="O166" s="14">
        <f t="shared" si="31"/>
        <v>6813.0513000000001</v>
      </c>
      <c r="P166" s="14">
        <f t="shared" ca="1" si="37"/>
        <v>6814</v>
      </c>
      <c r="Q166" s="14" t="str">
        <f t="shared" ca="1" si="32"/>
        <v>0001101010011110</v>
      </c>
      <c r="R166" s="14">
        <f t="shared" ca="1" si="33"/>
        <v>1.277586009979248</v>
      </c>
      <c r="S166" s="14">
        <f t="shared" ca="1" si="34"/>
        <v>35.331032119750979</v>
      </c>
      <c r="T166" s="19">
        <f t="shared" ca="1" si="36"/>
        <v>2.9367249457390828E-2</v>
      </c>
      <c r="U166" s="14"/>
      <c r="V166" s="15">
        <f t="shared" ca="1" si="35"/>
        <v>1.0689679999999999</v>
      </c>
      <c r="W166" s="14"/>
      <c r="X166" s="2"/>
    </row>
    <row r="167" spans="8:24" x14ac:dyDescent="0.25">
      <c r="H167" s="14">
        <v>36.5</v>
      </c>
      <c r="I167" s="17">
        <v>1.2806985250152543</v>
      </c>
      <c r="J167" s="15">
        <f t="shared" si="26"/>
        <v>-1.2999999999999999E-4</v>
      </c>
      <c r="K167" s="30">
        <f t="shared" si="27"/>
        <v>8.2999999999999998E-5</v>
      </c>
      <c r="L167" s="15">
        <f t="shared" si="28"/>
        <v>3.5330000000000001E-3</v>
      </c>
      <c r="M167" s="10">
        <f t="shared" si="29"/>
        <v>1.2854277362935793</v>
      </c>
      <c r="N167" s="18">
        <f t="shared" si="30"/>
        <v>3.6926811313917236E-3</v>
      </c>
      <c r="O167" s="14">
        <f t="shared" si="31"/>
        <v>6857.8806000000004</v>
      </c>
      <c r="P167" s="14">
        <f t="shared" ca="1" si="37"/>
        <v>6856</v>
      </c>
      <c r="Q167" s="14" t="str">
        <f t="shared" ca="1" si="32"/>
        <v>0001101011001000</v>
      </c>
      <c r="R167" s="14">
        <f t="shared" ca="1" si="33"/>
        <v>1.2854607696533202</v>
      </c>
      <c r="S167" s="14">
        <f t="shared" ca="1" si="34"/>
        <v>35.425529235839846</v>
      </c>
      <c r="T167" s="19">
        <f t="shared" ca="1" si="36"/>
        <v>2.9437555182469963E-2</v>
      </c>
      <c r="U167" s="14"/>
      <c r="V167" s="15">
        <f t="shared" ca="1" si="35"/>
        <v>1.074471</v>
      </c>
      <c r="W167" s="14"/>
      <c r="X167" s="2"/>
    </row>
    <row r="168" spans="8:24" x14ac:dyDescent="0.25">
      <c r="H168" s="14">
        <v>36.6</v>
      </c>
      <c r="I168" s="17">
        <v>1.2890586994124942</v>
      </c>
      <c r="J168" s="15">
        <f t="shared" si="26"/>
        <v>-1.2999999999999999E-4</v>
      </c>
      <c r="K168" s="30">
        <f t="shared" si="27"/>
        <v>8.2999999999999998E-5</v>
      </c>
      <c r="L168" s="15">
        <f t="shared" si="28"/>
        <v>3.5630000000000002E-3</v>
      </c>
      <c r="M168" s="10">
        <f t="shared" si="29"/>
        <v>1.2938565034803946</v>
      </c>
      <c r="N168" s="18">
        <f t="shared" si="30"/>
        <v>3.7219438262098442E-3</v>
      </c>
      <c r="O168" s="14">
        <f t="shared" si="31"/>
        <v>6902.8487999999998</v>
      </c>
      <c r="P168" s="14">
        <f t="shared" ca="1" si="37"/>
        <v>6901</v>
      </c>
      <c r="Q168" s="14" t="str">
        <f t="shared" ca="1" si="32"/>
        <v>0001101011110101</v>
      </c>
      <c r="R168" s="14">
        <f t="shared" ca="1" si="33"/>
        <v>1.2938980121612549</v>
      </c>
      <c r="S168" s="14">
        <f t="shared" ca="1" si="34"/>
        <v>35.52677614593506</v>
      </c>
      <c r="T168" s="19">
        <f t="shared" ca="1" si="36"/>
        <v>2.9323056121992947E-2</v>
      </c>
      <c r="U168" s="14"/>
      <c r="V168" s="15">
        <f t="shared" ca="1" si="35"/>
        <v>1.073224</v>
      </c>
      <c r="W168" s="14"/>
      <c r="X168" s="2"/>
    </row>
    <row r="169" spans="8:24" x14ac:dyDescent="0.25">
      <c r="H169" s="14">
        <v>36.700000000000003</v>
      </c>
      <c r="I169" s="17">
        <v>1.2982637888308843</v>
      </c>
      <c r="J169" s="15">
        <f t="shared" si="26"/>
        <v>-1.2899999999999999E-4</v>
      </c>
      <c r="K169" s="30">
        <f t="shared" si="27"/>
        <v>8.3999999999999995E-5</v>
      </c>
      <c r="L169" s="15">
        <f t="shared" si="28"/>
        <v>3.594E-3</v>
      </c>
      <c r="M169" s="10">
        <f t="shared" si="29"/>
        <v>1.3031340441335</v>
      </c>
      <c r="N169" s="18">
        <f t="shared" si="30"/>
        <v>3.7513603510434647E-3</v>
      </c>
      <c r="O169" s="14">
        <f t="shared" si="31"/>
        <v>6952.3454000000002</v>
      </c>
      <c r="P169" s="14">
        <f t="shared" ca="1" si="37"/>
        <v>6956</v>
      </c>
      <c r="Q169" s="14" t="str">
        <f t="shared" ca="1" si="32"/>
        <v>0001101100101100</v>
      </c>
      <c r="R169" s="14">
        <f t="shared" ca="1" si="33"/>
        <v>1.3042101974487306</v>
      </c>
      <c r="S169" s="14">
        <f t="shared" ca="1" si="34"/>
        <v>35.650522369384774</v>
      </c>
      <c r="T169" s="19">
        <f t="shared" ca="1" si="36"/>
        <v>2.8596120725210596E-2</v>
      </c>
      <c r="U169" s="14"/>
      <c r="V169" s="15">
        <f t="shared" ca="1" si="35"/>
        <v>1.0494779999999999</v>
      </c>
      <c r="W169" s="14"/>
      <c r="X169" s="2"/>
    </row>
    <row r="170" spans="8:24" x14ac:dyDescent="0.25">
      <c r="H170" s="14">
        <v>36.799999999999997</v>
      </c>
      <c r="I170" s="17">
        <v>1.306674181791097</v>
      </c>
      <c r="J170" s="15">
        <f t="shared" si="26"/>
        <v>-1.2799999999999999E-4</v>
      </c>
      <c r="K170" s="30">
        <f t="shared" si="27"/>
        <v>8.3999999999999995E-5</v>
      </c>
      <c r="L170" s="15">
        <f t="shared" si="28"/>
        <v>3.6240000000000001E-3</v>
      </c>
      <c r="M170" s="10">
        <f t="shared" si="29"/>
        <v>1.3116132580462563</v>
      </c>
      <c r="N170" s="18">
        <f t="shared" si="30"/>
        <v>3.7798835578041244E-3</v>
      </c>
      <c r="O170" s="14">
        <f t="shared" si="31"/>
        <v>6997.5828000000001</v>
      </c>
      <c r="P170" s="14">
        <f t="shared" ca="1" si="37"/>
        <v>7000</v>
      </c>
      <c r="Q170" s="14" t="str">
        <f t="shared" ca="1" si="32"/>
        <v>0001101101011000</v>
      </c>
      <c r="R170" s="14">
        <f t="shared" ca="1" si="33"/>
        <v>1.3124599456787109</v>
      </c>
      <c r="S170" s="14">
        <f t="shared" ca="1" si="34"/>
        <v>35.749519348144538</v>
      </c>
      <c r="T170" s="19">
        <f t="shared" ca="1" si="36"/>
        <v>2.8545669887376598E-2</v>
      </c>
      <c r="U170" s="14"/>
      <c r="V170" s="15">
        <f t="shared" ca="1" si="35"/>
        <v>1.050481</v>
      </c>
      <c r="W170" s="14"/>
      <c r="X170" s="2"/>
    </row>
    <row r="171" spans="8:24" x14ac:dyDescent="0.25">
      <c r="H171" s="14">
        <v>36.900000000000006</v>
      </c>
      <c r="I171" s="17">
        <v>1.3151100936147369</v>
      </c>
      <c r="J171" s="15">
        <f t="shared" si="26"/>
        <v>-1.2799999999999999E-4</v>
      </c>
      <c r="K171" s="30">
        <f t="shared" si="27"/>
        <v>8.5000000000000006E-5</v>
      </c>
      <c r="L171" s="15">
        <f t="shared" si="28"/>
        <v>3.6549999999999998E-3</v>
      </c>
      <c r="M171" s="10">
        <f t="shared" si="29"/>
        <v>1.3201209236004965</v>
      </c>
      <c r="N171" s="18">
        <f t="shared" si="30"/>
        <v>3.810198104393505E-3</v>
      </c>
      <c r="O171" s="14">
        <f t="shared" si="31"/>
        <v>7042.9721</v>
      </c>
      <c r="P171" s="14">
        <f t="shared" ca="1" si="37"/>
        <v>7042</v>
      </c>
      <c r="Q171" s="14" t="str">
        <f t="shared" ca="1" si="32"/>
        <v>0001101110000010</v>
      </c>
      <c r="R171" s="14">
        <f t="shared" ca="1" si="33"/>
        <v>1.3203347053527832</v>
      </c>
      <c r="S171" s="14">
        <f t="shared" ca="1" si="34"/>
        <v>35.844016464233405</v>
      </c>
      <c r="T171" s="19">
        <f t="shared" ca="1" si="36"/>
        <v>2.86174399936748E-2</v>
      </c>
      <c r="U171" s="14"/>
      <c r="V171" s="15">
        <f t="shared" ca="1" si="35"/>
        <v>1.055984</v>
      </c>
      <c r="W171" s="14"/>
      <c r="X171" s="2"/>
    </row>
    <row r="172" spans="8:24" x14ac:dyDescent="0.25">
      <c r="H172" s="14">
        <v>37</v>
      </c>
      <c r="I172" s="17">
        <v>1.3243875486716703</v>
      </c>
      <c r="J172" s="15">
        <f t="shared" si="26"/>
        <v>-1.27E-4</v>
      </c>
      <c r="K172" s="30">
        <f t="shared" si="27"/>
        <v>8.5000000000000006E-5</v>
      </c>
      <c r="L172" s="15">
        <f t="shared" si="28"/>
        <v>3.6849999999999999E-3</v>
      </c>
      <c r="M172" s="10">
        <f t="shared" si="29"/>
        <v>1.329471437187707</v>
      </c>
      <c r="N172" s="18">
        <f t="shared" si="30"/>
        <v>3.8386713323722466E-3</v>
      </c>
      <c r="O172" s="14">
        <f t="shared" si="31"/>
        <v>7092.8579</v>
      </c>
      <c r="P172" s="14">
        <f t="shared" ca="1" si="37"/>
        <v>7096</v>
      </c>
      <c r="Q172" s="14" t="str">
        <f t="shared" ca="1" si="32"/>
        <v>0001101110111000</v>
      </c>
      <c r="R172" s="14">
        <f t="shared" ca="1" si="33"/>
        <v>1.3304593963623048</v>
      </c>
      <c r="S172" s="14">
        <f t="shared" ca="1" si="34"/>
        <v>35.965512756347664</v>
      </c>
      <c r="T172" s="19">
        <f t="shared" ca="1" si="36"/>
        <v>2.7959114693306378E-2</v>
      </c>
      <c r="U172" s="14"/>
      <c r="V172" s="15">
        <f t="shared" ca="1" si="35"/>
        <v>1.0344869999999999</v>
      </c>
      <c r="W172" s="14"/>
      <c r="X172" s="2"/>
    </row>
    <row r="173" spans="8:24" x14ac:dyDescent="0.25">
      <c r="H173" s="14">
        <v>37.1</v>
      </c>
      <c r="I173" s="17">
        <v>1.3328732183822263</v>
      </c>
      <c r="J173" s="15">
        <f t="shared" si="26"/>
        <v>-1.27E-4</v>
      </c>
      <c r="K173" s="30">
        <f t="shared" si="27"/>
        <v>8.6000000000000003E-5</v>
      </c>
      <c r="L173" s="15">
        <f t="shared" si="28"/>
        <v>3.7160000000000001E-3</v>
      </c>
      <c r="M173" s="10">
        <f t="shared" si="29"/>
        <v>1.3380301227905158</v>
      </c>
      <c r="N173" s="18">
        <f t="shared" si="30"/>
        <v>3.8690134494177319E-3</v>
      </c>
      <c r="O173" s="14">
        <f t="shared" si="31"/>
        <v>7138.5194000000001</v>
      </c>
      <c r="P173" s="14">
        <f t="shared" ca="1" si="37"/>
        <v>7139</v>
      </c>
      <c r="Q173" s="14" t="str">
        <f t="shared" ca="1" si="32"/>
        <v>0001101111100011</v>
      </c>
      <c r="R173" s="14">
        <f t="shared" ca="1" si="33"/>
        <v>1.3385216503143311</v>
      </c>
      <c r="S173" s="14">
        <f t="shared" ca="1" si="34"/>
        <v>36.06225980377198</v>
      </c>
      <c r="T173" s="19">
        <f t="shared" ca="1" si="36"/>
        <v>2.7971433860593576E-2</v>
      </c>
      <c r="U173" s="14"/>
      <c r="V173" s="15">
        <f t="shared" ca="1" si="35"/>
        <v>1.0377400000000001</v>
      </c>
      <c r="W173" s="14"/>
      <c r="X173" s="2"/>
    </row>
    <row r="174" spans="8:24" x14ac:dyDescent="0.25">
      <c r="H174" s="14">
        <v>37.200000000000003</v>
      </c>
      <c r="I174" s="17">
        <v>1.3405701753312771</v>
      </c>
      <c r="J174" s="15">
        <f t="shared" si="26"/>
        <v>-1.26E-4</v>
      </c>
      <c r="K174" s="30">
        <f t="shared" si="27"/>
        <v>8.6000000000000003E-5</v>
      </c>
      <c r="L174" s="15">
        <f t="shared" si="28"/>
        <v>3.7460000000000002E-3</v>
      </c>
      <c r="M174" s="10">
        <f t="shared" si="29"/>
        <v>1.3457953072843643</v>
      </c>
      <c r="N174" s="18">
        <f t="shared" si="30"/>
        <v>3.8976937196114649E-3</v>
      </c>
      <c r="O174" s="14">
        <f t="shared" si="31"/>
        <v>7179.9474</v>
      </c>
      <c r="P174" s="14">
        <f t="shared" ca="1" si="37"/>
        <v>7179</v>
      </c>
      <c r="Q174" s="14" t="str">
        <f t="shared" ca="1" si="32"/>
        <v>0001110000001011</v>
      </c>
      <c r="R174" s="14">
        <f t="shared" ca="1" si="33"/>
        <v>1.346021421432495</v>
      </c>
      <c r="S174" s="14">
        <f t="shared" ca="1" si="34"/>
        <v>36.152257057189942</v>
      </c>
      <c r="T174" s="19">
        <f t="shared" ca="1" si="36"/>
        <v>2.8165132871238188E-2</v>
      </c>
      <c r="U174" s="14"/>
      <c r="V174" s="15">
        <f t="shared" ca="1" si="35"/>
        <v>1.0477430000000001</v>
      </c>
      <c r="W174" s="14"/>
      <c r="X174" s="2"/>
    </row>
    <row r="175" spans="8:24" x14ac:dyDescent="0.25">
      <c r="H175" s="14">
        <v>37.299999999999997</v>
      </c>
      <c r="I175" s="17">
        <v>1.3491073945679499</v>
      </c>
      <c r="J175" s="15">
        <f t="shared" si="26"/>
        <v>-1.26E-4</v>
      </c>
      <c r="K175" s="30">
        <f t="shared" si="27"/>
        <v>8.7000000000000001E-5</v>
      </c>
      <c r="L175" s="15">
        <f t="shared" si="28"/>
        <v>3.777E-3</v>
      </c>
      <c r="M175" s="10">
        <f t="shared" si="29"/>
        <v>1.3544067698717555</v>
      </c>
      <c r="N175" s="18">
        <f t="shared" si="30"/>
        <v>3.9280603791387939E-3</v>
      </c>
      <c r="O175" s="14">
        <f t="shared" si="31"/>
        <v>7225.8903</v>
      </c>
      <c r="P175" s="14">
        <f t="shared" ca="1" si="37"/>
        <v>7225</v>
      </c>
      <c r="Q175" s="14" t="str">
        <f t="shared" ca="1" si="32"/>
        <v>0001110000111001</v>
      </c>
      <c r="R175" s="14">
        <f t="shared" ca="1" si="33"/>
        <v>1.3546461582183837</v>
      </c>
      <c r="S175" s="14">
        <f t="shared" ca="1" si="34"/>
        <v>36.255753898620611</v>
      </c>
      <c r="T175" s="19">
        <f t="shared" ca="1" si="36"/>
        <v>2.799587403161893E-2</v>
      </c>
      <c r="U175" s="14"/>
      <c r="V175" s="15">
        <f t="shared" ca="1" si="35"/>
        <v>1.044246</v>
      </c>
      <c r="W175" s="14"/>
      <c r="X175" s="2"/>
    </row>
    <row r="176" spans="8:24" x14ac:dyDescent="0.25">
      <c r="H176" s="14">
        <v>37.400000000000006</v>
      </c>
      <c r="I176" s="17">
        <v>1.3584816412342156</v>
      </c>
      <c r="J176" s="15">
        <f t="shared" si="26"/>
        <v>-1.25E-4</v>
      </c>
      <c r="K176" s="30">
        <f t="shared" si="27"/>
        <v>8.7000000000000001E-5</v>
      </c>
      <c r="L176" s="15">
        <f t="shared" si="28"/>
        <v>3.8070000000000001E-3</v>
      </c>
      <c r="M176" s="10">
        <f t="shared" si="29"/>
        <v>1.3638566225904172</v>
      </c>
      <c r="N176" s="18">
        <f t="shared" si="30"/>
        <v>3.9566094918429048E-3</v>
      </c>
      <c r="O176" s="14">
        <f t="shared" si="31"/>
        <v>7276.3062</v>
      </c>
      <c r="P176" s="14">
        <f t="shared" ca="1" si="37"/>
        <v>7277</v>
      </c>
      <c r="Q176" s="14" t="str">
        <f t="shared" ca="1" si="32"/>
        <v>0001110001101101</v>
      </c>
      <c r="R176" s="14">
        <f t="shared" ca="1" si="33"/>
        <v>1.364395860671997</v>
      </c>
      <c r="S176" s="14">
        <f t="shared" ca="1" si="34"/>
        <v>36.372750328063965</v>
      </c>
      <c r="T176" s="19">
        <f t="shared" ca="1" si="36"/>
        <v>2.7466568768343323E-2</v>
      </c>
      <c r="U176" s="14"/>
      <c r="V176" s="15">
        <f t="shared" ca="1" si="35"/>
        <v>1.02725</v>
      </c>
      <c r="W176" s="14"/>
      <c r="X176" s="2"/>
    </row>
    <row r="177" spans="8:24" x14ac:dyDescent="0.25">
      <c r="H177" s="14">
        <v>37.5</v>
      </c>
      <c r="I177" s="17">
        <v>1.3670679936773122</v>
      </c>
      <c r="J177" s="15">
        <f t="shared" si="26"/>
        <v>-1.2400000000000001E-4</v>
      </c>
      <c r="K177" s="30">
        <f t="shared" si="27"/>
        <v>8.7999999999999998E-5</v>
      </c>
      <c r="L177" s="15">
        <f t="shared" si="28"/>
        <v>3.8379999999999998E-3</v>
      </c>
      <c r="M177" s="10">
        <f t="shared" si="29"/>
        <v>1.3725174932122608</v>
      </c>
      <c r="N177" s="18">
        <f t="shared" si="30"/>
        <v>3.9862681008936513E-3</v>
      </c>
      <c r="O177" s="14">
        <f t="shared" si="31"/>
        <v>7322.5128000000004</v>
      </c>
      <c r="P177" s="14">
        <f t="shared" ca="1" si="37"/>
        <v>7326</v>
      </c>
      <c r="Q177" s="14" t="str">
        <f t="shared" ca="1" si="32"/>
        <v>0001110010011110</v>
      </c>
      <c r="R177" s="14">
        <f t="shared" ca="1" si="33"/>
        <v>1.3735830802917481</v>
      </c>
      <c r="S177" s="14">
        <f t="shared" ca="1" si="34"/>
        <v>36.48299696350098</v>
      </c>
      <c r="T177" s="19">
        <f t="shared" ca="1" si="36"/>
        <v>2.7120080973307193E-2</v>
      </c>
      <c r="U177" s="14"/>
      <c r="V177" s="15">
        <f t="shared" ca="1" si="35"/>
        <v>1.0170030000000001</v>
      </c>
      <c r="W177" s="14"/>
      <c r="X177" s="2"/>
    </row>
    <row r="178" spans="8:24" x14ac:dyDescent="0.25">
      <c r="H178" s="14">
        <v>37.6</v>
      </c>
      <c r="I178" s="17">
        <v>1.3756793211344109</v>
      </c>
      <c r="J178" s="15">
        <f t="shared" si="26"/>
        <v>-1.2400000000000001E-4</v>
      </c>
      <c r="K178" s="30">
        <f t="shared" si="27"/>
        <v>8.7999999999999998E-5</v>
      </c>
      <c r="L178" s="15">
        <f t="shared" si="28"/>
        <v>3.8679999999999999E-3</v>
      </c>
      <c r="M178" s="10">
        <f t="shared" si="29"/>
        <v>1.3812035922853707</v>
      </c>
      <c r="N178" s="18">
        <f t="shared" si="30"/>
        <v>4.0156677985130661E-3</v>
      </c>
      <c r="O178" s="14">
        <f t="shared" si="31"/>
        <v>7368.8540000000003</v>
      </c>
      <c r="P178" s="14">
        <f t="shared" ca="1" si="37"/>
        <v>7367</v>
      </c>
      <c r="Q178" s="14" t="str">
        <f t="shared" ca="1" si="32"/>
        <v>0001110011000111</v>
      </c>
      <c r="R178" s="14">
        <f t="shared" ca="1" si="33"/>
        <v>1.3812703456878663</v>
      </c>
      <c r="S178" s="14">
        <f t="shared" ca="1" si="34"/>
        <v>36.575244148254399</v>
      </c>
      <c r="T178" s="19">
        <f t="shared" ca="1" si="36"/>
        <v>2.7254144993234117E-2</v>
      </c>
      <c r="U178" s="14"/>
      <c r="V178" s="15">
        <f t="shared" ca="1" si="35"/>
        <v>1.024756</v>
      </c>
      <c r="W178" s="14"/>
      <c r="X178" s="2"/>
    </row>
    <row r="179" spans="8:24" x14ac:dyDescent="0.25">
      <c r="H179" s="14">
        <v>37.700000000000003</v>
      </c>
      <c r="I179" s="17">
        <v>1.3843155437346542</v>
      </c>
      <c r="J179" s="15">
        <f t="shared" si="26"/>
        <v>-1.2300000000000001E-4</v>
      </c>
      <c r="K179" s="30">
        <f t="shared" si="27"/>
        <v>8.8999999999999995E-5</v>
      </c>
      <c r="L179" s="15">
        <f t="shared" si="28"/>
        <v>3.8990000000000001E-3</v>
      </c>
      <c r="M179" s="10">
        <f t="shared" si="29"/>
        <v>1.3899155985112495</v>
      </c>
      <c r="N179" s="18">
        <f t="shared" si="30"/>
        <v>4.0453600351024657E-3</v>
      </c>
      <c r="O179" s="14">
        <f t="shared" si="31"/>
        <v>7415.3334000000004</v>
      </c>
      <c r="P179" s="14">
        <f t="shared" ca="1" si="37"/>
        <v>7416</v>
      </c>
      <c r="Q179" s="14" t="str">
        <f t="shared" ca="1" si="32"/>
        <v>0001110011111000</v>
      </c>
      <c r="R179" s="14">
        <f t="shared" ca="1" si="33"/>
        <v>1.3904575653076172</v>
      </c>
      <c r="S179" s="14">
        <f t="shared" ca="1" si="34"/>
        <v>36.685490783691414</v>
      </c>
      <c r="T179" s="19">
        <f t="shared" ca="1" si="36"/>
        <v>2.6910058788026235E-2</v>
      </c>
      <c r="U179" s="14"/>
      <c r="V179" s="15">
        <f t="shared" ca="1" si="35"/>
        <v>1.0145090000000001</v>
      </c>
      <c r="W179" s="14"/>
      <c r="X179" s="2"/>
    </row>
    <row r="180" spans="8:24" x14ac:dyDescent="0.25">
      <c r="H180" s="14">
        <v>37.799999999999997</v>
      </c>
      <c r="I180" s="17">
        <v>1.3937842573020207</v>
      </c>
      <c r="J180" s="15">
        <f t="shared" si="26"/>
        <v>-1.2300000000000001E-4</v>
      </c>
      <c r="K180" s="30">
        <f t="shared" si="27"/>
        <v>8.8999999999999995E-5</v>
      </c>
      <c r="L180" s="15">
        <f t="shared" si="28"/>
        <v>3.9290000000000002E-3</v>
      </c>
      <c r="M180" s="10">
        <f t="shared" si="29"/>
        <v>1.3994635215963729</v>
      </c>
      <c r="N180" s="18">
        <f t="shared" si="30"/>
        <v>4.0747083091221374E-3</v>
      </c>
      <c r="O180" s="14">
        <f t="shared" si="31"/>
        <v>7466.2723999999998</v>
      </c>
      <c r="P180" s="14">
        <f t="shared" ca="1" si="37"/>
        <v>7465</v>
      </c>
      <c r="Q180" s="14" t="str">
        <f t="shared" ca="1" si="32"/>
        <v>0001110100101001</v>
      </c>
      <c r="R180" s="14">
        <f t="shared" ca="1" si="33"/>
        <v>1.3996447849273681</v>
      </c>
      <c r="S180" s="14">
        <f t="shared" ca="1" si="34"/>
        <v>36.795737419128422</v>
      </c>
      <c r="T180" s="19">
        <f t="shared" ca="1" si="36"/>
        <v>2.6567793144750676E-2</v>
      </c>
      <c r="U180" s="14"/>
      <c r="V180" s="15">
        <f t="shared" ca="1" si="35"/>
        <v>1.0042629999999999</v>
      </c>
      <c r="W180" s="14"/>
      <c r="X180" s="2"/>
    </row>
    <row r="181" spans="8:24" x14ac:dyDescent="0.25">
      <c r="H181" s="14">
        <v>37.900000000000006</v>
      </c>
      <c r="I181" s="17">
        <v>1.4024689733414464</v>
      </c>
      <c r="J181" s="15">
        <f t="shared" si="26"/>
        <v>-1.22E-4</v>
      </c>
      <c r="K181" s="30">
        <f t="shared" si="27"/>
        <v>9.0000000000000006E-5</v>
      </c>
      <c r="L181" s="15">
        <f t="shared" si="28"/>
        <v>3.96E-3</v>
      </c>
      <c r="M181" s="10">
        <f t="shared" si="29"/>
        <v>1.4082253159124596</v>
      </c>
      <c r="N181" s="18">
        <f t="shared" si="30"/>
        <v>4.1044348790821783E-3</v>
      </c>
      <c r="O181" s="14">
        <f t="shared" si="31"/>
        <v>7513.0174999999999</v>
      </c>
      <c r="P181" s="14">
        <f t="shared" ca="1" si="37"/>
        <v>7513</v>
      </c>
      <c r="Q181" s="14" t="str">
        <f t="shared" ca="1" si="32"/>
        <v>0001110101011001</v>
      </c>
      <c r="R181" s="14">
        <f t="shared" ca="1" si="33"/>
        <v>1.4086445102691652</v>
      </c>
      <c r="S181" s="14">
        <f t="shared" ca="1" si="34"/>
        <v>36.903734123229988</v>
      </c>
      <c r="T181" s="19">
        <f t="shared" ca="1" si="36"/>
        <v>2.6286698595514975E-2</v>
      </c>
      <c r="U181" s="14"/>
      <c r="V181" s="15">
        <f t="shared" ca="1" si="35"/>
        <v>0.99626599999999998</v>
      </c>
      <c r="W181" s="14"/>
      <c r="X181" s="2"/>
    </row>
    <row r="182" spans="8:24" x14ac:dyDescent="0.25">
      <c r="H182" s="14">
        <v>38</v>
      </c>
      <c r="I182" s="17">
        <v>1.4111783436019989</v>
      </c>
      <c r="J182" s="15">
        <f t="shared" si="26"/>
        <v>-1.22E-4</v>
      </c>
      <c r="K182" s="30">
        <f t="shared" si="27"/>
        <v>9.0000000000000006E-5</v>
      </c>
      <c r="L182" s="15">
        <f t="shared" si="28"/>
        <v>3.9899999999999996E-3</v>
      </c>
      <c r="M182" s="10">
        <f t="shared" si="29"/>
        <v>1.4170119900221874</v>
      </c>
      <c r="N182" s="18">
        <f t="shared" si="30"/>
        <v>4.1338831811280653E-3</v>
      </c>
      <c r="O182" s="14">
        <f t="shared" si="31"/>
        <v>7559.8951999999999</v>
      </c>
      <c r="P182" s="14">
        <f t="shared" ca="1" si="37"/>
        <v>7564</v>
      </c>
      <c r="Q182" s="14" t="str">
        <f t="shared" ca="1" si="32"/>
        <v>0001110110001100</v>
      </c>
      <c r="R182" s="14">
        <f t="shared" ca="1" si="33"/>
        <v>1.4182067184448242</v>
      </c>
      <c r="S182" s="14">
        <f t="shared" ca="1" si="34"/>
        <v>37.018480621337893</v>
      </c>
      <c r="T182" s="19">
        <f t="shared" ca="1" si="36"/>
        <v>2.5829457333213332E-2</v>
      </c>
      <c r="U182" s="14"/>
      <c r="V182" s="15">
        <f t="shared" ca="1" si="35"/>
        <v>0.98151900000000003</v>
      </c>
      <c r="W182" s="14"/>
      <c r="X182" s="2"/>
    </row>
    <row r="183" spans="8:24" x14ac:dyDescent="0.25">
      <c r="H183" s="14">
        <v>38.1</v>
      </c>
      <c r="I183" s="17">
        <v>1.4199122864960834</v>
      </c>
      <c r="J183" s="15">
        <f t="shared" si="26"/>
        <v>-1.21E-4</v>
      </c>
      <c r="K183" s="30">
        <f t="shared" si="27"/>
        <v>9.1000000000000003E-5</v>
      </c>
      <c r="L183" s="15">
        <f t="shared" si="28"/>
        <v>4.0210000000000003E-3</v>
      </c>
      <c r="M183" s="10">
        <f t="shared" si="29"/>
        <v>1.4258242927592684</v>
      </c>
      <c r="N183" s="18">
        <f t="shared" si="30"/>
        <v>4.1636418808474801E-3</v>
      </c>
      <c r="O183" s="14">
        <f t="shared" si="31"/>
        <v>7606.9097000000002</v>
      </c>
      <c r="P183" s="14">
        <f t="shared" ca="1" si="37"/>
        <v>7612</v>
      </c>
      <c r="Q183" s="14" t="str">
        <f t="shared" ca="1" si="32"/>
        <v>0001110110111100</v>
      </c>
      <c r="R183" s="14">
        <f t="shared" ca="1" si="33"/>
        <v>1.4272064437866212</v>
      </c>
      <c r="S183" s="14">
        <f t="shared" ca="1" si="34"/>
        <v>37.126477325439453</v>
      </c>
      <c r="T183" s="19">
        <f t="shared" ca="1" si="36"/>
        <v>2.5551776235185005E-2</v>
      </c>
      <c r="U183" s="14"/>
      <c r="V183" s="15">
        <f t="shared" ca="1" si="35"/>
        <v>0.97352300000000003</v>
      </c>
      <c r="W183" s="14"/>
      <c r="X183" s="2"/>
    </row>
    <row r="184" spans="8:24" x14ac:dyDescent="0.25">
      <c r="H184" s="14">
        <v>38.200000000000003</v>
      </c>
      <c r="I184" s="17">
        <v>1.4294741627850502</v>
      </c>
      <c r="J184" s="15">
        <f t="shared" si="26"/>
        <v>-1.2E-4</v>
      </c>
      <c r="K184" s="30">
        <f t="shared" si="27"/>
        <v>9.1000000000000003E-5</v>
      </c>
      <c r="L184" s="15">
        <f t="shared" si="28"/>
        <v>4.0509999999999999E-3</v>
      </c>
      <c r="M184" s="10">
        <f t="shared" si="29"/>
        <v>1.4354670046629396</v>
      </c>
      <c r="N184" s="18">
        <f t="shared" si="30"/>
        <v>4.1923401163218793E-3</v>
      </c>
      <c r="O184" s="14">
        <f t="shared" si="31"/>
        <v>7658.3545000000004</v>
      </c>
      <c r="P184" s="14">
        <f t="shared" ca="1" si="37"/>
        <v>7663</v>
      </c>
      <c r="Q184" s="14" t="str">
        <f t="shared" ca="1" si="32"/>
        <v>0001110111101111</v>
      </c>
      <c r="R184" s="14">
        <f t="shared" ca="1" si="33"/>
        <v>1.4367686519622802</v>
      </c>
      <c r="S184" s="14">
        <f t="shared" ca="1" si="34"/>
        <v>37.241223823547365</v>
      </c>
      <c r="T184" s="19">
        <f t="shared" ca="1" si="36"/>
        <v>2.5098852786718261E-2</v>
      </c>
      <c r="U184" s="14"/>
      <c r="V184" s="15">
        <f t="shared" ca="1" si="35"/>
        <v>0.95877599999999996</v>
      </c>
      <c r="W184" s="14"/>
      <c r="X184" s="2"/>
    </row>
    <row r="185" spans="8:24" x14ac:dyDescent="0.25">
      <c r="H185" s="14">
        <v>38.299999999999997</v>
      </c>
      <c r="I185" s="17">
        <v>1.4382559460101785</v>
      </c>
      <c r="J185" s="15">
        <f t="shared" si="26"/>
        <v>-1.2E-4</v>
      </c>
      <c r="K185" s="30">
        <f t="shared" si="27"/>
        <v>9.2E-5</v>
      </c>
      <c r="L185" s="15">
        <f t="shared" si="28"/>
        <v>4.0819999999999997E-3</v>
      </c>
      <c r="M185" s="10">
        <f t="shared" si="29"/>
        <v>1.4443294621185463</v>
      </c>
      <c r="N185" s="18">
        <f t="shared" si="30"/>
        <v>4.2228339992031114E-3</v>
      </c>
      <c r="O185" s="14">
        <f t="shared" si="31"/>
        <v>7705.6364999999996</v>
      </c>
      <c r="P185" s="14">
        <f t="shared" ca="1" si="37"/>
        <v>7710</v>
      </c>
      <c r="Q185" s="14" t="str">
        <f t="shared" ca="1" si="32"/>
        <v>0001111000011110</v>
      </c>
      <c r="R185" s="14">
        <f t="shared" ca="1" si="33"/>
        <v>1.445580883026123</v>
      </c>
      <c r="S185" s="14">
        <f t="shared" ca="1" si="34"/>
        <v>37.346970596313483</v>
      </c>
      <c r="T185" s="19">
        <f t="shared" ca="1" si="36"/>
        <v>2.4883274247689671E-2</v>
      </c>
      <c r="U185" s="14"/>
      <c r="V185" s="15">
        <f t="shared" ca="1" si="35"/>
        <v>0.95302900000000002</v>
      </c>
      <c r="W185" s="14"/>
      <c r="X185" s="2"/>
    </row>
    <row r="186" spans="8:24" x14ac:dyDescent="0.25">
      <c r="H186" s="14">
        <v>38.400000000000006</v>
      </c>
      <c r="I186" s="17">
        <v>1.4470620553602411</v>
      </c>
      <c r="J186" s="15">
        <f t="shared" si="26"/>
        <v>-1.1900000000000001E-4</v>
      </c>
      <c r="K186" s="30">
        <f t="shared" si="27"/>
        <v>9.2E-5</v>
      </c>
      <c r="L186" s="15">
        <f t="shared" si="28"/>
        <v>4.1120000000000002E-3</v>
      </c>
      <c r="M186" s="10">
        <f t="shared" si="29"/>
        <v>1.453214434619396</v>
      </c>
      <c r="N186" s="18">
        <f t="shared" si="30"/>
        <v>4.2516347079692386E-3</v>
      </c>
      <c r="O186" s="14">
        <f t="shared" si="31"/>
        <v>7753.0387000000001</v>
      </c>
      <c r="P186" s="14">
        <f t="shared" ca="1" si="37"/>
        <v>7755</v>
      </c>
      <c r="Q186" s="14" t="str">
        <f t="shared" ca="1" si="32"/>
        <v>0001111001001011</v>
      </c>
      <c r="R186" s="14">
        <f t="shared" ca="1" si="33"/>
        <v>1.4540181255340576</v>
      </c>
      <c r="S186" s="14">
        <f t="shared" ca="1" si="34"/>
        <v>37.448217506408696</v>
      </c>
      <c r="T186" s="19">
        <f t="shared" ca="1" si="36"/>
        <v>2.4786002437273687E-2</v>
      </c>
      <c r="U186" s="14"/>
      <c r="V186" s="15">
        <f t="shared" ca="1" si="35"/>
        <v>0.95178200000000002</v>
      </c>
      <c r="W186" s="14"/>
      <c r="X186" s="2"/>
    </row>
    <row r="187" spans="8:24" x14ac:dyDescent="0.25">
      <c r="H187" s="14">
        <v>38.5</v>
      </c>
      <c r="I187" s="17">
        <v>1.4558924089566518</v>
      </c>
      <c r="J187" s="15">
        <f t="shared" si="26"/>
        <v>-1.1900000000000001E-4</v>
      </c>
      <c r="K187" s="30">
        <f t="shared" si="27"/>
        <v>9.2999999999999997E-5</v>
      </c>
      <c r="L187" s="15">
        <f t="shared" si="28"/>
        <v>4.143E-3</v>
      </c>
      <c r="M187" s="10">
        <f t="shared" si="29"/>
        <v>1.4621267598286216</v>
      </c>
      <c r="N187" s="18">
        <f t="shared" si="30"/>
        <v>4.2821508193984937E-3</v>
      </c>
      <c r="O187" s="14">
        <f t="shared" si="31"/>
        <v>7800.5868</v>
      </c>
      <c r="P187" s="14">
        <f t="shared" ca="1" si="37"/>
        <v>7803</v>
      </c>
      <c r="Q187" s="14" t="str">
        <f t="shared" ca="1" si="32"/>
        <v>0001111001111011</v>
      </c>
      <c r="R187" s="14">
        <f t="shared" ca="1" si="33"/>
        <v>1.4630178508758545</v>
      </c>
      <c r="S187" s="14">
        <f t="shared" ca="1" si="34"/>
        <v>37.556214210510255</v>
      </c>
      <c r="T187" s="19">
        <f t="shared" ca="1" si="36"/>
        <v>2.451391661012324E-2</v>
      </c>
      <c r="U187" s="14"/>
      <c r="V187" s="15">
        <f t="shared" ca="1" si="35"/>
        <v>0.94378600000000001</v>
      </c>
      <c r="W187" s="14"/>
      <c r="X187" s="2"/>
    </row>
    <row r="188" spans="8:24" x14ac:dyDescent="0.25">
      <c r="H188" s="14">
        <v>38.6</v>
      </c>
      <c r="I188" s="17">
        <v>1.4647469230004762</v>
      </c>
      <c r="J188" s="15">
        <f t="shared" si="26"/>
        <v>-1.18E-4</v>
      </c>
      <c r="K188" s="30">
        <f t="shared" si="27"/>
        <v>9.2999999999999997E-5</v>
      </c>
      <c r="L188" s="15">
        <f t="shared" si="28"/>
        <v>4.1729999999999996E-3</v>
      </c>
      <c r="M188" s="10">
        <f t="shared" si="29"/>
        <v>1.4710614202732764</v>
      </c>
      <c r="N188" s="18">
        <f t="shared" si="30"/>
        <v>4.3109817632285604E-3</v>
      </c>
      <c r="O188" s="14">
        <f t="shared" si="31"/>
        <v>7848.2541000000001</v>
      </c>
      <c r="P188" s="14">
        <f t="shared" ca="1" si="37"/>
        <v>7849</v>
      </c>
      <c r="Q188" s="14" t="str">
        <f t="shared" ca="1" si="32"/>
        <v>0001111010101001</v>
      </c>
      <c r="R188" s="14">
        <f t="shared" ca="1" si="33"/>
        <v>1.4716425876617432</v>
      </c>
      <c r="S188" s="14">
        <f t="shared" ca="1" si="34"/>
        <v>37.659711051940924</v>
      </c>
      <c r="T188" s="19">
        <f t="shared" ca="1" si="36"/>
        <v>2.435981730722998E-2</v>
      </c>
      <c r="U188" s="14"/>
      <c r="V188" s="15">
        <f t="shared" ca="1" si="35"/>
        <v>0.94028900000000004</v>
      </c>
      <c r="W188" s="14"/>
      <c r="X188" s="2"/>
    </row>
    <row r="189" spans="8:24" x14ac:dyDescent="0.25">
      <c r="H189" s="14">
        <v>38.700000000000003</v>
      </c>
      <c r="I189" s="17">
        <v>1.4728273873547839</v>
      </c>
      <c r="J189" s="15">
        <f t="shared" si="26"/>
        <v>-1.17E-4</v>
      </c>
      <c r="K189" s="30">
        <f t="shared" si="27"/>
        <v>9.3999999999999994E-5</v>
      </c>
      <c r="L189" s="15">
        <f t="shared" si="28"/>
        <v>4.2040000000000003E-3</v>
      </c>
      <c r="M189" s="10">
        <f t="shared" si="29"/>
        <v>1.4792207877143349</v>
      </c>
      <c r="N189" s="18">
        <f t="shared" si="30"/>
        <v>4.3409026844846797E-3</v>
      </c>
      <c r="O189" s="14">
        <f t="shared" si="31"/>
        <v>7891.7851000000001</v>
      </c>
      <c r="P189" s="14">
        <f t="shared" ca="1" si="37"/>
        <v>7892</v>
      </c>
      <c r="Q189" s="14" t="str">
        <f t="shared" ca="1" si="32"/>
        <v>0001111011010100</v>
      </c>
      <c r="R189" s="14">
        <f t="shared" ca="1" si="33"/>
        <v>1.4797048416137695</v>
      </c>
      <c r="S189" s="14">
        <f t="shared" ca="1" si="34"/>
        <v>37.75645809936524</v>
      </c>
      <c r="T189" s="19">
        <f t="shared" ca="1" si="36"/>
        <v>2.4380927664980952E-2</v>
      </c>
      <c r="U189" s="14"/>
      <c r="V189" s="15">
        <f t="shared" ca="1" si="35"/>
        <v>0.94354199999999999</v>
      </c>
      <c r="W189" s="14"/>
      <c r="X189" s="2"/>
    </row>
    <row r="190" spans="8:24" x14ac:dyDescent="0.25">
      <c r="H190" s="14">
        <v>38.799999999999997</v>
      </c>
      <c r="I190" s="17">
        <v>1.4817310371800962</v>
      </c>
      <c r="J190" s="15">
        <f t="shared" si="26"/>
        <v>-1.17E-4</v>
      </c>
      <c r="K190" s="30">
        <f t="shared" si="27"/>
        <v>9.3999999999999994E-5</v>
      </c>
      <c r="L190" s="15">
        <f t="shared" si="28"/>
        <v>4.2339999999999999E-3</v>
      </c>
      <c r="M190" s="10">
        <f t="shared" si="29"/>
        <v>1.4882068594510116</v>
      </c>
      <c r="N190" s="18">
        <f t="shared" si="30"/>
        <v>4.3704438311824778E-3</v>
      </c>
      <c r="O190" s="14">
        <f t="shared" si="31"/>
        <v>7939.7267000000002</v>
      </c>
      <c r="P190" s="14">
        <f t="shared" ca="1" si="37"/>
        <v>7938</v>
      </c>
      <c r="Q190" s="14" t="str">
        <f t="shared" ca="1" si="32"/>
        <v>0001111100000010</v>
      </c>
      <c r="R190" s="14">
        <f t="shared" ca="1" si="33"/>
        <v>1.4883295783996582</v>
      </c>
      <c r="S190" s="14">
        <f t="shared" ca="1" si="34"/>
        <v>37.859954940795902</v>
      </c>
      <c r="T190" s="19">
        <f t="shared" ca="1" si="36"/>
        <v>2.4227965443404522E-2</v>
      </c>
      <c r="U190" s="14"/>
      <c r="V190" s="15">
        <f t="shared" ca="1" si="35"/>
        <v>0.94004500000000002</v>
      </c>
      <c r="W190" s="14"/>
      <c r="X190" s="2"/>
    </row>
    <row r="191" spans="8:24" x14ac:dyDescent="0.25">
      <c r="H191" s="14">
        <v>38.900000000000006</v>
      </c>
      <c r="I191" s="17">
        <v>1.4906585970888542</v>
      </c>
      <c r="J191" s="15">
        <f t="shared" si="26"/>
        <v>-1.16E-4</v>
      </c>
      <c r="K191" s="30">
        <f t="shared" si="27"/>
        <v>9.5000000000000005E-5</v>
      </c>
      <c r="L191" s="15">
        <f t="shared" si="28"/>
        <v>4.2649999999999997E-3</v>
      </c>
      <c r="M191" s="10">
        <f t="shared" si="29"/>
        <v>1.4972179844224156</v>
      </c>
      <c r="N191" s="18">
        <f t="shared" si="30"/>
        <v>4.4003283826165333E-3</v>
      </c>
      <c r="O191" s="14">
        <f t="shared" si="31"/>
        <v>7987.8019000000004</v>
      </c>
      <c r="P191" s="14">
        <f t="shared" ca="1" si="37"/>
        <v>7988</v>
      </c>
      <c r="Q191" s="14" t="str">
        <f t="shared" ca="1" si="32"/>
        <v>0001111100110100</v>
      </c>
      <c r="R191" s="14">
        <f t="shared" ca="1" si="33"/>
        <v>1.4977042922973633</v>
      </c>
      <c r="S191" s="14">
        <f t="shared" ca="1" si="34"/>
        <v>37.972451507568358</v>
      </c>
      <c r="T191" s="19">
        <f t="shared" ca="1" si="36"/>
        <v>2.3844434252741572E-2</v>
      </c>
      <c r="U191" s="14"/>
      <c r="V191" s="15">
        <f t="shared" ca="1" si="35"/>
        <v>0.92754800000000004</v>
      </c>
      <c r="W191" s="14"/>
      <c r="X191" s="2"/>
    </row>
    <row r="192" spans="8:24" x14ac:dyDescent="0.25">
      <c r="H192" s="14">
        <v>39</v>
      </c>
      <c r="I192" s="17">
        <v>1.4996099821182447</v>
      </c>
      <c r="J192" s="15">
        <f t="shared" si="26"/>
        <v>-1.16E-4</v>
      </c>
      <c r="K192" s="30">
        <f t="shared" si="27"/>
        <v>9.5000000000000005E-5</v>
      </c>
      <c r="L192" s="15">
        <f t="shared" si="28"/>
        <v>4.2950000000000002E-3</v>
      </c>
      <c r="M192" s="10">
        <f t="shared" si="29"/>
        <v>1.5062530900299231</v>
      </c>
      <c r="N192" s="18">
        <f t="shared" si="30"/>
        <v>4.4298904321074502E-3</v>
      </c>
      <c r="O192" s="14">
        <f t="shared" si="31"/>
        <v>8036.0051000000003</v>
      </c>
      <c r="P192" s="14">
        <f t="shared" ca="1" si="37"/>
        <v>8036</v>
      </c>
      <c r="Q192" s="14" t="str">
        <f t="shared" ca="1" si="32"/>
        <v>0001111101100100</v>
      </c>
      <c r="R192" s="14">
        <f t="shared" ca="1" si="33"/>
        <v>1.5067040176391602</v>
      </c>
      <c r="S192" s="14">
        <f t="shared" ca="1" si="34"/>
        <v>38.080448211669925</v>
      </c>
      <c r="T192" s="19">
        <f t="shared" ca="1" si="36"/>
        <v>2.357825098282244E-2</v>
      </c>
      <c r="U192" s="14"/>
      <c r="V192" s="15">
        <f t="shared" ca="1" si="35"/>
        <v>0.91955200000000004</v>
      </c>
      <c r="W192" s="14"/>
      <c r="X192" s="2"/>
    </row>
    <row r="193" spans="8:24" x14ac:dyDescent="0.25">
      <c r="H193" s="14">
        <v>39.1</v>
      </c>
      <c r="I193" s="17">
        <v>1.5085851069562664</v>
      </c>
      <c r="J193" s="15">
        <f t="shared" si="26"/>
        <v>-1.15E-4</v>
      </c>
      <c r="K193" s="30">
        <f t="shared" si="27"/>
        <v>9.6000000000000002E-5</v>
      </c>
      <c r="L193" s="15">
        <f t="shared" si="28"/>
        <v>4.326E-3</v>
      </c>
      <c r="M193" s="10">
        <f t="shared" si="29"/>
        <v>1.5153131005211207</v>
      </c>
      <c r="N193" s="18">
        <f t="shared" si="30"/>
        <v>4.4598037815902691E-3</v>
      </c>
      <c r="O193" s="14">
        <f t="shared" si="31"/>
        <v>8084.3410999999996</v>
      </c>
      <c r="P193" s="14">
        <f t="shared" ca="1" si="37"/>
        <v>8089</v>
      </c>
      <c r="Q193" s="14" t="str">
        <f t="shared" ca="1" si="32"/>
        <v>0001111110011001</v>
      </c>
      <c r="R193" s="14">
        <f t="shared" ca="1" si="33"/>
        <v>1.5166412143707275</v>
      </c>
      <c r="S193" s="14">
        <f t="shared" ca="1" si="34"/>
        <v>38.199694572448735</v>
      </c>
      <c r="T193" s="19">
        <f t="shared" ca="1" si="36"/>
        <v>2.302571425962319E-2</v>
      </c>
      <c r="U193" s="14"/>
      <c r="V193" s="15">
        <f t="shared" ca="1" si="35"/>
        <v>0.90030500000000002</v>
      </c>
      <c r="W193" s="14"/>
      <c r="X193" s="2"/>
    </row>
    <row r="194" spans="8:24" x14ac:dyDescent="0.25">
      <c r="H194" s="14">
        <v>39.200000000000003</v>
      </c>
      <c r="I194" s="17">
        <v>1.5167910963608866</v>
      </c>
      <c r="J194" s="15">
        <f t="shared" si="26"/>
        <v>-1.15E-4</v>
      </c>
      <c r="K194" s="30">
        <f t="shared" si="27"/>
        <v>9.6000000000000002E-5</v>
      </c>
      <c r="L194" s="15">
        <f t="shared" si="28"/>
        <v>4.3559999999999996E-3</v>
      </c>
      <c r="M194" s="10">
        <f t="shared" si="29"/>
        <v>1.5236006481361677</v>
      </c>
      <c r="N194" s="18">
        <f t="shared" si="30"/>
        <v>4.4894460361869799E-3</v>
      </c>
      <c r="O194" s="14">
        <f t="shared" si="31"/>
        <v>8128.5559000000003</v>
      </c>
      <c r="P194" s="14">
        <f t="shared" ca="1" si="37"/>
        <v>8130</v>
      </c>
      <c r="Q194" s="14" t="str">
        <f t="shared" ca="1" si="32"/>
        <v>0001111111000010</v>
      </c>
      <c r="R194" s="14">
        <f t="shared" ca="1" si="33"/>
        <v>1.5243284797668457</v>
      </c>
      <c r="S194" s="14">
        <f t="shared" ca="1" si="34"/>
        <v>38.291941757202153</v>
      </c>
      <c r="T194" s="19">
        <f t="shared" ca="1" si="36"/>
        <v>2.3164751091781881E-2</v>
      </c>
      <c r="U194" s="14"/>
      <c r="V194" s="15">
        <f t="shared" ca="1" si="35"/>
        <v>0.90805800000000003</v>
      </c>
      <c r="W194" s="14"/>
      <c r="X194" s="2"/>
    </row>
    <row r="195" spans="8:24" x14ac:dyDescent="0.25">
      <c r="H195" s="14">
        <v>39.299999999999997</v>
      </c>
      <c r="I195" s="17">
        <v>1.5258145135642385</v>
      </c>
      <c r="J195" s="15">
        <f t="shared" ref="J195:J258" si="38">ROUND(H195*0.00000575 -0.00034,6)</f>
        <v>-1.1400000000000001E-4</v>
      </c>
      <c r="K195" s="30">
        <f t="shared" ref="K195:K258" si="39">ROUND(H195*0.000005-0.0001,6)</f>
        <v>9.7E-5</v>
      </c>
      <c r="L195" s="15">
        <f t="shared" ref="L195:L258" si="40">ROUND(K195+($C$24*(H195-25)),6)</f>
        <v>4.3870000000000003E-3</v>
      </c>
      <c r="M195" s="10">
        <f t="shared" ref="M195:M258" si="41">(I195-J195)/(1-L195)+$C$26+$D$27</f>
        <v>1.5327102590245791</v>
      </c>
      <c r="N195" s="18">
        <f t="shared" ref="N195:N258" si="42">ABS(I195-M195)/I195</f>
        <v>4.5193864647626739E-3</v>
      </c>
      <c r="O195" s="14">
        <f t="shared" ref="O195:O258" si="43">ROUND((M195*(2^($C$12-1)))/$C$44,4)</f>
        <v>8177.1566000000003</v>
      </c>
      <c r="P195" s="14">
        <f t="shared" ca="1" si="37"/>
        <v>8178</v>
      </c>
      <c r="Q195" s="14" t="str">
        <f t="shared" ref="Q195:Q258" ca="1" si="44">_xlfn.BASE(IF(P195&lt;0, P195+2^($C$12)-1, P195), 2, 16)</f>
        <v>0001111111110010</v>
      </c>
      <c r="R195" s="14">
        <f t="shared" ref="R195:R258" ca="1" si="45">($C$16/2^($C$12-1)) * P195</f>
        <v>1.5333282051086425</v>
      </c>
      <c r="S195" s="14">
        <f t="shared" ref="S195:S258" ca="1" si="46">(R195+5/3)/(1/12)</f>
        <v>38.399938461303712</v>
      </c>
      <c r="T195" s="19">
        <f t="shared" ca="1" si="36"/>
        <v>2.2902329228913103E-2</v>
      </c>
      <c r="U195" s="14"/>
      <c r="V195" s="15">
        <f t="shared" ref="V195:V258" ca="1" si="47">ROUND(ABS(H195-S195),6)</f>
        <v>0.90006200000000003</v>
      </c>
      <c r="W195" s="14"/>
      <c r="X195" s="2"/>
    </row>
    <row r="196" spans="8:24" x14ac:dyDescent="0.25">
      <c r="H196" s="14">
        <v>39.400000000000006</v>
      </c>
      <c r="I196" s="17">
        <v>1.5340707653080601</v>
      </c>
      <c r="J196" s="15">
        <f t="shared" si="38"/>
        <v>-1.13E-4</v>
      </c>
      <c r="K196" s="30">
        <f t="shared" si="39"/>
        <v>9.7E-5</v>
      </c>
      <c r="L196" s="15">
        <f t="shared" si="40"/>
        <v>4.4169999999999999E-3</v>
      </c>
      <c r="M196" s="10">
        <f t="shared" si="41"/>
        <v>1.5410483195495102</v>
      </c>
      <c r="N196" s="18">
        <f t="shared" si="42"/>
        <v>4.5483913775313366E-3</v>
      </c>
      <c r="O196" s="14">
        <f t="shared" si="43"/>
        <v>8221.6409999999996</v>
      </c>
      <c r="P196" s="14">
        <f t="shared" ca="1" si="37"/>
        <v>8224</v>
      </c>
      <c r="Q196" s="14" t="str">
        <f t="shared" ca="1" si="44"/>
        <v>0010000000100000</v>
      </c>
      <c r="R196" s="14">
        <f t="shared" ca="1" si="45"/>
        <v>1.5419529418945312</v>
      </c>
      <c r="S196" s="14">
        <f t="shared" ca="1" si="46"/>
        <v>38.503435302734381</v>
      </c>
      <c r="T196" s="19">
        <f t="shared" ref="T196:T259" ca="1" si="48">ABS(H196-S196)/H196</f>
        <v>2.2755449169178283E-2</v>
      </c>
      <c r="U196" s="14"/>
      <c r="V196" s="15">
        <f t="shared" ca="1" si="47"/>
        <v>0.89656499999999995</v>
      </c>
      <c r="W196" s="14"/>
      <c r="X196" s="2"/>
    </row>
    <row r="197" spans="8:24" x14ac:dyDescent="0.25">
      <c r="H197" s="14">
        <v>39.5</v>
      </c>
      <c r="I197" s="17">
        <v>1.5431421328285895</v>
      </c>
      <c r="J197" s="15">
        <f t="shared" si="38"/>
        <v>-1.13E-4</v>
      </c>
      <c r="K197" s="30">
        <f t="shared" si="39"/>
        <v>9.7999999999999997E-5</v>
      </c>
      <c r="L197" s="15">
        <f t="shared" si="40"/>
        <v>4.4479999999999997E-3</v>
      </c>
      <c r="M197" s="10">
        <f t="shared" si="41"/>
        <v>1.5502082009222917</v>
      </c>
      <c r="N197" s="18">
        <f t="shared" si="42"/>
        <v>4.5790131339036805E-3</v>
      </c>
      <c r="O197" s="14">
        <f t="shared" si="43"/>
        <v>8270.5097999999998</v>
      </c>
      <c r="P197" s="14">
        <f t="shared" ca="1" si="37"/>
        <v>8269</v>
      </c>
      <c r="Q197" s="14" t="str">
        <f t="shared" ca="1" si="44"/>
        <v>0010000001001101</v>
      </c>
      <c r="R197" s="14">
        <f t="shared" ca="1" si="45"/>
        <v>1.5503901844024659</v>
      </c>
      <c r="S197" s="14">
        <f t="shared" ca="1" si="46"/>
        <v>38.604682212829594</v>
      </c>
      <c r="T197" s="19">
        <f t="shared" ca="1" si="48"/>
        <v>2.2666273092921664E-2</v>
      </c>
      <c r="U197" s="14"/>
      <c r="V197" s="15">
        <f t="shared" ca="1" si="47"/>
        <v>0.89531799999999995</v>
      </c>
      <c r="W197" s="14"/>
      <c r="X197" s="2"/>
    </row>
    <row r="198" spans="8:24" x14ac:dyDescent="0.25">
      <c r="H198" s="14">
        <v>39.6</v>
      </c>
      <c r="I198" s="17">
        <v>1.5522368098151935</v>
      </c>
      <c r="J198" s="15">
        <f t="shared" si="38"/>
        <v>-1.12E-4</v>
      </c>
      <c r="K198" s="30">
        <f t="shared" si="39"/>
        <v>9.7999999999999997E-5</v>
      </c>
      <c r="L198" s="15">
        <f t="shared" si="40"/>
        <v>4.4780000000000002E-3</v>
      </c>
      <c r="M198" s="10">
        <f t="shared" si="41"/>
        <v>1.5593894962554251</v>
      </c>
      <c r="N198" s="18">
        <f t="shared" si="42"/>
        <v>4.6079866132559882E-3</v>
      </c>
      <c r="O198" s="14">
        <f t="shared" si="43"/>
        <v>8319.4928999999993</v>
      </c>
      <c r="P198" s="14">
        <f t="shared" ca="1" si="37"/>
        <v>8319</v>
      </c>
      <c r="Q198" s="14" t="str">
        <f t="shared" ca="1" si="44"/>
        <v>0010000001111111</v>
      </c>
      <c r="R198" s="14">
        <f t="shared" ca="1" si="45"/>
        <v>1.5597648983001708</v>
      </c>
      <c r="S198" s="14">
        <f t="shared" ca="1" si="46"/>
        <v>38.717178779602051</v>
      </c>
      <c r="T198" s="19">
        <f t="shared" ca="1" si="48"/>
        <v>2.2293465161564403E-2</v>
      </c>
      <c r="U198" s="14"/>
      <c r="V198" s="15">
        <f t="shared" ca="1" si="47"/>
        <v>0.88282099999999997</v>
      </c>
      <c r="W198" s="14"/>
      <c r="X198" s="2"/>
    </row>
    <row r="199" spans="8:24" x14ac:dyDescent="0.25">
      <c r="H199" s="14">
        <v>39.700000000000003</v>
      </c>
      <c r="I199" s="17">
        <v>1.5613547095592029</v>
      </c>
      <c r="J199" s="15">
        <f t="shared" si="38"/>
        <v>-1.12E-4</v>
      </c>
      <c r="K199" s="30">
        <f t="shared" si="39"/>
        <v>9.8999999999999994E-5</v>
      </c>
      <c r="L199" s="15">
        <f t="shared" si="40"/>
        <v>4.509E-3</v>
      </c>
      <c r="M199" s="10">
        <f t="shared" si="41"/>
        <v>1.5685972530512104</v>
      </c>
      <c r="N199" s="18">
        <f t="shared" si="42"/>
        <v>4.6386278836359259E-3</v>
      </c>
      <c r="O199" s="14">
        <f t="shared" si="43"/>
        <v>8368.6172000000006</v>
      </c>
      <c r="P199" s="14">
        <f t="shared" ca="1" si="37"/>
        <v>8369</v>
      </c>
      <c r="Q199" s="14" t="str">
        <f t="shared" ca="1" si="44"/>
        <v>0010000010110001</v>
      </c>
      <c r="R199" s="14">
        <f t="shared" ca="1" si="45"/>
        <v>1.569139612197876</v>
      </c>
      <c r="S199" s="14">
        <f t="shared" ca="1" si="46"/>
        <v>38.829675346374515</v>
      </c>
      <c r="T199" s="19">
        <f t="shared" ca="1" si="48"/>
        <v>2.1922535355805742E-2</v>
      </c>
      <c r="U199" s="14"/>
      <c r="V199" s="15">
        <f t="shared" ca="1" si="47"/>
        <v>0.87032500000000002</v>
      </c>
      <c r="W199" s="14"/>
      <c r="X199" s="2"/>
    </row>
    <row r="200" spans="8:24" x14ac:dyDescent="0.25">
      <c r="H200" s="14">
        <v>39.799999999999997</v>
      </c>
      <c r="I200" s="17">
        <v>1.5697093861918927</v>
      </c>
      <c r="J200" s="15">
        <f t="shared" si="38"/>
        <v>-1.11E-4</v>
      </c>
      <c r="K200" s="30">
        <f t="shared" si="39"/>
        <v>9.8999999999999994E-5</v>
      </c>
      <c r="L200" s="15">
        <f t="shared" si="40"/>
        <v>4.5389999999999996E-3</v>
      </c>
      <c r="M200" s="10">
        <f t="shared" si="41"/>
        <v>1.5770362906531672</v>
      </c>
      <c r="N200" s="18">
        <f t="shared" si="42"/>
        <v>4.6676821364045737E-3</v>
      </c>
      <c r="O200" s="14">
        <f t="shared" si="43"/>
        <v>8413.6401999999998</v>
      </c>
      <c r="P200" s="14">
        <f t="shared" ca="1" si="37"/>
        <v>8414</v>
      </c>
      <c r="Q200" s="14" t="str">
        <f t="shared" ca="1" si="44"/>
        <v>0010000011011110</v>
      </c>
      <c r="R200" s="14">
        <f t="shared" ca="1" si="45"/>
        <v>1.5775768547058107</v>
      </c>
      <c r="S200" s="14">
        <f t="shared" ca="1" si="46"/>
        <v>38.930922256469735</v>
      </c>
      <c r="T200" s="19">
        <f t="shared" ca="1" si="48"/>
        <v>2.183612420930307E-2</v>
      </c>
      <c r="U200" s="14"/>
      <c r="V200" s="15">
        <f t="shared" ca="1" si="47"/>
        <v>0.86907800000000002</v>
      </c>
      <c r="W200" s="14"/>
      <c r="X200" s="2"/>
    </row>
    <row r="201" spans="8:24" x14ac:dyDescent="0.25">
      <c r="H201" s="14">
        <v>39.900000000000006</v>
      </c>
      <c r="I201" s="17">
        <v>1.5788745403580147</v>
      </c>
      <c r="J201" s="15">
        <f t="shared" si="38"/>
        <v>-1.11E-4</v>
      </c>
      <c r="K201" s="30">
        <f t="shared" si="39"/>
        <v>1E-4</v>
      </c>
      <c r="L201" s="15">
        <f t="shared" si="40"/>
        <v>4.5700000000000003E-3</v>
      </c>
      <c r="M201" s="10">
        <f t="shared" si="41"/>
        <v>1.5862926326291296</v>
      </c>
      <c r="N201" s="18">
        <f t="shared" si="42"/>
        <v>4.6983418134241501E-3</v>
      </c>
      <c r="O201" s="14">
        <f t="shared" si="43"/>
        <v>8463.0236999999997</v>
      </c>
      <c r="P201" s="14">
        <f t="shared" ca="1" si="37"/>
        <v>8462</v>
      </c>
      <c r="Q201" s="14" t="str">
        <f t="shared" ca="1" si="44"/>
        <v>0010000100001110</v>
      </c>
      <c r="R201" s="14">
        <f t="shared" ca="1" si="45"/>
        <v>1.5865765800476075</v>
      </c>
      <c r="S201" s="14">
        <f t="shared" ca="1" si="46"/>
        <v>39.038918960571294</v>
      </c>
      <c r="T201" s="19">
        <f t="shared" ca="1" si="48"/>
        <v>2.1580978431797276E-2</v>
      </c>
      <c r="U201" s="14"/>
      <c r="V201" s="15">
        <f t="shared" ca="1" si="47"/>
        <v>0.86108099999999999</v>
      </c>
      <c r="W201" s="14"/>
      <c r="X201" s="2"/>
    </row>
    <row r="202" spans="8:24" x14ac:dyDescent="0.25">
      <c r="H202" s="14">
        <v>40</v>
      </c>
      <c r="I202" s="17">
        <v>1.5880626533293829</v>
      </c>
      <c r="J202" s="15">
        <f t="shared" si="38"/>
        <v>-1.1E-4</v>
      </c>
      <c r="K202" s="30">
        <f t="shared" si="39"/>
        <v>1E-4</v>
      </c>
      <c r="L202" s="15">
        <f t="shared" si="40"/>
        <v>4.5999999999999999E-3</v>
      </c>
      <c r="M202" s="10">
        <f t="shared" si="41"/>
        <v>1.5955700085687994</v>
      </c>
      <c r="N202" s="18">
        <f t="shared" si="42"/>
        <v>4.7273671625469339E-3</v>
      </c>
      <c r="O202" s="14">
        <f t="shared" si="43"/>
        <v>8512.5193999999992</v>
      </c>
      <c r="P202" s="14">
        <f t="shared" ca="1" si="37"/>
        <v>8514</v>
      </c>
      <c r="Q202" s="14" t="str">
        <f t="shared" ca="1" si="44"/>
        <v>0010000101000010</v>
      </c>
      <c r="R202" s="14">
        <f t="shared" ca="1" si="45"/>
        <v>1.5963262825012208</v>
      </c>
      <c r="S202" s="14">
        <f t="shared" ca="1" si="46"/>
        <v>39.155915390014655</v>
      </c>
      <c r="T202" s="19">
        <f t="shared" ca="1" si="48"/>
        <v>2.1102115249633614E-2</v>
      </c>
      <c r="U202" s="14"/>
      <c r="V202" s="15">
        <f t="shared" ca="1" si="47"/>
        <v>0.84408499999999997</v>
      </c>
      <c r="W202" s="14"/>
      <c r="X202" s="2"/>
    </row>
    <row r="203" spans="8:24" x14ac:dyDescent="0.25">
      <c r="H203" s="14">
        <v>40.1</v>
      </c>
      <c r="I203" s="17">
        <v>1.596490504115079</v>
      </c>
      <c r="J203" s="15">
        <f t="shared" si="38"/>
        <v>-1.0900000000000001E-4</v>
      </c>
      <c r="K203" s="30">
        <f t="shared" si="39"/>
        <v>1.01E-4</v>
      </c>
      <c r="L203" s="15">
        <f t="shared" si="40"/>
        <v>4.6309999999999997E-3</v>
      </c>
      <c r="M203" s="10">
        <f t="shared" si="41"/>
        <v>1.6040857566561535</v>
      </c>
      <c r="N203" s="18">
        <f t="shared" si="42"/>
        <v>4.7574680347281482E-3</v>
      </c>
      <c r="O203" s="14">
        <f t="shared" si="43"/>
        <v>8557.9516999999996</v>
      </c>
      <c r="P203" s="14">
        <f t="shared" ca="1" si="37"/>
        <v>8559</v>
      </c>
      <c r="Q203" s="14" t="str">
        <f t="shared" ca="1" si="44"/>
        <v>0010000101101111</v>
      </c>
      <c r="R203" s="14">
        <f t="shared" ca="1" si="45"/>
        <v>1.6047635250091552</v>
      </c>
      <c r="S203" s="14">
        <f t="shared" ca="1" si="46"/>
        <v>39.257162300109869</v>
      </c>
      <c r="T203" s="19">
        <f t="shared" ca="1" si="48"/>
        <v>2.1018396505988347E-2</v>
      </c>
      <c r="U203" s="14"/>
      <c r="V203" s="15">
        <f t="shared" ca="1" si="47"/>
        <v>0.84283799999999998</v>
      </c>
      <c r="W203" s="14"/>
      <c r="X203" s="2"/>
    </row>
    <row r="204" spans="8:24" x14ac:dyDescent="0.25">
      <c r="H204" s="14">
        <v>40.200000000000003</v>
      </c>
      <c r="I204" s="17">
        <v>1.6057253423094078</v>
      </c>
      <c r="J204" s="15">
        <f t="shared" si="38"/>
        <v>-1.0900000000000001E-4</v>
      </c>
      <c r="K204" s="30">
        <f t="shared" si="39"/>
        <v>1.01E-4</v>
      </c>
      <c r="L204" s="15">
        <f t="shared" si="40"/>
        <v>4.6610000000000002E-3</v>
      </c>
      <c r="M204" s="10">
        <f t="shared" si="41"/>
        <v>1.6134121861711515</v>
      </c>
      <c r="N204" s="18">
        <f t="shared" si="42"/>
        <v>4.7871473777004727E-3</v>
      </c>
      <c r="O204" s="14">
        <f t="shared" si="43"/>
        <v>8607.7091</v>
      </c>
      <c r="P204" s="14">
        <f t="shared" ca="1" si="37"/>
        <v>8607</v>
      </c>
      <c r="Q204" s="14" t="str">
        <f t="shared" ca="1" si="44"/>
        <v>0010000110011111</v>
      </c>
      <c r="R204" s="14">
        <f t="shared" ca="1" si="45"/>
        <v>1.6137632503509522</v>
      </c>
      <c r="S204" s="14">
        <f t="shared" ca="1" si="46"/>
        <v>39.365159004211428</v>
      </c>
      <c r="T204" s="19">
        <f t="shared" ca="1" si="48"/>
        <v>2.076718894996455E-2</v>
      </c>
      <c r="U204" s="14"/>
      <c r="V204" s="15">
        <f t="shared" ca="1" si="47"/>
        <v>0.83484100000000006</v>
      </c>
      <c r="W204" s="14"/>
      <c r="X204" s="2"/>
    </row>
    <row r="205" spans="8:24" x14ac:dyDescent="0.25">
      <c r="H205" s="14">
        <v>40.299999999999997</v>
      </c>
      <c r="I205" s="17">
        <v>1.614982871545112</v>
      </c>
      <c r="J205" s="15">
        <f t="shared" si="38"/>
        <v>-1.08E-4</v>
      </c>
      <c r="K205" s="30">
        <f t="shared" si="39"/>
        <v>1.02E-4</v>
      </c>
      <c r="L205" s="15">
        <f t="shared" si="40"/>
        <v>4.692E-3</v>
      </c>
      <c r="M205" s="10">
        <f t="shared" si="41"/>
        <v>1.6227626015355165</v>
      </c>
      <c r="N205" s="18">
        <f t="shared" si="42"/>
        <v>4.8172213634448038E-3</v>
      </c>
      <c r="O205" s="14">
        <f t="shared" si="43"/>
        <v>8657.5944999999992</v>
      </c>
      <c r="P205" s="14">
        <f t="shared" ca="1" si="37"/>
        <v>8658</v>
      </c>
      <c r="Q205" s="14" t="str">
        <f t="shared" ca="1" si="44"/>
        <v>0010000111010010</v>
      </c>
      <c r="R205" s="14">
        <f t="shared" ca="1" si="45"/>
        <v>1.6233254585266113</v>
      </c>
      <c r="S205" s="14">
        <f t="shared" ca="1" si="46"/>
        <v>39.479905502319333</v>
      </c>
      <c r="T205" s="19">
        <f t="shared" ca="1" si="48"/>
        <v>2.034973939654253E-2</v>
      </c>
      <c r="U205" s="14"/>
      <c r="V205" s="15">
        <f t="shared" ca="1" si="47"/>
        <v>0.82009399999999999</v>
      </c>
      <c r="W205" s="14"/>
      <c r="X205" s="2"/>
    </row>
    <row r="206" spans="8:24" x14ac:dyDescent="0.25">
      <c r="H206" s="14">
        <v>40.400000000000006</v>
      </c>
      <c r="I206" s="17">
        <v>1.6234831027505476</v>
      </c>
      <c r="J206" s="15">
        <f t="shared" si="38"/>
        <v>-1.08E-4</v>
      </c>
      <c r="K206" s="30">
        <f t="shared" si="39"/>
        <v>1.02E-4</v>
      </c>
      <c r="L206" s="15">
        <f t="shared" si="40"/>
        <v>4.7219999999999996E-3</v>
      </c>
      <c r="M206" s="10">
        <f t="shared" si="41"/>
        <v>1.6313520733649769</v>
      </c>
      <c r="N206" s="18">
        <f t="shared" si="42"/>
        <v>4.8469679795850318E-3</v>
      </c>
      <c r="O206" s="14">
        <f t="shared" si="43"/>
        <v>8703.4202000000005</v>
      </c>
      <c r="P206" s="14">
        <f t="shared" ca="1" si="37"/>
        <v>8706</v>
      </c>
      <c r="Q206" s="14" t="str">
        <f t="shared" ca="1" si="44"/>
        <v>0010001000000010</v>
      </c>
      <c r="R206" s="14">
        <f t="shared" ca="1" si="45"/>
        <v>1.6323251838684083</v>
      </c>
      <c r="S206" s="14">
        <f t="shared" ca="1" si="46"/>
        <v>39.587902206420907</v>
      </c>
      <c r="T206" s="19">
        <f t="shared" ca="1" si="48"/>
        <v>2.010143053413611E-2</v>
      </c>
      <c r="U206" s="14"/>
      <c r="V206" s="15">
        <f t="shared" ca="1" si="47"/>
        <v>0.81209799999999999</v>
      </c>
      <c r="W206" s="14"/>
      <c r="X206" s="2"/>
    </row>
    <row r="207" spans="8:24" x14ac:dyDescent="0.25">
      <c r="H207" s="14">
        <v>40.5</v>
      </c>
      <c r="I207" s="17">
        <v>1.6327868215360017</v>
      </c>
      <c r="J207" s="15">
        <f t="shared" si="38"/>
        <v>-1.07E-4</v>
      </c>
      <c r="K207" s="30">
        <f t="shared" si="39"/>
        <v>1.03E-4</v>
      </c>
      <c r="L207" s="15">
        <f t="shared" si="40"/>
        <v>4.7530000000000003E-3</v>
      </c>
      <c r="M207" s="10">
        <f t="shared" si="41"/>
        <v>1.6407500307581955</v>
      </c>
      <c r="N207" s="18">
        <f t="shared" si="42"/>
        <v>4.8770660793933602E-3</v>
      </c>
      <c r="O207" s="14">
        <f t="shared" si="43"/>
        <v>8753.5591999999997</v>
      </c>
      <c r="P207" s="14">
        <f t="shared" ref="P207:P270" ca="1" si="49">ROUND(O207+$C$47+$C$49+RANDBETWEEN($B$45,$D$45) + 1,0)</f>
        <v>8755</v>
      </c>
      <c r="Q207" s="14" t="str">
        <f t="shared" ca="1" si="44"/>
        <v>0010001000110011</v>
      </c>
      <c r="R207" s="14">
        <f t="shared" ca="1" si="45"/>
        <v>1.6415124034881592</v>
      </c>
      <c r="S207" s="14">
        <f t="shared" ca="1" si="46"/>
        <v>39.698148841857915</v>
      </c>
      <c r="T207" s="19">
        <f t="shared" ca="1" si="48"/>
        <v>1.9798794028199639E-2</v>
      </c>
      <c r="U207" s="14"/>
      <c r="V207" s="15">
        <f t="shared" ca="1" si="47"/>
        <v>0.80185099999999998</v>
      </c>
      <c r="W207" s="14"/>
      <c r="X207" s="2"/>
    </row>
    <row r="208" spans="8:24" x14ac:dyDescent="0.25">
      <c r="H208" s="14">
        <v>40.6</v>
      </c>
      <c r="I208" s="17">
        <v>1.6413352210814001</v>
      </c>
      <c r="J208" s="15">
        <f t="shared" si="38"/>
        <v>-1.07E-4</v>
      </c>
      <c r="K208" s="30">
        <f t="shared" si="39"/>
        <v>1.03E-4</v>
      </c>
      <c r="L208" s="15">
        <f t="shared" si="40"/>
        <v>4.7829999999999999E-3</v>
      </c>
      <c r="M208" s="10">
        <f t="shared" si="41"/>
        <v>1.649388971116249</v>
      </c>
      <c r="N208" s="18">
        <f t="shared" si="42"/>
        <v>4.9068282526361301E-3</v>
      </c>
      <c r="O208" s="14">
        <f t="shared" si="43"/>
        <v>8799.6486999999997</v>
      </c>
      <c r="P208" s="14">
        <f t="shared" ca="1" si="49"/>
        <v>8801</v>
      </c>
      <c r="Q208" s="14" t="str">
        <f t="shared" ca="1" si="44"/>
        <v>0010001001100001</v>
      </c>
      <c r="R208" s="14">
        <f t="shared" ca="1" si="45"/>
        <v>1.6501371402740479</v>
      </c>
      <c r="S208" s="14">
        <f t="shared" ca="1" si="46"/>
        <v>39.801645683288577</v>
      </c>
      <c r="T208" s="19">
        <f t="shared" ca="1" si="48"/>
        <v>1.9663899426389773E-2</v>
      </c>
      <c r="U208" s="14"/>
      <c r="V208" s="15">
        <f t="shared" ca="1" si="47"/>
        <v>0.79835400000000001</v>
      </c>
      <c r="W208" s="14"/>
      <c r="X208" s="2"/>
    </row>
    <row r="209" spans="8:24" x14ac:dyDescent="0.25">
      <c r="H209" s="14">
        <v>40.700000000000003</v>
      </c>
      <c r="I209" s="17">
        <v>1.650684768499143</v>
      </c>
      <c r="J209" s="15">
        <f t="shared" si="38"/>
        <v>-1.06E-4</v>
      </c>
      <c r="K209" s="30">
        <f t="shared" si="39"/>
        <v>1.0399999999999999E-4</v>
      </c>
      <c r="L209" s="15">
        <f t="shared" si="40"/>
        <v>4.8139999999999997E-3</v>
      </c>
      <c r="M209" s="10">
        <f t="shared" si="41"/>
        <v>1.6588341167250573</v>
      </c>
      <c r="N209" s="18">
        <f t="shared" si="42"/>
        <v>4.9369500351808199E-3</v>
      </c>
      <c r="O209" s="14">
        <f t="shared" si="43"/>
        <v>8850.0395000000008</v>
      </c>
      <c r="P209" s="14">
        <f t="shared" ca="1" si="49"/>
        <v>8849</v>
      </c>
      <c r="Q209" s="14" t="str">
        <f t="shared" ca="1" si="44"/>
        <v>0010001010010001</v>
      </c>
      <c r="R209" s="14">
        <f t="shared" ca="1" si="45"/>
        <v>1.6591368656158447</v>
      </c>
      <c r="S209" s="14">
        <f t="shared" ca="1" si="46"/>
        <v>39.909642387390143</v>
      </c>
      <c r="T209" s="19">
        <f t="shared" ca="1" si="48"/>
        <v>1.9419105960930216E-2</v>
      </c>
      <c r="U209" s="14"/>
      <c r="V209" s="15">
        <f t="shared" ca="1" si="47"/>
        <v>0.790358</v>
      </c>
      <c r="W209" s="14"/>
      <c r="X209" s="2"/>
    </row>
    <row r="210" spans="8:24" x14ac:dyDescent="0.25">
      <c r="H210" s="14">
        <v>40.799999999999997</v>
      </c>
      <c r="I210" s="17">
        <v>1.6592809767473002</v>
      </c>
      <c r="J210" s="15">
        <f t="shared" si="38"/>
        <v>-1.05E-4</v>
      </c>
      <c r="K210" s="30">
        <f t="shared" si="39"/>
        <v>1.0399999999999999E-4</v>
      </c>
      <c r="L210" s="15">
        <f t="shared" si="40"/>
        <v>4.8440000000000002E-3</v>
      </c>
      <c r="M210" s="10">
        <f t="shared" si="41"/>
        <v>1.6675211683347135</v>
      </c>
      <c r="N210" s="18">
        <f t="shared" si="42"/>
        <v>4.9661218942958028E-3</v>
      </c>
      <c r="O210" s="14">
        <f t="shared" si="43"/>
        <v>8896.3858</v>
      </c>
      <c r="P210" s="14">
        <f t="shared" ca="1" si="49"/>
        <v>8900</v>
      </c>
      <c r="Q210" s="14" t="str">
        <f t="shared" ca="1" si="44"/>
        <v>0010001011000100</v>
      </c>
      <c r="R210" s="14">
        <f t="shared" ca="1" si="45"/>
        <v>1.668699073791504</v>
      </c>
      <c r="S210" s="14">
        <f t="shared" ca="1" si="46"/>
        <v>40.024388885498048</v>
      </c>
      <c r="T210" s="19">
        <f t="shared" ca="1" si="48"/>
        <v>1.9010076335832082E-2</v>
      </c>
      <c r="U210" s="14"/>
      <c r="V210" s="15">
        <f t="shared" ca="1" si="47"/>
        <v>0.77561100000000005</v>
      </c>
      <c r="W210" s="14"/>
      <c r="X210" s="2"/>
    </row>
    <row r="211" spans="8:24" x14ac:dyDescent="0.25">
      <c r="H211" s="14">
        <v>40.900000000000006</v>
      </c>
      <c r="I211" s="17">
        <v>1.6686759894648313</v>
      </c>
      <c r="J211" s="15">
        <f t="shared" si="38"/>
        <v>-1.05E-4</v>
      </c>
      <c r="K211" s="30">
        <f t="shared" si="39"/>
        <v>1.05E-4</v>
      </c>
      <c r="L211" s="15">
        <f t="shared" si="40"/>
        <v>4.875E-3</v>
      </c>
      <c r="M211" s="10">
        <f t="shared" si="41"/>
        <v>1.6770141506994911</v>
      </c>
      <c r="N211" s="18">
        <f t="shared" si="42"/>
        <v>4.9968725428439654E-3</v>
      </c>
      <c r="O211" s="14">
        <f t="shared" si="43"/>
        <v>8947.0316999999995</v>
      </c>
      <c r="P211" s="14">
        <f t="shared" ca="1" si="49"/>
        <v>8951</v>
      </c>
      <c r="Q211" s="14" t="str">
        <f t="shared" ca="1" si="44"/>
        <v>0010001011110111</v>
      </c>
      <c r="R211" s="14">
        <f t="shared" ca="1" si="45"/>
        <v>1.6782612819671632</v>
      </c>
      <c r="S211" s="14">
        <f t="shared" ca="1" si="46"/>
        <v>40.139135383605961</v>
      </c>
      <c r="T211" s="19">
        <f t="shared" ca="1" si="48"/>
        <v>1.8603046855600117E-2</v>
      </c>
      <c r="U211" s="14"/>
      <c r="V211" s="15">
        <f t="shared" ca="1" si="47"/>
        <v>0.76086500000000001</v>
      </c>
      <c r="W211" s="14"/>
      <c r="X211" s="2"/>
    </row>
    <row r="212" spans="8:24" x14ac:dyDescent="0.25">
      <c r="H212" s="14">
        <v>41</v>
      </c>
      <c r="I212" s="17">
        <v>1.6773196438979556</v>
      </c>
      <c r="J212" s="15">
        <f t="shared" si="38"/>
        <v>-1.0399999999999999E-4</v>
      </c>
      <c r="K212" s="30">
        <f t="shared" si="39"/>
        <v>1.05E-4</v>
      </c>
      <c r="L212" s="15">
        <f t="shared" si="40"/>
        <v>4.9049999999999996E-3</v>
      </c>
      <c r="M212" s="10">
        <f t="shared" si="41"/>
        <v>1.6857499629763548</v>
      </c>
      <c r="N212" s="18">
        <f t="shared" si="42"/>
        <v>5.0260659076333319E-3</v>
      </c>
      <c r="O212" s="14">
        <f t="shared" si="43"/>
        <v>8993.6381000000001</v>
      </c>
      <c r="P212" s="14">
        <f t="shared" ca="1" si="49"/>
        <v>8996</v>
      </c>
      <c r="Q212" s="14" t="str">
        <f t="shared" ca="1" si="44"/>
        <v>0010001100100100</v>
      </c>
      <c r="R212" s="14">
        <f t="shared" ca="1" si="45"/>
        <v>1.6866985244750976</v>
      </c>
      <c r="S212" s="14">
        <f t="shared" ca="1" si="46"/>
        <v>40.240382293701174</v>
      </c>
      <c r="T212" s="19">
        <f t="shared" ca="1" si="48"/>
        <v>1.852726112923966E-2</v>
      </c>
      <c r="U212" s="14"/>
      <c r="V212" s="15">
        <f t="shared" ca="1" si="47"/>
        <v>0.75961800000000002</v>
      </c>
      <c r="W212" s="14"/>
      <c r="X212" s="2"/>
    </row>
    <row r="213" spans="8:24" x14ac:dyDescent="0.25">
      <c r="H213" s="14">
        <v>41.1</v>
      </c>
      <c r="I213" s="17">
        <v>1.6867597553966776</v>
      </c>
      <c r="J213" s="15">
        <f t="shared" si="38"/>
        <v>-1.0399999999999999E-4</v>
      </c>
      <c r="K213" s="30">
        <f t="shared" si="39"/>
        <v>1.06E-4</v>
      </c>
      <c r="L213" s="15">
        <f t="shared" si="40"/>
        <v>4.9360000000000003E-3</v>
      </c>
      <c r="M213" s="10">
        <f t="shared" si="41"/>
        <v>1.6952894176743181</v>
      </c>
      <c r="N213" s="18">
        <f t="shared" si="42"/>
        <v>5.0568329309200188E-3</v>
      </c>
      <c r="O213" s="14">
        <f t="shared" si="43"/>
        <v>9044.5319999999992</v>
      </c>
      <c r="P213" s="14">
        <f t="shared" ca="1" si="49"/>
        <v>9043</v>
      </c>
      <c r="Q213" s="14" t="str">
        <f t="shared" ca="1" si="44"/>
        <v>0010001101010011</v>
      </c>
      <c r="R213" s="14">
        <f t="shared" ca="1" si="45"/>
        <v>1.6955107555389404</v>
      </c>
      <c r="S213" s="14">
        <f t="shared" ca="1" si="46"/>
        <v>40.346129066467292</v>
      </c>
      <c r="T213" s="19">
        <f t="shared" ca="1" si="48"/>
        <v>1.8342358480114593E-2</v>
      </c>
      <c r="U213" s="14"/>
      <c r="V213" s="15">
        <f t="shared" ca="1" si="47"/>
        <v>0.75387099999999996</v>
      </c>
      <c r="W213" s="14"/>
      <c r="X213" s="2"/>
    </row>
    <row r="214" spans="8:24" x14ac:dyDescent="0.25">
      <c r="H214" s="14">
        <v>41.2</v>
      </c>
      <c r="I214" s="17">
        <v>1.6946792473336683</v>
      </c>
      <c r="J214" s="15">
        <f t="shared" si="38"/>
        <v>-1.03E-4</v>
      </c>
      <c r="K214" s="30">
        <f t="shared" si="39"/>
        <v>1.06E-4</v>
      </c>
      <c r="L214" s="15">
        <f t="shared" si="40"/>
        <v>4.9659999999999999E-3</v>
      </c>
      <c r="M214" s="10">
        <f t="shared" si="41"/>
        <v>1.7032985398545861</v>
      </c>
      <c r="N214" s="18">
        <f t="shared" si="42"/>
        <v>5.0860907953402213E-3</v>
      </c>
      <c r="O214" s="14">
        <f t="shared" si="43"/>
        <v>9087.2615000000005</v>
      </c>
      <c r="P214" s="14">
        <f t="shared" ca="1" si="49"/>
        <v>9090</v>
      </c>
      <c r="Q214" s="14" t="str">
        <f t="shared" ca="1" si="44"/>
        <v>0010001110000010</v>
      </c>
      <c r="R214" s="14">
        <f t="shared" ca="1" si="45"/>
        <v>1.7043229866027831</v>
      </c>
      <c r="S214" s="14">
        <f t="shared" ca="1" si="46"/>
        <v>40.451875839233402</v>
      </c>
      <c r="T214" s="19">
        <f t="shared" ca="1" si="48"/>
        <v>1.8158353416665066E-2</v>
      </c>
      <c r="U214" s="14"/>
      <c r="V214" s="15">
        <f t="shared" ca="1" si="47"/>
        <v>0.74812400000000001</v>
      </c>
      <c r="W214" s="14"/>
      <c r="X214" s="2"/>
    </row>
    <row r="215" spans="8:24" x14ac:dyDescent="0.25">
      <c r="H215" s="14">
        <v>41.3</v>
      </c>
      <c r="I215" s="17">
        <v>1.7033950137534382</v>
      </c>
      <c r="J215" s="15">
        <f t="shared" si="38"/>
        <v>-1.03E-4</v>
      </c>
      <c r="K215" s="30">
        <f t="shared" si="39"/>
        <v>1.07E-4</v>
      </c>
      <c r="L215" s="15">
        <f t="shared" si="40"/>
        <v>4.9969999999999997E-3</v>
      </c>
      <c r="M215" s="10">
        <f t="shared" si="41"/>
        <v>1.7121111433105609</v>
      </c>
      <c r="N215" s="18">
        <f t="shared" si="42"/>
        <v>5.1169162095389287E-3</v>
      </c>
      <c r="O215" s="14">
        <f t="shared" si="43"/>
        <v>9134.2775999999994</v>
      </c>
      <c r="P215" s="14">
        <f t="shared" ca="1" si="49"/>
        <v>9134</v>
      </c>
      <c r="Q215" s="14" t="str">
        <f t="shared" ca="1" si="44"/>
        <v>0010001110101110</v>
      </c>
      <c r="R215" s="14">
        <f t="shared" ca="1" si="45"/>
        <v>1.7125727348327637</v>
      </c>
      <c r="S215" s="14">
        <f t="shared" ca="1" si="46"/>
        <v>40.550872817993167</v>
      </c>
      <c r="T215" s="19">
        <f t="shared" ca="1" si="48"/>
        <v>1.8138672687816722E-2</v>
      </c>
      <c r="U215" s="14"/>
      <c r="V215" s="15">
        <f t="shared" ca="1" si="47"/>
        <v>0.74912699999999999</v>
      </c>
      <c r="W215" s="14"/>
      <c r="X215" s="2"/>
    </row>
    <row r="216" spans="8:24" x14ac:dyDescent="0.25">
      <c r="H216" s="14">
        <v>41.400000000000006</v>
      </c>
      <c r="I216" s="17">
        <v>1.7129037061892651</v>
      </c>
      <c r="J216" s="15">
        <f t="shared" si="38"/>
        <v>-1.02E-4</v>
      </c>
      <c r="K216" s="30">
        <f t="shared" si="39"/>
        <v>1.07E-4</v>
      </c>
      <c r="L216" s="15">
        <f t="shared" si="40"/>
        <v>5.0270000000000002E-3</v>
      </c>
      <c r="M216" s="10">
        <f t="shared" si="41"/>
        <v>1.7217184934900396</v>
      </c>
      <c r="N216" s="18">
        <f t="shared" si="42"/>
        <v>5.1461079037448659E-3</v>
      </c>
      <c r="O216" s="14">
        <f t="shared" si="43"/>
        <v>9185.5337</v>
      </c>
      <c r="P216" s="14">
        <f t="shared" ca="1" si="49"/>
        <v>9187</v>
      </c>
      <c r="Q216" s="14" t="str">
        <f t="shared" ca="1" si="44"/>
        <v>0010001111100011</v>
      </c>
      <c r="R216" s="14">
        <f t="shared" ca="1" si="45"/>
        <v>1.7225099315643311</v>
      </c>
      <c r="S216" s="14">
        <f t="shared" ca="1" si="46"/>
        <v>40.670119178771976</v>
      </c>
      <c r="T216" s="19">
        <f t="shared" ca="1" si="48"/>
        <v>1.7629971527247081E-2</v>
      </c>
      <c r="U216" s="14"/>
      <c r="V216" s="15">
        <f t="shared" ca="1" si="47"/>
        <v>0.729881</v>
      </c>
      <c r="W216" s="14"/>
      <c r="X216" s="2"/>
    </row>
    <row r="217" spans="8:24" x14ac:dyDescent="0.25">
      <c r="H217" s="14">
        <v>41.5</v>
      </c>
      <c r="I217" s="17">
        <v>1.7216660020683243</v>
      </c>
      <c r="J217" s="15">
        <f t="shared" si="38"/>
        <v>-1.01E-4</v>
      </c>
      <c r="K217" s="30">
        <f t="shared" si="39"/>
        <v>1.08E-4</v>
      </c>
      <c r="L217" s="15">
        <f t="shared" si="40"/>
        <v>5.058E-3</v>
      </c>
      <c r="M217" s="10">
        <f t="shared" si="41"/>
        <v>1.7305779720871408</v>
      </c>
      <c r="N217" s="18">
        <f t="shared" si="42"/>
        <v>5.1763640613859459E-3</v>
      </c>
      <c r="O217" s="14">
        <f t="shared" si="43"/>
        <v>9232.7999</v>
      </c>
      <c r="P217" s="14">
        <f t="shared" ca="1" si="49"/>
        <v>9233</v>
      </c>
      <c r="Q217" s="14" t="str">
        <f t="shared" ca="1" si="44"/>
        <v>0010010000010001</v>
      </c>
      <c r="R217" s="14">
        <f t="shared" ca="1" si="45"/>
        <v>1.7311346683502198</v>
      </c>
      <c r="S217" s="14">
        <f t="shared" ca="1" si="46"/>
        <v>40.773616020202638</v>
      </c>
      <c r="T217" s="19">
        <f t="shared" ca="1" si="48"/>
        <v>1.7503228428852088E-2</v>
      </c>
      <c r="U217" s="14"/>
      <c r="V217" s="15">
        <f t="shared" ca="1" si="47"/>
        <v>0.72638400000000003</v>
      </c>
      <c r="W217" s="14"/>
      <c r="X217" s="2"/>
    </row>
    <row r="218" spans="8:24" x14ac:dyDescent="0.25">
      <c r="H218" s="14">
        <v>41.6</v>
      </c>
      <c r="I218" s="17">
        <v>1.7304519669197036</v>
      </c>
      <c r="J218" s="15">
        <f t="shared" si="38"/>
        <v>-1.01E-4</v>
      </c>
      <c r="K218" s="30">
        <f t="shared" si="39"/>
        <v>1.08E-4</v>
      </c>
      <c r="L218" s="15">
        <f t="shared" si="40"/>
        <v>5.0879999999999996E-3</v>
      </c>
      <c r="M218" s="10">
        <f t="shared" si="41"/>
        <v>1.7394610496362526</v>
      </c>
      <c r="N218" s="18">
        <f t="shared" si="42"/>
        <v>5.2062021302941072E-3</v>
      </c>
      <c r="O218" s="14">
        <f t="shared" si="43"/>
        <v>9280.1918999999998</v>
      </c>
      <c r="P218" s="14">
        <f t="shared" ca="1" si="49"/>
        <v>9280</v>
      </c>
      <c r="Q218" s="14" t="str">
        <f t="shared" ca="1" si="44"/>
        <v>0010010001000000</v>
      </c>
      <c r="R218" s="14">
        <f t="shared" ca="1" si="45"/>
        <v>1.7399468994140626</v>
      </c>
      <c r="S218" s="14">
        <f t="shared" ca="1" si="46"/>
        <v>40.879362792968749</v>
      </c>
      <c r="T218" s="19">
        <f t="shared" ca="1" si="48"/>
        <v>1.7323009784405111E-2</v>
      </c>
      <c r="U218" s="14"/>
      <c r="V218" s="15">
        <f t="shared" ca="1" si="47"/>
        <v>0.72063699999999997</v>
      </c>
      <c r="W218" s="14"/>
      <c r="X218" s="2"/>
    </row>
    <row r="219" spans="8:24" x14ac:dyDescent="0.25">
      <c r="H219" s="14">
        <v>41.7</v>
      </c>
      <c r="I219" s="17">
        <v>1.7400273194342883</v>
      </c>
      <c r="J219" s="15">
        <f t="shared" si="38"/>
        <v>-1E-4</v>
      </c>
      <c r="K219" s="30">
        <f t="shared" si="39"/>
        <v>1.0900000000000001E-4</v>
      </c>
      <c r="L219" s="15">
        <f t="shared" si="40"/>
        <v>5.1190000000000003E-3</v>
      </c>
      <c r="M219" s="10">
        <f t="shared" si="41"/>
        <v>1.7491388643790444</v>
      </c>
      <c r="N219" s="18">
        <f t="shared" si="42"/>
        <v>5.2364378668022247E-3</v>
      </c>
      <c r="O219" s="14">
        <f t="shared" si="43"/>
        <v>9331.8240000000005</v>
      </c>
      <c r="P219" s="14">
        <f t="shared" ca="1" si="49"/>
        <v>9336</v>
      </c>
      <c r="Q219" s="14" t="str">
        <f t="shared" ca="1" si="44"/>
        <v>0010010001111000</v>
      </c>
      <c r="R219" s="14">
        <f t="shared" ca="1" si="45"/>
        <v>1.7504465789794923</v>
      </c>
      <c r="S219" s="14">
        <f t="shared" ca="1" si="46"/>
        <v>41.005358947753912</v>
      </c>
      <c r="T219" s="19">
        <f t="shared" ca="1" si="48"/>
        <v>1.6658058806860689E-2</v>
      </c>
      <c r="U219" s="14"/>
      <c r="V219" s="15">
        <f t="shared" ca="1" si="47"/>
        <v>0.69464099999999995</v>
      </c>
      <c r="W219" s="14"/>
      <c r="X219" s="2"/>
    </row>
    <row r="220" spans="8:24" x14ac:dyDescent="0.25">
      <c r="H220" s="14">
        <v>41.8</v>
      </c>
      <c r="I220" s="17">
        <v>1.7488592546924064</v>
      </c>
      <c r="J220" s="15">
        <f t="shared" si="38"/>
        <v>-1E-4</v>
      </c>
      <c r="K220" s="30">
        <f t="shared" si="39"/>
        <v>1.0900000000000001E-4</v>
      </c>
      <c r="L220" s="15">
        <f t="shared" si="40"/>
        <v>5.1489999999999999E-3</v>
      </c>
      <c r="M220" s="10">
        <f t="shared" si="41"/>
        <v>1.7580692546425607</v>
      </c>
      <c r="N220" s="18">
        <f t="shared" si="42"/>
        <v>5.2662899689856031E-3</v>
      </c>
      <c r="O220" s="14">
        <f t="shared" si="43"/>
        <v>9379.4685000000009</v>
      </c>
      <c r="P220" s="14">
        <f t="shared" ca="1" si="49"/>
        <v>9380</v>
      </c>
      <c r="Q220" s="14" t="str">
        <f t="shared" ca="1" si="44"/>
        <v>0010010010100100</v>
      </c>
      <c r="R220" s="14">
        <f t="shared" ca="1" si="45"/>
        <v>1.7586963272094727</v>
      </c>
      <c r="S220" s="14">
        <f t="shared" ca="1" si="46"/>
        <v>41.104355926513676</v>
      </c>
      <c r="T220" s="19">
        <f t="shared" ca="1" si="48"/>
        <v>1.6642202714983751E-2</v>
      </c>
      <c r="U220" s="14"/>
      <c r="V220" s="15">
        <f t="shared" ca="1" si="47"/>
        <v>0.69564400000000004</v>
      </c>
      <c r="W220" s="14"/>
      <c r="X220" s="2"/>
    </row>
    <row r="221" spans="8:24" x14ac:dyDescent="0.25">
      <c r="H221" s="14">
        <v>41.900000000000006</v>
      </c>
      <c r="I221" s="17">
        <v>1.7584782147595095</v>
      </c>
      <c r="J221" s="15">
        <f t="shared" si="38"/>
        <v>-9.8999999999999994E-5</v>
      </c>
      <c r="K221" s="30">
        <f t="shared" si="39"/>
        <v>1.1E-4</v>
      </c>
      <c r="L221" s="15">
        <f t="shared" si="40"/>
        <v>5.1799999999999997E-3</v>
      </c>
      <c r="M221" s="10">
        <f t="shared" si="41"/>
        <v>1.7677920772798188</v>
      </c>
      <c r="N221" s="18">
        <f t="shared" si="42"/>
        <v>5.2965470041851336E-3</v>
      </c>
      <c r="O221" s="14">
        <f t="shared" si="43"/>
        <v>9431.3407000000007</v>
      </c>
      <c r="P221" s="14">
        <f t="shared" ca="1" si="49"/>
        <v>9431</v>
      </c>
      <c r="Q221" s="14" t="str">
        <f t="shared" ca="1" si="44"/>
        <v>0010010011010111</v>
      </c>
      <c r="R221" s="14">
        <f t="shared" ca="1" si="45"/>
        <v>1.7682585353851319</v>
      </c>
      <c r="S221" s="14">
        <f t="shared" ca="1" si="46"/>
        <v>41.219102424621589</v>
      </c>
      <c r="T221" s="19">
        <f t="shared" ca="1" si="48"/>
        <v>1.6250538791847652E-2</v>
      </c>
      <c r="U221" s="14"/>
      <c r="V221" s="15">
        <f t="shared" ca="1" si="47"/>
        <v>0.680898</v>
      </c>
      <c r="W221" s="14"/>
      <c r="X221" s="2"/>
    </row>
    <row r="222" spans="8:24" x14ac:dyDescent="0.25">
      <c r="H222" s="14">
        <v>42</v>
      </c>
      <c r="I222" s="17">
        <v>1.7673557436345699</v>
      </c>
      <c r="J222" s="15">
        <f t="shared" si="38"/>
        <v>-9.8999999999999994E-5</v>
      </c>
      <c r="K222" s="30">
        <f t="shared" si="39"/>
        <v>1.1E-4</v>
      </c>
      <c r="L222" s="15">
        <f t="shared" si="40"/>
        <v>5.2100000000000002E-3</v>
      </c>
      <c r="M222" s="10">
        <f t="shared" si="41"/>
        <v>1.7767694100810925</v>
      </c>
      <c r="N222" s="18">
        <f t="shared" si="42"/>
        <v>5.32641290833916E-3</v>
      </c>
      <c r="O222" s="14">
        <f t="shared" si="43"/>
        <v>9479.2356</v>
      </c>
      <c r="P222" s="14">
        <f t="shared" ca="1" si="49"/>
        <v>9480</v>
      </c>
      <c r="Q222" s="14" t="str">
        <f t="shared" ca="1" si="44"/>
        <v>0010010100001000</v>
      </c>
      <c r="R222" s="14">
        <f t="shared" ca="1" si="45"/>
        <v>1.7774457550048828</v>
      </c>
      <c r="S222" s="14">
        <f t="shared" ca="1" si="46"/>
        <v>41.329349060058597</v>
      </c>
      <c r="T222" s="19">
        <f t="shared" ca="1" si="48"/>
        <v>1.5967879522414359E-2</v>
      </c>
      <c r="U222" s="14"/>
      <c r="V222" s="15">
        <f t="shared" ca="1" si="47"/>
        <v>0.670651</v>
      </c>
      <c r="W222" s="14"/>
      <c r="X222" s="2"/>
    </row>
    <row r="223" spans="8:24" x14ac:dyDescent="0.25">
      <c r="H223" s="14">
        <v>42.1</v>
      </c>
      <c r="I223" s="17">
        <v>1.7762564723096324</v>
      </c>
      <c r="J223" s="15">
        <f t="shared" si="38"/>
        <v>-9.7999999999999997E-5</v>
      </c>
      <c r="K223" s="30">
        <f t="shared" si="39"/>
        <v>1.11E-4</v>
      </c>
      <c r="L223" s="15">
        <f t="shared" si="40"/>
        <v>5.241E-3</v>
      </c>
      <c r="M223" s="10">
        <f t="shared" si="41"/>
        <v>1.7857713962192172</v>
      </c>
      <c r="N223" s="18">
        <f t="shared" si="42"/>
        <v>5.3567286357092264E-3</v>
      </c>
      <c r="O223" s="14">
        <f t="shared" si="43"/>
        <v>9527.2620999999999</v>
      </c>
      <c r="P223" s="14">
        <f t="shared" ca="1" si="49"/>
        <v>9531</v>
      </c>
      <c r="Q223" s="14" t="str">
        <f t="shared" ca="1" si="44"/>
        <v>0010010100111011</v>
      </c>
      <c r="R223" s="14">
        <f t="shared" ca="1" si="45"/>
        <v>1.787007963180542</v>
      </c>
      <c r="S223" s="14">
        <f t="shared" ca="1" si="46"/>
        <v>41.444095558166502</v>
      </c>
      <c r="T223" s="19">
        <f t="shared" ca="1" si="48"/>
        <v>1.5579677953289767E-2</v>
      </c>
      <c r="U223" s="14"/>
      <c r="V223" s="15">
        <f t="shared" ca="1" si="47"/>
        <v>0.65590400000000004</v>
      </c>
      <c r="W223" s="14"/>
      <c r="X223" s="2"/>
    </row>
    <row r="224" spans="8:24" x14ac:dyDescent="0.25">
      <c r="H224" s="14">
        <v>42.2</v>
      </c>
      <c r="I224" s="17">
        <v>1.785940674129006</v>
      </c>
      <c r="J224" s="15">
        <f t="shared" si="38"/>
        <v>-9.7E-5</v>
      </c>
      <c r="K224" s="30">
        <f t="shared" si="39"/>
        <v>1.11E-4</v>
      </c>
      <c r="L224" s="15">
        <f t="shared" si="40"/>
        <v>5.2709999999999996E-3</v>
      </c>
      <c r="M224" s="10">
        <f t="shared" si="41"/>
        <v>1.7955597639266634</v>
      </c>
      <c r="N224" s="18">
        <f t="shared" si="42"/>
        <v>5.386007462061154E-3</v>
      </c>
      <c r="O224" s="14">
        <f t="shared" si="43"/>
        <v>9579.4840000000004</v>
      </c>
      <c r="P224" s="14">
        <f t="shared" ca="1" si="49"/>
        <v>9584</v>
      </c>
      <c r="Q224" s="14" t="str">
        <f t="shared" ca="1" si="44"/>
        <v>0010010101110000</v>
      </c>
      <c r="R224" s="14">
        <f t="shared" ca="1" si="45"/>
        <v>1.7969451599121093</v>
      </c>
      <c r="S224" s="14">
        <f t="shared" ca="1" si="46"/>
        <v>41.563341918945319</v>
      </c>
      <c r="T224" s="19">
        <f t="shared" ca="1" si="48"/>
        <v>1.5086684385182075E-2</v>
      </c>
      <c r="U224" s="14"/>
      <c r="V224" s="15">
        <f t="shared" ca="1" si="47"/>
        <v>0.63665799999999995</v>
      </c>
      <c r="W224" s="14"/>
      <c r="X224" s="2"/>
    </row>
    <row r="225" spans="8:24" x14ac:dyDescent="0.25">
      <c r="H225" s="14">
        <v>42.3</v>
      </c>
      <c r="I225" s="17">
        <v>1.7948864269372451</v>
      </c>
      <c r="J225" s="15">
        <f t="shared" si="38"/>
        <v>-9.7E-5</v>
      </c>
      <c r="K225" s="30">
        <f t="shared" si="39"/>
        <v>1.12E-4</v>
      </c>
      <c r="L225" s="15">
        <f t="shared" si="40"/>
        <v>5.3020000000000003E-3</v>
      </c>
      <c r="M225" s="10">
        <f t="shared" si="41"/>
        <v>1.804609157172574</v>
      </c>
      <c r="N225" s="18">
        <f t="shared" si="42"/>
        <v>5.4169055431097859E-3</v>
      </c>
      <c r="O225" s="14">
        <f t="shared" si="43"/>
        <v>9627.7633999999998</v>
      </c>
      <c r="P225" s="14">
        <f t="shared" ca="1" si="49"/>
        <v>9630</v>
      </c>
      <c r="Q225" s="14" t="str">
        <f t="shared" ca="1" si="44"/>
        <v>0010010110011110</v>
      </c>
      <c r="R225" s="14">
        <f t="shared" ca="1" si="45"/>
        <v>1.8055698966979981</v>
      </c>
      <c r="S225" s="14">
        <f t="shared" ca="1" si="46"/>
        <v>41.666838760375981</v>
      </c>
      <c r="T225" s="19">
        <f t="shared" ca="1" si="48"/>
        <v>1.4968350818534659E-2</v>
      </c>
      <c r="U225" s="14"/>
      <c r="V225" s="15">
        <f t="shared" ca="1" si="47"/>
        <v>0.63316099999999997</v>
      </c>
      <c r="W225" s="14"/>
      <c r="X225" s="2"/>
    </row>
    <row r="226" spans="8:24" x14ac:dyDescent="0.25">
      <c r="H226" s="14">
        <v>42.400000000000006</v>
      </c>
      <c r="I226" s="17">
        <v>1.8038550944980998</v>
      </c>
      <c r="J226" s="15">
        <f t="shared" si="38"/>
        <v>-9.6000000000000002E-5</v>
      </c>
      <c r="K226" s="30">
        <f t="shared" si="39"/>
        <v>1.12E-4</v>
      </c>
      <c r="L226" s="15">
        <f t="shared" si="40"/>
        <v>5.3319999999999999E-3</v>
      </c>
      <c r="M226" s="10">
        <f t="shared" si="41"/>
        <v>1.8136793233944388</v>
      </c>
      <c r="N226" s="18">
        <f t="shared" si="42"/>
        <v>5.4462406244845949E-3</v>
      </c>
      <c r="O226" s="14">
        <f t="shared" si="43"/>
        <v>9676.1535999999996</v>
      </c>
      <c r="P226" s="14">
        <f t="shared" ca="1" si="49"/>
        <v>9680</v>
      </c>
      <c r="Q226" s="14" t="str">
        <f t="shared" ca="1" si="44"/>
        <v>0010010111010000</v>
      </c>
      <c r="R226" s="14">
        <f t="shared" ca="1" si="45"/>
        <v>1.8149446105957032</v>
      </c>
      <c r="S226" s="14">
        <f t="shared" ca="1" si="46"/>
        <v>41.779335327148445</v>
      </c>
      <c r="T226" s="19">
        <f t="shared" ca="1" si="48"/>
        <v>1.4638317755933036E-2</v>
      </c>
      <c r="U226" s="14"/>
      <c r="V226" s="15">
        <f t="shared" ca="1" si="47"/>
        <v>0.62066500000000002</v>
      </c>
      <c r="W226" s="14"/>
      <c r="X226" s="2"/>
    </row>
    <row r="227" spans="8:24" x14ac:dyDescent="0.25">
      <c r="H227" s="14">
        <v>42.5</v>
      </c>
      <c r="I227" s="17">
        <v>1.8128465812137984</v>
      </c>
      <c r="J227" s="15">
        <f t="shared" si="38"/>
        <v>-9.6000000000000002E-5</v>
      </c>
      <c r="K227" s="30">
        <f t="shared" si="39"/>
        <v>1.13E-4</v>
      </c>
      <c r="L227" s="15">
        <f t="shared" si="40"/>
        <v>5.3629999999999997E-3</v>
      </c>
      <c r="M227" s="10">
        <f t="shared" si="41"/>
        <v>1.8227758168656489</v>
      </c>
      <c r="N227" s="18">
        <f t="shared" si="42"/>
        <v>5.4771516546107263E-3</v>
      </c>
      <c r="O227" s="14">
        <f t="shared" si="43"/>
        <v>9724.6841999999997</v>
      </c>
      <c r="P227" s="14">
        <f t="shared" ca="1" si="49"/>
        <v>9729</v>
      </c>
      <c r="Q227" s="14" t="str">
        <f t="shared" ca="1" si="44"/>
        <v>0010011000000001</v>
      </c>
      <c r="R227" s="14">
        <f t="shared" ca="1" si="45"/>
        <v>1.8241318302154541</v>
      </c>
      <c r="S227" s="14">
        <f t="shared" ca="1" si="46"/>
        <v>41.889581962585453</v>
      </c>
      <c r="T227" s="19">
        <f t="shared" ca="1" si="48"/>
        <v>1.4362777350930521E-2</v>
      </c>
      <c r="U227" s="14"/>
      <c r="V227" s="15">
        <f t="shared" ca="1" si="47"/>
        <v>0.61041800000000002</v>
      </c>
      <c r="W227" s="14"/>
      <c r="X227" s="2"/>
    </row>
    <row r="228" spans="8:24" x14ac:dyDescent="0.25">
      <c r="H228" s="14">
        <v>42.6</v>
      </c>
      <c r="I228" s="17">
        <v>1.8218607905700759</v>
      </c>
      <c r="J228" s="15">
        <f t="shared" si="38"/>
        <v>-9.5000000000000005E-5</v>
      </c>
      <c r="K228" s="30">
        <f t="shared" si="39"/>
        <v>1.13E-4</v>
      </c>
      <c r="L228" s="15">
        <f t="shared" si="40"/>
        <v>5.3930000000000002E-3</v>
      </c>
      <c r="M228" s="10">
        <f t="shared" si="41"/>
        <v>1.8318928760566493</v>
      </c>
      <c r="N228" s="18">
        <f t="shared" si="42"/>
        <v>5.5065049637707452E-3</v>
      </c>
      <c r="O228" s="14">
        <f t="shared" si="43"/>
        <v>9773.3245999999999</v>
      </c>
      <c r="P228" s="14">
        <f t="shared" ca="1" si="49"/>
        <v>9775</v>
      </c>
      <c r="Q228" s="14" t="str">
        <f t="shared" ca="1" si="44"/>
        <v>0010011000101111</v>
      </c>
      <c r="R228" s="14">
        <f t="shared" ca="1" si="45"/>
        <v>1.8327565670013428</v>
      </c>
      <c r="S228" s="14">
        <f t="shared" ca="1" si="46"/>
        <v>41.993078804016115</v>
      </c>
      <c r="T228" s="19">
        <f t="shared" ca="1" si="48"/>
        <v>1.4246976431546637E-2</v>
      </c>
      <c r="U228" s="14"/>
      <c r="V228" s="15">
        <f t="shared" ca="1" si="47"/>
        <v>0.60692100000000004</v>
      </c>
      <c r="W228" s="14"/>
      <c r="X228" s="2"/>
    </row>
    <row r="229" spans="8:24" x14ac:dyDescent="0.25">
      <c r="H229" s="14">
        <v>42.7</v>
      </c>
      <c r="I229" s="17">
        <v>1.8308976264454468</v>
      </c>
      <c r="J229" s="15">
        <f t="shared" si="38"/>
        <v>-9.3999999999999994E-5</v>
      </c>
      <c r="K229" s="30">
        <f t="shared" si="39"/>
        <v>1.1400000000000001E-4</v>
      </c>
      <c r="L229" s="15">
        <f t="shared" si="40"/>
        <v>5.424E-3</v>
      </c>
      <c r="M229" s="10">
        <f t="shared" si="41"/>
        <v>1.8410350861607829</v>
      </c>
      <c r="N229" s="18">
        <f t="shared" si="42"/>
        <v>5.5368795987885003E-3</v>
      </c>
      <c r="O229" s="14">
        <f t="shared" si="43"/>
        <v>9822.0992000000006</v>
      </c>
      <c r="P229" s="14">
        <f t="shared" ca="1" si="49"/>
        <v>9825</v>
      </c>
      <c r="Q229" s="14" t="str">
        <f t="shared" ca="1" si="44"/>
        <v>0010011001100001</v>
      </c>
      <c r="R229" s="14">
        <f t="shared" ca="1" si="45"/>
        <v>1.842131280899048</v>
      </c>
      <c r="S229" s="14">
        <f t="shared" ca="1" si="46"/>
        <v>42.105575370788578</v>
      </c>
      <c r="T229" s="19">
        <f t="shared" ca="1" si="48"/>
        <v>1.392095150378043E-2</v>
      </c>
      <c r="U229" s="14"/>
      <c r="V229" s="15">
        <f t="shared" ca="1" si="47"/>
        <v>0.59442499999999998</v>
      </c>
      <c r="W229" s="14"/>
      <c r="X229" s="2"/>
    </row>
    <row r="230" spans="8:24" x14ac:dyDescent="0.25">
      <c r="H230" s="14">
        <v>42.8</v>
      </c>
      <c r="I230" s="17">
        <v>1.8399569925874981</v>
      </c>
      <c r="J230" s="15">
        <f t="shared" si="38"/>
        <v>-9.3999999999999994E-5</v>
      </c>
      <c r="K230" s="30">
        <f t="shared" si="39"/>
        <v>1.1400000000000001E-4</v>
      </c>
      <c r="L230" s="15">
        <f t="shared" si="40"/>
        <v>5.4539999999999996E-3</v>
      </c>
      <c r="M230" s="10">
        <f t="shared" si="41"/>
        <v>1.8501996652296606</v>
      </c>
      <c r="N230" s="18">
        <f t="shared" si="42"/>
        <v>5.5668000303411517E-3</v>
      </c>
      <c r="O230" s="14">
        <f t="shared" si="43"/>
        <v>9870.9930999999997</v>
      </c>
      <c r="P230" s="14">
        <f t="shared" ca="1" si="49"/>
        <v>9872</v>
      </c>
      <c r="Q230" s="14" t="str">
        <f t="shared" ca="1" si="44"/>
        <v>0010011010010000</v>
      </c>
      <c r="R230" s="14">
        <f t="shared" ca="1" si="45"/>
        <v>1.8509435119628908</v>
      </c>
      <c r="S230" s="14">
        <f t="shared" ca="1" si="46"/>
        <v>42.211322143554696</v>
      </c>
      <c r="T230" s="19">
        <f t="shared" ca="1" si="48"/>
        <v>1.3754155524422922E-2</v>
      </c>
      <c r="U230" s="14"/>
      <c r="V230" s="15">
        <f t="shared" ca="1" si="47"/>
        <v>0.58867800000000003</v>
      </c>
      <c r="W230" s="14"/>
      <c r="X230" s="2"/>
    </row>
    <row r="231" spans="8:24" x14ac:dyDescent="0.25">
      <c r="H231" s="14">
        <v>42.900000000000006</v>
      </c>
      <c r="I231" s="17">
        <v>1.8490387917690758</v>
      </c>
      <c r="J231" s="15">
        <f t="shared" si="38"/>
        <v>-9.2999999999999997E-5</v>
      </c>
      <c r="K231" s="30">
        <f t="shared" si="39"/>
        <v>1.15E-4</v>
      </c>
      <c r="L231" s="15">
        <f t="shared" si="40"/>
        <v>5.4850000000000003E-3</v>
      </c>
      <c r="M231" s="10">
        <f t="shared" si="41"/>
        <v>1.8593882180148873</v>
      </c>
      <c r="N231" s="18">
        <f t="shared" si="42"/>
        <v>5.5971926018434795E-3</v>
      </c>
      <c r="O231" s="14">
        <f t="shared" si="43"/>
        <v>9920.0149000000001</v>
      </c>
      <c r="P231" s="14">
        <f t="shared" ca="1" si="49"/>
        <v>9919</v>
      </c>
      <c r="Q231" s="14" t="str">
        <f t="shared" ca="1" si="44"/>
        <v>0010011010111111</v>
      </c>
      <c r="R231" s="14">
        <f t="shared" ca="1" si="45"/>
        <v>1.8597557430267335</v>
      </c>
      <c r="S231" s="14">
        <f t="shared" ca="1" si="46"/>
        <v>42.317068916320807</v>
      </c>
      <c r="T231" s="19">
        <f t="shared" ca="1" si="48"/>
        <v>1.3588137148699275E-2</v>
      </c>
      <c r="U231" s="14"/>
      <c r="V231" s="15">
        <f t="shared" ca="1" si="47"/>
        <v>0.58293099999999998</v>
      </c>
      <c r="W231" s="14"/>
      <c r="X231" s="2"/>
    </row>
    <row r="232" spans="8:24" x14ac:dyDescent="0.25">
      <c r="H232" s="14">
        <v>43</v>
      </c>
      <c r="I232" s="17">
        <v>1.8573913042790977</v>
      </c>
      <c r="J232" s="15">
        <f t="shared" si="38"/>
        <v>-9.2999999999999997E-5</v>
      </c>
      <c r="K232" s="30">
        <f t="shared" si="39"/>
        <v>1.15E-4</v>
      </c>
      <c r="L232" s="15">
        <f t="shared" si="40"/>
        <v>5.5149999999999999E-3</v>
      </c>
      <c r="M232" s="10">
        <f t="shared" si="41"/>
        <v>1.867843139322461</v>
      </c>
      <c r="N232" s="18">
        <f t="shared" si="42"/>
        <v>5.6271583802961567E-3</v>
      </c>
      <c r="O232" s="14">
        <f t="shared" si="43"/>
        <v>9965.1226999999999</v>
      </c>
      <c r="P232" s="14">
        <f t="shared" ca="1" si="49"/>
        <v>9964</v>
      </c>
      <c r="Q232" s="14" t="str">
        <f t="shared" ca="1" si="44"/>
        <v>0010011011101100</v>
      </c>
      <c r="R232" s="14">
        <f t="shared" ca="1" si="45"/>
        <v>1.8681929855346679</v>
      </c>
      <c r="S232" s="14">
        <f t="shared" ca="1" si="46"/>
        <v>42.41831582641602</v>
      </c>
      <c r="T232" s="19">
        <f t="shared" ca="1" si="48"/>
        <v>1.3527538920557679E-2</v>
      </c>
      <c r="U232" s="14"/>
      <c r="V232" s="15">
        <f t="shared" ca="1" si="47"/>
        <v>0.58168399999999998</v>
      </c>
      <c r="W232" s="14"/>
      <c r="X232" s="2"/>
    </row>
    <row r="233" spans="8:24" x14ac:dyDescent="0.25">
      <c r="H233" s="14">
        <v>43.1</v>
      </c>
      <c r="I233" s="17">
        <v>1.8665187730204209</v>
      </c>
      <c r="J233" s="15">
        <f t="shared" si="38"/>
        <v>-9.2E-5</v>
      </c>
      <c r="K233" s="30">
        <f t="shared" si="39"/>
        <v>1.16E-4</v>
      </c>
      <c r="L233" s="15">
        <f t="shared" si="40"/>
        <v>5.5459999999999997E-3</v>
      </c>
      <c r="M233" s="10">
        <f t="shared" si="41"/>
        <v>1.8770787299889395</v>
      </c>
      <c r="N233" s="18">
        <f t="shared" si="42"/>
        <v>5.65756804654603E-3</v>
      </c>
      <c r="O233" s="14">
        <f t="shared" si="43"/>
        <v>10014.395500000001</v>
      </c>
      <c r="P233" s="14">
        <f t="shared" ca="1" si="49"/>
        <v>10019</v>
      </c>
      <c r="Q233" s="14" t="str">
        <f t="shared" ca="1" si="44"/>
        <v>0010011100100011</v>
      </c>
      <c r="R233" s="14">
        <f t="shared" ca="1" si="45"/>
        <v>1.8785051708221436</v>
      </c>
      <c r="S233" s="14">
        <f t="shared" ca="1" si="46"/>
        <v>42.542062049865727</v>
      </c>
      <c r="T233" s="19">
        <f t="shared" ca="1" si="48"/>
        <v>1.2945196058799867E-2</v>
      </c>
      <c r="U233" s="14"/>
      <c r="V233" s="15">
        <f t="shared" ca="1" si="47"/>
        <v>0.55793800000000005</v>
      </c>
      <c r="W233" s="14"/>
      <c r="X233" s="2"/>
    </row>
    <row r="234" spans="8:24" x14ac:dyDescent="0.25">
      <c r="H234" s="14">
        <v>43.2</v>
      </c>
      <c r="I234" s="17">
        <v>1.8756683828870042</v>
      </c>
      <c r="J234" s="15">
        <f t="shared" si="38"/>
        <v>-9.2E-5</v>
      </c>
      <c r="K234" s="30">
        <f t="shared" si="39"/>
        <v>1.16E-4</v>
      </c>
      <c r="L234" s="15">
        <f t="shared" si="40"/>
        <v>5.5760000000000002E-3</v>
      </c>
      <c r="M234" s="10">
        <f t="shared" si="41"/>
        <v>1.8863362705234428</v>
      </c>
      <c r="N234" s="18">
        <f t="shared" si="42"/>
        <v>5.6875126401707971E-3</v>
      </c>
      <c r="O234" s="14">
        <f t="shared" si="43"/>
        <v>10063.785400000001</v>
      </c>
      <c r="P234" s="14">
        <f t="shared" ca="1" si="49"/>
        <v>10064</v>
      </c>
      <c r="Q234" s="14" t="str">
        <f t="shared" ca="1" si="44"/>
        <v>0010011101010000</v>
      </c>
      <c r="R234" s="14">
        <f t="shared" ca="1" si="45"/>
        <v>1.8869424133300781</v>
      </c>
      <c r="S234" s="14">
        <f t="shared" ca="1" si="46"/>
        <v>42.64330895996094</v>
      </c>
      <c r="T234" s="19">
        <f t="shared" ca="1" si="48"/>
        <v>1.2886366667570892E-2</v>
      </c>
      <c r="U234" s="14"/>
      <c r="V234" s="15">
        <f t="shared" ca="1" si="47"/>
        <v>0.55669100000000005</v>
      </c>
      <c r="W234" s="14"/>
      <c r="X234" s="2"/>
    </row>
    <row r="235" spans="8:24" x14ac:dyDescent="0.25">
      <c r="H235" s="14">
        <v>43.3</v>
      </c>
      <c r="I235" s="17">
        <v>1.8848400351677552</v>
      </c>
      <c r="J235" s="15">
        <f t="shared" si="38"/>
        <v>-9.1000000000000003E-5</v>
      </c>
      <c r="K235" s="30">
        <f t="shared" si="39"/>
        <v>1.17E-4</v>
      </c>
      <c r="L235" s="15">
        <f t="shared" si="40"/>
        <v>5.607E-3</v>
      </c>
      <c r="M235" s="10">
        <f t="shared" si="41"/>
        <v>1.8956174369306253</v>
      </c>
      <c r="N235" s="18">
        <f t="shared" si="42"/>
        <v>5.7179397518001603E-3</v>
      </c>
      <c r="O235" s="14">
        <f t="shared" si="43"/>
        <v>10113.301299999999</v>
      </c>
      <c r="P235" s="14">
        <f t="shared" ca="1" si="49"/>
        <v>10114</v>
      </c>
      <c r="Q235" s="14" t="str">
        <f t="shared" ca="1" si="44"/>
        <v>0010011110000010</v>
      </c>
      <c r="R235" s="14">
        <f t="shared" ca="1" si="45"/>
        <v>1.8963171272277832</v>
      </c>
      <c r="S235" s="14">
        <f t="shared" ca="1" si="46"/>
        <v>42.755805526733397</v>
      </c>
      <c r="T235" s="19">
        <f t="shared" ca="1" si="48"/>
        <v>1.256800169206929E-2</v>
      </c>
      <c r="U235" s="14"/>
      <c r="V235" s="15">
        <f t="shared" ca="1" si="47"/>
        <v>0.54419399999999996</v>
      </c>
      <c r="W235" s="14"/>
      <c r="X235" s="2"/>
    </row>
    <row r="236" spans="8:24" x14ac:dyDescent="0.25">
      <c r="H236" s="14">
        <v>43.400000000000006</v>
      </c>
      <c r="I236" s="17">
        <v>1.8940336319662774</v>
      </c>
      <c r="J236" s="15">
        <f t="shared" si="38"/>
        <v>-9.0000000000000006E-5</v>
      </c>
      <c r="K236" s="30">
        <f t="shared" si="39"/>
        <v>1.17E-4</v>
      </c>
      <c r="L236" s="15">
        <f t="shared" si="40"/>
        <v>5.6369999999999996E-3</v>
      </c>
      <c r="M236" s="10">
        <f t="shared" si="41"/>
        <v>1.904919335313439</v>
      </c>
      <c r="N236" s="18">
        <f t="shared" si="42"/>
        <v>5.7473653917437268E-3</v>
      </c>
      <c r="O236" s="14">
        <f t="shared" si="43"/>
        <v>10162.927799999999</v>
      </c>
      <c r="P236" s="14">
        <f t="shared" ca="1" si="49"/>
        <v>10166</v>
      </c>
      <c r="Q236" s="14" t="str">
        <f t="shared" ca="1" si="44"/>
        <v>0010011110110110</v>
      </c>
      <c r="R236" s="14">
        <f t="shared" ca="1" si="45"/>
        <v>1.9060668296813965</v>
      </c>
      <c r="S236" s="14">
        <f t="shared" ca="1" si="46"/>
        <v>42.872801956176765</v>
      </c>
      <c r="T236" s="19">
        <f t="shared" ca="1" si="48"/>
        <v>1.2147420364590792E-2</v>
      </c>
      <c r="U236" s="14"/>
      <c r="V236" s="15">
        <f t="shared" ca="1" si="47"/>
        <v>0.52719800000000006</v>
      </c>
      <c r="W236" s="14"/>
      <c r="X236" s="2"/>
    </row>
    <row r="237" spans="8:24" x14ac:dyDescent="0.25">
      <c r="H237" s="14">
        <v>43.5</v>
      </c>
      <c r="I237" s="17">
        <v>1.9032490741495651</v>
      </c>
      <c r="J237" s="15">
        <f t="shared" si="38"/>
        <v>-9.0000000000000006E-5</v>
      </c>
      <c r="K237" s="30">
        <f t="shared" si="39"/>
        <v>1.18E-4</v>
      </c>
      <c r="L237" s="15">
        <f t="shared" si="40"/>
        <v>5.6680000000000003E-3</v>
      </c>
      <c r="M237" s="10">
        <f t="shared" si="41"/>
        <v>1.9142466956766602</v>
      </c>
      <c r="N237" s="18">
        <f t="shared" si="42"/>
        <v>5.7783406683169676E-3</v>
      </c>
      <c r="O237" s="14">
        <f t="shared" si="43"/>
        <v>10212.690199999999</v>
      </c>
      <c r="P237" s="14">
        <f t="shared" ca="1" si="49"/>
        <v>10216</v>
      </c>
      <c r="Q237" s="14" t="str">
        <f t="shared" ca="1" si="44"/>
        <v>0010011111101000</v>
      </c>
      <c r="R237" s="14">
        <f t="shared" ca="1" si="45"/>
        <v>1.9154415435791017</v>
      </c>
      <c r="S237" s="14">
        <f t="shared" ca="1" si="46"/>
        <v>42.985298522949222</v>
      </c>
      <c r="T237" s="19">
        <f t="shared" ca="1" si="48"/>
        <v>1.1832217863236277E-2</v>
      </c>
      <c r="U237" s="14"/>
      <c r="V237" s="15">
        <f t="shared" ca="1" si="47"/>
        <v>0.51470099999999996</v>
      </c>
      <c r="W237" s="14"/>
      <c r="X237" s="2"/>
    </row>
    <row r="238" spans="8:24" x14ac:dyDescent="0.25">
      <c r="H238" s="14">
        <v>43.6</v>
      </c>
      <c r="I238" s="17">
        <v>1.911741220704948</v>
      </c>
      <c r="J238" s="15">
        <f t="shared" si="38"/>
        <v>-8.8999999999999995E-5</v>
      </c>
      <c r="K238" s="30">
        <f t="shared" si="39"/>
        <v>1.18E-4</v>
      </c>
      <c r="L238" s="15">
        <f t="shared" si="40"/>
        <v>5.6979999999999999E-3</v>
      </c>
      <c r="M238" s="10">
        <f t="shared" si="41"/>
        <v>1.9228442567961725</v>
      </c>
      <c r="N238" s="18">
        <f t="shared" si="42"/>
        <v>5.8078133018078315E-3</v>
      </c>
      <c r="O238" s="14">
        <f t="shared" si="43"/>
        <v>10258.558999999999</v>
      </c>
      <c r="P238" s="14">
        <f t="shared" ca="1" si="49"/>
        <v>10261</v>
      </c>
      <c r="Q238" s="14" t="str">
        <f t="shared" ca="1" si="44"/>
        <v>0010100000010101</v>
      </c>
      <c r="R238" s="14">
        <f t="shared" ca="1" si="45"/>
        <v>1.9238787860870361</v>
      </c>
      <c r="S238" s="14">
        <f t="shared" ca="1" si="46"/>
        <v>43.086545433044435</v>
      </c>
      <c r="T238" s="19">
        <f t="shared" ca="1" si="48"/>
        <v>1.1776480893476292E-2</v>
      </c>
      <c r="U238" s="14"/>
      <c r="V238" s="15">
        <f t="shared" ca="1" si="47"/>
        <v>0.51345499999999999</v>
      </c>
      <c r="W238" s="14"/>
      <c r="X238" s="2"/>
    </row>
    <row r="239" spans="8:24" x14ac:dyDescent="0.25">
      <c r="H239" s="14">
        <v>43.7</v>
      </c>
      <c r="I239" s="17">
        <v>1.9210011540542211</v>
      </c>
      <c r="J239" s="15">
        <f t="shared" si="38"/>
        <v>-8.8999999999999995E-5</v>
      </c>
      <c r="K239" s="30">
        <f t="shared" si="39"/>
        <v>1.1900000000000001E-4</v>
      </c>
      <c r="L239" s="15">
        <f t="shared" si="40"/>
        <v>5.7289999999999997E-3</v>
      </c>
      <c r="M239" s="10">
        <f t="shared" si="41"/>
        <v>1.9322174958056917</v>
      </c>
      <c r="N239" s="18">
        <f t="shared" si="42"/>
        <v>5.8388001109727517E-3</v>
      </c>
      <c r="O239" s="14">
        <f t="shared" si="43"/>
        <v>10308.5661</v>
      </c>
      <c r="P239" s="14">
        <f t="shared" ca="1" si="49"/>
        <v>10313</v>
      </c>
      <c r="Q239" s="14" t="str">
        <f t="shared" ca="1" si="44"/>
        <v>0010100001001001</v>
      </c>
      <c r="R239" s="14">
        <f t="shared" ca="1" si="45"/>
        <v>1.9336284885406494</v>
      </c>
      <c r="S239" s="14">
        <f t="shared" ca="1" si="46"/>
        <v>43.203541862487796</v>
      </c>
      <c r="T239" s="19">
        <f t="shared" ca="1" si="48"/>
        <v>1.1360598112407472E-2</v>
      </c>
      <c r="U239" s="14"/>
      <c r="V239" s="15">
        <f t="shared" ca="1" si="47"/>
        <v>0.49645800000000001</v>
      </c>
      <c r="W239" s="14"/>
      <c r="X239" s="2"/>
    </row>
    <row r="240" spans="8:24" x14ac:dyDescent="0.25">
      <c r="H240" s="14">
        <v>43.8</v>
      </c>
      <c r="I240" s="17">
        <v>1.9302826350110038</v>
      </c>
      <c r="J240" s="15">
        <f t="shared" si="38"/>
        <v>-8.7999999999999998E-5</v>
      </c>
      <c r="K240" s="30">
        <f t="shared" si="39"/>
        <v>1.1900000000000001E-4</v>
      </c>
      <c r="L240" s="15">
        <f t="shared" si="40"/>
        <v>5.7590000000000002E-3</v>
      </c>
      <c r="M240" s="10">
        <f t="shared" si="41"/>
        <v>1.9416100331700299</v>
      </c>
      <c r="N240" s="18">
        <f t="shared" si="42"/>
        <v>5.8682588516170767E-3</v>
      </c>
      <c r="O240" s="14">
        <f t="shared" si="43"/>
        <v>10358.6762</v>
      </c>
      <c r="P240" s="14">
        <f t="shared" ca="1" si="49"/>
        <v>10360</v>
      </c>
      <c r="Q240" s="14" t="str">
        <f t="shared" ca="1" si="44"/>
        <v>0010100001111000</v>
      </c>
      <c r="R240" s="14">
        <f t="shared" ca="1" si="45"/>
        <v>1.9424407196044922</v>
      </c>
      <c r="S240" s="14">
        <f t="shared" ca="1" si="46"/>
        <v>43.309288635253907</v>
      </c>
      <c r="T240" s="19">
        <f t="shared" ca="1" si="48"/>
        <v>1.1203455816120785E-2</v>
      </c>
      <c r="U240" s="14"/>
      <c r="V240" s="15">
        <f t="shared" ca="1" si="47"/>
        <v>0.49071100000000001</v>
      </c>
      <c r="W240" s="14"/>
      <c r="X240" s="2"/>
    </row>
    <row r="241" spans="8:24" x14ac:dyDescent="0.25">
      <c r="H241" s="14">
        <v>43.900000000000006</v>
      </c>
      <c r="I241" s="17">
        <v>1.9395855636421113</v>
      </c>
      <c r="J241" s="15">
        <f t="shared" si="38"/>
        <v>-8.7999999999999998E-5</v>
      </c>
      <c r="K241" s="30">
        <f t="shared" si="39"/>
        <v>1.2E-4</v>
      </c>
      <c r="L241" s="15">
        <f t="shared" si="40"/>
        <v>5.79E-3</v>
      </c>
      <c r="M241" s="10">
        <f t="shared" si="41"/>
        <v>1.9510276780781839</v>
      </c>
      <c r="N241" s="18">
        <f t="shared" si="42"/>
        <v>5.8992573725836659E-3</v>
      </c>
      <c r="O241" s="14">
        <f t="shared" si="43"/>
        <v>10408.9202</v>
      </c>
      <c r="P241" s="14">
        <f t="shared" ca="1" si="49"/>
        <v>10412</v>
      </c>
      <c r="Q241" s="14" t="str">
        <f t="shared" ca="1" si="44"/>
        <v>0010100010101100</v>
      </c>
      <c r="R241" s="14">
        <f t="shared" ca="1" si="45"/>
        <v>1.9521904220581054</v>
      </c>
      <c r="S241" s="14">
        <f t="shared" ca="1" si="46"/>
        <v>43.426285064697268</v>
      </c>
      <c r="T241" s="19">
        <f t="shared" ca="1" si="48"/>
        <v>1.0790773013729786E-2</v>
      </c>
      <c r="U241" s="14"/>
      <c r="V241" s="15">
        <f t="shared" ca="1" si="47"/>
        <v>0.473715</v>
      </c>
      <c r="W241" s="14"/>
      <c r="X241" s="2"/>
    </row>
    <row r="242" spans="8:24" x14ac:dyDescent="0.25">
      <c r="H242" s="14">
        <v>44</v>
      </c>
      <c r="I242" s="17">
        <v>1.9481691939574883</v>
      </c>
      <c r="J242" s="15">
        <f t="shared" si="38"/>
        <v>-8.7000000000000001E-5</v>
      </c>
      <c r="K242" s="30">
        <f t="shared" si="39"/>
        <v>1.2E-4</v>
      </c>
      <c r="L242" s="15">
        <f t="shared" si="40"/>
        <v>5.8199999999999997E-3</v>
      </c>
      <c r="M242" s="10">
        <f t="shared" si="41"/>
        <v>1.9597194234419202</v>
      </c>
      <c r="N242" s="18">
        <f t="shared" si="42"/>
        <v>5.928760972227904E-3</v>
      </c>
      <c r="O242" s="14">
        <f t="shared" si="43"/>
        <v>10455.291499999999</v>
      </c>
      <c r="P242" s="14">
        <f t="shared" ca="1" si="49"/>
        <v>10458</v>
      </c>
      <c r="Q242" s="14" t="str">
        <f t="shared" ca="1" si="44"/>
        <v>0010100011011010</v>
      </c>
      <c r="R242" s="14">
        <f t="shared" ca="1" si="45"/>
        <v>1.9608151588439942</v>
      </c>
      <c r="S242" s="14">
        <f t="shared" ca="1" si="46"/>
        <v>43.529781906127937</v>
      </c>
      <c r="T242" s="19">
        <f t="shared" ca="1" si="48"/>
        <v>1.0686774860728705E-2</v>
      </c>
      <c r="U242" s="14"/>
      <c r="V242" s="15">
        <f t="shared" ca="1" si="47"/>
        <v>0.47021800000000002</v>
      </c>
      <c r="W242" s="14"/>
      <c r="X242" s="2"/>
    </row>
    <row r="243" spans="8:24" x14ac:dyDescent="0.25">
      <c r="H243" s="14">
        <v>44.1</v>
      </c>
      <c r="I243" s="17">
        <v>1.9575158164424038</v>
      </c>
      <c r="J243" s="15">
        <f t="shared" si="38"/>
        <v>-8.6000000000000003E-5</v>
      </c>
      <c r="K243" s="30">
        <f t="shared" si="39"/>
        <v>1.21E-4</v>
      </c>
      <c r="L243" s="15">
        <f t="shared" si="40"/>
        <v>5.8510000000000003E-3</v>
      </c>
      <c r="M243" s="10">
        <f t="shared" si="41"/>
        <v>1.9691811560283257</v>
      </c>
      <c r="N243" s="18">
        <f t="shared" si="42"/>
        <v>5.9592568744208122E-3</v>
      </c>
      <c r="O243" s="14">
        <f t="shared" si="43"/>
        <v>10505.7708</v>
      </c>
      <c r="P243" s="14">
        <f t="shared" ca="1" si="49"/>
        <v>10510</v>
      </c>
      <c r="Q243" s="14" t="str">
        <f t="shared" ca="1" si="44"/>
        <v>0010100100001110</v>
      </c>
      <c r="R243" s="14">
        <f t="shared" ca="1" si="45"/>
        <v>1.9705648612976074</v>
      </c>
      <c r="S243" s="14">
        <f t="shared" ca="1" si="46"/>
        <v>43.646778335571291</v>
      </c>
      <c r="T243" s="19">
        <f t="shared" ca="1" si="48"/>
        <v>1.0277135247816562E-2</v>
      </c>
      <c r="U243" s="14"/>
      <c r="V243" s="15">
        <f t="shared" ca="1" si="47"/>
        <v>0.45322200000000001</v>
      </c>
      <c r="W243" s="14"/>
      <c r="X243" s="2"/>
    </row>
    <row r="244" spans="8:24" x14ac:dyDescent="0.25">
      <c r="H244" s="14">
        <v>44.2</v>
      </c>
      <c r="I244" s="17">
        <v>1.9668835850708808</v>
      </c>
      <c r="J244" s="15">
        <f t="shared" si="38"/>
        <v>-8.6000000000000003E-5</v>
      </c>
      <c r="K244" s="30">
        <f t="shared" si="39"/>
        <v>1.21E-4</v>
      </c>
      <c r="L244" s="15">
        <f t="shared" si="40"/>
        <v>5.8809999999999999E-3</v>
      </c>
      <c r="M244" s="10">
        <f t="shared" si="41"/>
        <v>1.9786637655782464</v>
      </c>
      <c r="N244" s="18">
        <f t="shared" si="42"/>
        <v>5.9892616913273487E-3</v>
      </c>
      <c r="O244" s="14">
        <f t="shared" si="43"/>
        <v>10556.3614</v>
      </c>
      <c r="P244" s="14">
        <f t="shared" ca="1" si="49"/>
        <v>10558</v>
      </c>
      <c r="Q244" s="14" t="str">
        <f t="shared" ca="1" si="44"/>
        <v>0010100100111110</v>
      </c>
      <c r="R244" s="14">
        <f t="shared" ca="1" si="45"/>
        <v>1.9795645866394043</v>
      </c>
      <c r="S244" s="14">
        <f t="shared" ca="1" si="46"/>
        <v>43.754775039672857</v>
      </c>
      <c r="T244" s="19">
        <f t="shared" ca="1" si="48"/>
        <v>1.0072962903329081E-2</v>
      </c>
      <c r="U244" s="14"/>
      <c r="V244" s="15">
        <f t="shared" ca="1" si="47"/>
        <v>0.44522499999999998</v>
      </c>
      <c r="W244" s="14"/>
      <c r="X244" s="2"/>
    </row>
    <row r="245" spans="8:24" x14ac:dyDescent="0.25">
      <c r="H245" s="14">
        <v>44.3</v>
      </c>
      <c r="I245" s="17">
        <v>1.9755350552263227</v>
      </c>
      <c r="J245" s="15">
        <f t="shared" si="38"/>
        <v>-8.5000000000000006E-5</v>
      </c>
      <c r="K245" s="30">
        <f t="shared" si="39"/>
        <v>1.22E-4</v>
      </c>
      <c r="L245" s="15">
        <f t="shared" si="40"/>
        <v>5.9119999999999997E-3</v>
      </c>
      <c r="M245" s="10">
        <f t="shared" si="41"/>
        <v>1.9874273830187292</v>
      </c>
      <c r="N245" s="18">
        <f t="shared" si="42"/>
        <v>6.0198009450377222E-3</v>
      </c>
      <c r="O245" s="14">
        <f t="shared" si="43"/>
        <v>10603.1162</v>
      </c>
      <c r="P245" s="14">
        <f t="shared" ca="1" si="49"/>
        <v>10605</v>
      </c>
      <c r="Q245" s="14" t="str">
        <f t="shared" ca="1" si="44"/>
        <v>0010100101101101</v>
      </c>
      <c r="R245" s="14">
        <f t="shared" ca="1" si="45"/>
        <v>1.988376817703247</v>
      </c>
      <c r="S245" s="14">
        <f t="shared" ca="1" si="46"/>
        <v>43.860521812438968</v>
      </c>
      <c r="T245" s="19">
        <f t="shared" ca="1" si="48"/>
        <v>9.9205008478787625E-3</v>
      </c>
      <c r="U245" s="14"/>
      <c r="V245" s="15">
        <f t="shared" ca="1" si="47"/>
        <v>0.43947799999999998</v>
      </c>
      <c r="W245" s="14"/>
      <c r="X245" s="2"/>
    </row>
    <row r="246" spans="8:24" x14ac:dyDescent="0.25">
      <c r="H246" s="14">
        <v>44.400000000000006</v>
      </c>
      <c r="I246" s="17">
        <v>1.9849459136577783</v>
      </c>
      <c r="J246" s="15">
        <f t="shared" si="38"/>
        <v>-8.5000000000000006E-5</v>
      </c>
      <c r="K246" s="30">
        <f t="shared" si="39"/>
        <v>1.22E-4</v>
      </c>
      <c r="L246" s="15">
        <f t="shared" si="40"/>
        <v>5.9420000000000002E-3</v>
      </c>
      <c r="M246" s="10">
        <f t="shared" si="41"/>
        <v>1.9969544724973574</v>
      </c>
      <c r="N246" s="18">
        <f t="shared" si="42"/>
        <v>6.0498166508981535E-3</v>
      </c>
      <c r="O246" s="14">
        <f t="shared" si="43"/>
        <v>10653.944100000001</v>
      </c>
      <c r="P246" s="14">
        <f t="shared" ca="1" si="49"/>
        <v>10657</v>
      </c>
      <c r="Q246" s="14" t="str">
        <f t="shared" ca="1" si="44"/>
        <v>0010100110100001</v>
      </c>
      <c r="R246" s="14">
        <f t="shared" ca="1" si="45"/>
        <v>1.9981265201568603</v>
      </c>
      <c r="S246" s="14">
        <f t="shared" ca="1" si="46"/>
        <v>43.977518241882322</v>
      </c>
      <c r="T246" s="19">
        <f t="shared" ca="1" si="48"/>
        <v>9.5153549125604406E-3</v>
      </c>
      <c r="U246" s="14"/>
      <c r="V246" s="15">
        <f t="shared" ca="1" si="47"/>
        <v>0.42248200000000002</v>
      </c>
      <c r="W246" s="14"/>
      <c r="X246" s="2"/>
    </row>
    <row r="247" spans="8:24" x14ac:dyDescent="0.25">
      <c r="H247" s="14">
        <v>44.5</v>
      </c>
      <c r="I247" s="17">
        <v>1.9943776148252708</v>
      </c>
      <c r="J247" s="15">
        <f t="shared" si="38"/>
        <v>-8.3999999999999995E-5</v>
      </c>
      <c r="K247" s="30">
        <f t="shared" si="39"/>
        <v>1.2300000000000001E-4</v>
      </c>
      <c r="L247" s="15">
        <f t="shared" si="40"/>
        <v>5.973E-3</v>
      </c>
      <c r="M247" s="10">
        <f t="shared" si="41"/>
        <v>2.0065041174850089</v>
      </c>
      <c r="N247" s="18">
        <f t="shared" si="42"/>
        <v>6.0803443488311269E-3</v>
      </c>
      <c r="O247" s="14">
        <f t="shared" si="43"/>
        <v>10704.892400000001</v>
      </c>
      <c r="P247" s="14">
        <f t="shared" ca="1" si="49"/>
        <v>10704</v>
      </c>
      <c r="Q247" s="14" t="str">
        <f t="shared" ca="1" si="44"/>
        <v>0010100111010000</v>
      </c>
      <c r="R247" s="14">
        <f t="shared" ca="1" si="45"/>
        <v>2.0069387512207033</v>
      </c>
      <c r="S247" s="14">
        <f t="shared" ca="1" si="46"/>
        <v>44.083265014648447</v>
      </c>
      <c r="T247" s="19">
        <f t="shared" ca="1" si="48"/>
        <v>9.3648311314955771E-3</v>
      </c>
      <c r="U247" s="14"/>
      <c r="V247" s="15">
        <f t="shared" ca="1" si="47"/>
        <v>0.41673500000000002</v>
      </c>
      <c r="W247" s="14"/>
      <c r="X247" s="2"/>
    </row>
    <row r="248" spans="8:24" x14ac:dyDescent="0.25">
      <c r="H248" s="14">
        <v>44.6</v>
      </c>
      <c r="I248" s="17">
        <v>2.0030960176679673</v>
      </c>
      <c r="J248" s="15">
        <f t="shared" si="38"/>
        <v>-8.3999999999999995E-5</v>
      </c>
      <c r="K248" s="30">
        <f t="shared" si="39"/>
        <v>1.2300000000000001E-4</v>
      </c>
      <c r="L248" s="15">
        <f t="shared" si="40"/>
        <v>6.0029999999999997E-3</v>
      </c>
      <c r="M248" s="10">
        <f t="shared" si="41"/>
        <v>2.01533572988044</v>
      </c>
      <c r="N248" s="18">
        <f t="shared" si="42"/>
        <v>6.1103971574574395E-3</v>
      </c>
      <c r="O248" s="14">
        <f t="shared" si="43"/>
        <v>10752.009899999999</v>
      </c>
      <c r="P248" s="14">
        <f t="shared" ca="1" si="49"/>
        <v>10755</v>
      </c>
      <c r="Q248" s="14" t="str">
        <f t="shared" ca="1" si="44"/>
        <v>0010101000000011</v>
      </c>
      <c r="R248" s="14">
        <f t="shared" ca="1" si="45"/>
        <v>2.0165009593963625</v>
      </c>
      <c r="S248" s="14">
        <f t="shared" ca="1" si="46"/>
        <v>44.198011512756352</v>
      </c>
      <c r="T248" s="19">
        <f t="shared" ca="1" si="48"/>
        <v>9.0131947812477405E-3</v>
      </c>
      <c r="U248" s="14"/>
      <c r="V248" s="15">
        <f t="shared" ca="1" si="47"/>
        <v>0.40198800000000001</v>
      </c>
      <c r="W248" s="14"/>
      <c r="X248" s="2"/>
    </row>
    <row r="249" spans="8:24" x14ac:dyDescent="0.25">
      <c r="H249" s="14">
        <v>44.7</v>
      </c>
      <c r="I249" s="17">
        <v>2.01183726433965</v>
      </c>
      <c r="J249" s="15">
        <f t="shared" si="38"/>
        <v>-8.2999999999999998E-5</v>
      </c>
      <c r="K249" s="30">
        <f t="shared" si="39"/>
        <v>1.2400000000000001E-4</v>
      </c>
      <c r="L249" s="15">
        <f t="shared" si="40"/>
        <v>6.0340000000000003E-3</v>
      </c>
      <c r="M249" s="10">
        <f t="shared" si="41"/>
        <v>2.0241918882211767</v>
      </c>
      <c r="N249" s="18">
        <f t="shared" si="42"/>
        <v>6.1409658228901657E-3</v>
      </c>
      <c r="O249" s="14">
        <f t="shared" si="43"/>
        <v>10799.2583</v>
      </c>
      <c r="P249" s="14">
        <f t="shared" ca="1" si="49"/>
        <v>10799</v>
      </c>
      <c r="Q249" s="14" t="str">
        <f t="shared" ca="1" si="44"/>
        <v>0010101000101111</v>
      </c>
      <c r="R249" s="14">
        <f t="shared" ca="1" si="45"/>
        <v>2.0247507076263429</v>
      </c>
      <c r="S249" s="14">
        <f t="shared" ca="1" si="46"/>
        <v>44.297008491516117</v>
      </c>
      <c r="T249" s="19">
        <f t="shared" ca="1" si="48"/>
        <v>9.0154699884538291E-3</v>
      </c>
      <c r="U249" s="14"/>
      <c r="V249" s="15">
        <f t="shared" ca="1" si="47"/>
        <v>0.40299200000000002</v>
      </c>
      <c r="W249" s="14"/>
      <c r="X249" s="2"/>
    </row>
    <row r="250" spans="8:24" x14ac:dyDescent="0.25">
      <c r="H250" s="14">
        <v>44.8</v>
      </c>
      <c r="I250" s="17">
        <v>2.0206012533504776</v>
      </c>
      <c r="J250" s="15">
        <f t="shared" si="38"/>
        <v>-8.2000000000000001E-5</v>
      </c>
      <c r="K250" s="30">
        <f t="shared" si="39"/>
        <v>1.2400000000000001E-4</v>
      </c>
      <c r="L250" s="15">
        <f t="shared" si="40"/>
        <v>6.0639999999999999E-3</v>
      </c>
      <c r="M250" s="10">
        <f t="shared" si="41"/>
        <v>2.0330694346904403</v>
      </c>
      <c r="N250" s="18">
        <f t="shared" si="42"/>
        <v>6.170530340555082E-3</v>
      </c>
      <c r="O250" s="14">
        <f t="shared" si="43"/>
        <v>10846.6209</v>
      </c>
      <c r="P250" s="14">
        <f t="shared" ca="1" si="49"/>
        <v>10849</v>
      </c>
      <c r="Q250" s="14" t="str">
        <f t="shared" ca="1" si="44"/>
        <v>0010101001100001</v>
      </c>
      <c r="R250" s="14">
        <f t="shared" ca="1" si="45"/>
        <v>2.0341254215240481</v>
      </c>
      <c r="S250" s="14">
        <f t="shared" ca="1" si="46"/>
        <v>44.40950505828858</v>
      </c>
      <c r="T250" s="19">
        <f t="shared" ca="1" si="48"/>
        <v>8.7164049489155526E-3</v>
      </c>
      <c r="U250" s="14"/>
      <c r="V250" s="15">
        <f t="shared" ca="1" si="47"/>
        <v>0.39049499999999998</v>
      </c>
      <c r="W250" s="14"/>
      <c r="X250" s="2"/>
    </row>
    <row r="251" spans="8:24" x14ac:dyDescent="0.25">
      <c r="H251" s="14">
        <v>44.900000000000006</v>
      </c>
      <c r="I251" s="17">
        <v>2.0301186090565357</v>
      </c>
      <c r="J251" s="15">
        <f t="shared" si="38"/>
        <v>-8.2000000000000001E-5</v>
      </c>
      <c r="K251" s="30">
        <f t="shared" si="39"/>
        <v>1.25E-4</v>
      </c>
      <c r="L251" s="15">
        <f t="shared" si="40"/>
        <v>6.0949999999999997E-3</v>
      </c>
      <c r="M251" s="10">
        <f t="shared" si="41"/>
        <v>2.0427085642456126</v>
      </c>
      <c r="N251" s="18">
        <f t="shared" si="42"/>
        <v>6.2015860220737944E-3</v>
      </c>
      <c r="O251" s="14">
        <f t="shared" si="43"/>
        <v>10898.0466</v>
      </c>
      <c r="P251" s="14">
        <f t="shared" ca="1" si="49"/>
        <v>10897</v>
      </c>
      <c r="Q251" s="14" t="str">
        <f t="shared" ca="1" si="44"/>
        <v>0010101010010001</v>
      </c>
      <c r="R251" s="14">
        <f t="shared" ca="1" si="45"/>
        <v>2.0431251468658447</v>
      </c>
      <c r="S251" s="14">
        <f t="shared" ca="1" si="46"/>
        <v>44.51750176239014</v>
      </c>
      <c r="T251" s="19">
        <f t="shared" ca="1" si="48"/>
        <v>8.5188917062330952E-3</v>
      </c>
      <c r="U251" s="14"/>
      <c r="V251" s="15">
        <f t="shared" ca="1" si="47"/>
        <v>0.382498</v>
      </c>
      <c r="W251" s="14"/>
      <c r="X251" s="2"/>
    </row>
    <row r="252" spans="8:24" x14ac:dyDescent="0.25">
      <c r="H252" s="14">
        <v>45</v>
      </c>
      <c r="I252" s="17">
        <v>2.0389266722026069</v>
      </c>
      <c r="J252" s="15">
        <f t="shared" si="38"/>
        <v>-8.1000000000000004E-5</v>
      </c>
      <c r="K252" s="30">
        <f t="shared" si="39"/>
        <v>1.25E-4</v>
      </c>
      <c r="L252" s="15">
        <f t="shared" si="40"/>
        <v>6.1250000000000002E-3</v>
      </c>
      <c r="M252" s="10">
        <f t="shared" si="41"/>
        <v>2.051631560259195</v>
      </c>
      <c r="N252" s="18">
        <f t="shared" si="42"/>
        <v>6.2311647739951761E-3</v>
      </c>
      <c r="O252" s="14">
        <f t="shared" si="43"/>
        <v>10945.651599999999</v>
      </c>
      <c r="P252" s="14">
        <f t="shared" ca="1" si="49"/>
        <v>10947</v>
      </c>
      <c r="Q252" s="14" t="str">
        <f t="shared" ca="1" si="44"/>
        <v>0010101011000011</v>
      </c>
      <c r="R252" s="14">
        <f t="shared" ca="1" si="45"/>
        <v>2.0524998607635498</v>
      </c>
      <c r="S252" s="14">
        <f t="shared" ca="1" si="46"/>
        <v>44.629998329162596</v>
      </c>
      <c r="T252" s="19">
        <f t="shared" ca="1" si="48"/>
        <v>8.2222593519423025E-3</v>
      </c>
      <c r="U252" s="14"/>
      <c r="V252" s="15">
        <f t="shared" ca="1" si="47"/>
        <v>0.370002</v>
      </c>
      <c r="W252" s="14"/>
      <c r="X252" s="2"/>
    </row>
    <row r="253" spans="8:24" x14ac:dyDescent="0.25">
      <c r="H253" s="14">
        <v>45.1</v>
      </c>
      <c r="I253" s="17">
        <v>2.0492142107272038</v>
      </c>
      <c r="J253" s="15">
        <f t="shared" si="38"/>
        <v>-8.1000000000000004E-5</v>
      </c>
      <c r="K253" s="30">
        <f t="shared" si="39"/>
        <v>1.26E-4</v>
      </c>
      <c r="L253" s="15">
        <f t="shared" si="40"/>
        <v>6.156E-3</v>
      </c>
      <c r="M253" s="10">
        <f t="shared" si="41"/>
        <v>2.0620468138653592</v>
      </c>
      <c r="N253" s="18">
        <f t="shared" si="42"/>
        <v>6.2622067868646457E-3</v>
      </c>
      <c r="O253" s="14">
        <f t="shared" si="43"/>
        <v>11001.218000000001</v>
      </c>
      <c r="P253" s="14">
        <f t="shared" ca="1" si="49"/>
        <v>11006</v>
      </c>
      <c r="Q253" s="14" t="str">
        <f t="shared" ca="1" si="44"/>
        <v>0010101011111110</v>
      </c>
      <c r="R253" s="14">
        <f t="shared" ca="1" si="45"/>
        <v>2.063562023162842</v>
      </c>
      <c r="S253" s="14">
        <f t="shared" ca="1" si="46"/>
        <v>44.762744277954106</v>
      </c>
      <c r="T253" s="19">
        <f t="shared" ca="1" si="48"/>
        <v>7.4779539256296188E-3</v>
      </c>
      <c r="U253" s="14"/>
      <c r="V253" s="15">
        <f t="shared" ca="1" si="47"/>
        <v>0.337256</v>
      </c>
      <c r="W253" s="14"/>
      <c r="X253" s="2"/>
    </row>
    <row r="254" spans="8:24" x14ac:dyDescent="0.25">
      <c r="H254" s="14">
        <v>45.2</v>
      </c>
      <c r="I254" s="17">
        <v>2.0580648322948178</v>
      </c>
      <c r="J254" s="15">
        <f t="shared" si="38"/>
        <v>-8.0000000000000007E-5</v>
      </c>
      <c r="K254" s="30">
        <f t="shared" si="39"/>
        <v>1.26E-4</v>
      </c>
      <c r="L254" s="15">
        <f t="shared" si="40"/>
        <v>6.1859999999999997E-3</v>
      </c>
      <c r="M254" s="10">
        <f t="shared" si="41"/>
        <v>2.0710137646549738</v>
      </c>
      <c r="N254" s="18">
        <f t="shared" si="42"/>
        <v>6.2918000234800158E-3</v>
      </c>
      <c r="O254" s="14">
        <f t="shared" si="43"/>
        <v>11049.0576</v>
      </c>
      <c r="P254" s="14">
        <f t="shared" ca="1" si="49"/>
        <v>11048</v>
      </c>
      <c r="Q254" s="14" t="str">
        <f t="shared" ca="1" si="44"/>
        <v>0010101100101000</v>
      </c>
      <c r="R254" s="14">
        <f t="shared" ca="1" si="45"/>
        <v>2.0714367828369142</v>
      </c>
      <c r="S254" s="14">
        <f t="shared" ca="1" si="46"/>
        <v>44.857241394042973</v>
      </c>
      <c r="T254" s="19">
        <f t="shared" ca="1" si="48"/>
        <v>7.5831549990493406E-3</v>
      </c>
      <c r="U254" s="14"/>
      <c r="V254" s="15">
        <f t="shared" ca="1" si="47"/>
        <v>0.34275899999999998</v>
      </c>
      <c r="W254" s="14"/>
      <c r="X254" s="2"/>
    </row>
    <row r="255" spans="8:24" x14ac:dyDescent="0.25">
      <c r="H255" s="14">
        <v>45.3</v>
      </c>
      <c r="I255" s="17">
        <v>2.0676639957162091</v>
      </c>
      <c r="J255" s="15">
        <f t="shared" si="38"/>
        <v>-8.0000000000000007E-5</v>
      </c>
      <c r="K255" s="30">
        <f t="shared" si="39"/>
        <v>1.27E-4</v>
      </c>
      <c r="L255" s="15">
        <f t="shared" si="40"/>
        <v>6.2170000000000003E-3</v>
      </c>
      <c r="M255" s="10">
        <f t="shared" si="41"/>
        <v>2.0807375806692301</v>
      </c>
      <c r="N255" s="18">
        <f t="shared" si="42"/>
        <v>6.3228769181583201E-3</v>
      </c>
      <c r="O255" s="14">
        <f t="shared" si="43"/>
        <v>11100.935100000001</v>
      </c>
      <c r="P255" s="14">
        <f t="shared" ca="1" si="49"/>
        <v>11101</v>
      </c>
      <c r="Q255" s="14" t="str">
        <f t="shared" ca="1" si="44"/>
        <v>0010101101011101</v>
      </c>
      <c r="R255" s="14">
        <f t="shared" ca="1" si="45"/>
        <v>2.0813739795684816</v>
      </c>
      <c r="S255" s="14">
        <f t="shared" ca="1" si="46"/>
        <v>44.976487754821783</v>
      </c>
      <c r="T255" s="19">
        <f t="shared" ca="1" si="48"/>
        <v>7.1415506661857541E-3</v>
      </c>
      <c r="U255" s="14"/>
      <c r="V255" s="15">
        <f t="shared" ca="1" si="47"/>
        <v>0.32351200000000002</v>
      </c>
      <c r="W255" s="14"/>
      <c r="X255" s="2"/>
    </row>
    <row r="256" spans="8:24" x14ac:dyDescent="0.25">
      <c r="H256" s="14">
        <v>45.400000000000006</v>
      </c>
      <c r="I256" s="17">
        <v>2.0765578671922906</v>
      </c>
      <c r="J256" s="15">
        <f t="shared" si="38"/>
        <v>-7.8999999999999996E-5</v>
      </c>
      <c r="K256" s="30">
        <f t="shared" si="39"/>
        <v>1.27E-4</v>
      </c>
      <c r="L256" s="15">
        <f t="shared" si="40"/>
        <v>6.2469999999999999E-3</v>
      </c>
      <c r="M256" s="10">
        <f t="shared" si="41"/>
        <v>2.089749167918276</v>
      </c>
      <c r="N256" s="18">
        <f t="shared" si="42"/>
        <v>6.3524840479506255E-3</v>
      </c>
      <c r="O256" s="14">
        <f t="shared" si="43"/>
        <v>11149.012699999999</v>
      </c>
      <c r="P256" s="14">
        <f t="shared" ca="1" si="49"/>
        <v>11150</v>
      </c>
      <c r="Q256" s="14" t="str">
        <f t="shared" ca="1" si="44"/>
        <v>0010101110001110</v>
      </c>
      <c r="R256" s="14">
        <f t="shared" ca="1" si="45"/>
        <v>2.0905611991882322</v>
      </c>
      <c r="S256" s="14">
        <f t="shared" ca="1" si="46"/>
        <v>45.08673439025879</v>
      </c>
      <c r="T256" s="19">
        <f t="shared" ca="1" si="48"/>
        <v>6.900123562581832E-3</v>
      </c>
      <c r="U256" s="14"/>
      <c r="V256" s="15">
        <f t="shared" ca="1" si="47"/>
        <v>0.31326599999999999</v>
      </c>
      <c r="W256" s="14"/>
      <c r="X256" s="2"/>
    </row>
    <row r="257" spans="8:24" x14ac:dyDescent="0.25">
      <c r="H257" s="14">
        <v>45.5</v>
      </c>
      <c r="I257" s="17">
        <v>2.0854737617913113</v>
      </c>
      <c r="J257" s="15">
        <f t="shared" si="38"/>
        <v>-7.7999999999999999E-5</v>
      </c>
      <c r="K257" s="30">
        <f t="shared" si="39"/>
        <v>1.2799999999999999E-4</v>
      </c>
      <c r="L257" s="15">
        <f t="shared" si="40"/>
        <v>6.2779999999999997E-3</v>
      </c>
      <c r="M257" s="10">
        <f t="shared" si="41"/>
        <v>2.0987855734977301</v>
      </c>
      <c r="N257" s="18">
        <f t="shared" si="42"/>
        <v>6.3831115741224574E-3</v>
      </c>
      <c r="O257" s="14">
        <f t="shared" si="43"/>
        <v>11197.2228</v>
      </c>
      <c r="P257" s="14">
        <f t="shared" ca="1" si="49"/>
        <v>11196</v>
      </c>
      <c r="Q257" s="14" t="str">
        <f t="shared" ca="1" si="44"/>
        <v>0010101110111100</v>
      </c>
      <c r="R257" s="14">
        <f t="shared" ca="1" si="45"/>
        <v>2.0991859359741212</v>
      </c>
      <c r="S257" s="14">
        <f t="shared" ca="1" si="46"/>
        <v>45.190231231689452</v>
      </c>
      <c r="T257" s="19">
        <f t="shared" ca="1" si="48"/>
        <v>6.8081047980340145E-3</v>
      </c>
      <c r="U257" s="14"/>
      <c r="V257" s="15">
        <f t="shared" ca="1" si="47"/>
        <v>0.30976900000000002</v>
      </c>
      <c r="W257" s="14"/>
      <c r="X257" s="2"/>
    </row>
    <row r="258" spans="8:24" x14ac:dyDescent="0.25">
      <c r="H258" s="14">
        <v>45.6</v>
      </c>
      <c r="I258" s="17">
        <v>2.095134571422248</v>
      </c>
      <c r="J258" s="15">
        <f t="shared" si="38"/>
        <v>-7.7999999999999999E-5</v>
      </c>
      <c r="K258" s="30">
        <f t="shared" si="39"/>
        <v>1.2799999999999999E-4</v>
      </c>
      <c r="L258" s="15">
        <f t="shared" si="40"/>
        <v>6.3080000000000002E-3</v>
      </c>
      <c r="M258" s="10">
        <f t="shared" si="41"/>
        <v>2.1085710718796649</v>
      </c>
      <c r="N258" s="18">
        <f t="shared" si="42"/>
        <v>6.4131920883228489E-3</v>
      </c>
      <c r="O258" s="14">
        <f t="shared" si="43"/>
        <v>11249.429400000001</v>
      </c>
      <c r="P258" s="14">
        <f t="shared" ca="1" si="49"/>
        <v>11254</v>
      </c>
      <c r="Q258" s="14" t="str">
        <f t="shared" ca="1" si="44"/>
        <v>0010101111110110</v>
      </c>
      <c r="R258" s="14">
        <f t="shared" ca="1" si="45"/>
        <v>2.1100606040954588</v>
      </c>
      <c r="S258" s="14">
        <f t="shared" ca="1" si="46"/>
        <v>45.320727249145513</v>
      </c>
      <c r="T258" s="19">
        <f t="shared" ca="1" si="48"/>
        <v>6.1244024310194859E-3</v>
      </c>
      <c r="U258" s="14"/>
      <c r="V258" s="15">
        <f t="shared" ca="1" si="47"/>
        <v>0.27927299999999999</v>
      </c>
      <c r="W258" s="14"/>
      <c r="X258" s="2"/>
    </row>
    <row r="259" spans="8:24" x14ac:dyDescent="0.25">
      <c r="H259" s="14">
        <v>45.7</v>
      </c>
      <c r="I259" s="17">
        <v>2.1040930934751318</v>
      </c>
      <c r="J259" s="15">
        <f t="shared" ref="J259:J322" si="50">ROUND(H259*0.00000575 -0.00034,6)</f>
        <v>-7.7000000000000001E-5</v>
      </c>
      <c r="K259" s="30">
        <f t="shared" ref="K259:K322" si="51">ROUND(H259*0.000005-0.0001,6)</f>
        <v>1.2899999999999999E-4</v>
      </c>
      <c r="L259" s="15">
        <f t="shared" ref="L259:L322" si="52">ROUND(K259+($C$24*(H259-25)),6)</f>
        <v>6.339E-3</v>
      </c>
      <c r="M259" s="10">
        <f t="shared" ref="M259:M322" si="53">(I259-J259)/(1-L259)+$C$26+$D$27</f>
        <v>2.1176515187907468</v>
      </c>
      <c r="N259" s="18">
        <f t="shared" ref="N259:N322" si="54">ABS(I259-M259)/I259</f>
        <v>6.4438333824962746E-3</v>
      </c>
      <c r="O259" s="14">
        <f t="shared" ref="O259:O322" si="55">ROUND((M259*(2^($C$12-1)))/$C$44,4)</f>
        <v>11297.8745</v>
      </c>
      <c r="P259" s="14">
        <f t="shared" ca="1" si="49"/>
        <v>11301</v>
      </c>
      <c r="Q259" s="14" t="str">
        <f t="shared" ref="Q259:Q322" ca="1" si="56">_xlfn.BASE(IF(P259&lt;0, P259+2^($C$12)-1, P259), 2, 16)</f>
        <v>0010110000100101</v>
      </c>
      <c r="R259" s="14">
        <f t="shared" ref="R259:R322" ca="1" si="57">($C$16/2^($C$12-1)) * P259</f>
        <v>2.1188728351593018</v>
      </c>
      <c r="S259" s="14">
        <f t="shared" ref="S259:S322" ca="1" si="58">(R259+5/3)/(1/12)</f>
        <v>45.426474021911623</v>
      </c>
      <c r="T259" s="19">
        <f t="shared" ca="1" si="48"/>
        <v>5.9852511616713218E-3</v>
      </c>
      <c r="U259" s="14"/>
      <c r="V259" s="15">
        <f t="shared" ref="V259:V322" ca="1" si="59">ROUND(ABS(H259-S259),6)</f>
        <v>0.27352599999999999</v>
      </c>
      <c r="W259" s="14"/>
      <c r="X259" s="2"/>
    </row>
    <row r="260" spans="8:24" x14ac:dyDescent="0.25">
      <c r="H260" s="14">
        <v>45.8</v>
      </c>
      <c r="I260" s="17">
        <v>2.1130733263689025</v>
      </c>
      <c r="J260" s="15">
        <f t="shared" si="50"/>
        <v>-7.7000000000000001E-5</v>
      </c>
      <c r="K260" s="30">
        <f t="shared" si="51"/>
        <v>1.2899999999999999E-4</v>
      </c>
      <c r="L260" s="15">
        <f t="shared" si="52"/>
        <v>6.3689999999999997E-3</v>
      </c>
      <c r="M260" s="10">
        <f t="shared" si="53"/>
        <v>2.1267532484060006</v>
      </c>
      <c r="N260" s="18">
        <f t="shared" si="54"/>
        <v>6.4739457293730221E-3</v>
      </c>
      <c r="O260" s="14">
        <f t="shared" si="55"/>
        <v>11346.4331</v>
      </c>
      <c r="P260" s="14">
        <f t="shared" ca="1" si="49"/>
        <v>11346</v>
      </c>
      <c r="Q260" s="14" t="str">
        <f t="shared" ca="1" si="56"/>
        <v>0010110001010010</v>
      </c>
      <c r="R260" s="14">
        <f t="shared" ca="1" si="57"/>
        <v>2.1273100776672362</v>
      </c>
      <c r="S260" s="14">
        <f t="shared" ca="1" si="58"/>
        <v>45.527720932006837</v>
      </c>
      <c r="T260" s="19">
        <f t="shared" ref="T260:T323" ca="1" si="60">ABS(H260-S260)/H260</f>
        <v>5.944957816444555E-3</v>
      </c>
      <c r="U260" s="14"/>
      <c r="V260" s="15">
        <f t="shared" ca="1" si="59"/>
        <v>0.27227899999999999</v>
      </c>
      <c r="W260" s="14"/>
      <c r="X260" s="2"/>
    </row>
    <row r="261" spans="8:24" x14ac:dyDescent="0.25">
      <c r="H261" s="14">
        <v>45.900000000000006</v>
      </c>
      <c r="I261" s="17">
        <v>2.1227948427444896</v>
      </c>
      <c r="J261" s="15">
        <f t="shared" si="50"/>
        <v>-7.6000000000000004E-5</v>
      </c>
      <c r="K261" s="30">
        <f t="shared" si="51"/>
        <v>1.2999999999999999E-4</v>
      </c>
      <c r="L261" s="15">
        <f t="shared" si="52"/>
        <v>6.4000000000000003E-3</v>
      </c>
      <c r="M261" s="10">
        <f t="shared" si="53"/>
        <v>2.1366027290101548</v>
      </c>
      <c r="N261" s="18">
        <f t="shared" si="54"/>
        <v>6.5045787692858039E-3</v>
      </c>
      <c r="O261" s="14">
        <f t="shared" si="55"/>
        <v>11398.981</v>
      </c>
      <c r="P261" s="14">
        <f t="shared" ca="1" si="49"/>
        <v>11402</v>
      </c>
      <c r="Q261" s="14" t="str">
        <f t="shared" ca="1" si="56"/>
        <v>0010110010001010</v>
      </c>
      <c r="R261" s="14">
        <f t="shared" ca="1" si="57"/>
        <v>2.1378097572326662</v>
      </c>
      <c r="S261" s="14">
        <f t="shared" ca="1" si="58"/>
        <v>45.653717086791993</v>
      </c>
      <c r="T261" s="19">
        <f t="shared" ca="1" si="60"/>
        <v>5.3656408106320932E-3</v>
      </c>
      <c r="U261" s="14"/>
      <c r="V261" s="15">
        <f t="shared" ca="1" si="59"/>
        <v>0.246283</v>
      </c>
      <c r="W261" s="14"/>
      <c r="X261" s="2"/>
    </row>
    <row r="262" spans="8:24" x14ac:dyDescent="0.25">
      <c r="H262" s="14">
        <v>46</v>
      </c>
      <c r="I262" s="17">
        <v>2.1318170759529322</v>
      </c>
      <c r="J262" s="15">
        <f t="shared" si="50"/>
        <v>-7.6000000000000004E-5</v>
      </c>
      <c r="K262" s="30">
        <f t="shared" si="51"/>
        <v>1.2999999999999999E-4</v>
      </c>
      <c r="L262" s="15">
        <f t="shared" si="52"/>
        <v>6.43E-3</v>
      </c>
      <c r="M262" s="10">
        <f t="shared" si="53"/>
        <v>2.1457478617640753</v>
      </c>
      <c r="N262" s="18">
        <f t="shared" si="54"/>
        <v>6.5347003588081855E-3</v>
      </c>
      <c r="O262" s="14">
        <f t="shared" si="55"/>
        <v>11447.771199999999</v>
      </c>
      <c r="P262" s="14">
        <f t="shared" ca="1" si="49"/>
        <v>11446</v>
      </c>
      <c r="Q262" s="14" t="str">
        <f t="shared" ca="1" si="56"/>
        <v>0010110010110110</v>
      </c>
      <c r="R262" s="14">
        <f t="shared" ca="1" si="57"/>
        <v>2.1460595054626466</v>
      </c>
      <c r="S262" s="14">
        <f t="shared" ca="1" si="58"/>
        <v>45.752714065551757</v>
      </c>
      <c r="T262" s="19">
        <f t="shared" ca="1" si="60"/>
        <v>5.375781183657456E-3</v>
      </c>
      <c r="U262" s="14"/>
      <c r="V262" s="15">
        <f t="shared" ca="1" si="59"/>
        <v>0.24728600000000001</v>
      </c>
      <c r="W262" s="14"/>
      <c r="X262" s="2"/>
    </row>
    <row r="263" spans="8:24" x14ac:dyDescent="0.25">
      <c r="H263" s="14">
        <v>46.1</v>
      </c>
      <c r="I263" s="17">
        <v>2.1408607054942919</v>
      </c>
      <c r="J263" s="15">
        <f t="shared" si="50"/>
        <v>-7.4999999999999993E-5</v>
      </c>
      <c r="K263" s="30">
        <f t="shared" si="51"/>
        <v>1.3100000000000001E-4</v>
      </c>
      <c r="L263" s="15">
        <f t="shared" si="52"/>
        <v>6.4609999999999997E-3</v>
      </c>
      <c r="M263" s="10">
        <f t="shared" si="53"/>
        <v>2.1549162446127346</v>
      </c>
      <c r="N263" s="18">
        <f t="shared" si="54"/>
        <v>6.5653683503885405E-3</v>
      </c>
      <c r="O263" s="14">
        <f t="shared" si="55"/>
        <v>11496.6854</v>
      </c>
      <c r="P263" s="14">
        <f t="shared" ca="1" si="49"/>
        <v>11498</v>
      </c>
      <c r="Q263" s="14" t="str">
        <f t="shared" ca="1" si="56"/>
        <v>0010110011101010</v>
      </c>
      <c r="R263" s="14">
        <f t="shared" ca="1" si="57"/>
        <v>2.1558092079162599</v>
      </c>
      <c r="S263" s="14">
        <f t="shared" ca="1" si="58"/>
        <v>45.869710494995125</v>
      </c>
      <c r="T263" s="19">
        <f t="shared" ca="1" si="60"/>
        <v>4.9954339480450345E-3</v>
      </c>
      <c r="U263" s="14"/>
      <c r="V263" s="15">
        <f t="shared" ca="1" si="59"/>
        <v>0.23028999999999999</v>
      </c>
      <c r="W263" s="14"/>
      <c r="X263" s="2"/>
    </row>
    <row r="264" spans="8:24" x14ac:dyDescent="0.25">
      <c r="H264" s="14">
        <v>46.2</v>
      </c>
      <c r="I264" s="17">
        <v>2.1499256260524788</v>
      </c>
      <c r="J264" s="15">
        <f t="shared" si="50"/>
        <v>-7.3999999999999996E-5</v>
      </c>
      <c r="K264" s="30">
        <f t="shared" si="51"/>
        <v>1.3100000000000001E-4</v>
      </c>
      <c r="L264" s="15">
        <f t="shared" si="52"/>
        <v>6.4910000000000002E-3</v>
      </c>
      <c r="M264" s="10">
        <f t="shared" si="53"/>
        <v>2.1641044515696177</v>
      </c>
      <c r="N264" s="18">
        <f t="shared" si="54"/>
        <v>6.595030704933229E-3</v>
      </c>
      <c r="O264" s="14">
        <f t="shared" si="55"/>
        <v>11545.7053</v>
      </c>
      <c r="P264" s="14">
        <f t="shared" ca="1" si="49"/>
        <v>11546</v>
      </c>
      <c r="Q264" s="14" t="str">
        <f t="shared" ca="1" si="56"/>
        <v>0010110100011010</v>
      </c>
      <c r="R264" s="14">
        <f t="shared" ca="1" si="57"/>
        <v>2.1648089332580569</v>
      </c>
      <c r="S264" s="14">
        <f t="shared" ca="1" si="58"/>
        <v>45.977707199096685</v>
      </c>
      <c r="T264" s="19">
        <f t="shared" ca="1" si="60"/>
        <v>4.8115324870848103E-3</v>
      </c>
      <c r="U264" s="14"/>
      <c r="V264" s="15">
        <f t="shared" ca="1" si="59"/>
        <v>0.22229299999999999</v>
      </c>
      <c r="W264" s="14"/>
      <c r="X264" s="2"/>
    </row>
    <row r="265" spans="8:24" x14ac:dyDescent="0.25">
      <c r="H265" s="14">
        <v>46.3</v>
      </c>
      <c r="I265" s="17">
        <v>2.1590117321513764</v>
      </c>
      <c r="J265" s="15">
        <f t="shared" si="50"/>
        <v>-7.3999999999999996E-5</v>
      </c>
      <c r="K265" s="30">
        <f t="shared" si="51"/>
        <v>1.3200000000000001E-4</v>
      </c>
      <c r="L265" s="15">
        <f t="shared" si="52"/>
        <v>6.522E-3</v>
      </c>
      <c r="M265" s="10">
        <f t="shared" si="53"/>
        <v>2.1733177321242914</v>
      </c>
      <c r="N265" s="18">
        <f t="shared" si="54"/>
        <v>6.6261798210144607E-3</v>
      </c>
      <c r="O265" s="14">
        <f t="shared" si="55"/>
        <v>11594.8591</v>
      </c>
      <c r="P265" s="14">
        <f t="shared" ca="1" si="49"/>
        <v>11594</v>
      </c>
      <c r="Q265" s="14" t="str">
        <f t="shared" ca="1" si="56"/>
        <v>0010110101001010</v>
      </c>
      <c r="R265" s="14">
        <f t="shared" ca="1" si="57"/>
        <v>2.1738086585998535</v>
      </c>
      <c r="S265" s="14">
        <f t="shared" ca="1" si="58"/>
        <v>46.085703903198244</v>
      </c>
      <c r="T265" s="19">
        <f t="shared" ca="1" si="60"/>
        <v>4.6284254168845211E-3</v>
      </c>
      <c r="U265" s="14"/>
      <c r="V265" s="15">
        <f t="shared" ca="1" si="59"/>
        <v>0.21429599999999999</v>
      </c>
      <c r="W265" s="14"/>
      <c r="X265" s="2"/>
    </row>
    <row r="266" spans="8:24" x14ac:dyDescent="0.25">
      <c r="H266" s="14">
        <v>46.400000000000006</v>
      </c>
      <c r="I266" s="17">
        <v>2.1674047792362665</v>
      </c>
      <c r="J266" s="15">
        <f t="shared" si="50"/>
        <v>-7.2999999999999999E-5</v>
      </c>
      <c r="K266" s="30">
        <f t="shared" si="51"/>
        <v>1.3200000000000001E-4</v>
      </c>
      <c r="L266" s="15">
        <f t="shared" si="52"/>
        <v>6.5519999999999997E-3</v>
      </c>
      <c r="M266" s="10">
        <f t="shared" si="53"/>
        <v>2.1818307543225881</v>
      </c>
      <c r="N266" s="18">
        <f t="shared" si="54"/>
        <v>6.6558749083338786E-3</v>
      </c>
      <c r="O266" s="14">
        <f t="shared" si="55"/>
        <v>11640.276900000001</v>
      </c>
      <c r="P266" s="14">
        <f t="shared" ca="1" si="49"/>
        <v>11642</v>
      </c>
      <c r="Q266" s="14" t="str">
        <f t="shared" ca="1" si="56"/>
        <v>0010110101111010</v>
      </c>
      <c r="R266" s="14">
        <f t="shared" ca="1" si="57"/>
        <v>2.1828083839416506</v>
      </c>
      <c r="S266" s="14">
        <f t="shared" ca="1" si="58"/>
        <v>46.19370060729981</v>
      </c>
      <c r="T266" s="19">
        <f t="shared" ca="1" si="60"/>
        <v>4.4461076012973161E-3</v>
      </c>
      <c r="U266" s="14"/>
      <c r="V266" s="15">
        <f t="shared" ca="1" si="59"/>
        <v>0.20629900000000001</v>
      </c>
      <c r="W266" s="14"/>
      <c r="X266" s="2"/>
    </row>
    <row r="267" spans="8:24" x14ac:dyDescent="0.25">
      <c r="H267" s="14">
        <v>46.5</v>
      </c>
      <c r="I267" s="17">
        <v>2.1772470783103097</v>
      </c>
      <c r="J267" s="15">
        <f t="shared" si="50"/>
        <v>-7.2999999999999999E-5</v>
      </c>
      <c r="K267" s="30">
        <f t="shared" si="51"/>
        <v>1.3300000000000001E-4</v>
      </c>
      <c r="L267" s="15">
        <f t="shared" si="52"/>
        <v>6.5830000000000003E-3</v>
      </c>
      <c r="M267" s="10">
        <f t="shared" si="53"/>
        <v>2.1918063577493738</v>
      </c>
      <c r="N267" s="18">
        <f t="shared" si="54"/>
        <v>6.687012964262687E-3</v>
      </c>
      <c r="O267" s="14">
        <f t="shared" si="55"/>
        <v>11693.4977</v>
      </c>
      <c r="P267" s="14">
        <f t="shared" ca="1" si="49"/>
        <v>11697</v>
      </c>
      <c r="Q267" s="14" t="str">
        <f t="shared" ca="1" si="56"/>
        <v>0010110110110001</v>
      </c>
      <c r="R267" s="14">
        <f t="shared" ca="1" si="57"/>
        <v>2.193120569229126</v>
      </c>
      <c r="S267" s="14">
        <f t="shared" ca="1" si="58"/>
        <v>46.31744683074951</v>
      </c>
      <c r="T267" s="19">
        <f t="shared" ca="1" si="60"/>
        <v>3.9258746075374103E-3</v>
      </c>
      <c r="U267" s="14"/>
      <c r="V267" s="15">
        <f t="shared" ca="1" si="59"/>
        <v>0.18255299999999999</v>
      </c>
      <c r="W267" s="14"/>
      <c r="X267" s="2"/>
    </row>
    <row r="268" spans="8:24" x14ac:dyDescent="0.25">
      <c r="H268" s="14">
        <v>46.6</v>
      </c>
      <c r="I268" s="17">
        <v>2.1863961061378467</v>
      </c>
      <c r="J268" s="15">
        <f t="shared" si="50"/>
        <v>-7.2000000000000002E-5</v>
      </c>
      <c r="K268" s="30">
        <f t="shared" si="51"/>
        <v>1.3300000000000001E-4</v>
      </c>
      <c r="L268" s="15">
        <f t="shared" si="52"/>
        <v>6.613E-3</v>
      </c>
      <c r="M268" s="10">
        <f t="shared" si="53"/>
        <v>2.2010814743738814</v>
      </c>
      <c r="N268" s="18">
        <f t="shared" si="54"/>
        <v>6.7167006906061226E-3</v>
      </c>
      <c r="O268" s="14">
        <f t="shared" si="55"/>
        <v>11742.981299999999</v>
      </c>
      <c r="P268" s="14">
        <f t="shared" ca="1" si="49"/>
        <v>11743</v>
      </c>
      <c r="Q268" s="14" t="str">
        <f t="shared" ca="1" si="56"/>
        <v>0010110111011111</v>
      </c>
      <c r="R268" s="14">
        <f t="shared" ca="1" si="57"/>
        <v>2.2017453060150145</v>
      </c>
      <c r="S268" s="14">
        <f t="shared" ca="1" si="58"/>
        <v>46.420943672180172</v>
      </c>
      <c r="T268" s="19">
        <f t="shared" ca="1" si="60"/>
        <v>3.8424104682366774E-3</v>
      </c>
      <c r="U268" s="14"/>
      <c r="V268" s="15">
        <f t="shared" ca="1" si="59"/>
        <v>0.17905599999999999</v>
      </c>
      <c r="W268" s="14"/>
      <c r="X268" s="2"/>
    </row>
    <row r="269" spans="8:24" x14ac:dyDescent="0.25">
      <c r="H269" s="14">
        <v>46.7</v>
      </c>
      <c r="I269" s="17">
        <v>2.1955658953902484</v>
      </c>
      <c r="J269" s="15">
        <f t="shared" si="50"/>
        <v>-7.1000000000000005E-5</v>
      </c>
      <c r="K269" s="30">
        <f t="shared" si="51"/>
        <v>1.34E-4</v>
      </c>
      <c r="L269" s="15">
        <f t="shared" si="52"/>
        <v>6.6439999999999997E-3</v>
      </c>
      <c r="M269" s="10">
        <f t="shared" si="53"/>
        <v>2.2103802765959522</v>
      </c>
      <c r="N269" s="18">
        <f t="shared" si="54"/>
        <v>6.7474090560468505E-3</v>
      </c>
      <c r="O269" s="14">
        <f t="shared" si="55"/>
        <v>11792.5913</v>
      </c>
      <c r="P269" s="14">
        <f t="shared" ca="1" si="49"/>
        <v>11792</v>
      </c>
      <c r="Q269" s="14" t="str">
        <f t="shared" ca="1" si="56"/>
        <v>0010111000010000</v>
      </c>
      <c r="R269" s="14">
        <f t="shared" ca="1" si="57"/>
        <v>2.2109325256347656</v>
      </c>
      <c r="S269" s="14">
        <f t="shared" ca="1" si="58"/>
        <v>46.531190307617194</v>
      </c>
      <c r="T269" s="19">
        <f t="shared" ca="1" si="60"/>
        <v>3.6147685735076745E-3</v>
      </c>
      <c r="U269" s="14"/>
      <c r="V269" s="15">
        <f t="shared" ca="1" si="59"/>
        <v>0.16880999999999999</v>
      </c>
      <c r="W269" s="14"/>
      <c r="X269" s="2"/>
    </row>
    <row r="270" spans="8:24" x14ac:dyDescent="0.25">
      <c r="H270" s="14">
        <v>46.8</v>
      </c>
      <c r="I270" s="17">
        <v>2.2047563395584504</v>
      </c>
      <c r="J270" s="15">
        <f t="shared" si="50"/>
        <v>-7.1000000000000005E-5</v>
      </c>
      <c r="K270" s="30">
        <f t="shared" si="51"/>
        <v>1.34E-4</v>
      </c>
      <c r="L270" s="15">
        <f t="shared" si="52"/>
        <v>6.6740000000000002E-3</v>
      </c>
      <c r="M270" s="10">
        <f t="shared" si="53"/>
        <v>2.2196992250947329</v>
      </c>
      <c r="N270" s="18">
        <f t="shared" si="54"/>
        <v>6.7775677829665145E-3</v>
      </c>
      <c r="O270" s="14">
        <f t="shared" si="55"/>
        <v>11842.308800000001</v>
      </c>
      <c r="P270" s="14">
        <f t="shared" ca="1" si="49"/>
        <v>11841</v>
      </c>
      <c r="Q270" s="14" t="str">
        <f t="shared" ca="1" si="56"/>
        <v>0010111001000001</v>
      </c>
      <c r="R270" s="14">
        <f t="shared" ca="1" si="57"/>
        <v>2.2201197452545167</v>
      </c>
      <c r="S270" s="14">
        <f t="shared" ca="1" si="58"/>
        <v>46.641436943054202</v>
      </c>
      <c r="T270" s="19">
        <f t="shared" ca="1" si="60"/>
        <v>3.3880995073887771E-3</v>
      </c>
      <c r="U270" s="14"/>
      <c r="V270" s="15">
        <f t="shared" ca="1" si="59"/>
        <v>0.15856300000000001</v>
      </c>
      <c r="W270" s="14"/>
      <c r="X270" s="2"/>
    </row>
    <row r="271" spans="8:24" x14ac:dyDescent="0.25">
      <c r="H271" s="14">
        <v>46.900000000000006</v>
      </c>
      <c r="I271" s="17">
        <v>2.2139673317405957</v>
      </c>
      <c r="J271" s="15">
        <f t="shared" si="50"/>
        <v>-6.9999999999999994E-5</v>
      </c>
      <c r="K271" s="30">
        <f t="shared" si="51"/>
        <v>1.35E-4</v>
      </c>
      <c r="L271" s="15">
        <f t="shared" si="52"/>
        <v>6.705E-3</v>
      </c>
      <c r="M271" s="10">
        <f t="shared" si="53"/>
        <v>2.2290406604791082</v>
      </c>
      <c r="N271" s="18">
        <f t="shared" si="54"/>
        <v>6.8082886871966841E-3</v>
      </c>
      <c r="O271" s="14">
        <f t="shared" si="55"/>
        <v>11892.146199999999</v>
      </c>
      <c r="P271" s="14">
        <f t="shared" ref="P271:P334" ca="1" si="61">ROUND(O271+$C$47+$C$49+RANDBETWEEN($B$45,$D$45) + 1,0)</f>
        <v>11892</v>
      </c>
      <c r="Q271" s="14" t="str">
        <f t="shared" ca="1" si="56"/>
        <v>0010111001110100</v>
      </c>
      <c r="R271" s="14">
        <f t="shared" ca="1" si="57"/>
        <v>2.2296819534301759</v>
      </c>
      <c r="S271" s="14">
        <f t="shared" ca="1" si="58"/>
        <v>46.756183441162115</v>
      </c>
      <c r="T271" s="19">
        <f t="shared" ca="1" si="60"/>
        <v>3.0664511479294408E-3</v>
      </c>
      <c r="U271" s="14"/>
      <c r="V271" s="15">
        <f t="shared" ca="1" si="59"/>
        <v>0.143817</v>
      </c>
      <c r="W271" s="14"/>
      <c r="X271" s="2"/>
    </row>
    <row r="272" spans="8:24" x14ac:dyDescent="0.25">
      <c r="H272" s="14">
        <v>47</v>
      </c>
      <c r="I272" s="17">
        <v>2.2231987647293097</v>
      </c>
      <c r="J272" s="15">
        <f t="shared" si="50"/>
        <v>-6.9999999999999994E-5</v>
      </c>
      <c r="K272" s="30">
        <f t="shared" si="51"/>
        <v>1.35E-4</v>
      </c>
      <c r="L272" s="15">
        <f t="shared" si="52"/>
        <v>6.7349999999999997E-3</v>
      </c>
      <c r="M272" s="10">
        <f t="shared" si="53"/>
        <v>2.2384020116477577</v>
      </c>
      <c r="N272" s="18">
        <f t="shared" si="54"/>
        <v>6.8384559939691633E-3</v>
      </c>
      <c r="O272" s="14">
        <f t="shared" si="55"/>
        <v>11942.089900000001</v>
      </c>
      <c r="P272" s="14">
        <f t="shared" ca="1" si="61"/>
        <v>11945</v>
      </c>
      <c r="Q272" s="14" t="str">
        <f t="shared" ca="1" si="56"/>
        <v>0010111010101001</v>
      </c>
      <c r="R272" s="14">
        <f t="shared" ca="1" si="57"/>
        <v>2.2396191501617433</v>
      </c>
      <c r="S272" s="14">
        <f t="shared" ca="1" si="58"/>
        <v>46.875429801940918</v>
      </c>
      <c r="T272" s="19">
        <f t="shared" ca="1" si="60"/>
        <v>2.6504297459379214E-3</v>
      </c>
      <c r="U272" s="14"/>
      <c r="V272" s="15">
        <f t="shared" ca="1" si="59"/>
        <v>0.12457</v>
      </c>
      <c r="W272" s="14"/>
      <c r="X272" s="2"/>
    </row>
    <row r="273" spans="8:24" x14ac:dyDescent="0.25">
      <c r="H273" s="14">
        <v>47.1</v>
      </c>
      <c r="I273" s="17">
        <v>2.2324505313171921</v>
      </c>
      <c r="J273" s="15">
        <f t="shared" si="50"/>
        <v>-6.8999999999999997E-5</v>
      </c>
      <c r="K273" s="30">
        <f t="shared" si="51"/>
        <v>1.36E-4</v>
      </c>
      <c r="L273" s="15">
        <f t="shared" si="52"/>
        <v>6.7660000000000003E-3</v>
      </c>
      <c r="M273" s="10">
        <f t="shared" si="53"/>
        <v>2.2477856566420322</v>
      </c>
      <c r="N273" s="18">
        <f t="shared" si="54"/>
        <v>6.8691893100055025E-3</v>
      </c>
      <c r="O273" s="14">
        <f t="shared" si="55"/>
        <v>11992.152599999999</v>
      </c>
      <c r="P273" s="14">
        <f t="shared" ca="1" si="61"/>
        <v>11996</v>
      </c>
      <c r="Q273" s="14" t="str">
        <f t="shared" ca="1" si="56"/>
        <v>0010111011011100</v>
      </c>
      <c r="R273" s="14">
        <f t="shared" ca="1" si="57"/>
        <v>2.2491813583374025</v>
      </c>
      <c r="S273" s="14">
        <f t="shared" ca="1" si="58"/>
        <v>46.990176300048837</v>
      </c>
      <c r="T273" s="19">
        <f t="shared" ca="1" si="60"/>
        <v>2.3317133747593234E-3</v>
      </c>
      <c r="U273" s="14"/>
      <c r="V273" s="15">
        <f t="shared" ca="1" si="59"/>
        <v>0.109824</v>
      </c>
      <c r="W273" s="14"/>
      <c r="X273" s="2"/>
    </row>
    <row r="274" spans="8:24" x14ac:dyDescent="0.25">
      <c r="H274" s="14">
        <v>47.2</v>
      </c>
      <c r="I274" s="17">
        <v>2.2417225241077428</v>
      </c>
      <c r="J274" s="15">
        <f t="shared" si="50"/>
        <v>-6.8999999999999997E-5</v>
      </c>
      <c r="K274" s="30">
        <f t="shared" si="51"/>
        <v>1.36E-4</v>
      </c>
      <c r="L274" s="15">
        <f t="shared" si="52"/>
        <v>6.796E-3</v>
      </c>
      <c r="M274" s="10">
        <f t="shared" si="53"/>
        <v>2.2571889862905734</v>
      </c>
      <c r="N274" s="18">
        <f t="shared" si="54"/>
        <v>6.8993651161116214E-3</v>
      </c>
      <c r="O274" s="14">
        <f t="shared" si="55"/>
        <v>12042.320299999999</v>
      </c>
      <c r="P274" s="14">
        <f t="shared" ca="1" si="61"/>
        <v>12041</v>
      </c>
      <c r="Q274" s="14" t="str">
        <f t="shared" ca="1" si="56"/>
        <v>0010111100001001</v>
      </c>
      <c r="R274" s="14">
        <f t="shared" ca="1" si="57"/>
        <v>2.2576186008453369</v>
      </c>
      <c r="S274" s="14">
        <f t="shared" ca="1" si="58"/>
        <v>47.09142321014405</v>
      </c>
      <c r="T274" s="19">
        <f t="shared" ca="1" si="60"/>
        <v>2.3003557172871277E-3</v>
      </c>
      <c r="U274" s="14"/>
      <c r="V274" s="15">
        <f t="shared" ca="1" si="59"/>
        <v>0.10857700000000001</v>
      </c>
      <c r="W274" s="14"/>
      <c r="X274" s="2"/>
    </row>
    <row r="275" spans="8:24" x14ac:dyDescent="0.25">
      <c r="H275" s="14">
        <v>47.3</v>
      </c>
      <c r="I275" s="17">
        <v>2.2503104760198176</v>
      </c>
      <c r="J275" s="15">
        <f t="shared" si="50"/>
        <v>-6.7999999999999999E-5</v>
      </c>
      <c r="K275" s="30">
        <f t="shared" si="51"/>
        <v>1.37E-4</v>
      </c>
      <c r="L275" s="15">
        <f t="shared" si="52"/>
        <v>6.8269999999999997E-3</v>
      </c>
      <c r="M275" s="10">
        <f t="shared" si="53"/>
        <v>2.2659054163311105</v>
      </c>
      <c r="N275" s="18">
        <f t="shared" si="54"/>
        <v>6.9301282989519351E-3</v>
      </c>
      <c r="O275" s="14">
        <f t="shared" si="55"/>
        <v>12088.8233</v>
      </c>
      <c r="P275" s="14">
        <f t="shared" ca="1" si="61"/>
        <v>12091</v>
      </c>
      <c r="Q275" s="14" t="str">
        <f t="shared" ca="1" si="56"/>
        <v>0010111100111011</v>
      </c>
      <c r="R275" s="14">
        <f t="shared" ca="1" si="57"/>
        <v>2.2669933147430421</v>
      </c>
      <c r="S275" s="14">
        <f t="shared" ca="1" si="58"/>
        <v>47.203919776916507</v>
      </c>
      <c r="T275" s="19">
        <f t="shared" ca="1" si="60"/>
        <v>2.0312943569448217E-3</v>
      </c>
      <c r="U275" s="14"/>
      <c r="V275" s="15">
        <f t="shared" ca="1" si="59"/>
        <v>9.6079999999999999E-2</v>
      </c>
      <c r="W275" s="14"/>
      <c r="X275" s="2"/>
    </row>
    <row r="276" spans="8:24" x14ac:dyDescent="0.25">
      <c r="H276" s="14">
        <v>47.400000000000006</v>
      </c>
      <c r="I276" s="17">
        <v>2.259623707194633</v>
      </c>
      <c r="J276" s="15">
        <f t="shared" si="50"/>
        <v>-6.7000000000000002E-5</v>
      </c>
      <c r="K276" s="30">
        <f t="shared" si="51"/>
        <v>1.37E-4</v>
      </c>
      <c r="L276" s="15">
        <f t="shared" si="52"/>
        <v>6.8570000000000002E-3</v>
      </c>
      <c r="M276" s="10">
        <f t="shared" si="53"/>
        <v>2.2753503870929292</v>
      </c>
      <c r="N276" s="18">
        <f t="shared" si="54"/>
        <v>6.9598667460526939E-3</v>
      </c>
      <c r="O276" s="14">
        <f t="shared" si="55"/>
        <v>12139.213100000001</v>
      </c>
      <c r="P276" s="14">
        <f t="shared" ca="1" si="61"/>
        <v>12142</v>
      </c>
      <c r="Q276" s="14" t="str">
        <f t="shared" ca="1" si="56"/>
        <v>0010111101101110</v>
      </c>
      <c r="R276" s="14">
        <f t="shared" ca="1" si="57"/>
        <v>2.2765555229187013</v>
      </c>
      <c r="S276" s="14">
        <f t="shared" ca="1" si="58"/>
        <v>47.31866627502442</v>
      </c>
      <c r="T276" s="19">
        <f t="shared" ca="1" si="60"/>
        <v>1.7159013707929557E-3</v>
      </c>
      <c r="U276" s="14"/>
      <c r="V276" s="15">
        <f t="shared" ca="1" si="59"/>
        <v>8.1334000000000004E-2</v>
      </c>
      <c r="W276" s="14"/>
      <c r="X276" s="2"/>
    </row>
    <row r="277" spans="8:24" x14ac:dyDescent="0.25">
      <c r="H277" s="14">
        <v>47.5</v>
      </c>
      <c r="I277" s="17">
        <v>2.2689568410004854</v>
      </c>
      <c r="J277" s="15">
        <f t="shared" si="50"/>
        <v>-6.7000000000000002E-5</v>
      </c>
      <c r="K277" s="30">
        <f t="shared" si="51"/>
        <v>1.3799999999999999E-4</v>
      </c>
      <c r="L277" s="15">
        <f t="shared" si="52"/>
        <v>6.888E-3</v>
      </c>
      <c r="M277" s="10">
        <f t="shared" si="53"/>
        <v>2.2848192766742175</v>
      </c>
      <c r="N277" s="18">
        <f t="shared" si="54"/>
        <v>6.9910698110668161E-3</v>
      </c>
      <c r="O277" s="14">
        <f t="shared" si="55"/>
        <v>12189.7305</v>
      </c>
      <c r="P277" s="14">
        <f t="shared" ca="1" si="61"/>
        <v>12193</v>
      </c>
      <c r="Q277" s="14" t="str">
        <f t="shared" ca="1" si="56"/>
        <v>0010111110100001</v>
      </c>
      <c r="R277" s="14">
        <f t="shared" ca="1" si="57"/>
        <v>2.2861177310943606</v>
      </c>
      <c r="S277" s="14">
        <f t="shared" ca="1" si="58"/>
        <v>47.433412773132325</v>
      </c>
      <c r="T277" s="19">
        <f t="shared" ca="1" si="60"/>
        <v>1.4018363551089482E-3</v>
      </c>
      <c r="U277" s="14"/>
      <c r="V277" s="15">
        <f t="shared" ca="1" si="59"/>
        <v>6.6586999999999993E-2</v>
      </c>
      <c r="W277" s="14"/>
      <c r="X277" s="2"/>
    </row>
    <row r="278" spans="8:24" x14ac:dyDescent="0.25">
      <c r="H278" s="14">
        <v>47.6</v>
      </c>
      <c r="I278" s="17">
        <v>2.278309769240674</v>
      </c>
      <c r="J278" s="15">
        <f t="shared" si="50"/>
        <v>-6.6000000000000005E-5</v>
      </c>
      <c r="K278" s="30">
        <f t="shared" si="51"/>
        <v>1.3799999999999999E-4</v>
      </c>
      <c r="L278" s="15">
        <f t="shared" si="52"/>
        <v>6.9179999999999997E-3</v>
      </c>
      <c r="M278" s="10">
        <f t="shared" si="53"/>
        <v>2.2943053725640721</v>
      </c>
      <c r="N278" s="18">
        <f t="shared" si="54"/>
        <v>7.0208202323291634E-3</v>
      </c>
      <c r="O278" s="14">
        <f t="shared" si="55"/>
        <v>12240.3398</v>
      </c>
      <c r="P278" s="14">
        <f t="shared" ca="1" si="61"/>
        <v>12239</v>
      </c>
      <c r="Q278" s="14" t="str">
        <f t="shared" ca="1" si="56"/>
        <v>0010111111001111</v>
      </c>
      <c r="R278" s="14">
        <f t="shared" ca="1" si="57"/>
        <v>2.294742467880249</v>
      </c>
      <c r="S278" s="14">
        <f t="shared" ca="1" si="58"/>
        <v>47.536909614562987</v>
      </c>
      <c r="T278" s="19">
        <f t="shared" ca="1" si="60"/>
        <v>1.3254282654835004E-3</v>
      </c>
      <c r="U278" s="14"/>
      <c r="V278" s="15">
        <f t="shared" ca="1" si="59"/>
        <v>6.3089999999999993E-2</v>
      </c>
      <c r="W278" s="14"/>
      <c r="X278" s="2"/>
    </row>
    <row r="279" spans="8:24" x14ac:dyDescent="0.25">
      <c r="H279" s="14">
        <v>47.7</v>
      </c>
      <c r="I279" s="17">
        <v>2.2883821043860855</v>
      </c>
      <c r="J279" s="15">
        <f t="shared" si="50"/>
        <v>-6.6000000000000005E-5</v>
      </c>
      <c r="K279" s="30">
        <f t="shared" si="51"/>
        <v>1.3899999999999999E-4</v>
      </c>
      <c r="L279" s="15">
        <f t="shared" si="52"/>
        <v>6.9490000000000003E-3</v>
      </c>
      <c r="M279" s="10">
        <f t="shared" si="53"/>
        <v>2.3045198095003032</v>
      </c>
      <c r="N279" s="18">
        <f t="shared" si="54"/>
        <v>7.0520150823094657E-3</v>
      </c>
      <c r="O279" s="14">
        <f t="shared" si="55"/>
        <v>12294.834800000001</v>
      </c>
      <c r="P279" s="14">
        <f t="shared" ca="1" si="61"/>
        <v>12294</v>
      </c>
      <c r="Q279" s="14" t="str">
        <f t="shared" ca="1" si="56"/>
        <v>0011000000000110</v>
      </c>
      <c r="R279" s="14">
        <f t="shared" ca="1" si="57"/>
        <v>2.3050546531677245</v>
      </c>
      <c r="S279" s="14">
        <f t="shared" ca="1" si="58"/>
        <v>47.660655838012701</v>
      </c>
      <c r="T279" s="19">
        <f t="shared" ca="1" si="60"/>
        <v>8.248251988952121E-4</v>
      </c>
      <c r="U279" s="14"/>
      <c r="V279" s="15">
        <f t="shared" ca="1" si="59"/>
        <v>3.9343999999999997E-2</v>
      </c>
      <c r="W279" s="14"/>
      <c r="X279" s="2"/>
    </row>
    <row r="280" spans="8:24" x14ac:dyDescent="0.25">
      <c r="H280" s="14">
        <v>47.8</v>
      </c>
      <c r="I280" s="17">
        <v>2.297074574127866</v>
      </c>
      <c r="J280" s="15">
        <f t="shared" si="50"/>
        <v>-6.4999999999999994E-5</v>
      </c>
      <c r="K280" s="30">
        <f t="shared" si="51"/>
        <v>1.3899999999999999E-4</v>
      </c>
      <c r="L280" s="15">
        <f t="shared" si="52"/>
        <v>6.979E-3</v>
      </c>
      <c r="M280" s="10">
        <f t="shared" si="53"/>
        <v>2.3133419830455408</v>
      </c>
      <c r="N280" s="18">
        <f t="shared" si="54"/>
        <v>7.081793991756292E-3</v>
      </c>
      <c r="O280" s="14">
        <f t="shared" si="55"/>
        <v>12341.901900000001</v>
      </c>
      <c r="P280" s="14">
        <f t="shared" ca="1" si="61"/>
        <v>12346</v>
      </c>
      <c r="Q280" s="14" t="str">
        <f t="shared" ca="1" si="56"/>
        <v>0011000000111010</v>
      </c>
      <c r="R280" s="14">
        <f t="shared" ca="1" si="57"/>
        <v>2.3148043556213378</v>
      </c>
      <c r="S280" s="14">
        <f t="shared" ca="1" si="58"/>
        <v>47.777652267456055</v>
      </c>
      <c r="T280" s="19">
        <f t="shared" ca="1" si="60"/>
        <v>4.6752578543811396E-4</v>
      </c>
      <c r="U280" s="14"/>
      <c r="V280" s="15">
        <f t="shared" ca="1" si="59"/>
        <v>2.2348E-2</v>
      </c>
      <c r="W280" s="14"/>
      <c r="X280" s="2"/>
    </row>
    <row r="281" spans="8:24" x14ac:dyDescent="0.25">
      <c r="H281" s="14">
        <v>47.900000000000006</v>
      </c>
      <c r="I281" s="17">
        <v>2.306486232941221</v>
      </c>
      <c r="J281" s="15">
        <f t="shared" si="50"/>
        <v>-6.4999999999999994E-5</v>
      </c>
      <c r="K281" s="30">
        <f t="shared" si="51"/>
        <v>1.3999999999999999E-4</v>
      </c>
      <c r="L281" s="15">
        <f t="shared" si="52"/>
        <v>7.0099999999999997E-3</v>
      </c>
      <c r="M281" s="10">
        <f t="shared" si="53"/>
        <v>2.3228923013939933</v>
      </c>
      <c r="N281" s="18">
        <f t="shared" si="54"/>
        <v>7.1130138209632033E-3</v>
      </c>
      <c r="O281" s="14">
        <f t="shared" si="55"/>
        <v>12392.853800000001</v>
      </c>
      <c r="P281" s="14">
        <f t="shared" ca="1" si="61"/>
        <v>12392</v>
      </c>
      <c r="Q281" s="14" t="str">
        <f t="shared" ca="1" si="56"/>
        <v>0011000001101000</v>
      </c>
      <c r="R281" s="14">
        <f t="shared" ca="1" si="57"/>
        <v>2.3234290924072267</v>
      </c>
      <c r="S281" s="14">
        <f t="shared" ca="1" si="58"/>
        <v>47.881149108886724</v>
      </c>
      <c r="T281" s="19">
        <f t="shared" ca="1" si="60"/>
        <v>3.9354678733364131E-4</v>
      </c>
      <c r="U281" s="14"/>
      <c r="V281" s="15">
        <f t="shared" ca="1" si="59"/>
        <v>1.8851E-2</v>
      </c>
      <c r="W281" s="14"/>
      <c r="X281" s="2"/>
    </row>
    <row r="282" spans="8:24" x14ac:dyDescent="0.25">
      <c r="H282" s="14">
        <v>48</v>
      </c>
      <c r="I282" s="17">
        <v>2.31591725124904</v>
      </c>
      <c r="J282" s="15">
        <f t="shared" si="50"/>
        <v>-6.3999999999999997E-5</v>
      </c>
      <c r="K282" s="30">
        <f t="shared" si="51"/>
        <v>1.3999999999999999E-4</v>
      </c>
      <c r="L282" s="15">
        <f t="shared" si="52"/>
        <v>7.0400000000000003E-3</v>
      </c>
      <c r="M282" s="10">
        <f t="shared" si="53"/>
        <v>2.3324593568009186</v>
      </c>
      <c r="N282" s="18">
        <f t="shared" si="54"/>
        <v>7.1427878275689685E-3</v>
      </c>
      <c r="O282" s="14">
        <f t="shared" si="55"/>
        <v>12443.894899999999</v>
      </c>
      <c r="P282" s="14">
        <f t="shared" ca="1" si="61"/>
        <v>12445</v>
      </c>
      <c r="Q282" s="14" t="str">
        <f t="shared" ca="1" si="56"/>
        <v>0011000010011101</v>
      </c>
      <c r="R282" s="14">
        <f t="shared" ca="1" si="57"/>
        <v>2.3333662891387941</v>
      </c>
      <c r="S282" s="14">
        <f t="shared" ca="1" si="58"/>
        <v>48.000395469665527</v>
      </c>
      <c r="T282" s="19">
        <f t="shared" ca="1" si="60"/>
        <v>8.2389513651470736E-6</v>
      </c>
      <c r="U282" s="14"/>
      <c r="V282" s="15">
        <f t="shared" ca="1" si="59"/>
        <v>3.9500000000000001E-4</v>
      </c>
      <c r="W282" s="14"/>
      <c r="X282" s="2"/>
    </row>
    <row r="283" spans="8:24" x14ac:dyDescent="0.25">
      <c r="H283" s="14">
        <v>48.1</v>
      </c>
      <c r="I283" s="17">
        <v>2.3246722396842903</v>
      </c>
      <c r="J283" s="15">
        <f t="shared" si="50"/>
        <v>-6.3E-5</v>
      </c>
      <c r="K283" s="30">
        <f t="shared" si="51"/>
        <v>1.4100000000000001E-4</v>
      </c>
      <c r="L283" s="15">
        <f t="shared" si="52"/>
        <v>7.071E-3</v>
      </c>
      <c r="M283" s="10">
        <f t="shared" si="53"/>
        <v>2.3413485048440426</v>
      </c>
      <c r="N283" s="18">
        <f t="shared" si="54"/>
        <v>7.1735984432872418E-3</v>
      </c>
      <c r="O283" s="14">
        <f t="shared" si="55"/>
        <v>12491.3194</v>
      </c>
      <c r="P283" s="14">
        <f t="shared" ca="1" si="61"/>
        <v>12493</v>
      </c>
      <c r="Q283" s="14" t="str">
        <f t="shared" ca="1" si="56"/>
        <v>0011000011001101</v>
      </c>
      <c r="R283" s="14">
        <f t="shared" ca="1" si="57"/>
        <v>2.3423660144805907</v>
      </c>
      <c r="S283" s="14">
        <f t="shared" ca="1" si="58"/>
        <v>48.108392173767086</v>
      </c>
      <c r="T283" s="19">
        <f t="shared" ca="1" si="60"/>
        <v>1.7447346709116213E-4</v>
      </c>
      <c r="U283" s="14"/>
      <c r="V283" s="15">
        <f t="shared" ca="1" si="59"/>
        <v>8.3920000000000002E-3</v>
      </c>
      <c r="W283" s="14"/>
      <c r="X283" s="2"/>
    </row>
    <row r="284" spans="8:24" x14ac:dyDescent="0.25">
      <c r="H284" s="14">
        <v>48.2</v>
      </c>
      <c r="I284" s="17">
        <v>2.3334485902345468</v>
      </c>
      <c r="J284" s="15">
        <f t="shared" si="50"/>
        <v>-6.3E-5</v>
      </c>
      <c r="K284" s="30">
        <f t="shared" si="51"/>
        <v>1.4100000000000001E-4</v>
      </c>
      <c r="L284" s="15">
        <f t="shared" si="52"/>
        <v>7.1009999999999997E-3</v>
      </c>
      <c r="M284" s="10">
        <f t="shared" si="53"/>
        <v>2.3502583630122973</v>
      </c>
      <c r="N284" s="18">
        <f t="shared" si="54"/>
        <v>7.2038324941458834E-3</v>
      </c>
      <c r="O284" s="14">
        <f t="shared" si="55"/>
        <v>12538.854300000001</v>
      </c>
      <c r="P284" s="14">
        <f t="shared" ca="1" si="61"/>
        <v>12541</v>
      </c>
      <c r="Q284" s="14" t="str">
        <f t="shared" ca="1" si="56"/>
        <v>0011000011111101</v>
      </c>
      <c r="R284" s="14">
        <f t="shared" ca="1" si="57"/>
        <v>2.3513657398223877</v>
      </c>
      <c r="S284" s="14">
        <f t="shared" ca="1" si="58"/>
        <v>48.21638887786866</v>
      </c>
      <c r="T284" s="19">
        <f t="shared" ca="1" si="60"/>
        <v>3.4001821304267523E-4</v>
      </c>
      <c r="U284" s="14"/>
      <c r="V284" s="15">
        <f t="shared" ca="1" si="59"/>
        <v>1.6389000000000001E-2</v>
      </c>
      <c r="W284" s="14"/>
      <c r="X284" s="2"/>
    </row>
    <row r="285" spans="8:24" x14ac:dyDescent="0.25">
      <c r="H285" s="14">
        <v>48.3</v>
      </c>
      <c r="I285" s="17">
        <v>2.3429392497454296</v>
      </c>
      <c r="J285" s="15">
        <f t="shared" si="50"/>
        <v>-6.2000000000000003E-5</v>
      </c>
      <c r="K285" s="30">
        <f t="shared" si="51"/>
        <v>1.4200000000000001E-4</v>
      </c>
      <c r="L285" s="15">
        <f t="shared" si="52"/>
        <v>7.1320000000000003E-3</v>
      </c>
      <c r="M285" s="10">
        <f t="shared" si="53"/>
        <v>2.3598895684919139</v>
      </c>
      <c r="N285" s="18">
        <f t="shared" si="54"/>
        <v>7.2346386054721922E-3</v>
      </c>
      <c r="O285" s="14">
        <f t="shared" si="55"/>
        <v>12590.2377</v>
      </c>
      <c r="P285" s="14">
        <f t="shared" ca="1" si="61"/>
        <v>12590</v>
      </c>
      <c r="Q285" s="14" t="str">
        <f t="shared" ca="1" si="56"/>
        <v>0011000100101110</v>
      </c>
      <c r="R285" s="14">
        <f t="shared" ca="1" si="57"/>
        <v>2.3605529594421388</v>
      </c>
      <c r="S285" s="14">
        <f t="shared" ca="1" si="58"/>
        <v>48.326635513305668</v>
      </c>
      <c r="T285" s="19">
        <f t="shared" ca="1" si="60"/>
        <v>5.514599028089151E-4</v>
      </c>
      <c r="U285" s="14"/>
      <c r="V285" s="15">
        <f t="shared" ca="1" si="59"/>
        <v>2.6636E-2</v>
      </c>
      <c r="W285" s="14"/>
      <c r="X285" s="2"/>
    </row>
    <row r="286" spans="8:24" x14ac:dyDescent="0.25">
      <c r="H286" s="14">
        <v>48.400000000000006</v>
      </c>
      <c r="I286" s="17">
        <v>2.3517568845366155</v>
      </c>
      <c r="J286" s="15">
        <f t="shared" si="50"/>
        <v>-6.2000000000000003E-5</v>
      </c>
      <c r="K286" s="30">
        <f t="shared" si="51"/>
        <v>1.4200000000000001E-4</v>
      </c>
      <c r="L286" s="15">
        <f t="shared" si="52"/>
        <v>7.162E-3</v>
      </c>
      <c r="M286" s="10">
        <f t="shared" si="53"/>
        <v>2.3688421163781155</v>
      </c>
      <c r="N286" s="18">
        <f t="shared" si="54"/>
        <v>7.2648801216824961E-3</v>
      </c>
      <c r="O286" s="14">
        <f t="shared" si="55"/>
        <v>12638.000400000001</v>
      </c>
      <c r="P286" s="14">
        <f t="shared" ca="1" si="61"/>
        <v>12640</v>
      </c>
      <c r="Q286" s="14" t="str">
        <f t="shared" ca="1" si="56"/>
        <v>0011000101100000</v>
      </c>
      <c r="R286" s="14">
        <f t="shared" ca="1" si="57"/>
        <v>2.369927673339844</v>
      </c>
      <c r="S286" s="14">
        <f t="shared" ca="1" si="58"/>
        <v>48.439132080078132</v>
      </c>
      <c r="T286" s="19">
        <f t="shared" ca="1" si="60"/>
        <v>8.0851405120094732E-4</v>
      </c>
      <c r="U286" s="14"/>
      <c r="V286" s="15">
        <f t="shared" ca="1" si="59"/>
        <v>3.9132E-2</v>
      </c>
      <c r="W286" s="14"/>
      <c r="X286" s="2"/>
    </row>
    <row r="287" spans="8:24" x14ac:dyDescent="0.25">
      <c r="H287" s="14">
        <v>48.5</v>
      </c>
      <c r="I287" s="17">
        <v>2.3612863864071358</v>
      </c>
      <c r="J287" s="15">
        <f t="shared" si="50"/>
        <v>-6.0999999999999999E-5</v>
      </c>
      <c r="K287" s="30">
        <f t="shared" si="51"/>
        <v>1.4300000000000001E-4</v>
      </c>
      <c r="L287" s="15">
        <f t="shared" si="52"/>
        <v>7.1929999999999997E-3</v>
      </c>
      <c r="M287" s="10">
        <f t="shared" si="53"/>
        <v>2.3785136176650004</v>
      </c>
      <c r="N287" s="18">
        <f t="shared" si="54"/>
        <v>7.2956975303944249E-3</v>
      </c>
      <c r="O287" s="14">
        <f t="shared" si="55"/>
        <v>12689.5988</v>
      </c>
      <c r="P287" s="14">
        <f t="shared" ca="1" si="61"/>
        <v>12688</v>
      </c>
      <c r="Q287" s="14" t="str">
        <f t="shared" ca="1" si="56"/>
        <v>0011000110010000</v>
      </c>
      <c r="R287" s="14">
        <f t="shared" ca="1" si="57"/>
        <v>2.3789273986816406</v>
      </c>
      <c r="S287" s="14">
        <f t="shared" ca="1" si="58"/>
        <v>48.547128784179691</v>
      </c>
      <c r="T287" s="19">
        <f t="shared" ca="1" si="60"/>
        <v>9.7172750885960411E-4</v>
      </c>
      <c r="U287" s="14"/>
      <c r="V287" s="15">
        <f t="shared" ca="1" si="59"/>
        <v>4.7128999999999997E-2</v>
      </c>
      <c r="W287" s="14"/>
      <c r="X287" s="2"/>
    </row>
    <row r="288" spans="8:24" x14ac:dyDescent="0.25">
      <c r="H288" s="14">
        <v>48.6</v>
      </c>
      <c r="I288" s="17">
        <v>2.3701448653492312</v>
      </c>
      <c r="J288" s="15">
        <f t="shared" si="50"/>
        <v>-6.0999999999999999E-5</v>
      </c>
      <c r="K288" s="30">
        <f t="shared" si="51"/>
        <v>1.4300000000000001E-4</v>
      </c>
      <c r="L288" s="15">
        <f t="shared" si="52"/>
        <v>7.2230000000000003E-3</v>
      </c>
      <c r="M288" s="10">
        <f t="shared" si="53"/>
        <v>2.3875084197309482</v>
      </c>
      <c r="N288" s="18">
        <f t="shared" si="54"/>
        <v>7.3259464581961519E-3</v>
      </c>
      <c r="O288" s="14">
        <f t="shared" si="55"/>
        <v>12737.587</v>
      </c>
      <c r="P288" s="14">
        <f t="shared" ca="1" si="61"/>
        <v>12738</v>
      </c>
      <c r="Q288" s="14" t="str">
        <f t="shared" ca="1" si="56"/>
        <v>0011000111000010</v>
      </c>
      <c r="R288" s="14">
        <f t="shared" ca="1" si="57"/>
        <v>2.3883021125793458</v>
      </c>
      <c r="S288" s="14">
        <f t="shared" ca="1" si="58"/>
        <v>48.659625350952147</v>
      </c>
      <c r="T288" s="19">
        <f t="shared" ca="1" si="60"/>
        <v>1.2268590730894248E-3</v>
      </c>
      <c r="U288" s="14"/>
      <c r="V288" s="15">
        <f t="shared" ca="1" si="59"/>
        <v>5.9624999999999997E-2</v>
      </c>
      <c r="W288" s="14"/>
      <c r="X288" s="2"/>
    </row>
    <row r="289" spans="8:24" x14ac:dyDescent="0.25">
      <c r="H289" s="14">
        <v>48.7</v>
      </c>
      <c r="I289" s="17">
        <v>2.379712769183842</v>
      </c>
      <c r="J289" s="15">
        <f t="shared" si="50"/>
        <v>-6.0000000000000002E-5</v>
      </c>
      <c r="K289" s="30">
        <f t="shared" si="51"/>
        <v>1.44E-4</v>
      </c>
      <c r="L289" s="15">
        <f t="shared" si="52"/>
        <v>7.254E-3</v>
      </c>
      <c r="M289" s="10">
        <f t="shared" si="53"/>
        <v>2.3972197807413398</v>
      </c>
      <c r="N289" s="18">
        <f t="shared" si="54"/>
        <v>7.3567750630266519E-3</v>
      </c>
      <c r="O289" s="14">
        <f t="shared" si="55"/>
        <v>12789.397999999999</v>
      </c>
      <c r="P289" s="14">
        <f t="shared" ca="1" si="61"/>
        <v>12794</v>
      </c>
      <c r="Q289" s="14" t="str">
        <f t="shared" ca="1" si="56"/>
        <v>0011000111111010</v>
      </c>
      <c r="R289" s="14">
        <f t="shared" ca="1" si="57"/>
        <v>2.3988017921447753</v>
      </c>
      <c r="S289" s="14">
        <f t="shared" ca="1" si="58"/>
        <v>48.785621505737311</v>
      </c>
      <c r="T289" s="19">
        <f t="shared" ca="1" si="60"/>
        <v>1.7581418015874281E-3</v>
      </c>
      <c r="U289" s="14"/>
      <c r="V289" s="15">
        <f t="shared" ca="1" si="59"/>
        <v>8.5622000000000004E-2</v>
      </c>
      <c r="W289" s="14"/>
      <c r="X289" s="2"/>
    </row>
    <row r="290" spans="8:24" x14ac:dyDescent="0.25">
      <c r="H290" s="14">
        <v>48.8</v>
      </c>
      <c r="I290" s="17">
        <v>2.3886116514739628</v>
      </c>
      <c r="J290" s="15">
        <f t="shared" si="50"/>
        <v>-5.8999999999999998E-5</v>
      </c>
      <c r="K290" s="30">
        <f t="shared" si="51"/>
        <v>1.44E-4</v>
      </c>
      <c r="L290" s="15">
        <f t="shared" si="52"/>
        <v>7.2839999999999997E-3</v>
      </c>
      <c r="M290" s="10">
        <f t="shared" si="53"/>
        <v>2.4062553932866626</v>
      </c>
      <c r="N290" s="18">
        <f t="shared" si="54"/>
        <v>7.3866096239680479E-3</v>
      </c>
      <c r="O290" s="14">
        <f t="shared" si="55"/>
        <v>12837.6039</v>
      </c>
      <c r="P290" s="14">
        <f t="shared" ca="1" si="61"/>
        <v>12838</v>
      </c>
      <c r="Q290" s="14" t="str">
        <f t="shared" ca="1" si="56"/>
        <v>0011001000100110</v>
      </c>
      <c r="R290" s="14">
        <f t="shared" ca="1" si="57"/>
        <v>2.4070515403747561</v>
      </c>
      <c r="S290" s="14">
        <f t="shared" ca="1" si="58"/>
        <v>48.884618484497075</v>
      </c>
      <c r="T290" s="19">
        <f t="shared" ca="1" si="60"/>
        <v>1.7339853380548746E-3</v>
      </c>
      <c r="U290" s="14"/>
      <c r="V290" s="15">
        <f t="shared" ca="1" si="59"/>
        <v>8.4617999999999999E-2</v>
      </c>
      <c r="W290" s="14"/>
      <c r="X290" s="2"/>
    </row>
    <row r="291" spans="8:24" x14ac:dyDescent="0.25">
      <c r="H291" s="14">
        <v>48.900000000000006</v>
      </c>
      <c r="I291" s="17">
        <v>2.3982175154368335</v>
      </c>
      <c r="J291" s="15">
        <f t="shared" si="50"/>
        <v>-5.8999999999999998E-5</v>
      </c>
      <c r="K291" s="30">
        <f t="shared" si="51"/>
        <v>1.45E-4</v>
      </c>
      <c r="L291" s="15">
        <f t="shared" si="52"/>
        <v>7.3150000000000003E-3</v>
      </c>
      <c r="M291" s="10">
        <f t="shared" si="53"/>
        <v>2.4160071837157138</v>
      </c>
      <c r="N291" s="18">
        <f t="shared" si="54"/>
        <v>7.4178710497992146E-3</v>
      </c>
      <c r="O291" s="14">
        <f t="shared" si="55"/>
        <v>12889.6306</v>
      </c>
      <c r="P291" s="14">
        <f t="shared" ca="1" si="61"/>
        <v>12893</v>
      </c>
      <c r="Q291" s="14" t="str">
        <f t="shared" ca="1" si="56"/>
        <v>0011001001011101</v>
      </c>
      <c r="R291" s="14">
        <f t="shared" ca="1" si="57"/>
        <v>2.4173637256622316</v>
      </c>
      <c r="S291" s="14">
        <f t="shared" ca="1" si="58"/>
        <v>49.008364707946782</v>
      </c>
      <c r="T291" s="19">
        <f t="shared" ca="1" si="60"/>
        <v>2.2160471972755961E-3</v>
      </c>
      <c r="U291" s="14"/>
      <c r="V291" s="15">
        <f t="shared" ca="1" si="59"/>
        <v>0.108365</v>
      </c>
      <c r="W291" s="14"/>
      <c r="X291" s="2"/>
    </row>
    <row r="292" spans="8:24" x14ac:dyDescent="0.25">
      <c r="H292" s="14">
        <v>49</v>
      </c>
      <c r="I292" s="17">
        <v>2.4071563582934883</v>
      </c>
      <c r="J292" s="15">
        <f t="shared" si="50"/>
        <v>-5.8E-5</v>
      </c>
      <c r="K292" s="30">
        <f t="shared" si="51"/>
        <v>1.45E-4</v>
      </c>
      <c r="L292" s="15">
        <f t="shared" si="52"/>
        <v>7.345E-3</v>
      </c>
      <c r="M292" s="10">
        <f t="shared" si="53"/>
        <v>2.4250841755529247</v>
      </c>
      <c r="N292" s="18">
        <f t="shared" si="54"/>
        <v>7.4477161392814501E-3</v>
      </c>
      <c r="O292" s="14">
        <f t="shared" si="55"/>
        <v>12938.057199999999</v>
      </c>
      <c r="P292" s="14">
        <f t="shared" ca="1" si="61"/>
        <v>12939</v>
      </c>
      <c r="Q292" s="14" t="str">
        <f t="shared" ca="1" si="56"/>
        <v>0011001010001011</v>
      </c>
      <c r="R292" s="14">
        <f t="shared" ca="1" si="57"/>
        <v>2.4259884624481201</v>
      </c>
      <c r="S292" s="14">
        <f t="shared" ca="1" si="58"/>
        <v>49.111861549377444</v>
      </c>
      <c r="T292" s="19">
        <f t="shared" ca="1" si="60"/>
        <v>2.2828887628049835E-3</v>
      </c>
      <c r="U292" s="14"/>
      <c r="V292" s="15">
        <f t="shared" ca="1" si="59"/>
        <v>0.111862</v>
      </c>
      <c r="W292" s="14"/>
      <c r="X292" s="2"/>
    </row>
    <row r="293" spans="8:24" x14ac:dyDescent="0.25">
      <c r="H293" s="14">
        <v>49.1</v>
      </c>
      <c r="I293" s="17">
        <v>2.4167997393412795</v>
      </c>
      <c r="J293" s="15">
        <f t="shared" si="50"/>
        <v>-5.8E-5</v>
      </c>
      <c r="K293" s="30">
        <f t="shared" si="51"/>
        <v>1.46E-4</v>
      </c>
      <c r="L293" s="15">
        <f t="shared" si="52"/>
        <v>7.3759999999999997E-3</v>
      </c>
      <c r="M293" s="10">
        <f t="shared" si="53"/>
        <v>2.4348749491582713</v>
      </c>
      <c r="N293" s="18">
        <f t="shared" si="54"/>
        <v>7.4789853386521823E-3</v>
      </c>
      <c r="O293" s="14">
        <f t="shared" si="55"/>
        <v>12990.291999999999</v>
      </c>
      <c r="P293" s="14">
        <f t="shared" ca="1" si="61"/>
        <v>12993</v>
      </c>
      <c r="Q293" s="14" t="str">
        <f t="shared" ca="1" si="56"/>
        <v>0011001011000001</v>
      </c>
      <c r="R293" s="14">
        <f t="shared" ca="1" si="57"/>
        <v>2.4361131534576415</v>
      </c>
      <c r="S293" s="14">
        <f t="shared" ca="1" si="58"/>
        <v>49.233357841491696</v>
      </c>
      <c r="T293" s="19">
        <f t="shared" ca="1" si="60"/>
        <v>2.7160456515620012E-3</v>
      </c>
      <c r="U293" s="14"/>
      <c r="V293" s="15">
        <f t="shared" ca="1" si="59"/>
        <v>0.133358</v>
      </c>
      <c r="W293" s="14"/>
      <c r="X293" s="2"/>
    </row>
    <row r="294" spans="8:24" x14ac:dyDescent="0.25">
      <c r="H294" s="14">
        <v>49.2</v>
      </c>
      <c r="I294" s="17">
        <v>2.4257780991682862</v>
      </c>
      <c r="J294" s="15">
        <f t="shared" si="50"/>
        <v>-5.7000000000000003E-5</v>
      </c>
      <c r="K294" s="30">
        <f t="shared" si="51"/>
        <v>1.46E-4</v>
      </c>
      <c r="L294" s="15">
        <f t="shared" si="52"/>
        <v>7.4060000000000003E-3</v>
      </c>
      <c r="M294" s="10">
        <f t="shared" si="53"/>
        <v>2.4439928808962037</v>
      </c>
      <c r="N294" s="18">
        <f t="shared" si="54"/>
        <v>7.5088408680755543E-3</v>
      </c>
      <c r="O294" s="14">
        <f t="shared" si="55"/>
        <v>13038.937</v>
      </c>
      <c r="P294" s="14">
        <f t="shared" ca="1" si="61"/>
        <v>13043</v>
      </c>
      <c r="Q294" s="14" t="str">
        <f t="shared" ca="1" si="56"/>
        <v>0011001011110011</v>
      </c>
      <c r="R294" s="14">
        <f t="shared" ca="1" si="57"/>
        <v>2.4454878673553466</v>
      </c>
      <c r="S294" s="14">
        <f t="shared" ca="1" si="58"/>
        <v>49.345854408264167</v>
      </c>
      <c r="T294" s="19">
        <f t="shared" ca="1" si="60"/>
        <v>2.9645204931740593E-3</v>
      </c>
      <c r="U294" s="14"/>
      <c r="V294" s="15">
        <f t="shared" ca="1" si="59"/>
        <v>0.14585400000000001</v>
      </c>
      <c r="W294" s="14"/>
      <c r="X294" s="2"/>
    </row>
    <row r="295" spans="8:24" x14ac:dyDescent="0.25">
      <c r="H295" s="14">
        <v>49.3</v>
      </c>
      <c r="I295" s="17">
        <v>2.4347766064763885</v>
      </c>
      <c r="J295" s="15">
        <f t="shared" si="50"/>
        <v>-5.7000000000000003E-5</v>
      </c>
      <c r="K295" s="30">
        <f t="shared" si="51"/>
        <v>1.47E-4</v>
      </c>
      <c r="L295" s="15">
        <f t="shared" si="52"/>
        <v>7.437E-3</v>
      </c>
      <c r="M295" s="10">
        <f t="shared" si="53"/>
        <v>2.4531351411753093</v>
      </c>
      <c r="N295" s="18">
        <f t="shared" si="54"/>
        <v>7.5401310535381247E-3</v>
      </c>
      <c r="O295" s="14">
        <f t="shared" si="55"/>
        <v>13087.711799999999</v>
      </c>
      <c r="P295" s="14">
        <f t="shared" ca="1" si="61"/>
        <v>13092</v>
      </c>
      <c r="Q295" s="14" t="str">
        <f t="shared" ca="1" si="56"/>
        <v>0011001100100100</v>
      </c>
      <c r="R295" s="14">
        <f t="shared" ca="1" si="57"/>
        <v>2.4546750869750977</v>
      </c>
      <c r="S295" s="14">
        <f t="shared" ca="1" si="58"/>
        <v>49.456101043701175</v>
      </c>
      <c r="T295" s="19">
        <f t="shared" ca="1" si="60"/>
        <v>3.1663497708149572E-3</v>
      </c>
      <c r="U295" s="14"/>
      <c r="V295" s="15">
        <f t="shared" ca="1" si="59"/>
        <v>0.15610099999999999</v>
      </c>
      <c r="W295" s="14"/>
      <c r="X295" s="2"/>
    </row>
    <row r="296" spans="8:24" x14ac:dyDescent="0.25">
      <c r="H296" s="14">
        <v>49.400000000000006</v>
      </c>
      <c r="I296" s="17">
        <v>2.4444759844036281</v>
      </c>
      <c r="J296" s="15">
        <f t="shared" si="50"/>
        <v>-5.5999999999999999E-5</v>
      </c>
      <c r="K296" s="30">
        <f t="shared" si="51"/>
        <v>1.47E-4</v>
      </c>
      <c r="L296" s="15">
        <f t="shared" si="52"/>
        <v>7.4669999999999997E-3</v>
      </c>
      <c r="M296" s="10">
        <f t="shared" si="53"/>
        <v>2.4629806276643982</v>
      </c>
      <c r="N296" s="18">
        <f t="shared" si="54"/>
        <v>7.5699836606431562E-3</v>
      </c>
      <c r="O296" s="14">
        <f t="shared" si="55"/>
        <v>13140.238499999999</v>
      </c>
      <c r="P296" s="14">
        <f t="shared" ca="1" si="61"/>
        <v>13141</v>
      </c>
      <c r="Q296" s="14" t="str">
        <f t="shared" ca="1" si="56"/>
        <v>0011001101010101</v>
      </c>
      <c r="R296" s="14">
        <f t="shared" ca="1" si="57"/>
        <v>2.4638623065948488</v>
      </c>
      <c r="S296" s="14">
        <f t="shared" ca="1" si="58"/>
        <v>49.56634767913819</v>
      </c>
      <c r="T296" s="19">
        <f t="shared" ca="1" si="60"/>
        <v>3.3673619258741683E-3</v>
      </c>
      <c r="U296" s="14"/>
      <c r="V296" s="15">
        <f t="shared" ca="1" si="59"/>
        <v>0.166348</v>
      </c>
      <c r="W296" s="14"/>
      <c r="X296" s="2"/>
    </row>
    <row r="297" spans="8:24" x14ac:dyDescent="0.25">
      <c r="H297" s="14">
        <v>49.5</v>
      </c>
      <c r="I297" s="17">
        <v>2.4535133402399043</v>
      </c>
      <c r="J297" s="15">
        <f t="shared" si="50"/>
        <v>-5.5000000000000002E-5</v>
      </c>
      <c r="K297" s="30">
        <f t="shared" si="51"/>
        <v>1.4799999999999999E-4</v>
      </c>
      <c r="L297" s="15">
        <f t="shared" si="52"/>
        <v>7.4980000000000003E-3</v>
      </c>
      <c r="M297" s="10">
        <f t="shared" si="53"/>
        <v>2.472162177361763</v>
      </c>
      <c r="N297" s="18">
        <f t="shared" si="54"/>
        <v>7.6008704807104237E-3</v>
      </c>
      <c r="O297" s="14">
        <f t="shared" si="55"/>
        <v>13189.222900000001</v>
      </c>
      <c r="P297" s="14">
        <f t="shared" ca="1" si="61"/>
        <v>13189</v>
      </c>
      <c r="Q297" s="14" t="str">
        <f t="shared" ca="1" si="56"/>
        <v>0011001110000101</v>
      </c>
      <c r="R297" s="14">
        <f t="shared" ca="1" si="57"/>
        <v>2.4728620319366454</v>
      </c>
      <c r="S297" s="14">
        <f t="shared" ca="1" si="58"/>
        <v>49.674344383239749</v>
      </c>
      <c r="T297" s="19">
        <f t="shared" ca="1" si="60"/>
        <v>3.5221087523181591E-3</v>
      </c>
      <c r="U297" s="14"/>
      <c r="V297" s="15">
        <f t="shared" ca="1" si="59"/>
        <v>0.174344</v>
      </c>
      <c r="W297" s="14"/>
      <c r="X297" s="2"/>
    </row>
    <row r="298" spans="8:24" x14ac:dyDescent="0.25">
      <c r="H298" s="14">
        <v>49.6</v>
      </c>
      <c r="I298" s="17">
        <v>2.4625705087397045</v>
      </c>
      <c r="J298" s="15">
        <f t="shared" si="50"/>
        <v>-5.5000000000000002E-5</v>
      </c>
      <c r="K298" s="30">
        <f t="shared" si="51"/>
        <v>1.4799999999999999E-4</v>
      </c>
      <c r="L298" s="15">
        <f t="shared" si="52"/>
        <v>7.528E-3</v>
      </c>
      <c r="M298" s="10">
        <f t="shared" si="53"/>
        <v>2.4813627710562161</v>
      </c>
      <c r="N298" s="18">
        <f t="shared" si="54"/>
        <v>7.6311570571553121E-3</v>
      </c>
      <c r="O298" s="14">
        <f t="shared" si="55"/>
        <v>13238.308999999999</v>
      </c>
      <c r="P298" s="14">
        <f t="shared" ca="1" si="61"/>
        <v>13241</v>
      </c>
      <c r="Q298" s="14" t="str">
        <f t="shared" ca="1" si="56"/>
        <v>0011001110111001</v>
      </c>
      <c r="R298" s="14">
        <f t="shared" ca="1" si="57"/>
        <v>2.4826117343902587</v>
      </c>
      <c r="S298" s="14">
        <f t="shared" ca="1" si="58"/>
        <v>49.791340812683103</v>
      </c>
      <c r="T298" s="19">
        <f t="shared" ca="1" si="60"/>
        <v>3.8576776750625309E-3</v>
      </c>
      <c r="U298" s="14"/>
      <c r="V298" s="15">
        <f t="shared" ca="1" si="59"/>
        <v>0.19134100000000001</v>
      </c>
      <c r="W298" s="14"/>
      <c r="X298" s="2"/>
    </row>
    <row r="299" spans="8:24" x14ac:dyDescent="0.25">
      <c r="H299" s="14">
        <v>49.7</v>
      </c>
      <c r="I299" s="17">
        <v>2.4709698773358166</v>
      </c>
      <c r="J299" s="15">
        <f t="shared" si="50"/>
        <v>-5.3999999999999998E-5</v>
      </c>
      <c r="K299" s="30">
        <f t="shared" si="51"/>
        <v>1.4899999999999999E-4</v>
      </c>
      <c r="L299" s="15">
        <f t="shared" si="52"/>
        <v>7.5589999999999997E-3</v>
      </c>
      <c r="M299" s="10">
        <f t="shared" si="53"/>
        <v>2.4899026127636974</v>
      </c>
      <c r="N299" s="18">
        <f t="shared" si="54"/>
        <v>7.6620664628635274E-3</v>
      </c>
      <c r="O299" s="14">
        <f t="shared" si="55"/>
        <v>13283.8698</v>
      </c>
      <c r="P299" s="14">
        <f t="shared" ca="1" si="61"/>
        <v>13286</v>
      </c>
      <c r="Q299" s="14" t="str">
        <f t="shared" ca="1" si="56"/>
        <v>0011001111100110</v>
      </c>
      <c r="R299" s="14">
        <f t="shared" ca="1" si="57"/>
        <v>2.4910489768981936</v>
      </c>
      <c r="S299" s="14">
        <f t="shared" ca="1" si="58"/>
        <v>49.89258772277833</v>
      </c>
      <c r="T299" s="19">
        <f t="shared" ca="1" si="60"/>
        <v>3.875004482461317E-3</v>
      </c>
      <c r="U299" s="14"/>
      <c r="V299" s="15">
        <f t="shared" ca="1" si="59"/>
        <v>0.19258800000000001</v>
      </c>
      <c r="W299" s="14"/>
      <c r="X299" s="2"/>
    </row>
    <row r="300" spans="8:24" x14ac:dyDescent="0.25">
      <c r="H300" s="14">
        <v>49.8</v>
      </c>
      <c r="I300" s="17">
        <v>2.4807438347216979</v>
      </c>
      <c r="J300" s="15">
        <f t="shared" si="50"/>
        <v>-5.3999999999999998E-5</v>
      </c>
      <c r="K300" s="30">
        <f t="shared" si="51"/>
        <v>1.4899999999999999E-4</v>
      </c>
      <c r="L300" s="15">
        <f t="shared" si="52"/>
        <v>7.5890000000000003E-3</v>
      </c>
      <c r="M300" s="10">
        <f t="shared" si="53"/>
        <v>2.4998265784636584</v>
      </c>
      <c r="N300" s="18">
        <f t="shared" si="54"/>
        <v>7.6923475430510551E-3</v>
      </c>
      <c r="O300" s="14">
        <f t="shared" si="55"/>
        <v>13336.8151</v>
      </c>
      <c r="P300" s="14">
        <f t="shared" ca="1" si="61"/>
        <v>13337</v>
      </c>
      <c r="Q300" s="14" t="str">
        <f t="shared" ca="1" si="56"/>
        <v>0011010000011001</v>
      </c>
      <c r="R300" s="14">
        <f t="shared" ca="1" si="57"/>
        <v>2.5006111850738524</v>
      </c>
      <c r="S300" s="14">
        <f t="shared" ca="1" si="58"/>
        <v>50.007334220886236</v>
      </c>
      <c r="T300" s="19">
        <f t="shared" ca="1" si="60"/>
        <v>4.1633377687999712E-3</v>
      </c>
      <c r="U300" s="14"/>
      <c r="V300" s="15">
        <f t="shared" ca="1" si="59"/>
        <v>0.20733399999999999</v>
      </c>
      <c r="W300" s="14"/>
      <c r="X300" s="2"/>
    </row>
    <row r="301" spans="8:24" x14ac:dyDescent="0.25">
      <c r="H301" s="14">
        <v>49.900000000000006</v>
      </c>
      <c r="I301" s="17">
        <v>2.4905350477826125</v>
      </c>
      <c r="J301" s="15">
        <f t="shared" si="50"/>
        <v>-5.3000000000000001E-5</v>
      </c>
      <c r="K301" s="30">
        <f t="shared" si="51"/>
        <v>1.4999999999999999E-4</v>
      </c>
      <c r="L301" s="15">
        <f t="shared" si="52"/>
        <v>7.62E-3</v>
      </c>
      <c r="M301" s="10">
        <f t="shared" si="53"/>
        <v>2.5097700536312826</v>
      </c>
      <c r="N301" s="18">
        <f t="shared" si="54"/>
        <v>7.7232423875325616E-3</v>
      </c>
      <c r="O301" s="14">
        <f t="shared" si="55"/>
        <v>13389.8645</v>
      </c>
      <c r="P301" s="14">
        <f t="shared" ca="1" si="61"/>
        <v>13391</v>
      </c>
      <c r="Q301" s="14" t="str">
        <f t="shared" ca="1" si="56"/>
        <v>0011010001001111</v>
      </c>
      <c r="R301" s="14">
        <f t="shared" ca="1" si="57"/>
        <v>2.5107358760833742</v>
      </c>
      <c r="S301" s="14">
        <f t="shared" ca="1" si="58"/>
        <v>50.128830513000494</v>
      </c>
      <c r="T301" s="19">
        <f t="shared" ca="1" si="60"/>
        <v>4.5857818236570858E-3</v>
      </c>
      <c r="U301" s="14"/>
      <c r="V301" s="15">
        <f t="shared" ca="1" si="59"/>
        <v>0.22883100000000001</v>
      </c>
      <c r="W301" s="14"/>
      <c r="X301" s="2"/>
    </row>
    <row r="302" spans="8:24" x14ac:dyDescent="0.25">
      <c r="H302" s="14">
        <v>50</v>
      </c>
      <c r="I302" s="17">
        <v>2.4996692336651813</v>
      </c>
      <c r="J302" s="15">
        <f t="shared" si="50"/>
        <v>-5.3000000000000001E-5</v>
      </c>
      <c r="K302" s="30">
        <f t="shared" si="51"/>
        <v>1.4999999999999999E-4</v>
      </c>
      <c r="L302" s="15">
        <f t="shared" si="52"/>
        <v>7.6499999999999997E-3</v>
      </c>
      <c r="M302" s="10">
        <f t="shared" si="53"/>
        <v>2.5190505264928515</v>
      </c>
      <c r="N302" s="18">
        <f t="shared" si="54"/>
        <v>7.7535429754648231E-3</v>
      </c>
      <c r="O302" s="14">
        <f t="shared" si="55"/>
        <v>13439.3768</v>
      </c>
      <c r="P302" s="14">
        <f t="shared" ca="1" si="61"/>
        <v>13443</v>
      </c>
      <c r="Q302" s="14" t="str">
        <f t="shared" ca="1" si="56"/>
        <v>0011010010000011</v>
      </c>
      <c r="R302" s="14">
        <f t="shared" ca="1" si="57"/>
        <v>2.5204855785369875</v>
      </c>
      <c r="S302" s="14">
        <f t="shared" ca="1" si="58"/>
        <v>50.245826942443848</v>
      </c>
      <c r="T302" s="19">
        <f t="shared" ca="1" si="60"/>
        <v>4.9165388488769677E-3</v>
      </c>
      <c r="U302" s="14"/>
      <c r="V302" s="15">
        <f t="shared" ca="1" si="59"/>
        <v>0.24582699999999999</v>
      </c>
      <c r="W302" s="14"/>
      <c r="X302" s="2"/>
    </row>
    <row r="303" spans="8:24" x14ac:dyDescent="0.25">
      <c r="H303" s="14">
        <v>50.1</v>
      </c>
      <c r="I303" s="17">
        <v>2.5088226709473807</v>
      </c>
      <c r="J303" s="15">
        <f t="shared" si="50"/>
        <v>-5.1999999999999997E-5</v>
      </c>
      <c r="K303" s="30">
        <f t="shared" si="51"/>
        <v>1.5100000000000001E-4</v>
      </c>
      <c r="L303" s="15">
        <f t="shared" si="52"/>
        <v>7.6810000000000003E-3</v>
      </c>
      <c r="M303" s="10">
        <f t="shared" si="53"/>
        <v>2.5283525010096359</v>
      </c>
      <c r="N303" s="18">
        <f t="shared" si="54"/>
        <v>7.7844601328002335E-3</v>
      </c>
      <c r="O303" s="14">
        <f t="shared" si="55"/>
        <v>13489.003699999999</v>
      </c>
      <c r="P303" s="14">
        <f t="shared" ca="1" si="61"/>
        <v>13492</v>
      </c>
      <c r="Q303" s="14" t="str">
        <f t="shared" ca="1" si="56"/>
        <v>0011010010110100</v>
      </c>
      <c r="R303" s="14">
        <f t="shared" ca="1" si="57"/>
        <v>2.5296727981567382</v>
      </c>
      <c r="S303" s="14">
        <f t="shared" ca="1" si="58"/>
        <v>50.356073577880856</v>
      </c>
      <c r="T303" s="19">
        <f t="shared" ca="1" si="60"/>
        <v>5.1112490594981026E-3</v>
      </c>
      <c r="U303" s="14"/>
      <c r="V303" s="15">
        <f t="shared" ca="1" si="59"/>
        <v>0.25607400000000002</v>
      </c>
      <c r="W303" s="14"/>
      <c r="X303" s="2"/>
    </row>
    <row r="304" spans="8:24" x14ac:dyDescent="0.25">
      <c r="H304" s="14">
        <v>50.2</v>
      </c>
      <c r="I304" s="17">
        <v>2.5179952465151674</v>
      </c>
      <c r="J304" s="15">
        <f t="shared" si="50"/>
        <v>-5.1E-5</v>
      </c>
      <c r="K304" s="30">
        <f t="shared" si="51"/>
        <v>1.5100000000000001E-4</v>
      </c>
      <c r="L304" s="15">
        <f t="shared" si="52"/>
        <v>7.711E-3</v>
      </c>
      <c r="M304" s="10">
        <f t="shared" si="53"/>
        <v>2.5376717864222695</v>
      </c>
      <c r="N304" s="18">
        <f t="shared" si="54"/>
        <v>7.8143673759249258E-3</v>
      </c>
      <c r="O304" s="14">
        <f t="shared" si="55"/>
        <v>13538.723</v>
      </c>
      <c r="P304" s="14">
        <f t="shared" ca="1" si="61"/>
        <v>13540</v>
      </c>
      <c r="Q304" s="14" t="str">
        <f t="shared" ca="1" si="56"/>
        <v>0011010011100100</v>
      </c>
      <c r="R304" s="14">
        <f t="shared" ca="1" si="57"/>
        <v>2.5386725234985352</v>
      </c>
      <c r="S304" s="14">
        <f t="shared" ca="1" si="58"/>
        <v>50.46407028198243</v>
      </c>
      <c r="T304" s="19">
        <f t="shared" ca="1" si="60"/>
        <v>5.2603641829168718E-3</v>
      </c>
      <c r="U304" s="14"/>
      <c r="V304" s="15">
        <f t="shared" ca="1" si="59"/>
        <v>0.26407000000000003</v>
      </c>
      <c r="W304" s="14"/>
      <c r="X304" s="2"/>
    </row>
    <row r="305" spans="8:24" x14ac:dyDescent="0.25">
      <c r="H305" s="14">
        <v>50.3</v>
      </c>
      <c r="I305" s="17">
        <v>2.5271868480983017</v>
      </c>
      <c r="J305" s="15">
        <f t="shared" si="50"/>
        <v>-5.1E-5</v>
      </c>
      <c r="K305" s="30">
        <f t="shared" si="51"/>
        <v>1.5200000000000001E-4</v>
      </c>
      <c r="L305" s="15">
        <f t="shared" si="52"/>
        <v>7.7419999999999998E-3</v>
      </c>
      <c r="M305" s="10">
        <f t="shared" si="53"/>
        <v>2.5470143844265323</v>
      </c>
      <c r="N305" s="18">
        <f t="shared" si="54"/>
        <v>7.8456946478455587E-3</v>
      </c>
      <c r="O305" s="14">
        <f t="shared" si="55"/>
        <v>13588.5666</v>
      </c>
      <c r="P305" s="14">
        <f t="shared" ca="1" si="61"/>
        <v>13587</v>
      </c>
      <c r="Q305" s="14" t="str">
        <f t="shared" ca="1" si="56"/>
        <v>0011010100010011</v>
      </c>
      <c r="R305" s="14">
        <f t="shared" ca="1" si="57"/>
        <v>2.5474847545623778</v>
      </c>
      <c r="S305" s="14">
        <f t="shared" ca="1" si="58"/>
        <v>50.56981705474854</v>
      </c>
      <c r="T305" s="19">
        <f t="shared" ca="1" si="60"/>
        <v>5.3641561580227287E-3</v>
      </c>
      <c r="U305" s="14"/>
      <c r="V305" s="15">
        <f t="shared" ca="1" si="59"/>
        <v>0.26981699999999997</v>
      </c>
      <c r="W305" s="14"/>
      <c r="X305" s="2"/>
    </row>
    <row r="306" spans="8:24" x14ac:dyDescent="0.25">
      <c r="H306" s="14">
        <v>50.400000000000006</v>
      </c>
      <c r="I306" s="17">
        <v>2.5363973621317366</v>
      </c>
      <c r="J306" s="15">
        <f t="shared" si="50"/>
        <v>-5.0000000000000002E-5</v>
      </c>
      <c r="K306" s="30">
        <f t="shared" si="51"/>
        <v>1.5200000000000001E-4</v>
      </c>
      <c r="L306" s="15">
        <f t="shared" si="52"/>
        <v>7.7720000000000003E-3</v>
      </c>
      <c r="M306" s="10">
        <f t="shared" si="53"/>
        <v>2.5563730426431595</v>
      </c>
      <c r="N306" s="18">
        <f t="shared" si="54"/>
        <v>7.8756116094656856E-3</v>
      </c>
      <c r="O306" s="14">
        <f t="shared" si="55"/>
        <v>13638.495999999999</v>
      </c>
      <c r="P306" s="14">
        <f t="shared" ca="1" si="61"/>
        <v>13639</v>
      </c>
      <c r="Q306" s="14" t="str">
        <f t="shared" ca="1" si="56"/>
        <v>0011010101000111</v>
      </c>
      <c r="R306" s="14">
        <f t="shared" ca="1" si="57"/>
        <v>2.5572344570159911</v>
      </c>
      <c r="S306" s="14">
        <f t="shared" ca="1" si="58"/>
        <v>50.686813484191894</v>
      </c>
      <c r="T306" s="19">
        <f t="shared" ca="1" si="60"/>
        <v>5.6907437339660466E-3</v>
      </c>
      <c r="U306" s="14"/>
      <c r="V306" s="15">
        <f t="shared" ca="1" si="59"/>
        <v>0.28681299999999998</v>
      </c>
      <c r="W306" s="14"/>
      <c r="X306" s="2"/>
    </row>
    <row r="307" spans="8:24" x14ac:dyDescent="0.25">
      <c r="H307" s="14">
        <v>50.5</v>
      </c>
      <c r="I307" s="17">
        <v>2.5456266760688195</v>
      </c>
      <c r="J307" s="15">
        <f t="shared" si="50"/>
        <v>-5.0000000000000002E-5</v>
      </c>
      <c r="K307" s="30">
        <f t="shared" si="51"/>
        <v>1.5300000000000001E-4</v>
      </c>
      <c r="L307" s="15">
        <f t="shared" si="52"/>
        <v>7.803E-3</v>
      </c>
      <c r="M307" s="10">
        <f t="shared" si="53"/>
        <v>2.5657548082637014</v>
      </c>
      <c r="N307" s="18">
        <f t="shared" si="54"/>
        <v>7.90694581578061E-3</v>
      </c>
      <c r="O307" s="14">
        <f t="shared" si="55"/>
        <v>13688.5486</v>
      </c>
      <c r="P307" s="14">
        <f t="shared" ca="1" si="61"/>
        <v>13688</v>
      </c>
      <c r="Q307" s="14" t="str">
        <f t="shared" ca="1" si="56"/>
        <v>0011010101111000</v>
      </c>
      <c r="R307" s="14">
        <f t="shared" ca="1" si="57"/>
        <v>2.5664216766357422</v>
      </c>
      <c r="S307" s="14">
        <f t="shared" ca="1" si="58"/>
        <v>50.79706011962891</v>
      </c>
      <c r="T307" s="19">
        <f t="shared" ca="1" si="60"/>
        <v>5.88237860651306E-3</v>
      </c>
      <c r="U307" s="14"/>
      <c r="V307" s="15">
        <f t="shared" ca="1" si="59"/>
        <v>0.29705999999999999</v>
      </c>
      <c r="W307" s="14"/>
      <c r="X307" s="2"/>
    </row>
    <row r="308" spans="8:24" x14ac:dyDescent="0.25">
      <c r="H308" s="14">
        <v>50.6</v>
      </c>
      <c r="I308" s="17">
        <v>2.5548746766645603</v>
      </c>
      <c r="J308" s="15">
        <f t="shared" si="50"/>
        <v>-4.8999999999999998E-5</v>
      </c>
      <c r="K308" s="30">
        <f t="shared" si="51"/>
        <v>1.5300000000000001E-4</v>
      </c>
      <c r="L308" s="15">
        <f t="shared" si="52"/>
        <v>7.8329999999999997E-3</v>
      </c>
      <c r="M308" s="10">
        <f t="shared" si="53"/>
        <v>2.5751523910294947</v>
      </c>
      <c r="N308" s="18">
        <f t="shared" si="54"/>
        <v>7.9368724228021156E-3</v>
      </c>
      <c r="O308" s="14">
        <f t="shared" si="55"/>
        <v>13738.685600000001</v>
      </c>
      <c r="P308" s="14">
        <f t="shared" ca="1" si="61"/>
        <v>13737</v>
      </c>
      <c r="Q308" s="14" t="str">
        <f t="shared" ca="1" si="56"/>
        <v>0011010110101001</v>
      </c>
      <c r="R308" s="14">
        <f t="shared" ca="1" si="57"/>
        <v>2.5756088962554933</v>
      </c>
      <c r="S308" s="14">
        <f t="shared" ca="1" si="58"/>
        <v>50.907306755065918</v>
      </c>
      <c r="T308" s="19">
        <f t="shared" ca="1" si="60"/>
        <v>6.0732560289706739E-3</v>
      </c>
      <c r="U308" s="14"/>
      <c r="V308" s="15">
        <f t="shared" ca="1" si="59"/>
        <v>0.307307</v>
      </c>
      <c r="W308" s="14"/>
      <c r="X308" s="2"/>
    </row>
    <row r="309" spans="8:24" x14ac:dyDescent="0.25">
      <c r="H309" s="14">
        <v>50.7</v>
      </c>
      <c r="I309" s="17">
        <v>2.5641412499174652</v>
      </c>
      <c r="J309" s="15">
        <f t="shared" si="50"/>
        <v>-4.8000000000000001E-5</v>
      </c>
      <c r="K309" s="30">
        <f t="shared" si="51"/>
        <v>1.54E-4</v>
      </c>
      <c r="L309" s="15">
        <f t="shared" si="52"/>
        <v>7.8639999999999995E-3</v>
      </c>
      <c r="M309" s="10">
        <f t="shared" si="53"/>
        <v>2.5845718669672961</v>
      </c>
      <c r="N309" s="18">
        <f t="shared" si="54"/>
        <v>7.9678204351997291E-3</v>
      </c>
      <c r="O309" s="14">
        <f t="shared" si="55"/>
        <v>13788.939399999999</v>
      </c>
      <c r="P309" s="14">
        <f t="shared" ca="1" si="61"/>
        <v>13791</v>
      </c>
      <c r="Q309" s="14" t="str">
        <f t="shared" ca="1" si="56"/>
        <v>0011010111011111</v>
      </c>
      <c r="R309" s="14">
        <f t="shared" ca="1" si="57"/>
        <v>2.5857335872650147</v>
      </c>
      <c r="S309" s="14">
        <f t="shared" ca="1" si="58"/>
        <v>51.028803047180183</v>
      </c>
      <c r="T309" s="19">
        <f t="shared" ca="1" si="60"/>
        <v>6.4852672027648989E-3</v>
      </c>
      <c r="U309" s="14"/>
      <c r="V309" s="15">
        <f t="shared" ca="1" si="59"/>
        <v>0.32880300000000001</v>
      </c>
      <c r="W309" s="14"/>
      <c r="X309" s="2"/>
    </row>
    <row r="310" spans="8:24" x14ac:dyDescent="0.25">
      <c r="H310" s="14">
        <v>50.8</v>
      </c>
      <c r="I310" s="17">
        <v>2.573426282931714</v>
      </c>
      <c r="J310" s="15">
        <f t="shared" si="50"/>
        <v>-4.8000000000000001E-5</v>
      </c>
      <c r="K310" s="30">
        <f t="shared" si="51"/>
        <v>1.54E-4</v>
      </c>
      <c r="L310" s="15">
        <f t="shared" si="52"/>
        <v>7.894E-3</v>
      </c>
      <c r="M310" s="10">
        <f t="shared" si="53"/>
        <v>2.5940089315856514</v>
      </c>
      <c r="N310" s="18">
        <f t="shared" si="54"/>
        <v>7.9981497004410172E-3</v>
      </c>
      <c r="O310" s="14">
        <f t="shared" si="55"/>
        <v>13839.2871</v>
      </c>
      <c r="P310" s="14">
        <f t="shared" ca="1" si="61"/>
        <v>13838</v>
      </c>
      <c r="Q310" s="14" t="str">
        <f t="shared" ca="1" si="56"/>
        <v>0011011000001110</v>
      </c>
      <c r="R310" s="14">
        <f t="shared" ca="1" si="57"/>
        <v>2.5945458183288577</v>
      </c>
      <c r="S310" s="14">
        <f t="shared" ca="1" si="58"/>
        <v>51.134549819946294</v>
      </c>
      <c r="T310" s="19">
        <f t="shared" ca="1" si="60"/>
        <v>6.5856263768956031E-3</v>
      </c>
      <c r="U310" s="14"/>
      <c r="V310" s="15">
        <f t="shared" ca="1" si="59"/>
        <v>0.33455000000000001</v>
      </c>
      <c r="W310" s="14"/>
      <c r="X310" s="2"/>
    </row>
    <row r="311" spans="8:24" x14ac:dyDescent="0.25">
      <c r="H311" s="14">
        <v>50.900000000000006</v>
      </c>
      <c r="I311" s="17">
        <v>2.5827296620404243</v>
      </c>
      <c r="J311" s="15">
        <f t="shared" si="50"/>
        <v>-4.6999999999999997E-5</v>
      </c>
      <c r="K311" s="30">
        <f t="shared" si="51"/>
        <v>1.55E-4</v>
      </c>
      <c r="L311" s="15">
        <f t="shared" si="52"/>
        <v>7.9249999999999998E-3</v>
      </c>
      <c r="M311" s="10">
        <f t="shared" si="53"/>
        <v>2.6034666757961085</v>
      </c>
      <c r="N311" s="18">
        <f t="shared" si="54"/>
        <v>8.0291073667003027E-3</v>
      </c>
      <c r="O311" s="14">
        <f t="shared" si="55"/>
        <v>13889.745000000001</v>
      </c>
      <c r="P311" s="14">
        <f t="shared" ca="1" si="61"/>
        <v>13893</v>
      </c>
      <c r="Q311" s="14" t="str">
        <f t="shared" ca="1" si="56"/>
        <v>0011011001000101</v>
      </c>
      <c r="R311" s="14">
        <f t="shared" ca="1" si="57"/>
        <v>2.6048580036163331</v>
      </c>
      <c r="S311" s="14">
        <f t="shared" ca="1" si="58"/>
        <v>51.258296043396001</v>
      </c>
      <c r="T311" s="19">
        <f t="shared" ca="1" si="60"/>
        <v>7.0392149979566871E-3</v>
      </c>
      <c r="U311" s="14"/>
      <c r="V311" s="15">
        <f t="shared" ca="1" si="59"/>
        <v>0.358296</v>
      </c>
      <c r="W311" s="14"/>
      <c r="X311" s="2"/>
    </row>
    <row r="312" spans="8:24" x14ac:dyDescent="0.25">
      <c r="H312" s="14">
        <v>51</v>
      </c>
      <c r="I312" s="17">
        <v>2.5920512736930763</v>
      </c>
      <c r="J312" s="15">
        <f t="shared" si="50"/>
        <v>-4.6999999999999997E-5</v>
      </c>
      <c r="K312" s="30">
        <f t="shared" si="51"/>
        <v>1.55E-4</v>
      </c>
      <c r="L312" s="15">
        <f t="shared" si="52"/>
        <v>7.9550000000000003E-3</v>
      </c>
      <c r="M312" s="10">
        <f t="shared" si="53"/>
        <v>2.6129417640359827</v>
      </c>
      <c r="N312" s="18">
        <f t="shared" si="54"/>
        <v>8.0594433277325628E-3</v>
      </c>
      <c r="O312" s="14">
        <f t="shared" si="55"/>
        <v>13940.2955</v>
      </c>
      <c r="P312" s="14">
        <f t="shared" ca="1" si="61"/>
        <v>13943</v>
      </c>
      <c r="Q312" s="14" t="str">
        <f t="shared" ca="1" si="56"/>
        <v>0011011001110111</v>
      </c>
      <c r="R312" s="14">
        <f t="shared" ca="1" si="57"/>
        <v>2.6142327175140383</v>
      </c>
      <c r="S312" s="14">
        <f t="shared" ca="1" si="58"/>
        <v>51.370792610168458</v>
      </c>
      <c r="T312" s="19">
        <f t="shared" ca="1" si="60"/>
        <v>7.2704433366364268E-3</v>
      </c>
      <c r="U312" s="14"/>
      <c r="V312" s="15">
        <f t="shared" ca="1" si="59"/>
        <v>0.37079299999999998</v>
      </c>
      <c r="W312" s="14"/>
      <c r="X312" s="2"/>
    </row>
    <row r="313" spans="8:24" x14ac:dyDescent="0.25">
      <c r="H313" s="14">
        <v>51.1</v>
      </c>
      <c r="I313" s="17">
        <v>2.6013910038590993</v>
      </c>
      <c r="J313" s="15">
        <f t="shared" si="50"/>
        <v>-4.6E-5</v>
      </c>
      <c r="K313" s="30">
        <f t="shared" si="51"/>
        <v>1.56E-4</v>
      </c>
      <c r="L313" s="15">
        <f t="shared" si="52"/>
        <v>7.986E-3</v>
      </c>
      <c r="M313" s="10">
        <f t="shared" si="53"/>
        <v>2.6224373251497455</v>
      </c>
      <c r="N313" s="18">
        <f t="shared" si="54"/>
        <v>8.0904105762741978E-3</v>
      </c>
      <c r="O313" s="14">
        <f t="shared" si="55"/>
        <v>13990.9553</v>
      </c>
      <c r="P313" s="14">
        <f t="shared" ca="1" si="61"/>
        <v>13992</v>
      </c>
      <c r="Q313" s="14" t="str">
        <f t="shared" ca="1" si="56"/>
        <v>0011011010101000</v>
      </c>
      <c r="R313" s="14">
        <f t="shared" ca="1" si="57"/>
        <v>2.623419937133789</v>
      </c>
      <c r="S313" s="14">
        <f t="shared" ca="1" si="58"/>
        <v>51.481039245605466</v>
      </c>
      <c r="T313" s="19">
        <f t="shared" ca="1" si="60"/>
        <v>7.4567367046079122E-3</v>
      </c>
      <c r="U313" s="14"/>
      <c r="V313" s="15">
        <f t="shared" ca="1" si="59"/>
        <v>0.38103900000000002</v>
      </c>
      <c r="W313" s="14"/>
      <c r="X313" s="2"/>
    </row>
    <row r="314" spans="8:24" x14ac:dyDescent="0.25">
      <c r="H314" s="14">
        <v>51.2</v>
      </c>
      <c r="I314" s="17">
        <v>2.6100878909408065</v>
      </c>
      <c r="J314" s="15">
        <f t="shared" si="50"/>
        <v>-4.6E-5</v>
      </c>
      <c r="K314" s="30">
        <f t="shared" si="51"/>
        <v>1.56E-4</v>
      </c>
      <c r="L314" s="15">
        <f t="shared" si="52"/>
        <v>8.0160000000000006E-3</v>
      </c>
      <c r="M314" s="10">
        <f t="shared" si="53"/>
        <v>2.6312837969289897</v>
      </c>
      <c r="N314" s="18">
        <f t="shared" si="54"/>
        <v>8.1207633128948572E-3</v>
      </c>
      <c r="O314" s="14">
        <f t="shared" si="55"/>
        <v>14038.152</v>
      </c>
      <c r="P314" s="14">
        <f t="shared" ca="1" si="61"/>
        <v>14043</v>
      </c>
      <c r="Q314" s="14" t="str">
        <f t="shared" ca="1" si="56"/>
        <v>0011011011011011</v>
      </c>
      <c r="R314" s="14">
        <f t="shared" ca="1" si="57"/>
        <v>2.6329821453094482</v>
      </c>
      <c r="S314" s="14">
        <f t="shared" ca="1" si="58"/>
        <v>51.595785743713385</v>
      </c>
      <c r="T314" s="19">
        <f t="shared" ca="1" si="60"/>
        <v>7.7301903069020017E-3</v>
      </c>
      <c r="U314" s="14"/>
      <c r="V314" s="15">
        <f t="shared" ca="1" si="59"/>
        <v>0.39578600000000003</v>
      </c>
      <c r="W314" s="14"/>
      <c r="X314" s="2"/>
    </row>
    <row r="315" spans="8:24" x14ac:dyDescent="0.25">
      <c r="H315" s="14">
        <v>51.3</v>
      </c>
      <c r="I315" s="17">
        <v>2.6188048884487638</v>
      </c>
      <c r="J315" s="15">
        <f t="shared" si="50"/>
        <v>-4.5000000000000003E-5</v>
      </c>
      <c r="K315" s="30">
        <f t="shared" si="51"/>
        <v>1.5699999999999999E-4</v>
      </c>
      <c r="L315" s="15">
        <f t="shared" si="52"/>
        <v>8.0470000000000003E-3</v>
      </c>
      <c r="M315" s="10">
        <f t="shared" si="53"/>
        <v>2.640152730747086</v>
      </c>
      <c r="N315" s="18">
        <f t="shared" si="54"/>
        <v>8.1517498277496707E-3</v>
      </c>
      <c r="O315" s="14">
        <f t="shared" si="55"/>
        <v>14085.468699999999</v>
      </c>
      <c r="P315" s="14">
        <f t="shared" ca="1" si="61"/>
        <v>14090</v>
      </c>
      <c r="Q315" s="14" t="str">
        <f t="shared" ca="1" si="56"/>
        <v>0011011100001010</v>
      </c>
      <c r="R315" s="14">
        <f t="shared" ca="1" si="57"/>
        <v>2.6417943763732912</v>
      </c>
      <c r="S315" s="14">
        <f t="shared" ca="1" si="58"/>
        <v>51.701532516479496</v>
      </c>
      <c r="T315" s="19">
        <f t="shared" ca="1" si="60"/>
        <v>7.8271445707504637E-3</v>
      </c>
      <c r="U315" s="14"/>
      <c r="V315" s="15">
        <f t="shared" ca="1" si="59"/>
        <v>0.40153299999999997</v>
      </c>
      <c r="W315" s="14"/>
      <c r="X315" s="2"/>
    </row>
    <row r="316" spans="8:24" x14ac:dyDescent="0.25">
      <c r="H316" s="14">
        <v>51.400000000000006</v>
      </c>
      <c r="I316" s="17">
        <v>2.6282005079667758</v>
      </c>
      <c r="J316" s="15">
        <f t="shared" si="50"/>
        <v>-4.3999999999999999E-5</v>
      </c>
      <c r="K316" s="30">
        <f t="shared" si="51"/>
        <v>1.5699999999999999E-4</v>
      </c>
      <c r="L316" s="15">
        <f t="shared" si="52"/>
        <v>8.0770000000000008E-3</v>
      </c>
      <c r="M316" s="10">
        <f t="shared" si="53"/>
        <v>2.6497036962554312</v>
      </c>
      <c r="N316" s="18">
        <f t="shared" si="54"/>
        <v>8.1817152928300146E-3</v>
      </c>
      <c r="O316" s="14">
        <f t="shared" si="55"/>
        <v>14136.424000000001</v>
      </c>
      <c r="P316" s="14">
        <f t="shared" ca="1" si="61"/>
        <v>14140</v>
      </c>
      <c r="Q316" s="14" t="str">
        <f t="shared" ca="1" si="56"/>
        <v>0011011100111100</v>
      </c>
      <c r="R316" s="14">
        <f t="shared" ca="1" si="57"/>
        <v>2.6511690902709963</v>
      </c>
      <c r="S316" s="14">
        <f t="shared" ca="1" si="58"/>
        <v>51.81402908325196</v>
      </c>
      <c r="T316" s="19">
        <f t="shared" ca="1" si="60"/>
        <v>8.0550405301936558E-3</v>
      </c>
      <c r="U316" s="14"/>
      <c r="V316" s="15">
        <f t="shared" ca="1" si="59"/>
        <v>0.41402899999999998</v>
      </c>
      <c r="W316" s="14"/>
      <c r="X316" s="2"/>
    </row>
    <row r="317" spans="8:24" x14ac:dyDescent="0.25">
      <c r="H317" s="14">
        <v>51.5</v>
      </c>
      <c r="I317" s="17">
        <v>2.636956271353263</v>
      </c>
      <c r="J317" s="15">
        <f t="shared" si="50"/>
        <v>-4.3999999999999999E-5</v>
      </c>
      <c r="K317" s="30">
        <f t="shared" si="51"/>
        <v>1.5799999999999999E-4</v>
      </c>
      <c r="L317" s="15">
        <f t="shared" si="52"/>
        <v>8.1080000000000006E-3</v>
      </c>
      <c r="M317" s="10">
        <f t="shared" si="53"/>
        <v>2.6586138421211816</v>
      </c>
      <c r="N317" s="18">
        <f t="shared" si="54"/>
        <v>8.2130943934098852E-3</v>
      </c>
      <c r="O317" s="14">
        <f t="shared" si="55"/>
        <v>14183.960499999999</v>
      </c>
      <c r="P317" s="14">
        <f t="shared" ca="1" si="61"/>
        <v>14186</v>
      </c>
      <c r="Q317" s="14" t="str">
        <f t="shared" ca="1" si="56"/>
        <v>0011011101101010</v>
      </c>
      <c r="R317" s="14">
        <f t="shared" ca="1" si="57"/>
        <v>2.6597938270568848</v>
      </c>
      <c r="S317" s="14">
        <f t="shared" ca="1" si="58"/>
        <v>51.917525924682622</v>
      </c>
      <c r="T317" s="19">
        <f t="shared" ca="1" si="60"/>
        <v>8.1072995084004174E-3</v>
      </c>
      <c r="U317" s="14"/>
      <c r="V317" s="15">
        <f t="shared" ca="1" si="59"/>
        <v>0.41752600000000001</v>
      </c>
      <c r="W317" s="14"/>
      <c r="X317" s="2"/>
    </row>
    <row r="318" spans="8:24" x14ac:dyDescent="0.25">
      <c r="H318" s="14">
        <v>51.6</v>
      </c>
      <c r="I318" s="17">
        <v>2.6463882089473083</v>
      </c>
      <c r="J318" s="15">
        <f t="shared" si="50"/>
        <v>-4.3000000000000002E-5</v>
      </c>
      <c r="K318" s="30">
        <f t="shared" si="51"/>
        <v>1.5799999999999999E-4</v>
      </c>
      <c r="L318" s="15">
        <f t="shared" si="52"/>
        <v>8.1379999999999994E-3</v>
      </c>
      <c r="M318" s="10">
        <f t="shared" si="53"/>
        <v>2.6682025694535207</v>
      </c>
      <c r="N318" s="18">
        <f t="shared" si="54"/>
        <v>8.2430689618624951E-3</v>
      </c>
      <c r="O318" s="14">
        <f t="shared" si="55"/>
        <v>14235.117200000001</v>
      </c>
      <c r="P318" s="14">
        <f t="shared" ca="1" si="61"/>
        <v>14237</v>
      </c>
      <c r="Q318" s="14" t="str">
        <f t="shared" ca="1" si="56"/>
        <v>0011011110011101</v>
      </c>
      <c r="R318" s="14">
        <f t="shared" ca="1" si="57"/>
        <v>2.6693560352325441</v>
      </c>
      <c r="S318" s="14">
        <f t="shared" ca="1" si="58"/>
        <v>52.032272422790527</v>
      </c>
      <c r="T318" s="19">
        <f t="shared" ca="1" si="60"/>
        <v>8.3773725347001064E-3</v>
      </c>
      <c r="U318" s="14"/>
      <c r="V318" s="15">
        <f t="shared" ca="1" si="59"/>
        <v>0.43227199999999999</v>
      </c>
      <c r="W318" s="14"/>
      <c r="X318" s="2"/>
    </row>
    <row r="319" spans="8:24" x14ac:dyDescent="0.25">
      <c r="H319" s="14">
        <v>51.7</v>
      </c>
      <c r="I319" s="17">
        <v>2.655837579387184</v>
      </c>
      <c r="J319" s="15">
        <f t="shared" si="50"/>
        <v>-4.3000000000000002E-5</v>
      </c>
      <c r="K319" s="30">
        <f t="shared" si="51"/>
        <v>1.5899999999999999E-4</v>
      </c>
      <c r="L319" s="15">
        <f t="shared" si="52"/>
        <v>8.1689999999999992E-3</v>
      </c>
      <c r="M319" s="10">
        <f t="shared" si="53"/>
        <v>2.6778131612998424</v>
      </c>
      <c r="N319" s="18">
        <f t="shared" si="54"/>
        <v>8.2744449748049249E-3</v>
      </c>
      <c r="O319" s="14">
        <f t="shared" si="55"/>
        <v>14286.3907</v>
      </c>
      <c r="P319" s="14">
        <f t="shared" ca="1" si="61"/>
        <v>14288</v>
      </c>
      <c r="Q319" s="14" t="str">
        <f t="shared" ca="1" si="56"/>
        <v>0011011111010000</v>
      </c>
      <c r="R319" s="14">
        <f t="shared" ca="1" si="57"/>
        <v>2.6789182434082033</v>
      </c>
      <c r="S319" s="14">
        <f t="shared" ca="1" si="58"/>
        <v>52.147018920898446</v>
      </c>
      <c r="T319" s="19">
        <f t="shared" ca="1" si="60"/>
        <v>8.646400791072411E-3</v>
      </c>
      <c r="U319" s="14"/>
      <c r="V319" s="15">
        <f t="shared" ca="1" si="59"/>
        <v>0.447019</v>
      </c>
      <c r="W319" s="14"/>
      <c r="X319" s="2"/>
    </row>
    <row r="320" spans="8:24" x14ac:dyDescent="0.25">
      <c r="H320" s="14">
        <v>51.8</v>
      </c>
      <c r="I320" s="17">
        <v>2.6653042687150386</v>
      </c>
      <c r="J320" s="15">
        <f t="shared" si="50"/>
        <v>-4.1999999999999998E-5</v>
      </c>
      <c r="K320" s="30">
        <f t="shared" si="51"/>
        <v>1.5899999999999999E-4</v>
      </c>
      <c r="L320" s="15">
        <f t="shared" si="52"/>
        <v>8.1989999999999997E-3</v>
      </c>
      <c r="M320" s="10">
        <f t="shared" si="53"/>
        <v>2.6874380981396859</v>
      </c>
      <c r="N320" s="18">
        <f t="shared" si="54"/>
        <v>8.3044287605175508E-3</v>
      </c>
      <c r="O320" s="14">
        <f t="shared" si="55"/>
        <v>14337.740599999999</v>
      </c>
      <c r="P320" s="14">
        <f t="shared" ca="1" si="61"/>
        <v>14342</v>
      </c>
      <c r="Q320" s="14" t="str">
        <f t="shared" ca="1" si="56"/>
        <v>0011100000000110</v>
      </c>
      <c r="R320" s="14">
        <f t="shared" ca="1" si="57"/>
        <v>2.6890429344177247</v>
      </c>
      <c r="S320" s="14">
        <f t="shared" ca="1" si="58"/>
        <v>52.268515213012698</v>
      </c>
      <c r="T320" s="19">
        <f t="shared" ca="1" si="60"/>
        <v>9.0446952319054221E-3</v>
      </c>
      <c r="U320" s="14"/>
      <c r="V320" s="15">
        <f t="shared" ca="1" si="59"/>
        <v>0.46851500000000001</v>
      </c>
      <c r="W320" s="14"/>
      <c r="X320" s="2"/>
    </row>
    <row r="321" spans="8:24" x14ac:dyDescent="0.25">
      <c r="H321" s="14">
        <v>51.900000000000006</v>
      </c>
      <c r="I321" s="17">
        <v>2.6747881623183503</v>
      </c>
      <c r="J321" s="15">
        <f t="shared" si="50"/>
        <v>-4.1999999999999998E-5</v>
      </c>
      <c r="K321" s="30">
        <f t="shared" si="51"/>
        <v>1.6000000000000001E-4</v>
      </c>
      <c r="L321" s="15">
        <f t="shared" si="52"/>
        <v>8.2299999999999995E-3</v>
      </c>
      <c r="M321" s="10">
        <f t="shared" si="53"/>
        <v>2.6970846919934566</v>
      </c>
      <c r="N321" s="18">
        <f t="shared" si="54"/>
        <v>8.3358114071287737E-3</v>
      </c>
      <c r="O321" s="14">
        <f t="shared" si="55"/>
        <v>14389.206099999999</v>
      </c>
      <c r="P321" s="14">
        <f t="shared" ca="1" si="61"/>
        <v>14392</v>
      </c>
      <c r="Q321" s="14" t="str">
        <f t="shared" ca="1" si="56"/>
        <v>0011100000111000</v>
      </c>
      <c r="R321" s="14">
        <f t="shared" ca="1" si="57"/>
        <v>2.6984176483154299</v>
      </c>
      <c r="S321" s="14">
        <f t="shared" ca="1" si="58"/>
        <v>52.381011779785162</v>
      </c>
      <c r="T321" s="19">
        <f t="shared" ca="1" si="60"/>
        <v>9.2680497068430828E-3</v>
      </c>
      <c r="U321" s="14"/>
      <c r="V321" s="15">
        <f t="shared" ca="1" si="59"/>
        <v>0.481012</v>
      </c>
      <c r="W321" s="14"/>
      <c r="X321" s="2"/>
    </row>
    <row r="322" spans="8:24" x14ac:dyDescent="0.25">
      <c r="H322" s="14">
        <v>52</v>
      </c>
      <c r="I322" s="17">
        <v>2.6842891452353994</v>
      </c>
      <c r="J322" s="15">
        <f t="shared" si="50"/>
        <v>-4.1E-5</v>
      </c>
      <c r="K322" s="30">
        <f t="shared" si="51"/>
        <v>1.6000000000000001E-4</v>
      </c>
      <c r="L322" s="15">
        <f t="shared" si="52"/>
        <v>8.26E-3</v>
      </c>
      <c r="M322" s="10">
        <f t="shared" si="53"/>
        <v>2.7067453830191375</v>
      </c>
      <c r="N322" s="18">
        <f t="shared" si="54"/>
        <v>8.3658043410106478E-3</v>
      </c>
      <c r="O322" s="14">
        <f t="shared" si="55"/>
        <v>14440.7469</v>
      </c>
      <c r="P322" s="14">
        <f t="shared" ca="1" si="61"/>
        <v>14440</v>
      </c>
      <c r="Q322" s="14" t="str">
        <f t="shared" ca="1" si="56"/>
        <v>0011100001101000</v>
      </c>
      <c r="R322" s="14">
        <f t="shared" ca="1" si="57"/>
        <v>2.7074173736572265</v>
      </c>
      <c r="S322" s="14">
        <f t="shared" ca="1" si="58"/>
        <v>52.489008483886721</v>
      </c>
      <c r="T322" s="19">
        <f t="shared" ca="1" si="60"/>
        <v>9.4040093055138656E-3</v>
      </c>
      <c r="U322" s="14"/>
      <c r="V322" s="15">
        <f t="shared" ca="1" si="59"/>
        <v>0.489008</v>
      </c>
      <c r="W322" s="14"/>
      <c r="X322" s="2"/>
    </row>
    <row r="323" spans="8:24" x14ac:dyDescent="0.25">
      <c r="H323" s="14">
        <v>52.1</v>
      </c>
      <c r="I323" s="17">
        <v>2.6931562313198816</v>
      </c>
      <c r="J323" s="15">
        <f t="shared" ref="J323:J386" si="62">ROUND(H323*0.00000575 -0.00034,6)</f>
        <v>-4.0000000000000003E-5</v>
      </c>
      <c r="K323" s="30">
        <f t="shared" ref="K323:K386" si="63">ROUND(H323*0.000005-0.0001,6)</f>
        <v>1.6100000000000001E-4</v>
      </c>
      <c r="L323" s="15">
        <f t="shared" ref="L323:L386" si="64">ROUND(K323+($C$24*(H323-25)),6)</f>
        <v>8.2909999999999998E-3</v>
      </c>
      <c r="M323" s="10">
        <f t="shared" ref="M323:M386" si="65">(I323-J323)/(1-L323)+$C$26+$D$27</f>
        <v>2.7157702011798639</v>
      </c>
      <c r="N323" s="18">
        <f t="shared" ref="N323:N386" si="66">ABS(I323-M323)/I323</f>
        <v>8.3968280774039984E-3</v>
      </c>
      <c r="O323" s="14">
        <f t="shared" ref="O323:O386" si="67">ROUND((M323*(2^($C$12-1)))/$C$44,4)</f>
        <v>14488.8951</v>
      </c>
      <c r="P323" s="14">
        <f t="shared" ca="1" si="61"/>
        <v>14487</v>
      </c>
      <c r="Q323" s="14" t="str">
        <f t="shared" ref="Q323:Q386" ca="1" si="68">_xlfn.BASE(IF(P323&lt;0, P323+2^($C$12)-1, P323), 2, 16)</f>
        <v>0011100010010111</v>
      </c>
      <c r="R323" s="14">
        <f t="shared" ref="R323:R386" ca="1" si="69">($C$16/2^($C$12-1)) * P323</f>
        <v>2.7162296047210694</v>
      </c>
      <c r="S323" s="14">
        <f t="shared" ref="S323:S386" ca="1" si="70">(R323+5/3)/(1/12)</f>
        <v>52.594755256652832</v>
      </c>
      <c r="T323" s="19">
        <f t="shared" ca="1" si="60"/>
        <v>9.4962621238547044E-3</v>
      </c>
      <c r="U323" s="14"/>
      <c r="V323" s="15">
        <f t="shared" ref="V323:V386" ca="1" si="71">ROUND(ABS(H323-S323),6)</f>
        <v>0.494755</v>
      </c>
      <c r="W323" s="14"/>
      <c r="X323" s="2"/>
    </row>
    <row r="324" spans="8:24" x14ac:dyDescent="0.25">
      <c r="H324" s="14">
        <v>52.2</v>
      </c>
      <c r="I324" s="17">
        <v>2.7026921561478252</v>
      </c>
      <c r="J324" s="15">
        <f t="shared" si="62"/>
        <v>-4.0000000000000003E-5</v>
      </c>
      <c r="K324" s="30">
        <f t="shared" si="63"/>
        <v>1.6100000000000001E-4</v>
      </c>
      <c r="L324" s="15">
        <f t="shared" si="64"/>
        <v>8.3210000000000003E-3</v>
      </c>
      <c r="M324" s="10">
        <f t="shared" si="65"/>
        <v>2.7254682952143034</v>
      </c>
      <c r="N324" s="18">
        <f t="shared" si="66"/>
        <v>8.4272043394469694E-3</v>
      </c>
      <c r="O324" s="14">
        <f t="shared" si="67"/>
        <v>14540.635399999999</v>
      </c>
      <c r="P324" s="14">
        <f t="shared" ca="1" si="61"/>
        <v>14539</v>
      </c>
      <c r="Q324" s="14" t="str">
        <f t="shared" ca="1" si="68"/>
        <v>0011100011001011</v>
      </c>
      <c r="R324" s="14">
        <f t="shared" ca="1" si="69"/>
        <v>2.7259793071746827</v>
      </c>
      <c r="S324" s="14">
        <f t="shared" ca="1" si="70"/>
        <v>52.7117516860962</v>
      </c>
      <c r="T324" s="19">
        <f t="shared" ref="T324:T387" ca="1" si="72">ABS(H324-S324)/H324</f>
        <v>9.8036721474367237E-3</v>
      </c>
      <c r="U324" s="14"/>
      <c r="V324" s="15">
        <f t="shared" ca="1" si="71"/>
        <v>0.51175199999999998</v>
      </c>
      <c r="W324" s="14"/>
      <c r="X324" s="2"/>
    </row>
    <row r="325" spans="8:24" x14ac:dyDescent="0.25">
      <c r="H325" s="14">
        <v>52.300000000000004</v>
      </c>
      <c r="I325" s="17">
        <v>2.7115961685782035</v>
      </c>
      <c r="J325" s="15">
        <f t="shared" si="62"/>
        <v>-3.8999999999999999E-5</v>
      </c>
      <c r="K325" s="30">
        <f t="shared" si="63"/>
        <v>1.6200000000000001E-4</v>
      </c>
      <c r="L325" s="15">
        <f t="shared" si="64"/>
        <v>8.352E-3</v>
      </c>
      <c r="M325" s="10">
        <f t="shared" si="65"/>
        <v>2.7345314911765102</v>
      </c>
      <c r="N325" s="18">
        <f t="shared" si="66"/>
        <v>8.4582368363252825E-3</v>
      </c>
      <c r="O325" s="14">
        <f t="shared" si="67"/>
        <v>14588.9884</v>
      </c>
      <c r="P325" s="14">
        <f t="shared" ca="1" si="61"/>
        <v>14591</v>
      </c>
      <c r="Q325" s="14" t="str">
        <f t="shared" ca="1" si="68"/>
        <v>0011100011111111</v>
      </c>
      <c r="R325" s="14">
        <f t="shared" ca="1" si="69"/>
        <v>2.735729009628296</v>
      </c>
      <c r="S325" s="14">
        <f t="shared" ca="1" si="70"/>
        <v>52.828748115539554</v>
      </c>
      <c r="T325" s="19">
        <f t="shared" ca="1" si="72"/>
        <v>1.0109906606874754E-2</v>
      </c>
      <c r="U325" s="14"/>
      <c r="V325" s="15">
        <f t="shared" ca="1" si="71"/>
        <v>0.528748</v>
      </c>
      <c r="W325" s="14"/>
      <c r="X325" s="2"/>
    </row>
    <row r="326" spans="8:24" x14ac:dyDescent="0.25">
      <c r="H326" s="14">
        <v>52.4</v>
      </c>
      <c r="I326" s="17">
        <v>2.7205190244120341</v>
      </c>
      <c r="J326" s="15">
        <f t="shared" si="62"/>
        <v>-3.8999999999999999E-5</v>
      </c>
      <c r="K326" s="30">
        <f t="shared" si="63"/>
        <v>1.6200000000000001E-4</v>
      </c>
      <c r="L326" s="15">
        <f t="shared" si="64"/>
        <v>8.3820000000000006E-3</v>
      </c>
      <c r="M326" s="10">
        <f t="shared" si="65"/>
        <v>2.7436124982160814</v>
      </c>
      <c r="N326" s="18">
        <f t="shared" si="66"/>
        <v>8.4886279407799334E-3</v>
      </c>
      <c r="O326" s="14">
        <f t="shared" si="67"/>
        <v>14637.4365</v>
      </c>
      <c r="P326" s="14">
        <f t="shared" ca="1" si="61"/>
        <v>14636</v>
      </c>
      <c r="Q326" s="14" t="str">
        <f t="shared" ca="1" si="68"/>
        <v>0011100100101100</v>
      </c>
      <c r="R326" s="14">
        <f t="shared" ca="1" si="69"/>
        <v>2.7441662521362304</v>
      </c>
      <c r="S326" s="14">
        <f t="shared" ca="1" si="70"/>
        <v>52.929995025634767</v>
      </c>
      <c r="T326" s="19">
        <f t="shared" ca="1" si="72"/>
        <v>1.0114408886159705E-2</v>
      </c>
      <c r="U326" s="14"/>
      <c r="V326" s="15">
        <f t="shared" ca="1" si="71"/>
        <v>0.52999499999999999</v>
      </c>
      <c r="W326" s="14"/>
      <c r="X326" s="2"/>
    </row>
    <row r="327" spans="8:24" x14ac:dyDescent="0.25">
      <c r="H327" s="14">
        <v>52.5</v>
      </c>
      <c r="I327" s="17">
        <v>2.7301070507917444</v>
      </c>
      <c r="J327" s="15">
        <f t="shared" si="62"/>
        <v>-3.8000000000000002E-5</v>
      </c>
      <c r="K327" s="30">
        <f t="shared" si="63"/>
        <v>1.63E-4</v>
      </c>
      <c r="L327" s="15">
        <f t="shared" si="64"/>
        <v>8.4130000000000003E-3</v>
      </c>
      <c r="M327" s="10">
        <f t="shared" si="65"/>
        <v>2.7533666363493516</v>
      </c>
      <c r="N327" s="18">
        <f t="shared" si="66"/>
        <v>8.5196606304730124E-3</v>
      </c>
      <c r="O327" s="14">
        <f t="shared" si="67"/>
        <v>14689.475700000001</v>
      </c>
      <c r="P327" s="14">
        <f t="shared" ca="1" si="61"/>
        <v>14689</v>
      </c>
      <c r="Q327" s="14" t="str">
        <f t="shared" ca="1" si="68"/>
        <v>0011100101100001</v>
      </c>
      <c r="R327" s="14">
        <f t="shared" ca="1" si="69"/>
        <v>2.7541034488677978</v>
      </c>
      <c r="S327" s="14">
        <f t="shared" ca="1" si="70"/>
        <v>53.049241386413577</v>
      </c>
      <c r="T327" s="19">
        <f t="shared" ca="1" si="72"/>
        <v>1.0461740693591943E-2</v>
      </c>
      <c r="U327" s="14"/>
      <c r="V327" s="15">
        <f t="shared" ca="1" si="71"/>
        <v>0.54924099999999998</v>
      </c>
      <c r="W327" s="14"/>
      <c r="X327" s="2"/>
    </row>
    <row r="328" spans="8:24" x14ac:dyDescent="0.25">
      <c r="H328" s="14">
        <v>52.6</v>
      </c>
      <c r="I328" s="17">
        <v>2.7390661397242164</v>
      </c>
      <c r="J328" s="15">
        <f t="shared" si="62"/>
        <v>-3.8000000000000002E-5</v>
      </c>
      <c r="K328" s="30">
        <f t="shared" si="63"/>
        <v>1.63E-4</v>
      </c>
      <c r="L328" s="15">
        <f t="shared" si="64"/>
        <v>8.4430000000000009E-3</v>
      </c>
      <c r="M328" s="10">
        <f t="shared" si="65"/>
        <v>2.7624853135323701</v>
      </c>
      <c r="N328" s="18">
        <f t="shared" si="66"/>
        <v>8.5500577983530154E-3</v>
      </c>
      <c r="O328" s="14">
        <f t="shared" si="67"/>
        <v>14738.1248</v>
      </c>
      <c r="P328" s="14">
        <f t="shared" ca="1" si="61"/>
        <v>14741</v>
      </c>
      <c r="Q328" s="14" t="str">
        <f t="shared" ca="1" si="68"/>
        <v>0011100110010101</v>
      </c>
      <c r="R328" s="14">
        <f t="shared" ca="1" si="69"/>
        <v>2.7638531513214111</v>
      </c>
      <c r="S328" s="14">
        <f t="shared" ca="1" si="70"/>
        <v>53.166237815856931</v>
      </c>
      <c r="T328" s="19">
        <f t="shared" ca="1" si="72"/>
        <v>1.0764977487774328E-2</v>
      </c>
      <c r="U328" s="14"/>
      <c r="V328" s="15">
        <f t="shared" ca="1" si="71"/>
        <v>0.56623800000000002</v>
      </c>
      <c r="W328" s="14"/>
      <c r="X328" s="2"/>
    </row>
    <row r="329" spans="8:24" x14ac:dyDescent="0.25">
      <c r="H329" s="14">
        <v>52.7</v>
      </c>
      <c r="I329" s="17">
        <v>2.7480437246872671</v>
      </c>
      <c r="J329" s="15">
        <f t="shared" si="62"/>
        <v>-3.6999999999999998E-5</v>
      </c>
      <c r="K329" s="30">
        <f t="shared" si="63"/>
        <v>1.64E-4</v>
      </c>
      <c r="L329" s="15">
        <f t="shared" si="64"/>
        <v>8.4740000000000006E-3</v>
      </c>
      <c r="M329" s="10">
        <f t="shared" si="65"/>
        <v>2.7716249833037834</v>
      </c>
      <c r="N329" s="18">
        <f t="shared" si="66"/>
        <v>8.5811075000998653E-3</v>
      </c>
      <c r="O329" s="14">
        <f t="shared" si="67"/>
        <v>14786.8858</v>
      </c>
      <c r="P329" s="14">
        <f t="shared" ca="1" si="61"/>
        <v>14789</v>
      </c>
      <c r="Q329" s="14" t="str">
        <f t="shared" ca="1" si="68"/>
        <v>0011100111000101</v>
      </c>
      <c r="R329" s="14">
        <f t="shared" ca="1" si="69"/>
        <v>2.7728528766632081</v>
      </c>
      <c r="S329" s="14">
        <f t="shared" ca="1" si="70"/>
        <v>53.274234519958505</v>
      </c>
      <c r="T329" s="19">
        <f t="shared" ca="1" si="72"/>
        <v>1.0896290701299842E-2</v>
      </c>
      <c r="U329" s="14"/>
      <c r="V329" s="15">
        <f t="shared" ca="1" si="71"/>
        <v>0.57423500000000005</v>
      </c>
      <c r="W329" s="14"/>
      <c r="X329" s="2"/>
    </row>
    <row r="330" spans="8:24" x14ac:dyDescent="0.25">
      <c r="H330" s="14">
        <v>52.800000000000004</v>
      </c>
      <c r="I330" s="17">
        <v>2.757039689453491</v>
      </c>
      <c r="J330" s="15">
        <f t="shared" si="62"/>
        <v>-3.6000000000000001E-5</v>
      </c>
      <c r="K330" s="30">
        <f t="shared" si="63"/>
        <v>1.64E-4</v>
      </c>
      <c r="L330" s="15">
        <f t="shared" si="64"/>
        <v>8.5039999999999994E-3</v>
      </c>
      <c r="M330" s="10">
        <f t="shared" si="65"/>
        <v>2.7807809574839344</v>
      </c>
      <c r="N330" s="18">
        <f t="shared" si="66"/>
        <v>8.6111448163988802E-3</v>
      </c>
      <c r="O330" s="14">
        <f t="shared" si="67"/>
        <v>14835.7338</v>
      </c>
      <c r="P330" s="14">
        <f t="shared" ca="1" si="61"/>
        <v>14837</v>
      </c>
      <c r="Q330" s="14" t="str">
        <f t="shared" ca="1" si="68"/>
        <v>0011100111110101</v>
      </c>
      <c r="R330" s="14">
        <f t="shared" ca="1" si="69"/>
        <v>2.7818526020050047</v>
      </c>
      <c r="S330" s="14">
        <f t="shared" ca="1" si="70"/>
        <v>53.382231224060064</v>
      </c>
      <c r="T330" s="19">
        <f t="shared" ca="1" si="72"/>
        <v>1.1027106516289006E-2</v>
      </c>
      <c r="U330" s="14"/>
      <c r="V330" s="15">
        <f t="shared" ca="1" si="71"/>
        <v>0.58223100000000005</v>
      </c>
      <c r="W330" s="14"/>
      <c r="X330" s="2"/>
    </row>
    <row r="331" spans="8:24" x14ac:dyDescent="0.25">
      <c r="H331" s="14">
        <v>52.9</v>
      </c>
      <c r="I331" s="17">
        <v>2.7660539185374349</v>
      </c>
      <c r="J331" s="15">
        <f t="shared" si="62"/>
        <v>-3.6000000000000001E-5</v>
      </c>
      <c r="K331" s="30">
        <f t="shared" si="63"/>
        <v>1.65E-4</v>
      </c>
      <c r="L331" s="15">
        <f t="shared" si="64"/>
        <v>8.5349999999999992E-3</v>
      </c>
      <c r="M331" s="10">
        <f t="shared" si="65"/>
        <v>2.7899597298012888</v>
      </c>
      <c r="N331" s="18">
        <f t="shared" si="66"/>
        <v>8.642568788570202E-3</v>
      </c>
      <c r="O331" s="14">
        <f t="shared" si="67"/>
        <v>14884.7034</v>
      </c>
      <c r="P331" s="14">
        <f t="shared" ca="1" si="61"/>
        <v>14888</v>
      </c>
      <c r="Q331" s="14" t="str">
        <f t="shared" ca="1" si="68"/>
        <v>0011101000101000</v>
      </c>
      <c r="R331" s="14">
        <f t="shared" ca="1" si="69"/>
        <v>2.791414810180664</v>
      </c>
      <c r="S331" s="14">
        <f t="shared" ca="1" si="70"/>
        <v>53.496977722167969</v>
      </c>
      <c r="T331" s="19">
        <f t="shared" ca="1" si="72"/>
        <v>1.1285023103364284E-2</v>
      </c>
      <c r="U331" s="14"/>
      <c r="V331" s="15">
        <f t="shared" ca="1" si="71"/>
        <v>0.59697800000000001</v>
      </c>
      <c r="W331" s="14"/>
      <c r="X331" s="2"/>
    </row>
    <row r="332" spans="8:24" x14ac:dyDescent="0.25">
      <c r="H332" s="14">
        <v>53</v>
      </c>
      <c r="I332" s="17">
        <v>2.7750862949697317</v>
      </c>
      <c r="J332" s="15">
        <f t="shared" si="62"/>
        <v>-3.4999999999999997E-5</v>
      </c>
      <c r="K332" s="30">
        <f t="shared" si="63"/>
        <v>1.65E-4</v>
      </c>
      <c r="L332" s="15">
        <f t="shared" si="64"/>
        <v>8.5649999999999997E-3</v>
      </c>
      <c r="M332" s="10">
        <f t="shared" si="65"/>
        <v>2.7991535483412751</v>
      </c>
      <c r="N332" s="18">
        <f t="shared" si="66"/>
        <v>8.6726144030796239E-3</v>
      </c>
      <c r="O332" s="14">
        <f t="shared" si="67"/>
        <v>14933.7533</v>
      </c>
      <c r="P332" s="14">
        <f t="shared" ca="1" si="61"/>
        <v>14932</v>
      </c>
      <c r="Q332" s="14" t="str">
        <f t="shared" ca="1" si="68"/>
        <v>0011101001010100</v>
      </c>
      <c r="R332" s="14">
        <f t="shared" ca="1" si="69"/>
        <v>2.7996645584106448</v>
      </c>
      <c r="S332" s="14">
        <f t="shared" ca="1" si="70"/>
        <v>53.595974700927741</v>
      </c>
      <c r="T332" s="19">
        <f t="shared" ca="1" si="72"/>
        <v>1.12448056778819E-2</v>
      </c>
      <c r="U332" s="14"/>
      <c r="V332" s="15">
        <f t="shared" ca="1" si="71"/>
        <v>0.59597500000000003</v>
      </c>
      <c r="W332" s="14"/>
      <c r="X332" s="2"/>
    </row>
    <row r="333" spans="8:24" x14ac:dyDescent="0.25">
      <c r="H333" s="14">
        <v>53.1</v>
      </c>
      <c r="I333" s="17">
        <v>2.7841367027121051</v>
      </c>
      <c r="J333" s="15">
        <f t="shared" si="62"/>
        <v>-3.4999999999999997E-5</v>
      </c>
      <c r="K333" s="30">
        <f t="shared" si="63"/>
        <v>1.66E-4</v>
      </c>
      <c r="L333" s="15">
        <f t="shared" si="64"/>
        <v>8.5959999999999995E-3</v>
      </c>
      <c r="M333" s="10">
        <f t="shared" si="65"/>
        <v>2.808369952253678</v>
      </c>
      <c r="N333" s="18">
        <f t="shared" si="66"/>
        <v>8.7040444235251188E-3</v>
      </c>
      <c r="O333" s="14">
        <f t="shared" si="67"/>
        <v>14982.923699999999</v>
      </c>
      <c r="P333" s="14">
        <f t="shared" ca="1" si="61"/>
        <v>14986</v>
      </c>
      <c r="Q333" s="14" t="str">
        <f t="shared" ca="1" si="68"/>
        <v>0011101010001010</v>
      </c>
      <c r="R333" s="14">
        <f t="shared" ca="1" si="69"/>
        <v>2.8097892494201662</v>
      </c>
      <c r="S333" s="14">
        <f t="shared" ca="1" si="70"/>
        <v>53.717470993041992</v>
      </c>
      <c r="T333" s="19">
        <f t="shared" ca="1" si="72"/>
        <v>1.1628455612843518E-2</v>
      </c>
      <c r="U333" s="14"/>
      <c r="V333" s="15">
        <f t="shared" ca="1" si="71"/>
        <v>0.61747099999999999</v>
      </c>
      <c r="W333" s="14"/>
      <c r="X333" s="2"/>
    </row>
    <row r="334" spans="8:24" x14ac:dyDescent="0.25">
      <c r="H334" s="14">
        <v>53.2</v>
      </c>
      <c r="I334" s="17">
        <v>2.7938437275707662</v>
      </c>
      <c r="J334" s="15">
        <f t="shared" si="62"/>
        <v>-3.4E-5</v>
      </c>
      <c r="K334" s="30">
        <f t="shared" si="63"/>
        <v>1.66E-4</v>
      </c>
      <c r="L334" s="15">
        <f t="shared" si="64"/>
        <v>8.626E-3</v>
      </c>
      <c r="M334" s="10">
        <f t="shared" si="65"/>
        <v>2.8182454121883027</v>
      </c>
      <c r="N334" s="18">
        <f t="shared" si="66"/>
        <v>8.7340907355450779E-3</v>
      </c>
      <c r="O334" s="14">
        <f t="shared" si="67"/>
        <v>15035.610199999999</v>
      </c>
      <c r="P334" s="14">
        <f t="shared" ca="1" si="61"/>
        <v>15036</v>
      </c>
      <c r="Q334" s="14" t="str">
        <f t="shared" ca="1" si="68"/>
        <v>0011101010111100</v>
      </c>
      <c r="R334" s="14">
        <f t="shared" ca="1" si="69"/>
        <v>2.8191639633178713</v>
      </c>
      <c r="S334" s="14">
        <f t="shared" ca="1" si="70"/>
        <v>53.829967559814463</v>
      </c>
      <c r="T334" s="19">
        <f t="shared" ca="1" si="72"/>
        <v>1.1841495485234216E-2</v>
      </c>
      <c r="U334" s="14"/>
      <c r="V334" s="15">
        <f t="shared" ca="1" si="71"/>
        <v>0.62996799999999997</v>
      </c>
      <c r="W334" s="14"/>
      <c r="X334" s="2"/>
    </row>
    <row r="335" spans="8:24" x14ac:dyDescent="0.25">
      <c r="H335" s="14">
        <v>53.300000000000004</v>
      </c>
      <c r="I335" s="17">
        <v>2.8029287442831992</v>
      </c>
      <c r="J335" s="15">
        <f t="shared" si="62"/>
        <v>-3.4E-5</v>
      </c>
      <c r="K335" s="30">
        <f t="shared" si="63"/>
        <v>1.6699999999999999E-4</v>
      </c>
      <c r="L335" s="15">
        <f t="shared" si="64"/>
        <v>8.6569999999999998E-3</v>
      </c>
      <c r="M335" s="10">
        <f t="shared" si="65"/>
        <v>2.8274978914232505</v>
      </c>
      <c r="N335" s="18">
        <f t="shared" si="66"/>
        <v>8.7655268405099802E-3</v>
      </c>
      <c r="O335" s="14">
        <f t="shared" si="67"/>
        <v>15084.973099999999</v>
      </c>
      <c r="P335" s="14">
        <f t="shared" ref="P335:P398" ca="1" si="73">ROUND(O335+$C$47+$C$49+RANDBETWEEN($B$45,$D$45) + 1,0)</f>
        <v>15087</v>
      </c>
      <c r="Q335" s="14" t="str">
        <f t="shared" ca="1" si="68"/>
        <v>0011101011101111</v>
      </c>
      <c r="R335" s="14">
        <f t="shared" ca="1" si="69"/>
        <v>2.8287261714935301</v>
      </c>
      <c r="S335" s="14">
        <f t="shared" ca="1" si="70"/>
        <v>53.944714057922369</v>
      </c>
      <c r="T335" s="19">
        <f t="shared" ca="1" si="72"/>
        <v>1.209594855389051E-2</v>
      </c>
      <c r="U335" s="14"/>
      <c r="V335" s="15">
        <f t="shared" ca="1" si="71"/>
        <v>0.64471400000000001</v>
      </c>
      <c r="W335" s="14"/>
      <c r="X335" s="2"/>
    </row>
    <row r="336" spans="8:24" x14ac:dyDescent="0.25">
      <c r="H336" s="14">
        <v>53.4</v>
      </c>
      <c r="I336" s="17">
        <v>2.8120314430706328</v>
      </c>
      <c r="J336" s="15">
        <f t="shared" si="62"/>
        <v>-3.3000000000000003E-5</v>
      </c>
      <c r="K336" s="30">
        <f t="shared" si="63"/>
        <v>1.6699999999999999E-4</v>
      </c>
      <c r="L336" s="15">
        <f t="shared" si="64"/>
        <v>8.6870000000000003E-3</v>
      </c>
      <c r="M336" s="10">
        <f t="shared" si="65"/>
        <v>2.8367649160503627</v>
      </c>
      <c r="N336" s="18">
        <f t="shared" si="66"/>
        <v>8.7955890538414169E-3</v>
      </c>
      <c r="O336" s="14">
        <f t="shared" si="67"/>
        <v>15134.4136</v>
      </c>
      <c r="P336" s="14">
        <f t="shared" ca="1" si="73"/>
        <v>15138</v>
      </c>
      <c r="Q336" s="14" t="str">
        <f t="shared" ca="1" si="68"/>
        <v>0011101100100010</v>
      </c>
      <c r="R336" s="14">
        <f t="shared" ca="1" si="69"/>
        <v>2.8382883796691893</v>
      </c>
      <c r="S336" s="14">
        <f t="shared" ca="1" si="70"/>
        <v>54.059460556030274</v>
      </c>
      <c r="T336" s="19">
        <f t="shared" ca="1" si="72"/>
        <v>1.2349448614799164E-2</v>
      </c>
      <c r="U336" s="14"/>
      <c r="V336" s="15">
        <f t="shared" ca="1" si="71"/>
        <v>0.65946099999999996</v>
      </c>
      <c r="W336" s="14"/>
      <c r="X336" s="2"/>
    </row>
    <row r="337" spans="8:24" x14ac:dyDescent="0.25">
      <c r="H337" s="14">
        <v>53.5</v>
      </c>
      <c r="I337" s="17">
        <v>2.8217870995785677</v>
      </c>
      <c r="J337" s="15">
        <f t="shared" si="62"/>
        <v>-3.1999999999999999E-5</v>
      </c>
      <c r="K337" s="30">
        <f t="shared" si="63"/>
        <v>1.6799999999999999E-4</v>
      </c>
      <c r="L337" s="15">
        <f t="shared" si="64"/>
        <v>8.7180000000000001E-3</v>
      </c>
      <c r="M337" s="10">
        <f t="shared" si="65"/>
        <v>2.8466940728617769</v>
      </c>
      <c r="N337" s="18">
        <f t="shared" si="66"/>
        <v>8.8266663657683726E-3</v>
      </c>
      <c r="O337" s="14">
        <f t="shared" si="67"/>
        <v>15187.3866</v>
      </c>
      <c r="P337" s="14">
        <f t="shared" ca="1" si="73"/>
        <v>15190</v>
      </c>
      <c r="Q337" s="14" t="str">
        <f t="shared" ca="1" si="68"/>
        <v>0011101101010110</v>
      </c>
      <c r="R337" s="14">
        <f t="shared" ca="1" si="69"/>
        <v>2.8480380821228026</v>
      </c>
      <c r="S337" s="14">
        <f t="shared" ca="1" si="70"/>
        <v>54.176456985473635</v>
      </c>
      <c r="T337" s="19">
        <f t="shared" ca="1" si="72"/>
        <v>1.2644055803245515E-2</v>
      </c>
      <c r="U337" s="14"/>
      <c r="V337" s="15">
        <f t="shared" ca="1" si="71"/>
        <v>0.67645699999999997</v>
      </c>
      <c r="W337" s="14"/>
      <c r="X337" s="2"/>
    </row>
    <row r="338" spans="8:24" x14ac:dyDescent="0.25">
      <c r="H338" s="14">
        <v>53.6</v>
      </c>
      <c r="I338" s="17">
        <v>2.83092371008799</v>
      </c>
      <c r="J338" s="15">
        <f t="shared" si="62"/>
        <v>-3.1999999999999999E-5</v>
      </c>
      <c r="K338" s="30">
        <f t="shared" si="63"/>
        <v>1.6799999999999999E-4</v>
      </c>
      <c r="L338" s="15">
        <f t="shared" si="64"/>
        <v>8.7480000000000006E-3</v>
      </c>
      <c r="M338" s="10">
        <f t="shared" si="65"/>
        <v>2.8559974685589435</v>
      </c>
      <c r="N338" s="18">
        <f t="shared" si="66"/>
        <v>8.8570943758050497E-3</v>
      </c>
      <c r="O338" s="14">
        <f t="shared" si="67"/>
        <v>15237.0211</v>
      </c>
      <c r="P338" s="14">
        <f t="shared" ca="1" si="73"/>
        <v>15241</v>
      </c>
      <c r="Q338" s="14" t="str">
        <f t="shared" ca="1" si="68"/>
        <v>0011101110001001</v>
      </c>
      <c r="R338" s="14">
        <f t="shared" ca="1" si="69"/>
        <v>2.8576002902984619</v>
      </c>
      <c r="S338" s="14">
        <f t="shared" ca="1" si="70"/>
        <v>54.29120348358154</v>
      </c>
      <c r="T338" s="19">
        <f t="shared" ca="1" si="72"/>
        <v>1.2895587380252593E-2</v>
      </c>
      <c r="U338" s="14"/>
      <c r="V338" s="15">
        <f t="shared" ca="1" si="71"/>
        <v>0.69120300000000001</v>
      </c>
      <c r="W338" s="14"/>
      <c r="X338" s="2"/>
    </row>
    <row r="339" spans="8:24" x14ac:dyDescent="0.25">
      <c r="H339" s="14">
        <v>53.7</v>
      </c>
      <c r="I339" s="17">
        <v>2.8400776536264702</v>
      </c>
      <c r="J339" s="15">
        <f t="shared" si="62"/>
        <v>-3.1000000000000001E-5</v>
      </c>
      <c r="K339" s="30">
        <f t="shared" si="63"/>
        <v>1.6899999999999999E-4</v>
      </c>
      <c r="L339" s="15">
        <f t="shared" si="64"/>
        <v>8.7790000000000003E-3</v>
      </c>
      <c r="M339" s="10">
        <f t="shared" si="65"/>
        <v>2.8653207957100082</v>
      </c>
      <c r="N339" s="18">
        <f t="shared" si="66"/>
        <v>8.8881872829446075E-3</v>
      </c>
      <c r="O339" s="14">
        <f t="shared" si="67"/>
        <v>15286.7619</v>
      </c>
      <c r="P339" s="14">
        <f t="shared" ca="1" si="73"/>
        <v>15291</v>
      </c>
      <c r="Q339" s="14" t="str">
        <f t="shared" ca="1" si="68"/>
        <v>0011101110111011</v>
      </c>
      <c r="R339" s="14">
        <f t="shared" ca="1" si="69"/>
        <v>2.866975004196167</v>
      </c>
      <c r="S339" s="14">
        <f t="shared" ca="1" si="70"/>
        <v>54.403700050354011</v>
      </c>
      <c r="T339" s="19">
        <f t="shared" ca="1" si="72"/>
        <v>1.3104283991694757E-2</v>
      </c>
      <c r="U339" s="14"/>
      <c r="V339" s="15">
        <f t="shared" ca="1" si="71"/>
        <v>0.70369999999999999</v>
      </c>
      <c r="W339" s="14"/>
      <c r="X339" s="2"/>
    </row>
    <row r="340" spans="8:24" x14ac:dyDescent="0.25">
      <c r="H340" s="14">
        <v>53.800000000000004</v>
      </c>
      <c r="I340" s="17">
        <v>2.8492488132682698</v>
      </c>
      <c r="J340" s="15">
        <f t="shared" si="62"/>
        <v>-3.1000000000000001E-5</v>
      </c>
      <c r="K340" s="30">
        <f t="shared" si="63"/>
        <v>1.6899999999999999E-4</v>
      </c>
      <c r="L340" s="15">
        <f t="shared" si="64"/>
        <v>8.8090000000000009E-3</v>
      </c>
      <c r="M340" s="10">
        <f t="shared" si="65"/>
        <v>2.8746601839063004</v>
      </c>
      <c r="N340" s="18">
        <f t="shared" si="66"/>
        <v>8.9186211185544387E-3</v>
      </c>
      <c r="O340" s="14">
        <f t="shared" si="67"/>
        <v>15336.5885</v>
      </c>
      <c r="P340" s="14">
        <f t="shared" ca="1" si="73"/>
        <v>15335</v>
      </c>
      <c r="Q340" s="14" t="str">
        <f t="shared" ca="1" si="68"/>
        <v>0011101111100111</v>
      </c>
      <c r="R340" s="14">
        <f t="shared" ca="1" si="69"/>
        <v>2.8752247524261474</v>
      </c>
      <c r="S340" s="14">
        <f t="shared" ca="1" si="70"/>
        <v>54.502697029113776</v>
      </c>
      <c r="T340" s="19">
        <f t="shared" ca="1" si="72"/>
        <v>1.3061283069029209E-2</v>
      </c>
      <c r="U340" s="14"/>
      <c r="V340" s="15">
        <f t="shared" ca="1" si="71"/>
        <v>0.70269700000000002</v>
      </c>
      <c r="W340" s="14"/>
      <c r="X340" s="2"/>
    </row>
    <row r="341" spans="8:24" x14ac:dyDescent="0.25">
      <c r="H341" s="14">
        <v>53.9</v>
      </c>
      <c r="I341" s="17">
        <v>2.8584370726986856</v>
      </c>
      <c r="J341" s="15">
        <f t="shared" si="62"/>
        <v>-3.0000000000000001E-5</v>
      </c>
      <c r="K341" s="30">
        <f t="shared" si="63"/>
        <v>1.7000000000000001E-4</v>
      </c>
      <c r="L341" s="15">
        <f t="shared" si="64"/>
        <v>8.8400000000000006E-3</v>
      </c>
      <c r="M341" s="10">
        <f t="shared" si="65"/>
        <v>2.8840192905067656</v>
      </c>
      <c r="N341" s="18">
        <f t="shared" si="66"/>
        <v>8.9497222284230741E-3</v>
      </c>
      <c r="O341" s="14">
        <f t="shared" si="67"/>
        <v>15386.520200000001</v>
      </c>
      <c r="P341" s="14">
        <f t="shared" ca="1" si="73"/>
        <v>15386</v>
      </c>
      <c r="Q341" s="14" t="str">
        <f t="shared" ca="1" si="68"/>
        <v>0011110000011010</v>
      </c>
      <c r="R341" s="14">
        <f t="shared" ca="1" si="69"/>
        <v>2.8847869606018066</v>
      </c>
      <c r="S341" s="14">
        <f t="shared" ca="1" si="70"/>
        <v>54.617443527221681</v>
      </c>
      <c r="T341" s="19">
        <f t="shared" ca="1" si="72"/>
        <v>1.3310640579251996E-2</v>
      </c>
      <c r="U341" s="14"/>
      <c r="V341" s="15">
        <f t="shared" ca="1" si="71"/>
        <v>0.71744399999999997</v>
      </c>
      <c r="W341" s="14"/>
      <c r="X341" s="2"/>
    </row>
    <row r="342" spans="8:24" x14ac:dyDescent="0.25">
      <c r="H342" s="14">
        <v>54</v>
      </c>
      <c r="I342" s="17">
        <v>2.8676423147592072</v>
      </c>
      <c r="J342" s="15">
        <f t="shared" si="62"/>
        <v>-3.0000000000000001E-5</v>
      </c>
      <c r="K342" s="30">
        <f t="shared" si="63"/>
        <v>1.7000000000000001E-4</v>
      </c>
      <c r="L342" s="15">
        <f t="shared" si="64"/>
        <v>8.8699999999999994E-3</v>
      </c>
      <c r="M342" s="10">
        <f t="shared" si="65"/>
        <v>2.8933942069145395</v>
      </c>
      <c r="N342" s="18">
        <f t="shared" si="66"/>
        <v>8.9801618642577161E-3</v>
      </c>
      <c r="O342" s="14">
        <f t="shared" si="67"/>
        <v>15436.5363</v>
      </c>
      <c r="P342" s="14">
        <f t="shared" ca="1" si="73"/>
        <v>15436</v>
      </c>
      <c r="Q342" s="14" t="str">
        <f t="shared" ca="1" si="68"/>
        <v>0011110001001100</v>
      </c>
      <c r="R342" s="14">
        <f t="shared" ca="1" si="69"/>
        <v>2.8941616744995118</v>
      </c>
      <c r="S342" s="14">
        <f t="shared" ca="1" si="70"/>
        <v>54.729940093994145</v>
      </c>
      <c r="T342" s="19">
        <f t="shared" ca="1" si="72"/>
        <v>1.351740914803972E-2</v>
      </c>
      <c r="U342" s="14"/>
      <c r="V342" s="15">
        <f t="shared" ca="1" si="71"/>
        <v>0.72994000000000003</v>
      </c>
      <c r="W342" s="14"/>
      <c r="X342" s="2"/>
    </row>
    <row r="343" spans="8:24" x14ac:dyDescent="0.25">
      <c r="H343" s="14">
        <v>54.1</v>
      </c>
      <c r="I343" s="17">
        <v>2.8768644231496951</v>
      </c>
      <c r="J343" s="15">
        <f t="shared" si="62"/>
        <v>-2.9E-5</v>
      </c>
      <c r="K343" s="30">
        <f t="shared" si="63"/>
        <v>1.7100000000000001E-4</v>
      </c>
      <c r="L343" s="15">
        <f t="shared" si="64"/>
        <v>8.9009999999999992E-3</v>
      </c>
      <c r="M343" s="10">
        <f t="shared" si="65"/>
        <v>2.9027886284737403</v>
      </c>
      <c r="N343" s="18">
        <f t="shared" si="66"/>
        <v>9.0112711309705724E-3</v>
      </c>
      <c r="O343" s="14">
        <f t="shared" si="67"/>
        <v>15486.6564</v>
      </c>
      <c r="P343" s="14">
        <f t="shared" ca="1" si="73"/>
        <v>15491</v>
      </c>
      <c r="Q343" s="14" t="str">
        <f t="shared" ca="1" si="68"/>
        <v>0011110010000011</v>
      </c>
      <c r="R343" s="14">
        <f t="shared" ca="1" si="69"/>
        <v>2.9044738597869872</v>
      </c>
      <c r="S343" s="14">
        <f t="shared" ca="1" si="70"/>
        <v>54.853686317443845</v>
      </c>
      <c r="T343" s="19">
        <f t="shared" ca="1" si="72"/>
        <v>1.3931355220773451E-2</v>
      </c>
      <c r="U343" s="14"/>
      <c r="V343" s="15">
        <f t="shared" ca="1" si="71"/>
        <v>0.75368599999999997</v>
      </c>
      <c r="W343" s="14"/>
      <c r="X343" s="2"/>
    </row>
    <row r="344" spans="8:24" x14ac:dyDescent="0.25">
      <c r="H344" s="14">
        <v>54.2</v>
      </c>
      <c r="I344" s="17">
        <v>2.8861032803770077</v>
      </c>
      <c r="J344" s="15">
        <f t="shared" si="62"/>
        <v>-2.8E-5</v>
      </c>
      <c r="K344" s="30">
        <f t="shared" si="63"/>
        <v>1.7100000000000001E-4</v>
      </c>
      <c r="L344" s="15">
        <f t="shared" si="64"/>
        <v>8.9309999999999997E-3</v>
      </c>
      <c r="M344" s="10">
        <f t="shared" si="65"/>
        <v>2.9121975991368996</v>
      </c>
      <c r="N344" s="18">
        <f t="shared" si="66"/>
        <v>9.041366931429845E-3</v>
      </c>
      <c r="O344" s="14">
        <f t="shared" si="67"/>
        <v>15536.8542</v>
      </c>
      <c r="P344" s="14">
        <f t="shared" ca="1" si="73"/>
        <v>15537</v>
      </c>
      <c r="Q344" s="14" t="str">
        <f t="shared" ca="1" si="68"/>
        <v>0011110010110001</v>
      </c>
      <c r="R344" s="14">
        <f t="shared" ca="1" si="69"/>
        <v>2.9130985965728762</v>
      </c>
      <c r="S344" s="14">
        <f t="shared" ca="1" si="70"/>
        <v>54.957183158874521</v>
      </c>
      <c r="T344" s="19">
        <f t="shared" ca="1" si="72"/>
        <v>1.3970168982924693E-2</v>
      </c>
      <c r="U344" s="14"/>
      <c r="V344" s="15">
        <f t="shared" ca="1" si="71"/>
        <v>0.75718300000000005</v>
      </c>
      <c r="W344" s="14"/>
      <c r="X344" s="2"/>
    </row>
    <row r="345" spans="8:24" x14ac:dyDescent="0.25">
      <c r="H345" s="14">
        <v>54.300000000000004</v>
      </c>
      <c r="I345" s="17">
        <v>2.8941056177688731</v>
      </c>
      <c r="J345" s="15">
        <f t="shared" si="62"/>
        <v>-2.8E-5</v>
      </c>
      <c r="K345" s="30">
        <f t="shared" si="63"/>
        <v>1.7200000000000001E-4</v>
      </c>
      <c r="L345" s="15">
        <f t="shared" si="64"/>
        <v>8.9619999999999995E-3</v>
      </c>
      <c r="M345" s="10">
        <f t="shared" si="65"/>
        <v>2.920363394716321</v>
      </c>
      <c r="N345" s="18">
        <f t="shared" si="66"/>
        <v>9.0728468188008213E-3</v>
      </c>
      <c r="O345" s="14">
        <f t="shared" si="67"/>
        <v>15580.4195</v>
      </c>
      <c r="P345" s="14">
        <f t="shared" ca="1" si="73"/>
        <v>15581</v>
      </c>
      <c r="Q345" s="14" t="str">
        <f t="shared" ca="1" si="68"/>
        <v>0011110011011101</v>
      </c>
      <c r="R345" s="14">
        <f t="shared" ca="1" si="69"/>
        <v>2.9213483448028565</v>
      </c>
      <c r="S345" s="14">
        <f t="shared" ca="1" si="70"/>
        <v>55.056180137634286</v>
      </c>
      <c r="T345" s="19">
        <f t="shared" ca="1" si="72"/>
        <v>1.3925969385530044E-2</v>
      </c>
      <c r="U345" s="14"/>
      <c r="V345" s="15">
        <f t="shared" ca="1" si="71"/>
        <v>0.75617999999999996</v>
      </c>
      <c r="W345" s="14"/>
      <c r="X345" s="2"/>
    </row>
    <row r="346" spans="8:24" x14ac:dyDescent="0.25">
      <c r="H346" s="14">
        <v>54.4</v>
      </c>
      <c r="I346" s="17">
        <v>2.9033798225755199</v>
      </c>
      <c r="J346" s="15">
        <f t="shared" si="62"/>
        <v>-2.6999999999999999E-5</v>
      </c>
      <c r="K346" s="30">
        <f t="shared" si="63"/>
        <v>1.7200000000000001E-4</v>
      </c>
      <c r="L346" s="15">
        <f t="shared" si="64"/>
        <v>8.992E-3</v>
      </c>
      <c r="M346" s="10">
        <f t="shared" si="65"/>
        <v>2.9298091448701928</v>
      </c>
      <c r="N346" s="18">
        <f t="shared" si="66"/>
        <v>9.1029503233332233E-3</v>
      </c>
      <c r="O346" s="14">
        <f t="shared" si="67"/>
        <v>15630.8135</v>
      </c>
      <c r="P346" s="14">
        <f t="shared" ca="1" si="73"/>
        <v>15632</v>
      </c>
      <c r="Q346" s="14" t="str">
        <f t="shared" ca="1" si="68"/>
        <v>0011110100010000</v>
      </c>
      <c r="R346" s="14">
        <f t="shared" ca="1" si="69"/>
        <v>2.9309105529785158</v>
      </c>
      <c r="S346" s="14">
        <f t="shared" ca="1" si="70"/>
        <v>55.170926635742191</v>
      </c>
      <c r="T346" s="19">
        <f t="shared" ca="1" si="72"/>
        <v>1.4171445509966773E-2</v>
      </c>
      <c r="U346" s="14"/>
      <c r="V346" s="15">
        <f t="shared" ca="1" si="71"/>
        <v>0.77092700000000003</v>
      </c>
      <c r="W346" s="14"/>
      <c r="X346" s="2"/>
    </row>
    <row r="347" spans="8:24" x14ac:dyDescent="0.25">
      <c r="H347" s="14">
        <v>54.5</v>
      </c>
      <c r="I347" s="17">
        <v>2.9126704251799169</v>
      </c>
      <c r="J347" s="15">
        <f t="shared" si="62"/>
        <v>-2.6999999999999999E-5</v>
      </c>
      <c r="K347" s="30">
        <f t="shared" si="63"/>
        <v>1.73E-4</v>
      </c>
      <c r="L347" s="15">
        <f t="shared" si="64"/>
        <v>9.0229999999999998E-3</v>
      </c>
      <c r="M347" s="10">
        <f t="shared" si="65"/>
        <v>2.9392759890955262</v>
      </c>
      <c r="N347" s="18">
        <f t="shared" si="66"/>
        <v>9.1344230660651803E-3</v>
      </c>
      <c r="O347" s="14">
        <f t="shared" si="67"/>
        <v>15681.32</v>
      </c>
      <c r="P347" s="14">
        <f t="shared" ca="1" si="73"/>
        <v>15681</v>
      </c>
      <c r="Q347" s="14" t="str">
        <f t="shared" ca="1" si="68"/>
        <v>0011110101000001</v>
      </c>
      <c r="R347" s="14">
        <f t="shared" ca="1" si="69"/>
        <v>2.9400977725982669</v>
      </c>
      <c r="S347" s="14">
        <f t="shared" ca="1" si="70"/>
        <v>55.281173271179206</v>
      </c>
      <c r="T347" s="19">
        <f t="shared" ca="1" si="72"/>
        <v>1.4333454517049654E-2</v>
      </c>
      <c r="U347" s="14"/>
      <c r="V347" s="15">
        <f t="shared" ca="1" si="71"/>
        <v>0.78117300000000001</v>
      </c>
      <c r="W347" s="14"/>
      <c r="X347" s="2"/>
    </row>
    <row r="348" spans="8:24" x14ac:dyDescent="0.25">
      <c r="H348" s="14">
        <v>54.6</v>
      </c>
      <c r="I348" s="17">
        <v>2.9219773085108547</v>
      </c>
      <c r="J348" s="15">
        <f t="shared" si="62"/>
        <v>-2.5999999999999998E-5</v>
      </c>
      <c r="K348" s="30">
        <f t="shared" si="63"/>
        <v>1.73E-4</v>
      </c>
      <c r="L348" s="15">
        <f t="shared" si="64"/>
        <v>9.0530000000000003E-3</v>
      </c>
      <c r="M348" s="10">
        <f t="shared" si="65"/>
        <v>2.9487558703309609</v>
      </c>
      <c r="N348" s="18">
        <f t="shared" si="66"/>
        <v>9.16453448906265E-3</v>
      </c>
      <c r="O348" s="14">
        <f t="shared" si="67"/>
        <v>15731.8961</v>
      </c>
      <c r="P348" s="14">
        <f t="shared" ca="1" si="73"/>
        <v>15732</v>
      </c>
      <c r="Q348" s="14" t="str">
        <f t="shared" ca="1" si="68"/>
        <v>0011110101110100</v>
      </c>
      <c r="R348" s="14">
        <f t="shared" ca="1" si="69"/>
        <v>2.9496599807739257</v>
      </c>
      <c r="S348" s="14">
        <f t="shared" ca="1" si="70"/>
        <v>55.395919769287111</v>
      </c>
      <c r="T348" s="19">
        <f t="shared" ca="1" si="72"/>
        <v>1.4577285151778573E-2</v>
      </c>
      <c r="U348" s="14"/>
      <c r="V348" s="15">
        <f t="shared" ca="1" si="71"/>
        <v>0.79591999999999996</v>
      </c>
      <c r="W348" s="14"/>
      <c r="X348" s="2"/>
    </row>
    <row r="349" spans="8:24" x14ac:dyDescent="0.25">
      <c r="H349" s="14">
        <v>54.7</v>
      </c>
      <c r="I349" s="17">
        <v>2.9306781788800538</v>
      </c>
      <c r="J349" s="15">
        <f t="shared" si="62"/>
        <v>-2.5000000000000001E-5</v>
      </c>
      <c r="K349" s="30">
        <f t="shared" si="63"/>
        <v>1.74E-4</v>
      </c>
      <c r="L349" s="15">
        <f t="shared" si="64"/>
        <v>9.0840000000000001E-3</v>
      </c>
      <c r="M349" s="10">
        <f t="shared" si="65"/>
        <v>2.9576277424201987</v>
      </c>
      <c r="N349" s="18">
        <f t="shared" si="66"/>
        <v>9.1956748217382044E-3</v>
      </c>
      <c r="O349" s="14">
        <f t="shared" si="67"/>
        <v>15779.2284</v>
      </c>
      <c r="P349" s="14">
        <f t="shared" ca="1" si="73"/>
        <v>15781</v>
      </c>
      <c r="Q349" s="14" t="str">
        <f t="shared" ca="1" si="68"/>
        <v>0011110110100101</v>
      </c>
      <c r="R349" s="14">
        <f t="shared" ca="1" si="69"/>
        <v>2.9588472003936768</v>
      </c>
      <c r="S349" s="14">
        <f t="shared" ca="1" si="70"/>
        <v>55.506166404724119</v>
      </c>
      <c r="T349" s="19">
        <f t="shared" ca="1" si="72"/>
        <v>1.4737959866985678E-2</v>
      </c>
      <c r="U349" s="14"/>
      <c r="V349" s="15">
        <f t="shared" ca="1" si="71"/>
        <v>0.80616600000000005</v>
      </c>
      <c r="W349" s="14"/>
      <c r="X349" s="2"/>
    </row>
    <row r="350" spans="8:24" x14ac:dyDescent="0.25">
      <c r="H350" s="14">
        <v>54.800000000000004</v>
      </c>
      <c r="I350" s="17">
        <v>2.9400183708569041</v>
      </c>
      <c r="J350" s="15">
        <f t="shared" si="62"/>
        <v>-2.5000000000000001E-5</v>
      </c>
      <c r="K350" s="30">
        <f t="shared" si="63"/>
        <v>1.74E-4</v>
      </c>
      <c r="L350" s="15">
        <f t="shared" si="64"/>
        <v>9.1140000000000006E-3</v>
      </c>
      <c r="M350" s="10">
        <f t="shared" si="65"/>
        <v>2.967143387074703</v>
      </c>
      <c r="N350" s="18">
        <f t="shared" si="66"/>
        <v>9.2261383420856082E-3</v>
      </c>
      <c r="O350" s="14">
        <f t="shared" si="67"/>
        <v>15829.9953</v>
      </c>
      <c r="P350" s="14">
        <f t="shared" ca="1" si="73"/>
        <v>15831</v>
      </c>
      <c r="Q350" s="14" t="str">
        <f t="shared" ca="1" si="68"/>
        <v>0011110111010111</v>
      </c>
      <c r="R350" s="14">
        <f t="shared" ca="1" si="69"/>
        <v>2.9682219142913819</v>
      </c>
      <c r="S350" s="14">
        <f t="shared" ca="1" si="70"/>
        <v>55.61866297149659</v>
      </c>
      <c r="T350" s="19">
        <f t="shared" ca="1" si="72"/>
        <v>1.4939105319280766E-2</v>
      </c>
      <c r="U350" s="14"/>
      <c r="V350" s="15">
        <f t="shared" ca="1" si="71"/>
        <v>0.81866300000000003</v>
      </c>
      <c r="W350" s="14"/>
      <c r="X350" s="2"/>
    </row>
    <row r="351" spans="8:24" x14ac:dyDescent="0.25">
      <c r="H351" s="14">
        <v>54.9</v>
      </c>
      <c r="I351" s="17">
        <v>2.949374492550306</v>
      </c>
      <c r="J351" s="15">
        <f t="shared" si="62"/>
        <v>-2.4000000000000001E-5</v>
      </c>
      <c r="K351" s="30">
        <f t="shared" si="63"/>
        <v>1.75E-4</v>
      </c>
      <c r="L351" s="15">
        <f t="shared" si="64"/>
        <v>9.1450000000000004E-3</v>
      </c>
      <c r="M351" s="10">
        <f t="shared" si="65"/>
        <v>2.9766776795195118</v>
      </c>
      <c r="N351" s="18">
        <f t="shared" si="66"/>
        <v>9.257280497329063E-3</v>
      </c>
      <c r="O351" s="14">
        <f t="shared" si="67"/>
        <v>15880.8616</v>
      </c>
      <c r="P351" s="14">
        <f t="shared" ca="1" si="73"/>
        <v>15883</v>
      </c>
      <c r="Q351" s="14" t="str">
        <f t="shared" ca="1" si="68"/>
        <v>0011111000001011</v>
      </c>
      <c r="R351" s="14">
        <f t="shared" ca="1" si="69"/>
        <v>2.9779716167449952</v>
      </c>
      <c r="S351" s="14">
        <f t="shared" ca="1" si="70"/>
        <v>55.735659400939944</v>
      </c>
      <c r="T351" s="19">
        <f t="shared" ca="1" si="72"/>
        <v>1.5221482712931618E-2</v>
      </c>
      <c r="U351" s="14"/>
      <c r="V351" s="15">
        <f t="shared" ca="1" si="71"/>
        <v>0.83565900000000004</v>
      </c>
      <c r="W351" s="14"/>
      <c r="X351" s="2"/>
    </row>
    <row r="352" spans="8:24" x14ac:dyDescent="0.25">
      <c r="H352" s="14">
        <v>55</v>
      </c>
      <c r="I352" s="17">
        <v>2.9587464269035948</v>
      </c>
      <c r="J352" s="15">
        <f t="shared" si="62"/>
        <v>-2.4000000000000001E-5</v>
      </c>
      <c r="K352" s="30">
        <f t="shared" si="63"/>
        <v>1.75E-4</v>
      </c>
      <c r="L352" s="15">
        <f t="shared" si="64"/>
        <v>9.1750000000000009E-3</v>
      </c>
      <c r="M352" s="10">
        <f t="shared" si="65"/>
        <v>2.9862265231030656</v>
      </c>
      <c r="N352" s="18">
        <f t="shared" si="66"/>
        <v>9.2877496866905964E-3</v>
      </c>
      <c r="O352" s="14">
        <f t="shared" si="67"/>
        <v>15931.8056</v>
      </c>
      <c r="P352" s="14">
        <f t="shared" ca="1" si="73"/>
        <v>15935</v>
      </c>
      <c r="Q352" s="14" t="str">
        <f t="shared" ca="1" si="68"/>
        <v>0011111000111111</v>
      </c>
      <c r="R352" s="14">
        <f t="shared" ca="1" si="69"/>
        <v>2.9877213191986085</v>
      </c>
      <c r="S352" s="14">
        <f t="shared" ca="1" si="70"/>
        <v>55.852655830383306</v>
      </c>
      <c r="T352" s="19">
        <f t="shared" ca="1" si="72"/>
        <v>1.5502833279696466E-2</v>
      </c>
      <c r="U352" s="14"/>
      <c r="V352" s="15">
        <f t="shared" ca="1" si="71"/>
        <v>0.85265599999999997</v>
      </c>
      <c r="W352" s="14"/>
      <c r="X352" s="2"/>
    </row>
    <row r="353" spans="8:24" x14ac:dyDescent="0.25">
      <c r="H353" s="14">
        <v>55.1</v>
      </c>
      <c r="I353" s="17">
        <v>2.9681340568600998</v>
      </c>
      <c r="J353" s="15">
        <f t="shared" si="62"/>
        <v>-2.3E-5</v>
      </c>
      <c r="K353" s="30">
        <f t="shared" si="63"/>
        <v>1.76E-4</v>
      </c>
      <c r="L353" s="15">
        <f t="shared" si="64"/>
        <v>9.2060000000000006E-3</v>
      </c>
      <c r="M353" s="10">
        <f t="shared" si="65"/>
        <v>2.9957938006407994</v>
      </c>
      <c r="N353" s="18">
        <f t="shared" si="66"/>
        <v>9.3188997703021505E-3</v>
      </c>
      <c r="O353" s="14">
        <f t="shared" si="67"/>
        <v>15982.848</v>
      </c>
      <c r="P353" s="14">
        <f t="shared" ca="1" si="73"/>
        <v>15987</v>
      </c>
      <c r="Q353" s="14" t="str">
        <f t="shared" ca="1" si="68"/>
        <v>0011111001110011</v>
      </c>
      <c r="R353" s="14">
        <f t="shared" ca="1" si="69"/>
        <v>2.9974710216522218</v>
      </c>
      <c r="S353" s="14">
        <f t="shared" ca="1" si="70"/>
        <v>55.96965225982666</v>
      </c>
      <c r="T353" s="19">
        <f t="shared" ca="1" si="72"/>
        <v>1.5783162610284177E-2</v>
      </c>
      <c r="U353" s="14"/>
      <c r="V353" s="15">
        <f t="shared" ca="1" si="71"/>
        <v>0.86965199999999998</v>
      </c>
      <c r="W353" s="14"/>
      <c r="X353" s="2"/>
    </row>
    <row r="354" spans="8:24" x14ac:dyDescent="0.25">
      <c r="H354" s="14">
        <v>55.2</v>
      </c>
      <c r="I354" s="17">
        <v>2.9769205743481537</v>
      </c>
      <c r="J354" s="15">
        <f t="shared" si="62"/>
        <v>-2.3E-5</v>
      </c>
      <c r="K354" s="30">
        <f t="shared" si="63"/>
        <v>1.76E-4</v>
      </c>
      <c r="L354" s="15">
        <f t="shared" si="64"/>
        <v>9.2359999999999994E-3</v>
      </c>
      <c r="M354" s="10">
        <f t="shared" si="65"/>
        <v>3.0047529367842936</v>
      </c>
      <c r="N354" s="18">
        <f t="shared" si="66"/>
        <v>9.3493802542025176E-3</v>
      </c>
      <c r="O354" s="14">
        <f t="shared" si="67"/>
        <v>16030.6458</v>
      </c>
      <c r="P354" s="14">
        <f t="shared" ca="1" si="73"/>
        <v>16034</v>
      </c>
      <c r="Q354" s="14" t="str">
        <f t="shared" ca="1" si="68"/>
        <v>0011111010100010</v>
      </c>
      <c r="R354" s="14">
        <f t="shared" ca="1" si="69"/>
        <v>3.0062832527160643</v>
      </c>
      <c r="S354" s="14">
        <f t="shared" ca="1" si="70"/>
        <v>56.07539903259277</v>
      </c>
      <c r="T354" s="19">
        <f t="shared" ca="1" si="72"/>
        <v>1.585867812668057E-2</v>
      </c>
      <c r="U354" s="14"/>
      <c r="V354" s="15">
        <f t="shared" ca="1" si="71"/>
        <v>0.87539900000000004</v>
      </c>
      <c r="W354" s="14"/>
      <c r="X354" s="2"/>
    </row>
    <row r="355" spans="8:24" x14ac:dyDescent="0.25">
      <c r="H355" s="14">
        <v>55.300000000000004</v>
      </c>
      <c r="I355" s="17">
        <v>2.9863403403616249</v>
      </c>
      <c r="J355" s="15">
        <f t="shared" si="62"/>
        <v>-2.1999999999999999E-5</v>
      </c>
      <c r="K355" s="30">
        <f t="shared" si="63"/>
        <v>1.7699999999999999E-4</v>
      </c>
      <c r="L355" s="15">
        <f t="shared" si="64"/>
        <v>9.2669999999999992E-3</v>
      </c>
      <c r="M355" s="10">
        <f t="shared" si="65"/>
        <v>3.0143538197229982</v>
      </c>
      <c r="N355" s="18">
        <f t="shared" si="66"/>
        <v>9.3805381063770815E-3</v>
      </c>
      <c r="O355" s="14">
        <f t="shared" si="67"/>
        <v>16081.8675</v>
      </c>
      <c r="P355" s="14">
        <f t="shared" ca="1" si="73"/>
        <v>16083</v>
      </c>
      <c r="Q355" s="14" t="str">
        <f t="shared" ca="1" si="68"/>
        <v>0011111011010011</v>
      </c>
      <c r="R355" s="14">
        <f t="shared" ca="1" si="69"/>
        <v>3.0154704723358154</v>
      </c>
      <c r="S355" s="14">
        <f t="shared" ca="1" si="70"/>
        <v>56.185645668029792</v>
      </c>
      <c r="T355" s="19">
        <f t="shared" ca="1" si="72"/>
        <v>1.601529236943559E-2</v>
      </c>
      <c r="U355" s="14"/>
      <c r="V355" s="15">
        <f t="shared" ca="1" si="71"/>
        <v>0.88564600000000004</v>
      </c>
      <c r="W355" s="14"/>
      <c r="X355" s="2"/>
    </row>
    <row r="356" spans="8:24" x14ac:dyDescent="0.25">
      <c r="H356" s="14">
        <v>55.4</v>
      </c>
      <c r="I356" s="17">
        <v>2.9951609511797379</v>
      </c>
      <c r="J356" s="15">
        <f t="shared" si="62"/>
        <v>-2.0999999999999999E-5</v>
      </c>
      <c r="K356" s="30">
        <f t="shared" si="63"/>
        <v>1.7699999999999999E-4</v>
      </c>
      <c r="L356" s="15">
        <f t="shared" si="64"/>
        <v>9.2969999999999997E-3</v>
      </c>
      <c r="M356" s="10">
        <f t="shared" si="65"/>
        <v>3.0233474734140686</v>
      </c>
      <c r="N356" s="18">
        <f t="shared" si="66"/>
        <v>9.4106870027230328E-3</v>
      </c>
      <c r="O356" s="14">
        <f t="shared" si="67"/>
        <v>16129.8495</v>
      </c>
      <c r="P356" s="14">
        <f t="shared" ca="1" si="73"/>
        <v>16128</v>
      </c>
      <c r="Q356" s="14" t="str">
        <f t="shared" ca="1" si="68"/>
        <v>0011111100000000</v>
      </c>
      <c r="R356" s="14">
        <f t="shared" ca="1" si="69"/>
        <v>3.0239077148437499</v>
      </c>
      <c r="S356" s="14">
        <f t="shared" ca="1" si="70"/>
        <v>56.286892578125006</v>
      </c>
      <c r="T356" s="19">
        <f t="shared" ca="1" si="72"/>
        <v>1.6008891301895433E-2</v>
      </c>
      <c r="U356" s="14"/>
      <c r="V356" s="15">
        <f t="shared" ca="1" si="71"/>
        <v>0.88689300000000004</v>
      </c>
      <c r="W356" s="14"/>
      <c r="X356" s="2"/>
    </row>
    <row r="357" spans="8:24" x14ac:dyDescent="0.25">
      <c r="H357" s="14">
        <v>55.5</v>
      </c>
      <c r="I357" s="17">
        <v>3.0046123833504219</v>
      </c>
      <c r="J357" s="15">
        <f t="shared" si="62"/>
        <v>-2.0999999999999999E-5</v>
      </c>
      <c r="K357" s="30">
        <f t="shared" si="63"/>
        <v>1.7799999999999999E-4</v>
      </c>
      <c r="L357" s="15">
        <f t="shared" si="64"/>
        <v>9.3279999999999995E-3</v>
      </c>
      <c r="M357" s="10">
        <f t="shared" si="65"/>
        <v>3.0329825031154831</v>
      </c>
      <c r="N357" s="18">
        <f t="shared" si="66"/>
        <v>9.4421895890031207E-3</v>
      </c>
      <c r="O357" s="14">
        <f t="shared" si="67"/>
        <v>16181.2533</v>
      </c>
      <c r="P357" s="14">
        <f t="shared" ca="1" si="73"/>
        <v>16184</v>
      </c>
      <c r="Q357" s="14" t="str">
        <f t="shared" ca="1" si="68"/>
        <v>0011111100111000</v>
      </c>
      <c r="R357" s="14">
        <f t="shared" ca="1" si="69"/>
        <v>3.0344073944091798</v>
      </c>
      <c r="S357" s="14">
        <f t="shared" ca="1" si="70"/>
        <v>56.412888732910162</v>
      </c>
      <c r="T357" s="19">
        <f t="shared" ca="1" si="72"/>
        <v>1.644844563802093E-2</v>
      </c>
      <c r="U357" s="14"/>
      <c r="V357" s="15">
        <f t="shared" ca="1" si="71"/>
        <v>0.91288899999999995</v>
      </c>
      <c r="W357" s="14"/>
      <c r="X357" s="2"/>
    </row>
    <row r="358" spans="8:24" x14ac:dyDescent="0.25">
      <c r="H358" s="14">
        <v>55.6</v>
      </c>
      <c r="I358" s="17">
        <v>3.0134666157075274</v>
      </c>
      <c r="J358" s="15">
        <f t="shared" si="62"/>
        <v>-2.0000000000000002E-5</v>
      </c>
      <c r="K358" s="30">
        <f t="shared" si="63"/>
        <v>1.7799999999999999E-4</v>
      </c>
      <c r="L358" s="15">
        <f t="shared" si="64"/>
        <v>9.358E-3</v>
      </c>
      <c r="M358" s="10">
        <f t="shared" si="65"/>
        <v>3.0420112138830451</v>
      </c>
      <c r="N358" s="18">
        <f t="shared" si="66"/>
        <v>9.4723459110947362E-3</v>
      </c>
      <c r="O358" s="14">
        <f t="shared" si="67"/>
        <v>16229.4223</v>
      </c>
      <c r="P358" s="14">
        <f t="shared" ca="1" si="73"/>
        <v>16228</v>
      </c>
      <c r="Q358" s="14" t="str">
        <f t="shared" ca="1" si="68"/>
        <v>0011111101100100</v>
      </c>
      <c r="R358" s="14">
        <f t="shared" ca="1" si="69"/>
        <v>3.0426571426391602</v>
      </c>
      <c r="S358" s="14">
        <f t="shared" ca="1" si="70"/>
        <v>56.511885711669926</v>
      </c>
      <c r="T358" s="19">
        <f t="shared" ca="1" si="72"/>
        <v>1.6400822152336774E-2</v>
      </c>
      <c r="U358" s="14"/>
      <c r="V358" s="15">
        <f t="shared" ca="1" si="71"/>
        <v>0.91188599999999997</v>
      </c>
      <c r="W358" s="14"/>
      <c r="X358" s="2"/>
    </row>
    <row r="359" spans="8:24" x14ac:dyDescent="0.25">
      <c r="H359" s="14">
        <v>55.7</v>
      </c>
      <c r="I359" s="17">
        <v>3.0229492443684571</v>
      </c>
      <c r="J359" s="15">
        <f t="shared" si="62"/>
        <v>-2.0000000000000002E-5</v>
      </c>
      <c r="K359" s="30">
        <f t="shared" si="63"/>
        <v>1.7899999999999999E-4</v>
      </c>
      <c r="L359" s="15">
        <f t="shared" si="64"/>
        <v>9.3889999999999998E-3</v>
      </c>
      <c r="M359" s="10">
        <f t="shared" si="65"/>
        <v>3.0516789131217577</v>
      </c>
      <c r="N359" s="18">
        <f t="shared" si="66"/>
        <v>9.5038541605757618E-3</v>
      </c>
      <c r="O359" s="14">
        <f t="shared" si="67"/>
        <v>16281.000400000001</v>
      </c>
      <c r="P359" s="14">
        <f t="shared" ca="1" si="73"/>
        <v>16281</v>
      </c>
      <c r="Q359" s="14" t="str">
        <f t="shared" ca="1" si="68"/>
        <v>0011111110011001</v>
      </c>
      <c r="R359" s="14">
        <f t="shared" ca="1" si="69"/>
        <v>3.0525943393707275</v>
      </c>
      <c r="S359" s="14">
        <f t="shared" ca="1" si="70"/>
        <v>56.631132072448729</v>
      </c>
      <c r="T359" s="19">
        <f t="shared" ca="1" si="72"/>
        <v>1.6716913329420574E-2</v>
      </c>
      <c r="U359" s="14"/>
      <c r="V359" s="15">
        <f t="shared" ca="1" si="71"/>
        <v>0.93113199999999996</v>
      </c>
      <c r="W359" s="14"/>
      <c r="X359" s="2"/>
    </row>
    <row r="360" spans="8:24" x14ac:dyDescent="0.25">
      <c r="H360" s="14">
        <v>55.800000000000004</v>
      </c>
      <c r="I360" s="17">
        <v>3.0312265049331972</v>
      </c>
      <c r="J360" s="15">
        <f t="shared" si="62"/>
        <v>-1.9000000000000001E-5</v>
      </c>
      <c r="K360" s="30">
        <f t="shared" si="63"/>
        <v>1.7899999999999999E-4</v>
      </c>
      <c r="L360" s="15">
        <f t="shared" si="64"/>
        <v>9.4190000000000003E-3</v>
      </c>
      <c r="M360" s="10">
        <f t="shared" si="65"/>
        <v>3.06012628813918</v>
      </c>
      <c r="N360" s="18">
        <f t="shared" si="66"/>
        <v>9.5340229966152396E-3</v>
      </c>
      <c r="O360" s="14">
        <f t="shared" si="67"/>
        <v>16326.067999999999</v>
      </c>
      <c r="P360" s="14">
        <f t="shared" ca="1" si="73"/>
        <v>16328</v>
      </c>
      <c r="Q360" s="14" t="str">
        <f t="shared" ca="1" si="68"/>
        <v>0011111111001000</v>
      </c>
      <c r="R360" s="14">
        <f t="shared" ca="1" si="69"/>
        <v>3.0614065704345705</v>
      </c>
      <c r="S360" s="14">
        <f t="shared" ca="1" si="70"/>
        <v>56.736878845214854</v>
      </c>
      <c r="T360" s="19">
        <f t="shared" ca="1" si="72"/>
        <v>1.6789943462631705E-2</v>
      </c>
      <c r="U360" s="14"/>
      <c r="V360" s="15">
        <f t="shared" ca="1" si="71"/>
        <v>0.93687900000000002</v>
      </c>
      <c r="W360" s="14"/>
      <c r="X360" s="2"/>
    </row>
    <row r="361" spans="8:24" x14ac:dyDescent="0.25">
      <c r="H361" s="14">
        <v>55.9</v>
      </c>
      <c r="I361" s="17">
        <v>3.0401319253170205</v>
      </c>
      <c r="J361" s="15">
        <f t="shared" si="62"/>
        <v>-1.9000000000000001E-5</v>
      </c>
      <c r="K361" s="30">
        <f t="shared" si="63"/>
        <v>1.8000000000000001E-4</v>
      </c>
      <c r="L361" s="15">
        <f t="shared" si="64"/>
        <v>9.4500000000000001E-3</v>
      </c>
      <c r="M361" s="10">
        <f t="shared" si="65"/>
        <v>3.0692124347251735</v>
      </c>
      <c r="N361" s="18">
        <f t="shared" si="66"/>
        <v>9.565541931250407E-3</v>
      </c>
      <c r="O361" s="14">
        <f t="shared" si="67"/>
        <v>16374.5434</v>
      </c>
      <c r="P361" s="14">
        <f t="shared" ca="1" si="73"/>
        <v>16374</v>
      </c>
      <c r="Q361" s="14" t="str">
        <f t="shared" ca="1" si="68"/>
        <v>0011111111110110</v>
      </c>
      <c r="R361" s="14">
        <f t="shared" ca="1" si="69"/>
        <v>3.070031307220459</v>
      </c>
      <c r="S361" s="14">
        <f t="shared" ca="1" si="70"/>
        <v>56.840375686645515</v>
      </c>
      <c r="T361" s="19">
        <f t="shared" ca="1" si="72"/>
        <v>1.6822463088470786E-2</v>
      </c>
      <c r="U361" s="14"/>
      <c r="V361" s="15">
        <f t="shared" ca="1" si="71"/>
        <v>0.94037599999999999</v>
      </c>
      <c r="W361" s="14"/>
      <c r="X361" s="2"/>
    </row>
    <row r="362" spans="8:24" x14ac:dyDescent="0.25">
      <c r="H362" s="14">
        <v>56</v>
      </c>
      <c r="I362" s="17">
        <v>3.0490541709460341</v>
      </c>
      <c r="J362" s="15">
        <f t="shared" si="62"/>
        <v>-1.8E-5</v>
      </c>
      <c r="K362" s="30">
        <f t="shared" si="63"/>
        <v>1.8000000000000001E-4</v>
      </c>
      <c r="L362" s="15">
        <f t="shared" si="64"/>
        <v>9.4800000000000006E-3</v>
      </c>
      <c r="M362" s="10">
        <f t="shared" si="65"/>
        <v>3.0783120190465958</v>
      </c>
      <c r="N362" s="18">
        <f t="shared" si="66"/>
        <v>9.5957127883640626E-3</v>
      </c>
      <c r="O362" s="14">
        <f t="shared" si="67"/>
        <v>16423.0906</v>
      </c>
      <c r="P362" s="14">
        <f t="shared" ca="1" si="73"/>
        <v>16428</v>
      </c>
      <c r="Q362" s="14" t="str">
        <f t="shared" ca="1" si="68"/>
        <v>0100000000101100</v>
      </c>
      <c r="R362" s="14">
        <f t="shared" ca="1" si="69"/>
        <v>3.0801559982299804</v>
      </c>
      <c r="S362" s="14">
        <f t="shared" ca="1" si="70"/>
        <v>56.961871978759767</v>
      </c>
      <c r="T362" s="19">
        <f t="shared" ca="1" si="72"/>
        <v>1.717628533499584E-2</v>
      </c>
      <c r="U362" s="14"/>
      <c r="V362" s="15">
        <f t="shared" ca="1" si="71"/>
        <v>0.96187199999999995</v>
      </c>
      <c r="W362" s="14"/>
      <c r="X362" s="2"/>
    </row>
    <row r="363" spans="8:24" x14ac:dyDescent="0.25">
      <c r="H363" s="14">
        <v>56.1</v>
      </c>
      <c r="I363" s="17">
        <v>3.0585999651963864</v>
      </c>
      <c r="J363" s="15">
        <f t="shared" si="62"/>
        <v>-1.7E-5</v>
      </c>
      <c r="K363" s="30">
        <f t="shared" si="63"/>
        <v>1.8100000000000001E-4</v>
      </c>
      <c r="L363" s="15">
        <f t="shared" si="64"/>
        <v>9.5110000000000004E-3</v>
      </c>
      <c r="M363" s="10">
        <f t="shared" si="65"/>
        <v>3.0880448077246561</v>
      </c>
      <c r="N363" s="18">
        <f t="shared" si="66"/>
        <v>9.6269021327798996E-3</v>
      </c>
      <c r="O363" s="14">
        <f t="shared" si="67"/>
        <v>16475.016</v>
      </c>
      <c r="P363" s="14">
        <f t="shared" ca="1" si="73"/>
        <v>16480</v>
      </c>
      <c r="Q363" s="14" t="str">
        <f t="shared" ca="1" si="68"/>
        <v>0100000001100000</v>
      </c>
      <c r="R363" s="14">
        <f t="shared" ca="1" si="69"/>
        <v>3.0899057006835937</v>
      </c>
      <c r="S363" s="14">
        <f t="shared" ca="1" si="70"/>
        <v>57.078868408203128</v>
      </c>
      <c r="T363" s="19">
        <f t="shared" ca="1" si="72"/>
        <v>1.7448634727328462E-2</v>
      </c>
      <c r="U363" s="14"/>
      <c r="V363" s="15">
        <f t="shared" ca="1" si="71"/>
        <v>0.97886799999999996</v>
      </c>
      <c r="W363" s="14"/>
      <c r="X363" s="2"/>
    </row>
    <row r="364" spans="8:24" x14ac:dyDescent="0.25">
      <c r="H364" s="14">
        <v>56.2</v>
      </c>
      <c r="I364" s="17">
        <v>3.0675544145616653</v>
      </c>
      <c r="J364" s="15">
        <f t="shared" si="62"/>
        <v>-1.7E-5</v>
      </c>
      <c r="K364" s="30">
        <f t="shared" si="63"/>
        <v>1.8100000000000001E-4</v>
      </c>
      <c r="L364" s="15">
        <f t="shared" si="64"/>
        <v>9.5409999999999991E-3</v>
      </c>
      <c r="M364" s="10">
        <f t="shared" si="65"/>
        <v>3.0971790464659978</v>
      </c>
      <c r="N364" s="18">
        <f t="shared" si="66"/>
        <v>9.6574103995366901E-3</v>
      </c>
      <c r="O364" s="14">
        <f t="shared" si="67"/>
        <v>16523.748</v>
      </c>
      <c r="P364" s="14">
        <f t="shared" ca="1" si="73"/>
        <v>16522</v>
      </c>
      <c r="Q364" s="14" t="str">
        <f t="shared" ca="1" si="68"/>
        <v>0100000010001010</v>
      </c>
      <c r="R364" s="14">
        <f t="shared" ca="1" si="69"/>
        <v>3.097780460357666</v>
      </c>
      <c r="S364" s="14">
        <f t="shared" ca="1" si="70"/>
        <v>57.173365524291995</v>
      </c>
      <c r="T364" s="19">
        <f t="shared" ca="1" si="72"/>
        <v>1.7319671250747192E-2</v>
      </c>
      <c r="U364" s="14"/>
      <c r="V364" s="15">
        <f t="shared" ca="1" si="71"/>
        <v>0.97336599999999995</v>
      </c>
      <c r="W364" s="14"/>
      <c r="X364" s="2"/>
    </row>
    <row r="365" spans="8:24" x14ac:dyDescent="0.25">
      <c r="H365" s="14">
        <v>56.300000000000004</v>
      </c>
      <c r="I365" s="17">
        <v>3.0771299945846016</v>
      </c>
      <c r="J365" s="15">
        <f t="shared" si="62"/>
        <v>-1.5999999999999999E-5</v>
      </c>
      <c r="K365" s="30">
        <f t="shared" si="63"/>
        <v>1.8200000000000001E-4</v>
      </c>
      <c r="L365" s="15">
        <f t="shared" si="64"/>
        <v>9.5720000000000006E-3</v>
      </c>
      <c r="M365" s="10">
        <f t="shared" si="65"/>
        <v>3.1069430987498352</v>
      </c>
      <c r="N365" s="18">
        <f t="shared" si="66"/>
        <v>9.6886073119111984E-3</v>
      </c>
      <c r="O365" s="14">
        <f t="shared" si="67"/>
        <v>16575.840199999999</v>
      </c>
      <c r="P365" s="14">
        <f t="shared" ca="1" si="73"/>
        <v>16576</v>
      </c>
      <c r="Q365" s="14" t="str">
        <f t="shared" ca="1" si="68"/>
        <v>0100000011000000</v>
      </c>
      <c r="R365" s="14">
        <f t="shared" ca="1" si="69"/>
        <v>3.1079051513671874</v>
      </c>
      <c r="S365" s="14">
        <f t="shared" ca="1" si="70"/>
        <v>57.294861816406247</v>
      </c>
      <c r="T365" s="19">
        <f t="shared" ca="1" si="72"/>
        <v>1.7670724980572688E-2</v>
      </c>
      <c r="U365" s="14"/>
      <c r="V365" s="15">
        <f t="shared" ca="1" si="71"/>
        <v>0.99486200000000002</v>
      </c>
      <c r="W365" s="14"/>
      <c r="X365" s="2"/>
    </row>
    <row r="366" spans="8:24" x14ac:dyDescent="0.25">
      <c r="H366" s="14">
        <v>56.4</v>
      </c>
      <c r="I366" s="17">
        <v>3.086116176142423</v>
      </c>
      <c r="J366" s="15">
        <f t="shared" si="62"/>
        <v>-1.5999999999999999E-5</v>
      </c>
      <c r="K366" s="30">
        <f t="shared" si="63"/>
        <v>1.8200000000000001E-4</v>
      </c>
      <c r="L366" s="15">
        <f t="shared" si="64"/>
        <v>9.6019999999999994E-3</v>
      </c>
      <c r="M366" s="10">
        <f t="shared" si="65"/>
        <v>3.1161105123661628</v>
      </c>
      <c r="N366" s="18">
        <f t="shared" si="66"/>
        <v>9.7191208988224396E-3</v>
      </c>
      <c r="O366" s="14">
        <f t="shared" si="67"/>
        <v>16624.749199999998</v>
      </c>
      <c r="P366" s="14">
        <f t="shared" ca="1" si="73"/>
        <v>16626</v>
      </c>
      <c r="Q366" s="14" t="str">
        <f t="shared" ca="1" si="68"/>
        <v>0100000011110010</v>
      </c>
      <c r="R366" s="14">
        <f t="shared" ca="1" si="69"/>
        <v>3.1172798652648925</v>
      </c>
      <c r="S366" s="14">
        <f t="shared" ca="1" si="70"/>
        <v>57.407358383178718</v>
      </c>
      <c r="T366" s="19">
        <f t="shared" ca="1" si="72"/>
        <v>1.7860964240757428E-2</v>
      </c>
      <c r="U366" s="14"/>
      <c r="V366" s="15">
        <f t="shared" ca="1" si="71"/>
        <v>1.007358</v>
      </c>
      <c r="W366" s="14"/>
      <c r="X366" s="2"/>
    </row>
    <row r="367" spans="8:24" x14ac:dyDescent="0.25">
      <c r="H367" s="14">
        <v>56.5</v>
      </c>
      <c r="I367" s="17">
        <v>3.095118591624483</v>
      </c>
      <c r="J367" s="15">
        <f t="shared" si="62"/>
        <v>-1.5E-5</v>
      </c>
      <c r="K367" s="30">
        <f t="shared" si="63"/>
        <v>1.83E-4</v>
      </c>
      <c r="L367" s="15">
        <f t="shared" si="64"/>
        <v>9.6329999999999992E-3</v>
      </c>
      <c r="M367" s="10">
        <f t="shared" si="65"/>
        <v>3.1252970190954295</v>
      </c>
      <c r="N367" s="18">
        <f t="shared" si="66"/>
        <v>9.7503299397349464E-3</v>
      </c>
      <c r="O367" s="14">
        <f t="shared" si="67"/>
        <v>16673.7601</v>
      </c>
      <c r="P367" s="14">
        <f t="shared" ca="1" si="73"/>
        <v>16674</v>
      </c>
      <c r="Q367" s="14" t="str">
        <f t="shared" ca="1" si="68"/>
        <v>0100000100100010</v>
      </c>
      <c r="R367" s="14">
        <f t="shared" ca="1" si="69"/>
        <v>3.1262795906066896</v>
      </c>
      <c r="S367" s="14">
        <f t="shared" ca="1" si="70"/>
        <v>57.515355087280277</v>
      </c>
      <c r="T367" s="19">
        <f t="shared" ca="1" si="72"/>
        <v>1.7970886500535872E-2</v>
      </c>
      <c r="U367" s="14"/>
      <c r="V367" s="15">
        <f t="shared" ca="1" si="71"/>
        <v>1.015355</v>
      </c>
      <c r="W367" s="14"/>
      <c r="X367" s="2"/>
    </row>
    <row r="368" spans="8:24" x14ac:dyDescent="0.25">
      <c r="H368" s="14">
        <v>56.6</v>
      </c>
      <c r="I368" s="17">
        <v>3.1041371235231008</v>
      </c>
      <c r="J368" s="15">
        <f t="shared" si="62"/>
        <v>-1.5E-5</v>
      </c>
      <c r="K368" s="30">
        <f t="shared" si="63"/>
        <v>1.83E-4</v>
      </c>
      <c r="L368" s="15">
        <f t="shared" si="64"/>
        <v>9.6629999999999997E-3</v>
      </c>
      <c r="M368" s="10">
        <f t="shared" si="65"/>
        <v>3.1344982193628033</v>
      </c>
      <c r="N368" s="18">
        <f t="shared" si="66"/>
        <v>9.7808487935750598E-3</v>
      </c>
      <c r="O368" s="14">
        <f t="shared" si="67"/>
        <v>16722.849399999999</v>
      </c>
      <c r="P368" s="14">
        <f t="shared" ca="1" si="73"/>
        <v>16724</v>
      </c>
      <c r="Q368" s="14" t="str">
        <f t="shared" ca="1" si="68"/>
        <v>0100000101010100</v>
      </c>
      <c r="R368" s="14">
        <f t="shared" ca="1" si="69"/>
        <v>3.1356543045043948</v>
      </c>
      <c r="S368" s="14">
        <f t="shared" ca="1" si="70"/>
        <v>57.627851654052741</v>
      </c>
      <c r="T368" s="19">
        <f t="shared" ca="1" si="72"/>
        <v>1.8159923216479489E-2</v>
      </c>
      <c r="U368" s="14"/>
      <c r="V368" s="15">
        <f t="shared" ca="1" si="71"/>
        <v>1.027852</v>
      </c>
      <c r="W368" s="14"/>
      <c r="X368" s="2"/>
    </row>
    <row r="369" spans="8:24" x14ac:dyDescent="0.25">
      <c r="H369" s="14">
        <v>56.7</v>
      </c>
      <c r="I369" s="17">
        <v>3.1131716527302911</v>
      </c>
      <c r="J369" s="15">
        <f t="shared" si="62"/>
        <v>-1.4E-5</v>
      </c>
      <c r="K369" s="30">
        <f t="shared" si="63"/>
        <v>1.84E-4</v>
      </c>
      <c r="L369" s="15">
        <f t="shared" si="64"/>
        <v>9.6939999999999995E-3</v>
      </c>
      <c r="M369" s="10">
        <f t="shared" si="65"/>
        <v>3.1437182956361887</v>
      </c>
      <c r="N369" s="18">
        <f t="shared" si="66"/>
        <v>9.8120650941645945E-3</v>
      </c>
      <c r="O369" s="14">
        <f t="shared" si="67"/>
        <v>16772.039400000001</v>
      </c>
      <c r="P369" s="14">
        <f t="shared" ca="1" si="73"/>
        <v>16777</v>
      </c>
      <c r="Q369" s="14" t="str">
        <f t="shared" ca="1" si="68"/>
        <v>0100000110001001</v>
      </c>
      <c r="R369" s="14">
        <f t="shared" ca="1" si="69"/>
        <v>3.1455915012359621</v>
      </c>
      <c r="S369" s="14">
        <f t="shared" ca="1" si="70"/>
        <v>57.747098014831543</v>
      </c>
      <c r="T369" s="19">
        <f t="shared" ca="1" si="72"/>
        <v>1.8467337122249392E-2</v>
      </c>
      <c r="U369" s="14"/>
      <c r="V369" s="15">
        <f t="shared" ca="1" si="71"/>
        <v>1.0470980000000001</v>
      </c>
      <c r="W369" s="14"/>
      <c r="X369" s="2"/>
    </row>
    <row r="370" spans="8:24" x14ac:dyDescent="0.25">
      <c r="H370" s="14">
        <v>56.800000000000004</v>
      </c>
      <c r="I370" s="17">
        <v>3.1222220609236615</v>
      </c>
      <c r="J370" s="15">
        <f t="shared" si="62"/>
        <v>-1.2999999999999999E-5</v>
      </c>
      <c r="K370" s="30">
        <f t="shared" si="63"/>
        <v>1.84E-4</v>
      </c>
      <c r="L370" s="15">
        <f t="shared" si="64"/>
        <v>9.724E-3</v>
      </c>
      <c r="M370" s="10">
        <f t="shared" si="65"/>
        <v>3.1529518002371679</v>
      </c>
      <c r="N370" s="18">
        <f t="shared" si="66"/>
        <v>9.8422657690194846E-3</v>
      </c>
      <c r="O370" s="14">
        <f t="shared" si="67"/>
        <v>16821.300999999999</v>
      </c>
      <c r="P370" s="14">
        <f t="shared" ca="1" si="73"/>
        <v>16820</v>
      </c>
      <c r="Q370" s="14" t="str">
        <f t="shared" ca="1" si="68"/>
        <v>0100000110110100</v>
      </c>
      <c r="R370" s="14">
        <f t="shared" ca="1" si="69"/>
        <v>3.1536537551879884</v>
      </c>
      <c r="S370" s="14">
        <f t="shared" ca="1" si="70"/>
        <v>57.843845062255859</v>
      </c>
      <c r="T370" s="19">
        <f t="shared" ca="1" si="72"/>
        <v>1.8377553912955188E-2</v>
      </c>
      <c r="U370" s="14"/>
      <c r="V370" s="15">
        <f t="shared" ca="1" si="71"/>
        <v>1.0438449999999999</v>
      </c>
      <c r="W370" s="14"/>
      <c r="X370" s="2"/>
    </row>
    <row r="371" spans="8:24" x14ac:dyDescent="0.25">
      <c r="H371" s="14">
        <v>56.9</v>
      </c>
      <c r="I371" s="17">
        <v>3.1312882301590785</v>
      </c>
      <c r="J371" s="15">
        <f t="shared" si="62"/>
        <v>-1.2999999999999999E-5</v>
      </c>
      <c r="K371" s="30">
        <f t="shared" si="63"/>
        <v>1.85E-4</v>
      </c>
      <c r="L371" s="15">
        <f t="shared" si="64"/>
        <v>9.7549999999999998E-3</v>
      </c>
      <c r="M371" s="10">
        <f t="shared" si="65"/>
        <v>3.162205983740467</v>
      </c>
      <c r="N371" s="18">
        <f t="shared" si="66"/>
        <v>9.873812727810679E-3</v>
      </c>
      <c r="O371" s="14">
        <f t="shared" si="67"/>
        <v>16870.672999999999</v>
      </c>
      <c r="P371" s="14">
        <f t="shared" ca="1" si="73"/>
        <v>16870</v>
      </c>
      <c r="Q371" s="14" t="str">
        <f t="shared" ca="1" si="68"/>
        <v>0100000111100110</v>
      </c>
      <c r="R371" s="14">
        <f t="shared" ca="1" si="69"/>
        <v>3.1630284690856936</v>
      </c>
      <c r="S371" s="14">
        <f t="shared" ca="1" si="70"/>
        <v>57.95634162902833</v>
      </c>
      <c r="T371" s="19">
        <f t="shared" ca="1" si="72"/>
        <v>1.8564879244786142E-2</v>
      </c>
      <c r="U371" s="14"/>
      <c r="V371" s="15">
        <f t="shared" ca="1" si="71"/>
        <v>1.0563419999999999</v>
      </c>
      <c r="W371" s="14"/>
      <c r="X371" s="2"/>
    </row>
    <row r="372" spans="8:24" x14ac:dyDescent="0.25">
      <c r="H372" s="14">
        <v>57</v>
      </c>
      <c r="I372" s="17">
        <v>3.1403700417868272</v>
      </c>
      <c r="J372" s="15">
        <f t="shared" si="62"/>
        <v>-1.2E-5</v>
      </c>
      <c r="K372" s="30">
        <f t="shared" si="63"/>
        <v>1.85E-4</v>
      </c>
      <c r="L372" s="15">
        <f t="shared" si="64"/>
        <v>9.7850000000000003E-3</v>
      </c>
      <c r="M372" s="10">
        <f t="shared" si="65"/>
        <v>3.171472331015817</v>
      </c>
      <c r="N372" s="18">
        <f t="shared" si="66"/>
        <v>9.9040204864816062E-3</v>
      </c>
      <c r="O372" s="14">
        <f t="shared" si="67"/>
        <v>16920.109799999998</v>
      </c>
      <c r="P372" s="14">
        <f t="shared" ca="1" si="73"/>
        <v>16919</v>
      </c>
      <c r="Q372" s="14" t="str">
        <f t="shared" ca="1" si="68"/>
        <v>0100001000010111</v>
      </c>
      <c r="R372" s="14">
        <f t="shared" ca="1" si="69"/>
        <v>3.1722156887054442</v>
      </c>
      <c r="S372" s="14">
        <f t="shared" ca="1" si="70"/>
        <v>58.066588264465338</v>
      </c>
      <c r="T372" s="19">
        <f t="shared" ca="1" si="72"/>
        <v>1.8712074815181369E-2</v>
      </c>
      <c r="U372" s="14"/>
      <c r="V372" s="15">
        <f t="shared" ca="1" si="71"/>
        <v>1.0665880000000001</v>
      </c>
      <c r="W372" s="14"/>
      <c r="X372" s="2"/>
    </row>
    <row r="373" spans="8:24" x14ac:dyDescent="0.25">
      <c r="H373" s="14">
        <v>57.1</v>
      </c>
      <c r="I373" s="17">
        <v>3.1494673778482438</v>
      </c>
      <c r="J373" s="15">
        <f t="shared" si="62"/>
        <v>-1.2E-5</v>
      </c>
      <c r="K373" s="30">
        <f t="shared" si="63"/>
        <v>1.8599999999999999E-4</v>
      </c>
      <c r="L373" s="15">
        <f t="shared" si="64"/>
        <v>9.8160000000000001E-3</v>
      </c>
      <c r="M373" s="10">
        <f t="shared" si="65"/>
        <v>3.1807591402408479</v>
      </c>
      <c r="N373" s="18">
        <f t="shared" si="66"/>
        <v>9.935572793258473E-3</v>
      </c>
      <c r="O373" s="14">
        <f t="shared" si="67"/>
        <v>16969.6558</v>
      </c>
      <c r="P373" s="14">
        <f t="shared" ca="1" si="73"/>
        <v>16973</v>
      </c>
      <c r="Q373" s="14" t="str">
        <f t="shared" ca="1" si="68"/>
        <v>0100001001001101</v>
      </c>
      <c r="R373" s="14">
        <f t="shared" ca="1" si="69"/>
        <v>3.1823403797149661</v>
      </c>
      <c r="S373" s="14">
        <f t="shared" ca="1" si="70"/>
        <v>58.188084556579597</v>
      </c>
      <c r="T373" s="19">
        <f t="shared" ca="1" si="72"/>
        <v>1.9055771568819529E-2</v>
      </c>
      <c r="U373" s="14"/>
      <c r="V373" s="15">
        <f t="shared" ca="1" si="71"/>
        <v>1.088085</v>
      </c>
      <c r="W373" s="14"/>
      <c r="X373" s="2"/>
    </row>
    <row r="374" spans="8:24" x14ac:dyDescent="0.25">
      <c r="H374" s="14">
        <v>57.2</v>
      </c>
      <c r="I374" s="17">
        <v>3.1585801199991042</v>
      </c>
      <c r="J374" s="15">
        <f t="shared" si="62"/>
        <v>-1.1E-5</v>
      </c>
      <c r="K374" s="30">
        <f t="shared" si="63"/>
        <v>1.8599999999999999E-4</v>
      </c>
      <c r="L374" s="15">
        <f t="shared" si="64"/>
        <v>9.8460000000000006E-3</v>
      </c>
      <c r="M374" s="10">
        <f t="shared" si="65"/>
        <v>3.1900578586069486</v>
      </c>
      <c r="N374" s="18">
        <f t="shared" si="66"/>
        <v>9.9657876045434451E-3</v>
      </c>
      <c r="O374" s="14">
        <f t="shared" si="67"/>
        <v>17019.2654</v>
      </c>
      <c r="P374" s="14">
        <f t="shared" ca="1" si="73"/>
        <v>17024</v>
      </c>
      <c r="Q374" s="14" t="str">
        <f t="shared" ca="1" si="68"/>
        <v>0100001010000000</v>
      </c>
      <c r="R374" s="14">
        <f t="shared" ca="1" si="69"/>
        <v>3.1919025878906249</v>
      </c>
      <c r="S374" s="14">
        <f t="shared" ca="1" si="70"/>
        <v>58.302831054687502</v>
      </c>
      <c r="T374" s="19">
        <f t="shared" ca="1" si="72"/>
        <v>1.9280263193837396E-2</v>
      </c>
      <c r="U374" s="14"/>
      <c r="V374" s="15">
        <f t="shared" ca="1" si="71"/>
        <v>1.1028309999999999</v>
      </c>
      <c r="W374" s="14"/>
      <c r="X374" s="2"/>
    </row>
    <row r="375" spans="8:24" x14ac:dyDescent="0.25">
      <c r="H375" s="14">
        <v>57.300000000000004</v>
      </c>
      <c r="I375" s="17">
        <v>3.1671143680316654</v>
      </c>
      <c r="J375" s="15">
        <f t="shared" si="62"/>
        <v>-1.1E-5</v>
      </c>
      <c r="K375" s="30">
        <f t="shared" si="63"/>
        <v>1.8699999999999999E-4</v>
      </c>
      <c r="L375" s="15">
        <f t="shared" si="64"/>
        <v>9.8770000000000004E-3</v>
      </c>
      <c r="M375" s="10">
        <f t="shared" si="65"/>
        <v>3.1987771167477836</v>
      </c>
      <c r="N375" s="18">
        <f t="shared" si="66"/>
        <v>9.9973493334237946E-3</v>
      </c>
      <c r="O375" s="14">
        <f t="shared" si="67"/>
        <v>17065.783500000001</v>
      </c>
      <c r="P375" s="14">
        <f t="shared" ca="1" si="73"/>
        <v>17070</v>
      </c>
      <c r="Q375" s="14" t="str">
        <f t="shared" ca="1" si="68"/>
        <v>0100001010101110</v>
      </c>
      <c r="R375" s="14">
        <f t="shared" ca="1" si="69"/>
        <v>3.2005273246765138</v>
      </c>
      <c r="S375" s="14">
        <f t="shared" ca="1" si="70"/>
        <v>58.406327896118164</v>
      </c>
      <c r="T375" s="19">
        <f t="shared" ca="1" si="72"/>
        <v>1.9307642166110986E-2</v>
      </c>
      <c r="U375" s="14"/>
      <c r="V375" s="15">
        <f t="shared" ca="1" si="71"/>
        <v>1.106328</v>
      </c>
      <c r="W375" s="14"/>
      <c r="X375" s="2"/>
    </row>
    <row r="376" spans="8:24" x14ac:dyDescent="0.25">
      <c r="H376" s="14">
        <v>57.4</v>
      </c>
      <c r="I376" s="17">
        <v>3.1762586520452247</v>
      </c>
      <c r="J376" s="15">
        <f t="shared" si="62"/>
        <v>-1.0000000000000001E-5</v>
      </c>
      <c r="K376" s="30">
        <f t="shared" si="63"/>
        <v>1.8699999999999999E-4</v>
      </c>
      <c r="L376" s="15">
        <f t="shared" si="64"/>
        <v>9.9069999999999991E-3</v>
      </c>
      <c r="M376" s="10">
        <f t="shared" si="65"/>
        <v>3.2081088114341028</v>
      </c>
      <c r="N376" s="18">
        <f t="shared" si="66"/>
        <v>1.0027571075916439E-2</v>
      </c>
      <c r="O376" s="14">
        <f t="shared" si="67"/>
        <v>17115.569</v>
      </c>
      <c r="P376" s="14">
        <f t="shared" ca="1" si="73"/>
        <v>17117</v>
      </c>
      <c r="Q376" s="14" t="str">
        <f t="shared" ca="1" si="68"/>
        <v>0100001011011101</v>
      </c>
      <c r="R376" s="14">
        <f t="shared" ca="1" si="69"/>
        <v>3.2093395557403563</v>
      </c>
      <c r="S376" s="14">
        <f t="shared" ca="1" si="70"/>
        <v>58.512074668884274</v>
      </c>
      <c r="T376" s="19">
        <f t="shared" ca="1" si="72"/>
        <v>1.9374123151294002E-2</v>
      </c>
      <c r="U376" s="14"/>
      <c r="V376" s="15">
        <f t="shared" ca="1" si="71"/>
        <v>1.1120749999999999</v>
      </c>
      <c r="W376" s="14"/>
      <c r="X376" s="2"/>
    </row>
    <row r="377" spans="8:24" x14ac:dyDescent="0.25">
      <c r="H377" s="14">
        <v>57.5</v>
      </c>
      <c r="I377" s="17">
        <v>3.1848263744812395</v>
      </c>
      <c r="J377" s="15">
        <f t="shared" si="62"/>
        <v>-9.0000000000000002E-6</v>
      </c>
      <c r="K377" s="30">
        <f t="shared" si="63"/>
        <v>1.8799999999999999E-4</v>
      </c>
      <c r="L377" s="15">
        <f t="shared" si="64"/>
        <v>9.9380000000000007E-3</v>
      </c>
      <c r="M377" s="10">
        <f t="shared" si="65"/>
        <v>3.2168619723585388</v>
      </c>
      <c r="N377" s="18">
        <f t="shared" si="66"/>
        <v>1.0058820830544452E-2</v>
      </c>
      <c r="O377" s="14">
        <f t="shared" si="67"/>
        <v>17162.267899999999</v>
      </c>
      <c r="P377" s="14">
        <f t="shared" ca="1" si="73"/>
        <v>17167</v>
      </c>
      <c r="Q377" s="14" t="str">
        <f t="shared" ca="1" si="68"/>
        <v>0100001100001111</v>
      </c>
      <c r="R377" s="14">
        <f t="shared" ca="1" si="69"/>
        <v>3.2187142696380615</v>
      </c>
      <c r="S377" s="14">
        <f t="shared" ca="1" si="70"/>
        <v>58.624571235656745</v>
      </c>
      <c r="T377" s="19">
        <f t="shared" ca="1" si="72"/>
        <v>1.9557760620117309E-2</v>
      </c>
      <c r="U377" s="14"/>
      <c r="V377" s="15">
        <f t="shared" ca="1" si="71"/>
        <v>1.124571</v>
      </c>
      <c r="W377" s="14"/>
      <c r="X377" s="2"/>
    </row>
    <row r="378" spans="8:24" x14ac:dyDescent="0.25">
      <c r="H378" s="14">
        <v>57.6</v>
      </c>
      <c r="I378" s="17">
        <v>3.1945922557351656</v>
      </c>
      <c r="J378" s="15">
        <f t="shared" si="62"/>
        <v>-9.0000000000000002E-6</v>
      </c>
      <c r="K378" s="30">
        <f t="shared" si="63"/>
        <v>1.8799999999999999E-4</v>
      </c>
      <c r="L378" s="15">
        <f t="shared" si="64"/>
        <v>9.9679999999999994E-3</v>
      </c>
      <c r="M378" s="10">
        <f t="shared" si="65"/>
        <v>3.2268236557921011</v>
      </c>
      <c r="N378" s="18">
        <f t="shared" si="66"/>
        <v>1.0089362734499625E-2</v>
      </c>
      <c r="O378" s="14">
        <f t="shared" si="67"/>
        <v>17215.414499999999</v>
      </c>
      <c r="P378" s="14">
        <f t="shared" ca="1" si="73"/>
        <v>17216</v>
      </c>
      <c r="Q378" s="14" t="str">
        <f t="shared" ca="1" si="68"/>
        <v>0100001101000000</v>
      </c>
      <c r="R378" s="14">
        <f t="shared" ca="1" si="69"/>
        <v>3.2279014892578126</v>
      </c>
      <c r="S378" s="14">
        <f t="shared" ca="1" si="70"/>
        <v>58.734817871093753</v>
      </c>
      <c r="T378" s="19">
        <f t="shared" ca="1" si="72"/>
        <v>1.9701699150933189E-2</v>
      </c>
      <c r="U378" s="14"/>
      <c r="V378" s="15">
        <f t="shared" ca="1" si="71"/>
        <v>1.1348180000000001</v>
      </c>
      <c r="W378" s="14"/>
      <c r="X378" s="2"/>
    </row>
    <row r="379" spans="8:24" x14ac:dyDescent="0.25">
      <c r="H379" s="14">
        <v>57.7</v>
      </c>
      <c r="I379" s="17">
        <v>3.2037813390650158</v>
      </c>
      <c r="J379" s="15">
        <f t="shared" si="62"/>
        <v>-7.9999999999999996E-6</v>
      </c>
      <c r="K379" s="30">
        <f t="shared" si="63"/>
        <v>1.8900000000000001E-4</v>
      </c>
      <c r="L379" s="15">
        <f t="shared" si="64"/>
        <v>9.9989999999999992E-3</v>
      </c>
      <c r="M379" s="10">
        <f t="shared" si="65"/>
        <v>3.2362055787044817</v>
      </c>
      <c r="N379" s="18">
        <f t="shared" si="66"/>
        <v>1.0120615675016214E-2</v>
      </c>
      <c r="O379" s="14">
        <f t="shared" si="67"/>
        <v>17265.4679</v>
      </c>
      <c r="P379" s="14">
        <f t="shared" ca="1" si="73"/>
        <v>17264</v>
      </c>
      <c r="Q379" s="14" t="str">
        <f t="shared" ca="1" si="68"/>
        <v>0100001101110000</v>
      </c>
      <c r="R379" s="14">
        <f t="shared" ca="1" si="69"/>
        <v>3.2369012145996092</v>
      </c>
      <c r="S379" s="14">
        <f t="shared" ca="1" si="70"/>
        <v>58.842814575195312</v>
      </c>
      <c r="T379" s="19">
        <f t="shared" ca="1" si="72"/>
        <v>1.9806145150698607E-2</v>
      </c>
      <c r="U379" s="14"/>
      <c r="V379" s="15">
        <f t="shared" ca="1" si="71"/>
        <v>1.1428149999999999</v>
      </c>
      <c r="W379" s="14"/>
      <c r="X379" s="2"/>
    </row>
    <row r="380" spans="8:24" x14ac:dyDescent="0.25">
      <c r="H380" s="14">
        <v>57.800000000000004</v>
      </c>
      <c r="I380" s="17">
        <v>3.2123967531471243</v>
      </c>
      <c r="J380" s="15">
        <f t="shared" si="62"/>
        <v>-7.9999999999999996E-6</v>
      </c>
      <c r="K380" s="30">
        <f t="shared" si="63"/>
        <v>1.8900000000000001E-4</v>
      </c>
      <c r="L380" s="15">
        <f t="shared" si="64"/>
        <v>1.0029E-2</v>
      </c>
      <c r="M380" s="10">
        <f t="shared" si="65"/>
        <v>3.2450063400494802</v>
      </c>
      <c r="N380" s="18">
        <f t="shared" si="66"/>
        <v>1.0151170421402319E-2</v>
      </c>
      <c r="O380" s="14">
        <f t="shared" si="67"/>
        <v>17312.4208</v>
      </c>
      <c r="P380" s="14">
        <f t="shared" ca="1" si="73"/>
        <v>17311</v>
      </c>
      <c r="Q380" s="14" t="str">
        <f t="shared" ca="1" si="68"/>
        <v>0100001110011111</v>
      </c>
      <c r="R380" s="14">
        <f t="shared" ca="1" si="69"/>
        <v>3.2457134456634522</v>
      </c>
      <c r="S380" s="14">
        <f t="shared" ca="1" si="70"/>
        <v>58.94856134796143</v>
      </c>
      <c r="T380" s="19">
        <f t="shared" ca="1" si="72"/>
        <v>1.9871303597948541E-2</v>
      </c>
      <c r="U380" s="14"/>
      <c r="V380" s="15">
        <f t="shared" ca="1" si="71"/>
        <v>1.1485609999999999</v>
      </c>
      <c r="W380" s="14"/>
      <c r="X380" s="2"/>
    </row>
    <row r="381" spans="8:24" x14ac:dyDescent="0.25">
      <c r="H381" s="14">
        <v>57.9</v>
      </c>
      <c r="I381" s="17">
        <v>3.2216161940392523</v>
      </c>
      <c r="J381" s="15">
        <f t="shared" si="62"/>
        <v>-6.9999999999999999E-6</v>
      </c>
      <c r="K381" s="30">
        <f t="shared" si="63"/>
        <v>1.9000000000000001E-4</v>
      </c>
      <c r="L381" s="15">
        <f t="shared" si="64"/>
        <v>1.0059999999999999E-2</v>
      </c>
      <c r="M381" s="10">
        <f t="shared" si="65"/>
        <v>3.2544200765291356</v>
      </c>
      <c r="N381" s="18">
        <f t="shared" si="66"/>
        <v>1.0182430343682219E-2</v>
      </c>
      <c r="O381" s="14">
        <f t="shared" si="67"/>
        <v>17362.644</v>
      </c>
      <c r="P381" s="14">
        <f t="shared" ca="1" si="73"/>
        <v>17363</v>
      </c>
      <c r="Q381" s="14" t="str">
        <f t="shared" ca="1" si="68"/>
        <v>0100001111010011</v>
      </c>
      <c r="R381" s="14">
        <f t="shared" ca="1" si="69"/>
        <v>3.2554631481170655</v>
      </c>
      <c r="S381" s="14">
        <f t="shared" ca="1" si="70"/>
        <v>59.065557777404784</v>
      </c>
      <c r="T381" s="19">
        <f t="shared" ca="1" si="72"/>
        <v>2.013053156139526E-2</v>
      </c>
      <c r="U381" s="14"/>
      <c r="V381" s="15">
        <f t="shared" ca="1" si="71"/>
        <v>1.1655580000000001</v>
      </c>
      <c r="W381" s="14"/>
      <c r="X381" s="2"/>
    </row>
    <row r="382" spans="8:24" x14ac:dyDescent="0.25">
      <c r="H382" s="14">
        <v>58</v>
      </c>
      <c r="I382" s="17">
        <v>3.2308500961802906</v>
      </c>
      <c r="J382" s="15">
        <f t="shared" si="62"/>
        <v>-6.9999999999999999E-6</v>
      </c>
      <c r="K382" s="30">
        <f t="shared" si="63"/>
        <v>1.9000000000000001E-4</v>
      </c>
      <c r="L382" s="15">
        <f t="shared" si="64"/>
        <v>1.009E-2</v>
      </c>
      <c r="M382" s="10">
        <f t="shared" si="65"/>
        <v>3.2638467244095835</v>
      </c>
      <c r="N382" s="18">
        <f t="shared" si="66"/>
        <v>1.021298644226901E-2</v>
      </c>
      <c r="O382" s="14">
        <f t="shared" si="67"/>
        <v>17412.936099999999</v>
      </c>
      <c r="P382" s="14">
        <f t="shared" ca="1" si="73"/>
        <v>17414</v>
      </c>
      <c r="Q382" s="14" t="str">
        <f t="shared" ca="1" si="68"/>
        <v>0100010000000110</v>
      </c>
      <c r="R382" s="14">
        <f t="shared" ca="1" si="69"/>
        <v>3.2650253562927247</v>
      </c>
      <c r="S382" s="14">
        <f t="shared" ca="1" si="70"/>
        <v>59.180304275512704</v>
      </c>
      <c r="T382" s="19">
        <f t="shared" ca="1" si="72"/>
        <v>2.0350073715736272E-2</v>
      </c>
      <c r="U382" s="14"/>
      <c r="V382" s="15">
        <f t="shared" ca="1" si="71"/>
        <v>1.180304</v>
      </c>
      <c r="W382" s="14"/>
      <c r="X382" s="2"/>
    </row>
    <row r="383" spans="8:24" x14ac:dyDescent="0.25">
      <c r="H383" s="14">
        <v>58.1</v>
      </c>
      <c r="I383" s="17">
        <v>3.2395132162168658</v>
      </c>
      <c r="J383" s="15">
        <f t="shared" si="62"/>
        <v>-6.0000000000000002E-6</v>
      </c>
      <c r="K383" s="30">
        <f t="shared" si="63"/>
        <v>1.9100000000000001E-4</v>
      </c>
      <c r="L383" s="15">
        <f t="shared" si="64"/>
        <v>1.0121E-2</v>
      </c>
      <c r="M383" s="10">
        <f t="shared" si="65"/>
        <v>3.2726996220738758</v>
      </c>
      <c r="N383" s="18">
        <f t="shared" si="66"/>
        <v>1.0244256973819461E-2</v>
      </c>
      <c r="O383" s="14">
        <f t="shared" si="67"/>
        <v>17460.167099999999</v>
      </c>
      <c r="P383" s="14">
        <f t="shared" ca="1" si="73"/>
        <v>17461</v>
      </c>
      <c r="Q383" s="14" t="str">
        <f t="shared" ca="1" si="68"/>
        <v>0100010000110101</v>
      </c>
      <c r="R383" s="14">
        <f t="shared" ca="1" si="69"/>
        <v>3.2738375873565673</v>
      </c>
      <c r="S383" s="14">
        <f t="shared" ca="1" si="70"/>
        <v>59.286051048278814</v>
      </c>
      <c r="T383" s="19">
        <f t="shared" ca="1" si="72"/>
        <v>2.0413959522871134E-2</v>
      </c>
      <c r="U383" s="14"/>
      <c r="V383" s="15">
        <f t="shared" ca="1" si="71"/>
        <v>1.186051</v>
      </c>
      <c r="W383" s="14"/>
      <c r="X383" s="2"/>
    </row>
    <row r="384" spans="8:24" x14ac:dyDescent="0.25">
      <c r="H384" s="14">
        <v>58.2</v>
      </c>
      <c r="I384" s="17">
        <v>3.2487767660586129</v>
      </c>
      <c r="J384" s="15">
        <f t="shared" si="62"/>
        <v>-5.0000000000000004E-6</v>
      </c>
      <c r="K384" s="30">
        <f t="shared" si="63"/>
        <v>1.9100000000000001E-4</v>
      </c>
      <c r="L384" s="15">
        <f t="shared" si="64"/>
        <v>1.0151E-2</v>
      </c>
      <c r="M384" s="10">
        <f t="shared" si="65"/>
        <v>3.2821563463726418</v>
      </c>
      <c r="N384" s="18">
        <f t="shared" si="66"/>
        <v>1.0274507212302152E-2</v>
      </c>
      <c r="O384" s="14">
        <f t="shared" si="67"/>
        <v>17510.619699999999</v>
      </c>
      <c r="P384" s="14">
        <f t="shared" ca="1" si="73"/>
        <v>17514</v>
      </c>
      <c r="Q384" s="14" t="str">
        <f t="shared" ca="1" si="68"/>
        <v>0100010001101010</v>
      </c>
      <c r="R384" s="14">
        <f t="shared" ca="1" si="69"/>
        <v>3.2837747840881346</v>
      </c>
      <c r="S384" s="14">
        <f t="shared" ca="1" si="70"/>
        <v>59.405297409057617</v>
      </c>
      <c r="T384" s="19">
        <f t="shared" ca="1" si="72"/>
        <v>2.0709577475216741E-2</v>
      </c>
      <c r="U384" s="14"/>
      <c r="V384" s="15">
        <f t="shared" ca="1" si="71"/>
        <v>1.2052970000000001</v>
      </c>
      <c r="W384" s="14"/>
      <c r="X384" s="2"/>
    </row>
    <row r="385" spans="8:24" x14ac:dyDescent="0.25">
      <c r="H385" s="14">
        <v>58.300000000000004</v>
      </c>
      <c r="I385" s="17">
        <v>3.257471455701741</v>
      </c>
      <c r="J385" s="15">
        <f t="shared" si="62"/>
        <v>-5.0000000000000004E-6</v>
      </c>
      <c r="K385" s="30">
        <f t="shared" si="63"/>
        <v>1.92E-4</v>
      </c>
      <c r="L385" s="15">
        <f t="shared" si="64"/>
        <v>1.0182E-2</v>
      </c>
      <c r="M385" s="10">
        <f t="shared" si="65"/>
        <v>3.2910432676974364</v>
      </c>
      <c r="N385" s="18">
        <f t="shared" si="66"/>
        <v>1.0306095526004588E-2</v>
      </c>
      <c r="O385" s="14">
        <f t="shared" si="67"/>
        <v>17558.032299999999</v>
      </c>
      <c r="P385" s="14">
        <f t="shared" ca="1" si="73"/>
        <v>17563</v>
      </c>
      <c r="Q385" s="14" t="str">
        <f t="shared" ca="1" si="68"/>
        <v>0100010010011011</v>
      </c>
      <c r="R385" s="14">
        <f t="shared" ca="1" si="69"/>
        <v>3.2929620037078857</v>
      </c>
      <c r="S385" s="14">
        <f t="shared" ca="1" si="70"/>
        <v>59.515544044494632</v>
      </c>
      <c r="T385" s="19">
        <f t="shared" ca="1" si="72"/>
        <v>2.0849812083955879E-2</v>
      </c>
      <c r="U385" s="14"/>
      <c r="V385" s="15">
        <f t="shared" ca="1" si="71"/>
        <v>1.215544</v>
      </c>
      <c r="W385" s="14"/>
      <c r="X385" s="2"/>
    </row>
    <row r="386" spans="8:24" x14ac:dyDescent="0.25">
      <c r="H386" s="14">
        <v>58.400000000000006</v>
      </c>
      <c r="I386" s="17">
        <v>3.2661822910474321</v>
      </c>
      <c r="J386" s="15">
        <f t="shared" si="62"/>
        <v>-3.9999999999999998E-6</v>
      </c>
      <c r="K386" s="30">
        <f t="shared" si="63"/>
        <v>1.92E-4</v>
      </c>
      <c r="L386" s="15">
        <f t="shared" si="64"/>
        <v>1.0212000000000001E-2</v>
      </c>
      <c r="M386" s="10">
        <f t="shared" si="65"/>
        <v>3.2999427137441879</v>
      </c>
      <c r="N386" s="18">
        <f t="shared" si="66"/>
        <v>1.0336355931294085E-2</v>
      </c>
      <c r="O386" s="14">
        <f t="shared" si="67"/>
        <v>17605.511699999999</v>
      </c>
      <c r="P386" s="14">
        <f t="shared" ca="1" si="73"/>
        <v>17606</v>
      </c>
      <c r="Q386" s="14" t="str">
        <f t="shared" ca="1" si="68"/>
        <v>0100010011000110</v>
      </c>
      <c r="R386" s="14">
        <f t="shared" ca="1" si="69"/>
        <v>3.301024257659912</v>
      </c>
      <c r="S386" s="14">
        <f t="shared" ca="1" si="70"/>
        <v>59.612291091918948</v>
      </c>
      <c r="T386" s="19">
        <f t="shared" ca="1" si="72"/>
        <v>2.0758409108201065E-2</v>
      </c>
      <c r="U386" s="14"/>
      <c r="V386" s="15">
        <f t="shared" ca="1" si="71"/>
        <v>1.212291</v>
      </c>
      <c r="W386" s="14"/>
      <c r="X386" s="2"/>
    </row>
    <row r="387" spans="8:24" x14ac:dyDescent="0.25">
      <c r="H387" s="14">
        <v>58.5</v>
      </c>
      <c r="I387" s="17">
        <v>3.2754899635434236</v>
      </c>
      <c r="J387" s="15">
        <f t="shared" ref="J387:J450" si="74">ROUND(H387*0.00000575 -0.00034,6)</f>
        <v>-3.9999999999999998E-6</v>
      </c>
      <c r="K387" s="30">
        <f t="shared" ref="K387:K450" si="75">ROUND(H387*0.000005-0.0001,6)</f>
        <v>1.93E-4</v>
      </c>
      <c r="L387" s="15">
        <f t="shared" ref="L387:L450" si="76">ROUND(K387+($C$24*(H387-25)),6)</f>
        <v>1.0243E-2</v>
      </c>
      <c r="M387" s="10">
        <f t="shared" ref="M387:M450" si="77">(I387-J387)/(1-L387)+$C$26+$D$27</f>
        <v>3.3094500664803825</v>
      </c>
      <c r="N387" s="18">
        <f t="shared" ref="N387:N450" si="78">ABS(I387-M387)/I387</f>
        <v>1.036794596073832E-2</v>
      </c>
      <c r="O387" s="14">
        <f t="shared" ref="O387:O450" si="79">ROUND((M387*(2^($C$12-1)))/$C$44,4)</f>
        <v>17656.2343</v>
      </c>
      <c r="P387" s="14">
        <f t="shared" ca="1" si="73"/>
        <v>17656</v>
      </c>
      <c r="Q387" s="14" t="str">
        <f t="shared" ref="Q387:Q450" ca="1" si="80">_xlfn.BASE(IF(P387&lt;0, P387+2^($C$12)-1, P387), 2, 16)</f>
        <v>0100010011111000</v>
      </c>
      <c r="R387" s="14">
        <f t="shared" ref="R387:R450" ca="1" si="81">($C$16/2^($C$12-1)) * P387</f>
        <v>3.3103989715576172</v>
      </c>
      <c r="S387" s="14">
        <f t="shared" ref="S387:S450" ca="1" si="82">(R387+5/3)/(1/12)</f>
        <v>59.724787658691405</v>
      </c>
      <c r="T387" s="19">
        <f t="shared" ca="1" si="72"/>
        <v>2.0936541174212044E-2</v>
      </c>
      <c r="U387" s="14"/>
      <c r="V387" s="15">
        <f t="shared" ref="V387:V450" ca="1" si="83">ROUND(ABS(H387-S387),6)</f>
        <v>1.224788</v>
      </c>
      <c r="W387" s="14"/>
      <c r="X387" s="2"/>
    </row>
    <row r="388" spans="8:24" x14ac:dyDescent="0.25">
      <c r="H388" s="14">
        <v>58.6</v>
      </c>
      <c r="I388" s="17">
        <v>3.2842316543132193</v>
      </c>
      <c r="J388" s="15">
        <f t="shared" si="74"/>
        <v>-3.0000000000000001E-6</v>
      </c>
      <c r="K388" s="30">
        <f t="shared" si="75"/>
        <v>1.93E-4</v>
      </c>
      <c r="L388" s="15">
        <f t="shared" si="76"/>
        <v>1.0272999999999999E-2</v>
      </c>
      <c r="M388" s="10">
        <f t="shared" si="77"/>
        <v>3.3183817946557177</v>
      </c>
      <c r="N388" s="18">
        <f t="shared" si="78"/>
        <v>1.039821301814951E-2</v>
      </c>
      <c r="O388" s="14">
        <f t="shared" si="79"/>
        <v>17703.885900000001</v>
      </c>
      <c r="P388" s="14">
        <f t="shared" ca="1" si="73"/>
        <v>17705</v>
      </c>
      <c r="Q388" s="14" t="str">
        <f t="shared" ca="1" si="80"/>
        <v>0100010100101001</v>
      </c>
      <c r="R388" s="14">
        <f t="shared" ca="1" si="81"/>
        <v>3.3195861911773683</v>
      </c>
      <c r="S388" s="14">
        <f t="shared" ca="1" si="82"/>
        <v>59.835034294128427</v>
      </c>
      <c r="T388" s="19">
        <f t="shared" ref="T388:T451" ca="1" si="84">ABS(H388-S388)/H388</f>
        <v>2.1075670548266645E-2</v>
      </c>
      <c r="U388" s="14"/>
      <c r="V388" s="15">
        <f t="shared" ca="1" si="83"/>
        <v>1.235034</v>
      </c>
      <c r="W388" s="14"/>
      <c r="X388" s="2"/>
    </row>
    <row r="389" spans="8:24" x14ac:dyDescent="0.25">
      <c r="H389" s="14">
        <v>58.7</v>
      </c>
      <c r="I389" s="17">
        <v>3.29414645314051</v>
      </c>
      <c r="J389" s="15">
        <f t="shared" si="74"/>
        <v>-1.9999999999999999E-6</v>
      </c>
      <c r="K389" s="30">
        <f t="shared" si="75"/>
        <v>1.94E-4</v>
      </c>
      <c r="L389" s="15">
        <f t="shared" si="76"/>
        <v>1.0304000000000001E-2</v>
      </c>
      <c r="M389" s="10">
        <f t="shared" si="77"/>
        <v>3.3285027478220686</v>
      </c>
      <c r="N389" s="18">
        <f t="shared" si="78"/>
        <v>1.042949825403318E-2</v>
      </c>
      <c r="O389" s="14">
        <f t="shared" si="79"/>
        <v>17757.8822</v>
      </c>
      <c r="P389" s="14">
        <f t="shared" ca="1" si="73"/>
        <v>17762</v>
      </c>
      <c r="Q389" s="14" t="str">
        <f t="shared" ca="1" si="80"/>
        <v>0100010101100010</v>
      </c>
      <c r="R389" s="14">
        <f t="shared" ca="1" si="81"/>
        <v>3.3302733650207519</v>
      </c>
      <c r="S389" s="14">
        <f t="shared" ca="1" si="82"/>
        <v>59.963280380249024</v>
      </c>
      <c r="T389" s="19">
        <f t="shared" ca="1" si="84"/>
        <v>2.1520960481243977E-2</v>
      </c>
      <c r="U389" s="14"/>
      <c r="V389" s="15">
        <f t="shared" ca="1" si="83"/>
        <v>1.26328</v>
      </c>
      <c r="W389" s="14"/>
      <c r="X389" s="2"/>
    </row>
    <row r="390" spans="8:24" x14ac:dyDescent="0.25">
      <c r="H390" s="14">
        <v>58.800000000000004</v>
      </c>
      <c r="I390" s="17">
        <v>3.3023398636230676</v>
      </c>
      <c r="J390" s="15">
        <f t="shared" si="74"/>
        <v>-1.9999999999999999E-6</v>
      </c>
      <c r="K390" s="30">
        <f t="shared" si="75"/>
        <v>1.94E-4</v>
      </c>
      <c r="L390" s="15">
        <f t="shared" si="76"/>
        <v>1.0333999999999999E-2</v>
      </c>
      <c r="M390" s="10">
        <f t="shared" si="77"/>
        <v>3.3368826091338568</v>
      </c>
      <c r="N390" s="18">
        <f t="shared" si="78"/>
        <v>1.0460081922910137E-2</v>
      </c>
      <c r="O390" s="14">
        <f t="shared" si="79"/>
        <v>17802.589599999999</v>
      </c>
      <c r="P390" s="14">
        <f t="shared" ca="1" si="73"/>
        <v>17801</v>
      </c>
      <c r="Q390" s="14" t="str">
        <f t="shared" ca="1" si="80"/>
        <v>0100010110001001</v>
      </c>
      <c r="R390" s="14">
        <f t="shared" ca="1" si="81"/>
        <v>3.337585641860962</v>
      </c>
      <c r="S390" s="14">
        <f t="shared" ca="1" si="82"/>
        <v>60.051027702331545</v>
      </c>
      <c r="T390" s="19">
        <f t="shared" ca="1" si="84"/>
        <v>2.1275981332169062E-2</v>
      </c>
      <c r="U390" s="14"/>
      <c r="V390" s="15">
        <f t="shared" ca="1" si="83"/>
        <v>1.251028</v>
      </c>
      <c r="W390" s="14"/>
      <c r="X390" s="2"/>
    </row>
    <row r="391" spans="8:24" x14ac:dyDescent="0.25">
      <c r="H391" s="14">
        <v>58.900000000000006</v>
      </c>
      <c r="I391" s="17">
        <v>3.3111274850314718</v>
      </c>
      <c r="J391" s="15">
        <f t="shared" si="74"/>
        <v>-9.9999999999999995E-7</v>
      </c>
      <c r="K391" s="30">
        <f t="shared" si="75"/>
        <v>1.95E-4</v>
      </c>
      <c r="L391" s="15">
        <f t="shared" si="76"/>
        <v>1.0364999999999999E-2</v>
      </c>
      <c r="M391" s="10">
        <f t="shared" si="77"/>
        <v>3.3458657826991485</v>
      </c>
      <c r="N391" s="18">
        <f t="shared" si="78"/>
        <v>1.0491380300129544E-2</v>
      </c>
      <c r="O391" s="14">
        <f t="shared" si="79"/>
        <v>17850.515599999999</v>
      </c>
      <c r="P391" s="14">
        <f t="shared" ca="1" si="73"/>
        <v>17855</v>
      </c>
      <c r="Q391" s="14" t="str">
        <f t="shared" ca="1" si="80"/>
        <v>0100010110111111</v>
      </c>
      <c r="R391" s="14">
        <f t="shared" ca="1" si="81"/>
        <v>3.3477103328704834</v>
      </c>
      <c r="S391" s="14">
        <f t="shared" ca="1" si="82"/>
        <v>60.172523994445804</v>
      </c>
      <c r="T391" s="19">
        <f t="shared" ca="1" si="84"/>
        <v>2.1604821637449884E-2</v>
      </c>
      <c r="U391" s="14"/>
      <c r="V391" s="15">
        <f t="shared" ca="1" si="83"/>
        <v>1.272524</v>
      </c>
      <c r="W391" s="14"/>
      <c r="X391" s="2"/>
    </row>
    <row r="392" spans="8:24" x14ac:dyDescent="0.25">
      <c r="H392" s="14">
        <v>59</v>
      </c>
      <c r="I392" s="17">
        <v>3.3199305368106602</v>
      </c>
      <c r="J392" s="15">
        <f t="shared" si="74"/>
        <v>-9.9999999999999995E-7</v>
      </c>
      <c r="K392" s="30">
        <f t="shared" si="75"/>
        <v>1.95E-4</v>
      </c>
      <c r="L392" s="15">
        <f t="shared" si="76"/>
        <v>1.0395E-2</v>
      </c>
      <c r="M392" s="10">
        <f t="shared" si="77"/>
        <v>3.3548627319997983</v>
      </c>
      <c r="N392" s="18">
        <f t="shared" si="78"/>
        <v>1.0521965686274953E-2</v>
      </c>
      <c r="O392" s="14">
        <f t="shared" si="79"/>
        <v>17898.515200000002</v>
      </c>
      <c r="P392" s="14">
        <f t="shared" ca="1" si="73"/>
        <v>17902</v>
      </c>
      <c r="Q392" s="14" t="str">
        <f t="shared" ca="1" si="80"/>
        <v>0100010111101110</v>
      </c>
      <c r="R392" s="14">
        <f t="shared" ca="1" si="81"/>
        <v>3.3565225639343264</v>
      </c>
      <c r="S392" s="14">
        <f t="shared" ca="1" si="82"/>
        <v>60.278270767211914</v>
      </c>
      <c r="T392" s="19">
        <f t="shared" ca="1" si="84"/>
        <v>2.1665606223930753E-2</v>
      </c>
      <c r="U392" s="14"/>
      <c r="V392" s="15">
        <f t="shared" ca="1" si="83"/>
        <v>1.2782709999999999</v>
      </c>
      <c r="W392" s="14"/>
      <c r="X392" s="2"/>
    </row>
    <row r="393" spans="8:24" x14ac:dyDescent="0.25">
      <c r="H393" s="14">
        <v>59.1</v>
      </c>
      <c r="I393" s="17">
        <v>3.3293232634242127</v>
      </c>
      <c r="J393" s="15">
        <f t="shared" si="74"/>
        <v>0</v>
      </c>
      <c r="K393" s="30">
        <f t="shared" si="75"/>
        <v>1.9599999999999999E-4</v>
      </c>
      <c r="L393" s="15">
        <f t="shared" si="76"/>
        <v>1.0426E-2</v>
      </c>
      <c r="M393" s="10">
        <f t="shared" si="77"/>
        <v>3.3644585030692125</v>
      </c>
      <c r="N393" s="18">
        <f t="shared" si="78"/>
        <v>1.0553267695868958E-2</v>
      </c>
      <c r="O393" s="14">
        <f t="shared" si="79"/>
        <v>17949.709599999998</v>
      </c>
      <c r="P393" s="14">
        <f t="shared" ca="1" si="73"/>
        <v>17951</v>
      </c>
      <c r="Q393" s="14" t="str">
        <f t="shared" ca="1" si="80"/>
        <v>0100011000011111</v>
      </c>
      <c r="R393" s="14">
        <f t="shared" ca="1" si="81"/>
        <v>3.365709783554077</v>
      </c>
      <c r="S393" s="14">
        <f t="shared" ca="1" si="82"/>
        <v>60.388517402648922</v>
      </c>
      <c r="T393" s="19">
        <f t="shared" ca="1" si="84"/>
        <v>2.1802324917917445E-2</v>
      </c>
      <c r="U393" s="14"/>
      <c r="V393" s="15">
        <f t="shared" ca="1" si="83"/>
        <v>1.2885169999999999</v>
      </c>
      <c r="W393" s="14"/>
      <c r="X393" s="2"/>
    </row>
    <row r="394" spans="8:24" x14ac:dyDescent="0.25">
      <c r="H394" s="14">
        <v>59.2</v>
      </c>
      <c r="I394" s="17">
        <v>3.3381557465907719</v>
      </c>
      <c r="J394" s="15">
        <f t="shared" si="74"/>
        <v>0</v>
      </c>
      <c r="K394" s="30">
        <f t="shared" si="75"/>
        <v>1.9599999999999999E-4</v>
      </c>
      <c r="L394" s="15">
        <f t="shared" si="76"/>
        <v>1.0456E-2</v>
      </c>
      <c r="M394" s="10">
        <f t="shared" si="77"/>
        <v>3.3734863130318327</v>
      </c>
      <c r="N394" s="18">
        <f t="shared" si="78"/>
        <v>1.058385801116188E-2</v>
      </c>
      <c r="O394" s="14">
        <f t="shared" si="79"/>
        <v>17997.873800000001</v>
      </c>
      <c r="P394" s="14">
        <f t="shared" ca="1" si="73"/>
        <v>18000</v>
      </c>
      <c r="Q394" s="14" t="str">
        <f t="shared" ca="1" si="80"/>
        <v>0100011001010000</v>
      </c>
      <c r="R394" s="14">
        <f t="shared" ca="1" si="81"/>
        <v>3.3748970031738281</v>
      </c>
      <c r="S394" s="14">
        <f t="shared" ca="1" si="82"/>
        <v>60.498764038085945</v>
      </c>
      <c r="T394" s="19">
        <f t="shared" ca="1" si="84"/>
        <v>2.1938581724424693E-2</v>
      </c>
      <c r="U394" s="14"/>
      <c r="V394" s="15">
        <f t="shared" ca="1" si="83"/>
        <v>1.298764</v>
      </c>
      <c r="W394" s="14"/>
      <c r="X394" s="2"/>
    </row>
    <row r="395" spans="8:24" x14ac:dyDescent="0.25">
      <c r="H395" s="14">
        <v>59.300000000000004</v>
      </c>
      <c r="I395" s="17">
        <v>3.3470033036842954</v>
      </c>
      <c r="J395" s="15">
        <f t="shared" si="74"/>
        <v>9.9999999999999995E-7</v>
      </c>
      <c r="K395" s="30">
        <f t="shared" si="75"/>
        <v>1.9699999999999999E-4</v>
      </c>
      <c r="L395" s="15">
        <f t="shared" si="76"/>
        <v>1.0487E-2</v>
      </c>
      <c r="M395" s="10">
        <f t="shared" si="77"/>
        <v>3.3825323117920587</v>
      </c>
      <c r="N395" s="18">
        <f t="shared" si="78"/>
        <v>1.0615169715743588E-2</v>
      </c>
      <c r="O395" s="14">
        <f t="shared" si="79"/>
        <v>18046.1351</v>
      </c>
      <c r="P395" s="14">
        <f t="shared" ca="1" si="73"/>
        <v>18049</v>
      </c>
      <c r="Q395" s="14" t="str">
        <f t="shared" ca="1" si="80"/>
        <v>0100011010000001</v>
      </c>
      <c r="R395" s="14">
        <f t="shared" ca="1" si="81"/>
        <v>3.3840842227935792</v>
      </c>
      <c r="S395" s="14">
        <f t="shared" ca="1" si="82"/>
        <v>60.609010673522953</v>
      </c>
      <c r="T395" s="19">
        <f t="shared" ca="1" si="84"/>
        <v>2.2074378980150897E-2</v>
      </c>
      <c r="U395" s="14"/>
      <c r="V395" s="15">
        <f t="shared" ca="1" si="83"/>
        <v>1.3090109999999999</v>
      </c>
      <c r="W395" s="14"/>
      <c r="X395" s="2"/>
    </row>
    <row r="396" spans="8:24" x14ac:dyDescent="0.25">
      <c r="H396" s="14">
        <v>59.400000000000006</v>
      </c>
      <c r="I396" s="17">
        <v>3.3558658159750396</v>
      </c>
      <c r="J396" s="15">
        <f t="shared" si="74"/>
        <v>1.9999999999999999E-6</v>
      </c>
      <c r="K396" s="30">
        <f t="shared" si="75"/>
        <v>1.9699999999999999E-4</v>
      </c>
      <c r="L396" s="15">
        <f t="shared" si="76"/>
        <v>1.0517E-2</v>
      </c>
      <c r="M396" s="10">
        <f t="shared" si="77"/>
        <v>3.3915905639501029</v>
      </c>
      <c r="N396" s="18">
        <f t="shared" si="78"/>
        <v>1.064546377420742E-2</v>
      </c>
      <c r="O396" s="14">
        <f t="shared" si="79"/>
        <v>18094.461800000001</v>
      </c>
      <c r="P396" s="14">
        <f t="shared" ca="1" si="73"/>
        <v>18096</v>
      </c>
      <c r="Q396" s="14" t="str">
        <f t="shared" ca="1" si="80"/>
        <v>0100011010110000</v>
      </c>
      <c r="R396" s="14">
        <f t="shared" ca="1" si="81"/>
        <v>3.3928964538574218</v>
      </c>
      <c r="S396" s="14">
        <f t="shared" ca="1" si="82"/>
        <v>60.714757446289063</v>
      </c>
      <c r="T396" s="19">
        <f t="shared" ca="1" si="84"/>
        <v>2.2133963742240022E-2</v>
      </c>
      <c r="U396" s="14"/>
      <c r="V396" s="15">
        <f t="shared" ca="1" si="83"/>
        <v>1.314757</v>
      </c>
      <c r="W396" s="14"/>
      <c r="X396" s="2"/>
    </row>
    <row r="397" spans="8:24" x14ac:dyDescent="0.25">
      <c r="H397" s="14">
        <v>59.5</v>
      </c>
      <c r="I397" s="17">
        <v>3.3647431647405335</v>
      </c>
      <c r="J397" s="15">
        <f t="shared" si="74"/>
        <v>1.9999999999999999E-6</v>
      </c>
      <c r="K397" s="30">
        <f t="shared" si="75"/>
        <v>1.9799999999999999E-4</v>
      </c>
      <c r="L397" s="15">
        <f t="shared" si="76"/>
        <v>1.0548E-2</v>
      </c>
      <c r="M397" s="10">
        <f t="shared" si="77"/>
        <v>3.4006688075384495</v>
      </c>
      <c r="N397" s="18">
        <f t="shared" si="78"/>
        <v>1.0677083224177182E-2</v>
      </c>
      <c r="O397" s="14">
        <f t="shared" si="79"/>
        <v>18142.895100000002</v>
      </c>
      <c r="P397" s="14">
        <f t="shared" ca="1" si="73"/>
        <v>18141</v>
      </c>
      <c r="Q397" s="14" t="str">
        <f t="shared" ca="1" si="80"/>
        <v>0100011011011101</v>
      </c>
      <c r="R397" s="14">
        <f t="shared" ca="1" si="81"/>
        <v>3.4013336963653567</v>
      </c>
      <c r="S397" s="14">
        <f t="shared" ca="1" si="82"/>
        <v>60.816004356384283</v>
      </c>
      <c r="T397" s="19">
        <f t="shared" ca="1" si="84"/>
        <v>2.2117720275366105E-2</v>
      </c>
      <c r="U397" s="14"/>
      <c r="V397" s="15">
        <f t="shared" ca="1" si="83"/>
        <v>1.316004</v>
      </c>
      <c r="W397" s="14"/>
      <c r="X397" s="2"/>
    </row>
    <row r="398" spans="8:24" x14ac:dyDescent="0.25">
      <c r="H398" s="14">
        <v>59.6</v>
      </c>
      <c r="I398" s="17">
        <v>3.3736352308436932</v>
      </c>
      <c r="J398" s="15">
        <f t="shared" si="74"/>
        <v>3.0000000000000001E-6</v>
      </c>
      <c r="K398" s="30">
        <f t="shared" si="75"/>
        <v>1.9799999999999999E-4</v>
      </c>
      <c r="L398" s="15">
        <f t="shared" si="76"/>
        <v>1.0578000000000001E-2</v>
      </c>
      <c r="M398" s="10">
        <f t="shared" si="77"/>
        <v>3.4097580378440071</v>
      </c>
      <c r="N398" s="18">
        <f t="shared" si="78"/>
        <v>1.0707383735520258E-2</v>
      </c>
      <c r="O398" s="14">
        <f t="shared" si="79"/>
        <v>18191.386999999999</v>
      </c>
      <c r="P398" s="14">
        <f t="shared" ca="1" si="73"/>
        <v>18190</v>
      </c>
      <c r="Q398" s="14" t="str">
        <f t="shared" ca="1" si="80"/>
        <v>0100011100001110</v>
      </c>
      <c r="R398" s="14">
        <f t="shared" ca="1" si="81"/>
        <v>3.4105209159851073</v>
      </c>
      <c r="S398" s="14">
        <f t="shared" ca="1" si="82"/>
        <v>60.926250991821291</v>
      </c>
      <c r="T398" s="19">
        <f t="shared" ca="1" si="84"/>
        <v>2.2252533419820301E-2</v>
      </c>
      <c r="U398" s="14"/>
      <c r="V398" s="15">
        <f t="shared" ca="1" si="83"/>
        <v>1.3262510000000001</v>
      </c>
      <c r="W398" s="14"/>
      <c r="X398" s="2"/>
    </row>
    <row r="399" spans="8:24" x14ac:dyDescent="0.25">
      <c r="H399" s="14">
        <v>59.7</v>
      </c>
      <c r="I399" s="17">
        <v>3.3825418960930556</v>
      </c>
      <c r="J399" s="15">
        <f t="shared" si="74"/>
        <v>3.0000000000000001E-6</v>
      </c>
      <c r="K399" s="30">
        <f t="shared" si="75"/>
        <v>1.9900000000000001E-4</v>
      </c>
      <c r="L399" s="15">
        <f t="shared" si="76"/>
        <v>1.0609E-2</v>
      </c>
      <c r="M399" s="10">
        <f t="shared" si="77"/>
        <v>3.4188670412112661</v>
      </c>
      <c r="N399" s="18">
        <f t="shared" si="78"/>
        <v>1.0739008187945051E-2</v>
      </c>
      <c r="O399" s="14">
        <f t="shared" si="79"/>
        <v>18239.984400000001</v>
      </c>
      <c r="P399" s="14">
        <f t="shared" ref="P399:P462" ca="1" si="85">ROUND(O399+$C$47+$C$49+RANDBETWEEN($B$45,$D$45) + 1,0)</f>
        <v>18242</v>
      </c>
      <c r="Q399" s="14" t="str">
        <f t="shared" ca="1" si="80"/>
        <v>0100011101000010</v>
      </c>
      <c r="R399" s="14">
        <f t="shared" ca="1" si="81"/>
        <v>3.4202706184387206</v>
      </c>
      <c r="S399" s="14">
        <f t="shared" ca="1" si="82"/>
        <v>61.043247421264645</v>
      </c>
      <c r="T399" s="19">
        <f t="shared" ca="1" si="84"/>
        <v>2.2499956805102889E-2</v>
      </c>
      <c r="U399" s="14"/>
      <c r="V399" s="15">
        <f t="shared" ca="1" si="83"/>
        <v>1.3432470000000001</v>
      </c>
      <c r="W399" s="14"/>
      <c r="X399" s="2"/>
    </row>
    <row r="400" spans="8:24" x14ac:dyDescent="0.25">
      <c r="H400" s="14">
        <v>59.800000000000004</v>
      </c>
      <c r="I400" s="17">
        <v>3.3920299169623997</v>
      </c>
      <c r="J400" s="15">
        <f t="shared" si="74"/>
        <v>3.9999999999999998E-6</v>
      </c>
      <c r="K400" s="30">
        <f t="shared" si="75"/>
        <v>1.9900000000000001E-4</v>
      </c>
      <c r="L400" s="15">
        <f t="shared" si="76"/>
        <v>1.0638999999999999E-2</v>
      </c>
      <c r="M400" s="10">
        <f t="shared" si="77"/>
        <v>3.4285597470492566</v>
      </c>
      <c r="N400" s="18">
        <f t="shared" si="78"/>
        <v>1.0769312471032008E-2</v>
      </c>
      <c r="O400" s="14">
        <f t="shared" si="79"/>
        <v>18291.695899999999</v>
      </c>
      <c r="P400" s="14">
        <f t="shared" ca="1" si="85"/>
        <v>18292</v>
      </c>
      <c r="Q400" s="14" t="str">
        <f t="shared" ca="1" si="80"/>
        <v>0100011101110100</v>
      </c>
      <c r="R400" s="14">
        <f t="shared" ca="1" si="81"/>
        <v>3.4296453323364258</v>
      </c>
      <c r="S400" s="14">
        <f t="shared" ca="1" si="82"/>
        <v>61.155743988037116</v>
      </c>
      <c r="T400" s="19">
        <f t="shared" ca="1" si="84"/>
        <v>2.2671304147777793E-2</v>
      </c>
      <c r="U400" s="14"/>
      <c r="V400" s="15">
        <f t="shared" ca="1" si="83"/>
        <v>1.3557440000000001</v>
      </c>
      <c r="W400" s="14"/>
      <c r="X400" s="2"/>
    </row>
    <row r="401" spans="8:24" x14ac:dyDescent="0.25">
      <c r="H401" s="14">
        <v>59.900000000000006</v>
      </c>
      <c r="I401" s="17">
        <v>3.4009643580023194</v>
      </c>
      <c r="J401" s="15">
        <f t="shared" si="74"/>
        <v>3.9999999999999998E-6</v>
      </c>
      <c r="K401" s="30">
        <f t="shared" si="75"/>
        <v>2.0000000000000001E-4</v>
      </c>
      <c r="L401" s="15">
        <f t="shared" si="76"/>
        <v>1.0670000000000001E-2</v>
      </c>
      <c r="M401" s="10">
        <f t="shared" si="77"/>
        <v>3.4376979765521307</v>
      </c>
      <c r="N401" s="18">
        <f t="shared" si="78"/>
        <v>1.0800941933830823E-2</v>
      </c>
      <c r="O401" s="14">
        <f t="shared" si="79"/>
        <v>18340.449199999999</v>
      </c>
      <c r="P401" s="14">
        <f t="shared" ca="1" si="85"/>
        <v>18342</v>
      </c>
      <c r="Q401" s="14" t="str">
        <f t="shared" ca="1" si="80"/>
        <v>0100011110100110</v>
      </c>
      <c r="R401" s="14">
        <f t="shared" ca="1" si="81"/>
        <v>3.4390200462341309</v>
      </c>
      <c r="S401" s="14">
        <f t="shared" ca="1" si="82"/>
        <v>61.268240554809573</v>
      </c>
      <c r="T401" s="19">
        <f t="shared" ca="1" si="84"/>
        <v>2.284207937912466E-2</v>
      </c>
      <c r="U401" s="14"/>
      <c r="V401" s="15">
        <f t="shared" ca="1" si="83"/>
        <v>1.368241</v>
      </c>
      <c r="W401" s="14"/>
      <c r="X401" s="2"/>
    </row>
    <row r="402" spans="8:24" x14ac:dyDescent="0.25">
      <c r="H402" s="14">
        <v>60</v>
      </c>
      <c r="I402" s="17">
        <v>3.4093483003812226</v>
      </c>
      <c r="J402" s="15">
        <f t="shared" si="74"/>
        <v>5.0000000000000004E-6</v>
      </c>
      <c r="K402" s="30">
        <f t="shared" si="75"/>
        <v>2.0000000000000001E-4</v>
      </c>
      <c r="L402" s="15">
        <f t="shared" si="76"/>
        <v>1.0699999999999999E-2</v>
      </c>
      <c r="M402" s="10">
        <f t="shared" si="77"/>
        <v>3.4462758311747934</v>
      </c>
      <c r="N402" s="18">
        <f t="shared" si="78"/>
        <v>1.0831257923821303E-2</v>
      </c>
      <c r="O402" s="14">
        <f t="shared" si="79"/>
        <v>18386.212899999999</v>
      </c>
      <c r="P402" s="14">
        <f t="shared" ca="1" si="85"/>
        <v>18385</v>
      </c>
      <c r="Q402" s="14" t="str">
        <f t="shared" ca="1" si="80"/>
        <v>0100011111010001</v>
      </c>
      <c r="R402" s="14">
        <f t="shared" ca="1" si="81"/>
        <v>3.4470823001861572</v>
      </c>
      <c r="S402" s="14">
        <f t="shared" ca="1" si="82"/>
        <v>61.364987602233889</v>
      </c>
      <c r="T402" s="19">
        <f t="shared" ca="1" si="84"/>
        <v>2.2749793370564812E-2</v>
      </c>
      <c r="U402" s="14"/>
      <c r="V402" s="15">
        <f t="shared" ca="1" si="83"/>
        <v>1.3649880000000001</v>
      </c>
      <c r="W402" s="14"/>
      <c r="X402" s="2"/>
    </row>
    <row r="403" spans="8:24" x14ac:dyDescent="0.25">
      <c r="H403" s="14">
        <v>60.1</v>
      </c>
      <c r="I403" s="17">
        <v>3.4183121766711224</v>
      </c>
      <c r="J403" s="15">
        <f t="shared" si="74"/>
        <v>6.0000000000000002E-6</v>
      </c>
      <c r="K403" s="30">
        <f t="shared" si="75"/>
        <v>2.0100000000000001E-4</v>
      </c>
      <c r="L403" s="15">
        <f t="shared" si="76"/>
        <v>1.0730999999999999E-2</v>
      </c>
      <c r="M403" s="10">
        <f t="shared" si="77"/>
        <v>3.4554439230109533</v>
      </c>
      <c r="N403" s="18">
        <f t="shared" si="78"/>
        <v>1.0862596632701671E-2</v>
      </c>
      <c r="O403" s="14">
        <f t="shared" si="79"/>
        <v>18435.125599999999</v>
      </c>
      <c r="P403" s="14">
        <f t="shared" ca="1" si="85"/>
        <v>18437</v>
      </c>
      <c r="Q403" s="14" t="str">
        <f t="shared" ca="1" si="80"/>
        <v>0100100000000101</v>
      </c>
      <c r="R403" s="14">
        <f t="shared" ca="1" si="81"/>
        <v>3.4568320026397705</v>
      </c>
      <c r="S403" s="14">
        <f t="shared" ca="1" si="82"/>
        <v>61.48198403167725</v>
      </c>
      <c r="T403" s="19">
        <f t="shared" ca="1" si="84"/>
        <v>2.2994742623581504E-2</v>
      </c>
      <c r="U403" s="14"/>
      <c r="V403" s="15">
        <f t="shared" ca="1" si="83"/>
        <v>1.3819840000000001</v>
      </c>
      <c r="W403" s="14"/>
      <c r="X403" s="2"/>
    </row>
    <row r="404" spans="8:24" x14ac:dyDescent="0.25">
      <c r="H404" s="14">
        <v>60.2</v>
      </c>
      <c r="I404" s="17">
        <v>3.4272900606262384</v>
      </c>
      <c r="J404" s="15">
        <f t="shared" si="74"/>
        <v>6.0000000000000002E-6</v>
      </c>
      <c r="K404" s="30">
        <f t="shared" si="75"/>
        <v>2.0100000000000001E-4</v>
      </c>
      <c r="L404" s="15">
        <f t="shared" si="76"/>
        <v>1.0761E-2</v>
      </c>
      <c r="M404" s="10">
        <f t="shared" si="77"/>
        <v>3.4646242581299753</v>
      </c>
      <c r="N404" s="18">
        <f t="shared" si="78"/>
        <v>1.0893212083985431E-2</v>
      </c>
      <c r="O404" s="14">
        <f t="shared" si="79"/>
        <v>18484.103500000001</v>
      </c>
      <c r="P404" s="14">
        <f t="shared" ca="1" si="85"/>
        <v>18485</v>
      </c>
      <c r="Q404" s="14" t="str">
        <f t="shared" ca="1" si="80"/>
        <v>0100100000110101</v>
      </c>
      <c r="R404" s="14">
        <f t="shared" ca="1" si="81"/>
        <v>3.4658317279815676</v>
      </c>
      <c r="S404" s="14">
        <f t="shared" ca="1" si="82"/>
        <v>61.589980735778809</v>
      </c>
      <c r="T404" s="19">
        <f t="shared" ca="1" si="84"/>
        <v>2.3089380993003426E-2</v>
      </c>
      <c r="U404" s="14"/>
      <c r="V404" s="15">
        <f t="shared" ca="1" si="83"/>
        <v>1.3899809999999999</v>
      </c>
      <c r="W404" s="14"/>
      <c r="X404" s="2"/>
    </row>
    <row r="405" spans="8:24" x14ac:dyDescent="0.25">
      <c r="H405" s="14">
        <v>60.300000000000004</v>
      </c>
      <c r="I405" s="17">
        <v>3.4357202847119268</v>
      </c>
      <c r="J405" s="15">
        <f t="shared" si="74"/>
        <v>6.9999999999999999E-6</v>
      </c>
      <c r="K405" s="30">
        <f t="shared" si="75"/>
        <v>2.02E-4</v>
      </c>
      <c r="L405" s="15">
        <f t="shared" si="76"/>
        <v>1.0792E-2</v>
      </c>
      <c r="M405" s="10">
        <f t="shared" si="77"/>
        <v>3.4732540161178709</v>
      </c>
      <c r="N405" s="18">
        <f t="shared" si="78"/>
        <v>1.0924559712546897E-2</v>
      </c>
      <c r="O405" s="14">
        <f t="shared" si="79"/>
        <v>18530.144100000001</v>
      </c>
      <c r="P405" s="14">
        <f t="shared" ca="1" si="85"/>
        <v>18533</v>
      </c>
      <c r="Q405" s="14" t="str">
        <f t="shared" ca="1" si="80"/>
        <v>0100100001100101</v>
      </c>
      <c r="R405" s="14">
        <f t="shared" ca="1" si="81"/>
        <v>3.4748314533233642</v>
      </c>
      <c r="S405" s="14">
        <f t="shared" ca="1" si="82"/>
        <v>61.697977439880368</v>
      </c>
      <c r="T405" s="19">
        <f t="shared" ca="1" si="84"/>
        <v>2.3183705470652804E-2</v>
      </c>
      <c r="U405" s="14"/>
      <c r="V405" s="15">
        <f t="shared" ca="1" si="83"/>
        <v>1.397977</v>
      </c>
      <c r="W405" s="14"/>
      <c r="X405" s="2"/>
    </row>
    <row r="406" spans="8:24" x14ac:dyDescent="0.25">
      <c r="H406" s="14">
        <v>60.400000000000006</v>
      </c>
      <c r="I406" s="17">
        <v>3.4441664061948356</v>
      </c>
      <c r="J406" s="15">
        <f t="shared" si="74"/>
        <v>6.9999999999999999E-6</v>
      </c>
      <c r="K406" s="30">
        <f t="shared" si="75"/>
        <v>2.02E-4</v>
      </c>
      <c r="L406" s="15">
        <f t="shared" si="76"/>
        <v>1.0822E-2</v>
      </c>
      <c r="M406" s="10">
        <f t="shared" si="77"/>
        <v>3.4818978773474902</v>
      </c>
      <c r="N406" s="18">
        <f t="shared" si="78"/>
        <v>1.0955182387468001E-2</v>
      </c>
      <c r="O406" s="14">
        <f t="shared" si="79"/>
        <v>18576.259999999998</v>
      </c>
      <c r="P406" s="14">
        <f t="shared" ca="1" si="85"/>
        <v>18579</v>
      </c>
      <c r="Q406" s="14" t="str">
        <f t="shared" ca="1" si="80"/>
        <v>0100100010010011</v>
      </c>
      <c r="R406" s="14">
        <f t="shared" ca="1" si="81"/>
        <v>3.4834561901092531</v>
      </c>
      <c r="S406" s="14">
        <f t="shared" ca="1" si="82"/>
        <v>61.801474281311044</v>
      </c>
      <c r="T406" s="19">
        <f t="shared" ca="1" si="84"/>
        <v>2.3203216577997329E-2</v>
      </c>
      <c r="U406" s="14"/>
      <c r="V406" s="15">
        <f t="shared" ca="1" si="83"/>
        <v>1.4014740000000001</v>
      </c>
      <c r="W406" s="14"/>
      <c r="X406" s="2"/>
    </row>
    <row r="407" spans="8:24" x14ac:dyDescent="0.25">
      <c r="H407" s="14">
        <v>60.5</v>
      </c>
      <c r="I407" s="17">
        <v>3.4531877270566667</v>
      </c>
      <c r="J407" s="15">
        <f t="shared" si="74"/>
        <v>7.9999999999999996E-6</v>
      </c>
      <c r="K407" s="30">
        <f t="shared" si="75"/>
        <v>2.03E-4</v>
      </c>
      <c r="L407" s="15">
        <f t="shared" si="76"/>
        <v>1.0853E-2</v>
      </c>
      <c r="M407" s="10">
        <f t="shared" si="77"/>
        <v>3.4911262912212915</v>
      </c>
      <c r="N407" s="18">
        <f t="shared" si="78"/>
        <v>1.0986533940036285E-2</v>
      </c>
      <c r="O407" s="14">
        <f t="shared" si="79"/>
        <v>18625.4944</v>
      </c>
      <c r="P407" s="14">
        <f t="shared" ca="1" si="85"/>
        <v>18627</v>
      </c>
      <c r="Q407" s="14" t="str">
        <f t="shared" ca="1" si="80"/>
        <v>0100100011000011</v>
      </c>
      <c r="R407" s="14">
        <f t="shared" ca="1" si="81"/>
        <v>3.4924559154510497</v>
      </c>
      <c r="S407" s="14">
        <f t="shared" ca="1" si="82"/>
        <v>61.909470985412604</v>
      </c>
      <c r="T407" s="19">
        <f t="shared" ca="1" si="84"/>
        <v>2.3297041081200062E-2</v>
      </c>
      <c r="U407" s="14"/>
      <c r="V407" s="15">
        <f t="shared" ca="1" si="83"/>
        <v>1.4094709999999999</v>
      </c>
      <c r="W407" s="14"/>
      <c r="X407" s="2"/>
    </row>
    <row r="408" spans="8:24" x14ac:dyDescent="0.25">
      <c r="H408" s="14">
        <v>60.6</v>
      </c>
      <c r="I408" s="17">
        <v>3.4622225823378203</v>
      </c>
      <c r="J408" s="15">
        <f t="shared" si="74"/>
        <v>7.9999999999999996E-6</v>
      </c>
      <c r="K408" s="30">
        <f t="shared" si="75"/>
        <v>2.03E-4</v>
      </c>
      <c r="L408" s="15">
        <f t="shared" si="76"/>
        <v>1.0883E-2</v>
      </c>
      <c r="M408" s="10">
        <f t="shared" si="77"/>
        <v>3.5003664390803317</v>
      </c>
      <c r="N408" s="18">
        <f t="shared" si="78"/>
        <v>1.1017159017186954E-2</v>
      </c>
      <c r="O408" s="14">
        <f t="shared" si="79"/>
        <v>18674.791499999999</v>
      </c>
      <c r="P408" s="14">
        <f t="shared" ca="1" si="85"/>
        <v>18676</v>
      </c>
      <c r="Q408" s="14" t="str">
        <f t="shared" ca="1" si="80"/>
        <v>0100100011110100</v>
      </c>
      <c r="R408" s="14">
        <f t="shared" ca="1" si="81"/>
        <v>3.5016431350708008</v>
      </c>
      <c r="S408" s="14">
        <f t="shared" ca="1" si="82"/>
        <v>62.019717620849612</v>
      </c>
      <c r="T408" s="19">
        <f t="shared" ca="1" si="84"/>
        <v>2.3427683512369808E-2</v>
      </c>
      <c r="U408" s="14"/>
      <c r="V408" s="15">
        <f t="shared" ca="1" si="83"/>
        <v>1.419718</v>
      </c>
      <c r="W408" s="14"/>
      <c r="X408" s="2"/>
    </row>
    <row r="409" spans="8:24" x14ac:dyDescent="0.25">
      <c r="H409" s="14">
        <v>60.7</v>
      </c>
      <c r="I409" s="17">
        <v>3.4707135522888941</v>
      </c>
      <c r="J409" s="15">
        <f t="shared" si="74"/>
        <v>9.0000000000000002E-6</v>
      </c>
      <c r="K409" s="30">
        <f t="shared" si="75"/>
        <v>2.04E-4</v>
      </c>
      <c r="L409" s="15">
        <f t="shared" si="76"/>
        <v>1.0914E-2</v>
      </c>
      <c r="M409" s="10">
        <f t="shared" si="77"/>
        <v>3.5090597979112981</v>
      </c>
      <c r="N409" s="18">
        <f t="shared" si="78"/>
        <v>1.1048519287082932E-2</v>
      </c>
      <c r="O409" s="14">
        <f t="shared" si="79"/>
        <v>18721.171399999999</v>
      </c>
      <c r="P409" s="14">
        <f t="shared" ca="1" si="85"/>
        <v>18722</v>
      </c>
      <c r="Q409" s="14" t="str">
        <f t="shared" ca="1" si="80"/>
        <v>0100100100100010</v>
      </c>
      <c r="R409" s="14">
        <f t="shared" ca="1" si="81"/>
        <v>3.5102678718566893</v>
      </c>
      <c r="S409" s="14">
        <f t="shared" ca="1" si="82"/>
        <v>62.123214462280274</v>
      </c>
      <c r="T409" s="19">
        <f t="shared" ca="1" si="84"/>
        <v>2.3446696248439383E-2</v>
      </c>
      <c r="U409" s="14"/>
      <c r="V409" s="15">
        <f t="shared" ca="1" si="83"/>
        <v>1.423214</v>
      </c>
      <c r="W409" s="14"/>
      <c r="X409" s="2"/>
    </row>
    <row r="410" spans="8:24" x14ac:dyDescent="0.25">
      <c r="H410" s="14">
        <v>60.800000000000004</v>
      </c>
      <c r="I410" s="17">
        <v>3.4803324258001069</v>
      </c>
      <c r="J410" s="15">
        <f t="shared" si="74"/>
        <v>1.0000000000000001E-5</v>
      </c>
      <c r="K410" s="30">
        <f t="shared" si="75"/>
        <v>2.04E-4</v>
      </c>
      <c r="L410" s="15">
        <f t="shared" si="76"/>
        <v>1.0944000000000001E-2</v>
      </c>
      <c r="M410" s="10">
        <f t="shared" si="77"/>
        <v>3.518890528997455</v>
      </c>
      <c r="N410" s="18">
        <f t="shared" si="78"/>
        <v>1.1078856407943222E-2</v>
      </c>
      <c r="O410" s="14">
        <f t="shared" si="79"/>
        <v>18773.619299999998</v>
      </c>
      <c r="P410" s="14">
        <f t="shared" ca="1" si="85"/>
        <v>18772</v>
      </c>
      <c r="Q410" s="14" t="str">
        <f t="shared" ca="1" si="80"/>
        <v>0100100101010100</v>
      </c>
      <c r="R410" s="14">
        <f t="shared" ca="1" si="81"/>
        <v>3.5196425857543945</v>
      </c>
      <c r="S410" s="14">
        <f t="shared" ca="1" si="82"/>
        <v>62.235711029052737</v>
      </c>
      <c r="T410" s="19">
        <f t="shared" ca="1" si="84"/>
        <v>2.3613668240998899E-2</v>
      </c>
      <c r="U410" s="14"/>
      <c r="V410" s="15">
        <f t="shared" ca="1" si="83"/>
        <v>1.435711</v>
      </c>
      <c r="W410" s="14"/>
      <c r="X410" s="2"/>
    </row>
    <row r="411" spans="8:24" x14ac:dyDescent="0.25">
      <c r="H411" s="14">
        <v>60.900000000000006</v>
      </c>
      <c r="I411" s="17">
        <v>3.488851993520766</v>
      </c>
      <c r="J411" s="15">
        <f t="shared" si="74"/>
        <v>1.0000000000000001E-5</v>
      </c>
      <c r="K411" s="30">
        <f t="shared" si="75"/>
        <v>2.05E-4</v>
      </c>
      <c r="L411" s="15">
        <f t="shared" si="76"/>
        <v>1.0975E-2</v>
      </c>
      <c r="M411" s="10">
        <f t="shared" si="77"/>
        <v>3.5276149308366986</v>
      </c>
      <c r="N411" s="18">
        <f t="shared" si="78"/>
        <v>1.1110513540820943E-2</v>
      </c>
      <c r="O411" s="14">
        <f t="shared" si="79"/>
        <v>18820.164799999999</v>
      </c>
      <c r="P411" s="14">
        <f t="shared" ca="1" si="85"/>
        <v>18824</v>
      </c>
      <c r="Q411" s="14" t="str">
        <f t="shared" ca="1" si="80"/>
        <v>0100100110001000</v>
      </c>
      <c r="R411" s="14">
        <f t="shared" ca="1" si="81"/>
        <v>3.5293922882080078</v>
      </c>
      <c r="S411" s="14">
        <f t="shared" ca="1" si="82"/>
        <v>62.352707458496091</v>
      </c>
      <c r="T411" s="19">
        <f t="shared" ca="1" si="84"/>
        <v>2.3853981256093358E-2</v>
      </c>
      <c r="U411" s="14"/>
      <c r="V411" s="15">
        <f t="shared" ca="1" si="83"/>
        <v>1.452707</v>
      </c>
      <c r="W411" s="14"/>
      <c r="X411" s="2"/>
    </row>
    <row r="412" spans="8:24" x14ac:dyDescent="0.25">
      <c r="H412" s="14">
        <v>61</v>
      </c>
      <c r="I412" s="17">
        <v>3.4979408687242635</v>
      </c>
      <c r="J412" s="15">
        <f t="shared" si="74"/>
        <v>1.1E-5</v>
      </c>
      <c r="K412" s="30">
        <f t="shared" si="75"/>
        <v>2.05E-4</v>
      </c>
      <c r="L412" s="15">
        <f t="shared" si="76"/>
        <v>1.1004999999999999E-2</v>
      </c>
      <c r="M412" s="10">
        <f t="shared" si="77"/>
        <v>3.5369109352769867</v>
      </c>
      <c r="N412" s="18">
        <f t="shared" si="78"/>
        <v>1.1140859155499699E-2</v>
      </c>
      <c r="O412" s="14">
        <f t="shared" si="79"/>
        <v>18869.759900000001</v>
      </c>
      <c r="P412" s="14">
        <f t="shared" ca="1" si="85"/>
        <v>18871</v>
      </c>
      <c r="Q412" s="14" t="str">
        <f t="shared" ca="1" si="80"/>
        <v>0100100110110111</v>
      </c>
      <c r="R412" s="14">
        <f t="shared" ca="1" si="81"/>
        <v>3.5382045192718508</v>
      </c>
      <c r="S412" s="14">
        <f t="shared" ca="1" si="82"/>
        <v>62.458454231262216</v>
      </c>
      <c r="T412" s="19">
        <f t="shared" ca="1" si="84"/>
        <v>2.3909085758396988E-2</v>
      </c>
      <c r="U412" s="14"/>
      <c r="V412" s="15">
        <f t="shared" ca="1" si="83"/>
        <v>1.4584539999999999</v>
      </c>
      <c r="W412" s="14"/>
      <c r="X412" s="2"/>
    </row>
    <row r="413" spans="8:24" x14ac:dyDescent="0.25">
      <c r="H413" s="14">
        <v>61.1</v>
      </c>
      <c r="I413" s="17">
        <v>3.5064896200434239</v>
      </c>
      <c r="J413" s="15">
        <f t="shared" si="74"/>
        <v>1.1E-5</v>
      </c>
      <c r="K413" s="30">
        <f t="shared" si="75"/>
        <v>2.0599999999999999E-4</v>
      </c>
      <c r="L413" s="15">
        <f t="shared" si="76"/>
        <v>1.1036000000000001E-2</v>
      </c>
      <c r="M413" s="10">
        <f t="shared" si="77"/>
        <v>3.545665949372701</v>
      </c>
      <c r="N413" s="18">
        <f t="shared" si="78"/>
        <v>1.117252111779869E-2</v>
      </c>
      <c r="O413" s="14">
        <f t="shared" si="79"/>
        <v>18916.468700000001</v>
      </c>
      <c r="P413" s="14">
        <f t="shared" ca="1" si="85"/>
        <v>18920</v>
      </c>
      <c r="Q413" s="14" t="str">
        <f t="shared" ca="1" si="80"/>
        <v>0100100111101000</v>
      </c>
      <c r="R413" s="14">
        <f t="shared" ca="1" si="81"/>
        <v>3.5473917388916014</v>
      </c>
      <c r="S413" s="14">
        <f t="shared" ca="1" si="82"/>
        <v>62.568700866699224</v>
      </c>
      <c r="T413" s="19">
        <f t="shared" ca="1" si="84"/>
        <v>2.4037657392785967E-2</v>
      </c>
      <c r="U413" s="14"/>
      <c r="V413" s="15">
        <f t="shared" ca="1" si="83"/>
        <v>1.468701</v>
      </c>
      <c r="W413" s="14"/>
      <c r="X413" s="2"/>
    </row>
    <row r="414" spans="8:24" x14ac:dyDescent="0.25">
      <c r="H414" s="14">
        <v>61.2</v>
      </c>
      <c r="I414" s="17">
        <v>3.5156053277026862</v>
      </c>
      <c r="J414" s="15">
        <f t="shared" si="74"/>
        <v>1.2E-5</v>
      </c>
      <c r="K414" s="30">
        <f t="shared" si="75"/>
        <v>2.0599999999999999E-4</v>
      </c>
      <c r="L414" s="15">
        <f t="shared" si="76"/>
        <v>1.1065999999999999E-2</v>
      </c>
      <c r="M414" s="10">
        <f t="shared" si="77"/>
        <v>3.5549902075110031</v>
      </c>
      <c r="N414" s="18">
        <f t="shared" si="78"/>
        <v>1.1202872944231617E-2</v>
      </c>
      <c r="O414" s="14">
        <f t="shared" si="79"/>
        <v>18966.214599999999</v>
      </c>
      <c r="P414" s="14">
        <f t="shared" ca="1" si="85"/>
        <v>18968</v>
      </c>
      <c r="Q414" s="14" t="str">
        <f t="shared" ca="1" si="80"/>
        <v>0100101000011000</v>
      </c>
      <c r="R414" s="14">
        <f t="shared" ca="1" si="81"/>
        <v>3.5563914642333985</v>
      </c>
      <c r="S414" s="14">
        <f t="shared" ca="1" si="82"/>
        <v>62.676697570800783</v>
      </c>
      <c r="T414" s="19">
        <f t="shared" ca="1" si="84"/>
        <v>2.4129045274522556E-2</v>
      </c>
      <c r="U414" s="14"/>
      <c r="V414" s="15">
        <f t="shared" ca="1" si="83"/>
        <v>1.4766980000000001</v>
      </c>
      <c r="W414" s="14"/>
      <c r="X414" s="2"/>
    </row>
    <row r="415" spans="8:24" x14ac:dyDescent="0.25">
      <c r="H415" s="14">
        <v>61.300000000000004</v>
      </c>
      <c r="I415" s="17">
        <v>3.5241827878759886</v>
      </c>
      <c r="J415" s="15">
        <f t="shared" si="74"/>
        <v>1.2E-5</v>
      </c>
      <c r="K415" s="30">
        <f t="shared" si="75"/>
        <v>2.0699999999999999E-4</v>
      </c>
      <c r="L415" s="15">
        <f t="shared" si="76"/>
        <v>1.1096999999999999E-2</v>
      </c>
      <c r="M415" s="10">
        <f t="shared" si="77"/>
        <v>3.5637753594133992</v>
      </c>
      <c r="N415" s="18">
        <f t="shared" si="78"/>
        <v>1.1234539727513076E-2</v>
      </c>
      <c r="O415" s="14">
        <f t="shared" si="79"/>
        <v>19013.084200000001</v>
      </c>
      <c r="P415" s="14">
        <f t="shared" ca="1" si="85"/>
        <v>19012</v>
      </c>
      <c r="Q415" s="14" t="str">
        <f t="shared" ca="1" si="80"/>
        <v>0100101001000100</v>
      </c>
      <c r="R415" s="14">
        <f t="shared" ca="1" si="81"/>
        <v>3.5646412124633788</v>
      </c>
      <c r="S415" s="14">
        <f t="shared" ca="1" si="82"/>
        <v>62.775694549560548</v>
      </c>
      <c r="T415" s="19">
        <f t="shared" ca="1" si="84"/>
        <v>2.4073320547480317E-2</v>
      </c>
      <c r="U415" s="14"/>
      <c r="V415" s="15">
        <f t="shared" ca="1" si="83"/>
        <v>1.475695</v>
      </c>
      <c r="W415" s="14"/>
      <c r="X415" s="2"/>
    </row>
    <row r="416" spans="8:24" x14ac:dyDescent="0.25">
      <c r="H416" s="14">
        <v>61.400000000000006</v>
      </c>
      <c r="I416" s="17">
        <v>3.5327749518205267</v>
      </c>
      <c r="J416" s="15">
        <f t="shared" si="74"/>
        <v>1.2999999999999999E-5</v>
      </c>
      <c r="K416" s="30">
        <f t="shared" si="75"/>
        <v>2.0699999999999999E-4</v>
      </c>
      <c r="L416" s="15">
        <f t="shared" si="76"/>
        <v>1.1127E-2</v>
      </c>
      <c r="M416" s="10">
        <f t="shared" si="77"/>
        <v>3.5725713073918763</v>
      </c>
      <c r="N416" s="18">
        <f t="shared" si="78"/>
        <v>1.1264899721631458E-2</v>
      </c>
      <c r="O416" s="14">
        <f t="shared" si="79"/>
        <v>19060.011399999999</v>
      </c>
      <c r="P416" s="14">
        <f t="shared" ca="1" si="85"/>
        <v>19065</v>
      </c>
      <c r="Q416" s="14" t="str">
        <f t="shared" ca="1" si="80"/>
        <v>0100101001111001</v>
      </c>
      <c r="R416" s="14">
        <f t="shared" ca="1" si="81"/>
        <v>3.5745784091949462</v>
      </c>
      <c r="S416" s="14">
        <f t="shared" ca="1" si="82"/>
        <v>62.894940910339358</v>
      </c>
      <c r="T416" s="19">
        <f t="shared" ca="1" si="84"/>
        <v>2.434757182963114E-2</v>
      </c>
      <c r="U416" s="14"/>
      <c r="V416" s="15">
        <f t="shared" ca="1" si="83"/>
        <v>1.4949410000000001</v>
      </c>
      <c r="W416" s="14"/>
      <c r="X416" s="2"/>
    </row>
    <row r="417" spans="8:24" x14ac:dyDescent="0.25">
      <c r="H417" s="14">
        <v>61.5</v>
      </c>
      <c r="I417" s="17">
        <v>3.5419305523743048</v>
      </c>
      <c r="J417" s="15">
        <f t="shared" si="74"/>
        <v>1.4E-5</v>
      </c>
      <c r="K417" s="30">
        <f t="shared" si="75"/>
        <v>2.0799999999999999E-4</v>
      </c>
      <c r="L417" s="15">
        <f t="shared" si="76"/>
        <v>1.1158E-2</v>
      </c>
      <c r="M417" s="10">
        <f t="shared" si="77"/>
        <v>3.5819412051776771</v>
      </c>
      <c r="N417" s="18">
        <f t="shared" si="78"/>
        <v>1.1296283823676759E-2</v>
      </c>
      <c r="O417" s="14">
        <f t="shared" si="79"/>
        <v>19110.000700000001</v>
      </c>
      <c r="P417" s="14">
        <f t="shared" ca="1" si="85"/>
        <v>19112</v>
      </c>
      <c r="Q417" s="14" t="str">
        <f t="shared" ca="1" si="80"/>
        <v>0100101010101000</v>
      </c>
      <c r="R417" s="14">
        <f t="shared" ca="1" si="81"/>
        <v>3.5833906402587892</v>
      </c>
      <c r="S417" s="14">
        <f t="shared" ca="1" si="82"/>
        <v>63.000687683105468</v>
      </c>
      <c r="T417" s="19">
        <f t="shared" ca="1" si="84"/>
        <v>2.4401425741552331E-2</v>
      </c>
      <c r="U417" s="14"/>
      <c r="V417" s="15">
        <f t="shared" ca="1" si="83"/>
        <v>1.500688</v>
      </c>
      <c r="W417" s="14"/>
      <c r="X417" s="2"/>
    </row>
    <row r="418" spans="8:24" x14ac:dyDescent="0.25">
      <c r="H418" s="14">
        <v>61.6</v>
      </c>
      <c r="I418" s="17">
        <v>3.5505507140238715</v>
      </c>
      <c r="J418" s="15">
        <f t="shared" si="74"/>
        <v>1.4E-5</v>
      </c>
      <c r="K418" s="30">
        <f t="shared" si="75"/>
        <v>2.0799999999999999E-4</v>
      </c>
      <c r="L418" s="15">
        <f t="shared" si="76"/>
        <v>1.1188E-2</v>
      </c>
      <c r="M418" s="10">
        <f t="shared" si="77"/>
        <v>3.590767572723502</v>
      </c>
      <c r="N418" s="18">
        <f t="shared" si="78"/>
        <v>1.1326935435898172E-2</v>
      </c>
      <c r="O418" s="14">
        <f t="shared" si="79"/>
        <v>19157.090199999999</v>
      </c>
      <c r="P418" s="14">
        <f t="shared" ca="1" si="85"/>
        <v>19156</v>
      </c>
      <c r="Q418" s="14" t="str">
        <f t="shared" ca="1" si="80"/>
        <v>0100101011010100</v>
      </c>
      <c r="R418" s="14">
        <f t="shared" ca="1" si="81"/>
        <v>3.5916403884887695</v>
      </c>
      <c r="S418" s="14">
        <f t="shared" ca="1" si="82"/>
        <v>63.099684661865233</v>
      </c>
      <c r="T418" s="19">
        <f t="shared" ca="1" si="84"/>
        <v>2.4345530225084924E-2</v>
      </c>
      <c r="U418" s="14"/>
      <c r="V418" s="15">
        <f t="shared" ca="1" si="83"/>
        <v>1.4996849999999999</v>
      </c>
      <c r="W418" s="14"/>
      <c r="X418" s="2"/>
    </row>
    <row r="419" spans="8:24" x14ac:dyDescent="0.25">
      <c r="H419" s="14">
        <v>61.7</v>
      </c>
      <c r="I419" s="17">
        <v>3.5597319716802804</v>
      </c>
      <c r="J419" s="15">
        <f t="shared" si="74"/>
        <v>1.5E-5</v>
      </c>
      <c r="K419" s="30">
        <f t="shared" si="75"/>
        <v>2.0900000000000001E-4</v>
      </c>
      <c r="L419" s="15">
        <f t="shared" si="76"/>
        <v>1.1219E-2</v>
      </c>
      <c r="M419" s="10">
        <f t="shared" si="77"/>
        <v>3.6001645672583522</v>
      </c>
      <c r="N419" s="18">
        <f t="shared" si="78"/>
        <v>1.1358325823330625E-2</v>
      </c>
      <c r="O419" s="14">
        <f t="shared" si="79"/>
        <v>19207.224099999999</v>
      </c>
      <c r="P419" s="14">
        <f t="shared" ca="1" si="85"/>
        <v>19207</v>
      </c>
      <c r="Q419" s="14" t="str">
        <f t="shared" ca="1" si="80"/>
        <v>0100101100000111</v>
      </c>
      <c r="R419" s="14">
        <f t="shared" ca="1" si="81"/>
        <v>3.6012025966644288</v>
      </c>
      <c r="S419" s="14">
        <f t="shared" ca="1" si="82"/>
        <v>63.214431159973152</v>
      </c>
      <c r="T419" s="19">
        <f t="shared" ca="1" si="84"/>
        <v>2.4545075526307122E-2</v>
      </c>
      <c r="U419" s="14"/>
      <c r="V419" s="15">
        <f t="shared" ca="1" si="83"/>
        <v>1.5144310000000001</v>
      </c>
      <c r="W419" s="14"/>
      <c r="X419" s="2"/>
    </row>
    <row r="420" spans="8:24" x14ac:dyDescent="0.25">
      <c r="H420" s="14">
        <v>61.800000000000004</v>
      </c>
      <c r="I420" s="17">
        <v>3.5678339612738821</v>
      </c>
      <c r="J420" s="15">
        <f t="shared" si="74"/>
        <v>1.5E-5</v>
      </c>
      <c r="K420" s="30">
        <f t="shared" si="75"/>
        <v>2.0900000000000001E-4</v>
      </c>
      <c r="L420" s="15">
        <f t="shared" si="76"/>
        <v>1.1249E-2</v>
      </c>
      <c r="M420" s="10">
        <f t="shared" si="77"/>
        <v>3.6084679649698277</v>
      </c>
      <c r="N420" s="18">
        <f t="shared" si="78"/>
        <v>1.1388983942917956E-2</v>
      </c>
      <c r="O420" s="14">
        <f t="shared" si="79"/>
        <v>19251.523499999999</v>
      </c>
      <c r="P420" s="14">
        <f t="shared" ca="1" si="85"/>
        <v>19255</v>
      </c>
      <c r="Q420" s="14" t="str">
        <f t="shared" ca="1" si="80"/>
        <v>0100101100110111</v>
      </c>
      <c r="R420" s="14">
        <f t="shared" ca="1" si="81"/>
        <v>3.6102023220062258</v>
      </c>
      <c r="S420" s="14">
        <f t="shared" ca="1" si="82"/>
        <v>63.322427864074712</v>
      </c>
      <c r="T420" s="19">
        <f t="shared" ca="1" si="84"/>
        <v>2.4634755082115004E-2</v>
      </c>
      <c r="U420" s="14"/>
      <c r="V420" s="15">
        <f t="shared" ca="1" si="83"/>
        <v>1.5224279999999999</v>
      </c>
      <c r="W420" s="14"/>
      <c r="X420" s="2"/>
    </row>
    <row r="421" spans="8:24" x14ac:dyDescent="0.25">
      <c r="H421" s="14">
        <v>61.900000000000006</v>
      </c>
      <c r="I421" s="17">
        <v>3.576496809727634</v>
      </c>
      <c r="J421" s="15">
        <f t="shared" si="74"/>
        <v>1.5999999999999999E-5</v>
      </c>
      <c r="K421" s="30">
        <f t="shared" si="75"/>
        <v>2.1000000000000001E-4</v>
      </c>
      <c r="L421" s="15">
        <f t="shared" si="76"/>
        <v>1.128E-2</v>
      </c>
      <c r="M421" s="10">
        <f t="shared" si="77"/>
        <v>3.6173417706606865</v>
      </c>
      <c r="N421" s="18">
        <f t="shared" si="78"/>
        <v>1.1420382319916871E-2</v>
      </c>
      <c r="O421" s="14">
        <f t="shared" si="79"/>
        <v>19298.866099999999</v>
      </c>
      <c r="P421" s="14">
        <f t="shared" ca="1" si="85"/>
        <v>19298</v>
      </c>
      <c r="Q421" s="14" t="str">
        <f t="shared" ca="1" si="80"/>
        <v>0100101101100010</v>
      </c>
      <c r="R421" s="14">
        <f t="shared" ca="1" si="81"/>
        <v>3.6182645759582521</v>
      </c>
      <c r="S421" s="14">
        <f t="shared" ca="1" si="82"/>
        <v>63.419174911499027</v>
      </c>
      <c r="T421" s="19">
        <f t="shared" ca="1" si="84"/>
        <v>2.4542405678497924E-2</v>
      </c>
      <c r="U421" s="14"/>
      <c r="V421" s="15">
        <f t="shared" ca="1" si="83"/>
        <v>1.5191749999999999</v>
      </c>
      <c r="W421" s="14"/>
      <c r="X421" s="2"/>
    </row>
    <row r="422" spans="8:24" x14ac:dyDescent="0.25">
      <c r="H422" s="14">
        <v>62</v>
      </c>
      <c r="I422" s="17">
        <v>3.5851736495232687</v>
      </c>
      <c r="J422" s="15">
        <f t="shared" si="74"/>
        <v>1.7E-5</v>
      </c>
      <c r="K422" s="30">
        <f t="shared" si="75"/>
        <v>2.1000000000000001E-4</v>
      </c>
      <c r="L422" s="15">
        <f t="shared" si="76"/>
        <v>1.1310000000000001E-2</v>
      </c>
      <c r="M422" s="10">
        <f t="shared" si="77"/>
        <v>3.6262266165767518</v>
      </c>
      <c r="N422" s="18">
        <f t="shared" si="78"/>
        <v>1.1450761125320135E-2</v>
      </c>
      <c r="O422" s="14">
        <f t="shared" si="79"/>
        <v>19346.2677</v>
      </c>
      <c r="P422" s="14">
        <f t="shared" ca="1" si="85"/>
        <v>19346</v>
      </c>
      <c r="Q422" s="14" t="str">
        <f t="shared" ca="1" si="80"/>
        <v>0100101110010010</v>
      </c>
      <c r="R422" s="14">
        <f t="shared" ca="1" si="81"/>
        <v>3.6272643013000487</v>
      </c>
      <c r="S422" s="14">
        <f t="shared" ca="1" si="82"/>
        <v>63.527171615600587</v>
      </c>
      <c r="T422" s="19">
        <f t="shared" ca="1" si="84"/>
        <v>2.4631800251622364E-2</v>
      </c>
      <c r="U422" s="14"/>
      <c r="V422" s="15">
        <f t="shared" ca="1" si="83"/>
        <v>1.527172</v>
      </c>
      <c r="W422" s="14"/>
      <c r="X422" s="2"/>
    </row>
    <row r="423" spans="8:24" x14ac:dyDescent="0.25">
      <c r="H423" s="14">
        <v>62.1</v>
      </c>
      <c r="I423" s="17">
        <v>3.5944069125081168</v>
      </c>
      <c r="J423" s="15">
        <f t="shared" si="74"/>
        <v>1.7E-5</v>
      </c>
      <c r="K423" s="30">
        <f t="shared" si="75"/>
        <v>2.1100000000000001E-4</v>
      </c>
      <c r="L423" s="15">
        <f t="shared" si="76"/>
        <v>1.1341E-2</v>
      </c>
      <c r="M423" s="10">
        <f t="shared" si="77"/>
        <v>3.6356794958930401</v>
      </c>
      <c r="N423" s="18">
        <f t="shared" si="78"/>
        <v>1.1482446030609238E-2</v>
      </c>
      <c r="O423" s="14">
        <f t="shared" si="79"/>
        <v>19396.699700000001</v>
      </c>
      <c r="P423" s="14">
        <f t="shared" ca="1" si="85"/>
        <v>19397</v>
      </c>
      <c r="Q423" s="14" t="str">
        <f t="shared" ca="1" si="80"/>
        <v>0100101111000101</v>
      </c>
      <c r="R423" s="14">
        <f t="shared" ca="1" si="81"/>
        <v>3.636826509475708</v>
      </c>
      <c r="S423" s="14">
        <f t="shared" ca="1" si="82"/>
        <v>63.641918113708499</v>
      </c>
      <c r="T423" s="19">
        <f t="shared" ca="1" si="84"/>
        <v>2.4829599254565179E-2</v>
      </c>
      <c r="U423" s="14"/>
      <c r="V423" s="15">
        <f t="shared" ca="1" si="83"/>
        <v>1.5419179999999999</v>
      </c>
      <c r="W423" s="14"/>
      <c r="X423" s="2"/>
    </row>
    <row r="424" spans="8:24" x14ac:dyDescent="0.25">
      <c r="H424" s="14">
        <v>62.2</v>
      </c>
      <c r="I424" s="17">
        <v>3.6031103334644881</v>
      </c>
      <c r="J424" s="15">
        <f t="shared" si="74"/>
        <v>1.8E-5</v>
      </c>
      <c r="K424" s="30">
        <f t="shared" si="75"/>
        <v>2.1100000000000001E-4</v>
      </c>
      <c r="L424" s="15">
        <f t="shared" si="76"/>
        <v>1.1370999999999999E-2</v>
      </c>
      <c r="M424" s="10">
        <f t="shared" si="77"/>
        <v>3.6445923333692298</v>
      </c>
      <c r="N424" s="18">
        <f t="shared" si="78"/>
        <v>1.1512830878219516E-2</v>
      </c>
      <c r="O424" s="14">
        <f t="shared" si="79"/>
        <v>19444.250499999998</v>
      </c>
      <c r="P424" s="14">
        <f t="shared" ca="1" si="85"/>
        <v>19447</v>
      </c>
      <c r="Q424" s="14" t="str">
        <f t="shared" ca="1" si="80"/>
        <v>0100101111110111</v>
      </c>
      <c r="R424" s="14">
        <f t="shared" ca="1" si="81"/>
        <v>3.6462012233734131</v>
      </c>
      <c r="S424" s="14">
        <f t="shared" ca="1" si="82"/>
        <v>63.754414680480956</v>
      </c>
      <c r="T424" s="19">
        <f t="shared" ca="1" si="84"/>
        <v>2.4990589718343292E-2</v>
      </c>
      <c r="U424" s="14"/>
      <c r="V424" s="15">
        <f t="shared" ca="1" si="83"/>
        <v>1.5544150000000001</v>
      </c>
      <c r="W424" s="14"/>
      <c r="X424" s="2"/>
    </row>
    <row r="425" spans="8:24" x14ac:dyDescent="0.25">
      <c r="H425" s="14">
        <v>62.300000000000004</v>
      </c>
      <c r="I425" s="17">
        <v>3.6112869353161594</v>
      </c>
      <c r="J425" s="15">
        <f t="shared" si="74"/>
        <v>1.8E-5</v>
      </c>
      <c r="K425" s="30">
        <f t="shared" si="75"/>
        <v>2.12E-4</v>
      </c>
      <c r="L425" s="15">
        <f t="shared" si="76"/>
        <v>1.1402000000000001E-2</v>
      </c>
      <c r="M425" s="10">
        <f t="shared" si="77"/>
        <v>3.6529775237256801</v>
      </c>
      <c r="N425" s="18">
        <f t="shared" si="78"/>
        <v>1.1544523920769746E-2</v>
      </c>
      <c r="O425" s="14">
        <f t="shared" si="79"/>
        <v>19488.9863</v>
      </c>
      <c r="P425" s="14">
        <f t="shared" ca="1" si="85"/>
        <v>19490</v>
      </c>
      <c r="Q425" s="14" t="str">
        <f t="shared" ca="1" si="80"/>
        <v>0100110000100010</v>
      </c>
      <c r="R425" s="14">
        <f t="shared" ca="1" si="81"/>
        <v>3.6542634773254394</v>
      </c>
      <c r="S425" s="14">
        <f t="shared" ca="1" si="82"/>
        <v>63.851161727905271</v>
      </c>
      <c r="T425" s="19">
        <f t="shared" ca="1" si="84"/>
        <v>2.4898262085156775E-2</v>
      </c>
      <c r="U425" s="14"/>
      <c r="V425" s="15">
        <f t="shared" ca="1" si="83"/>
        <v>1.5511619999999999</v>
      </c>
      <c r="W425" s="14"/>
      <c r="X425" s="2"/>
    </row>
    <row r="426" spans="8:24" x14ac:dyDescent="0.25">
      <c r="H426" s="14">
        <v>62.400000000000006</v>
      </c>
      <c r="I426" s="17">
        <v>3.6200185587539888</v>
      </c>
      <c r="J426" s="15">
        <f t="shared" si="74"/>
        <v>1.9000000000000001E-5</v>
      </c>
      <c r="K426" s="30">
        <f t="shared" si="75"/>
        <v>2.12E-4</v>
      </c>
      <c r="L426" s="15">
        <f t="shared" si="76"/>
        <v>1.1431999999999999E-2</v>
      </c>
      <c r="M426" s="10">
        <f t="shared" si="77"/>
        <v>3.6619199647348375</v>
      </c>
      <c r="N426" s="18">
        <f t="shared" si="78"/>
        <v>1.1574914686423916E-2</v>
      </c>
      <c r="O426" s="14">
        <f t="shared" si="79"/>
        <v>19536.695100000001</v>
      </c>
      <c r="P426" s="14">
        <f t="shared" ca="1" si="85"/>
        <v>19539</v>
      </c>
      <c r="Q426" s="14" t="str">
        <f t="shared" ca="1" si="80"/>
        <v>0100110001010011</v>
      </c>
      <c r="R426" s="14">
        <f t="shared" ca="1" si="81"/>
        <v>3.6634506969451905</v>
      </c>
      <c r="S426" s="14">
        <f t="shared" ca="1" si="82"/>
        <v>63.961408363342294</v>
      </c>
      <c r="T426" s="19">
        <f t="shared" ca="1" si="84"/>
        <v>2.5022569925357178E-2</v>
      </c>
      <c r="U426" s="14"/>
      <c r="V426" s="15">
        <f t="shared" ca="1" si="83"/>
        <v>1.5614079999999999</v>
      </c>
      <c r="W426" s="14"/>
      <c r="X426" s="2"/>
    </row>
    <row r="427" spans="8:24" x14ac:dyDescent="0.25">
      <c r="H427" s="14">
        <v>62.5</v>
      </c>
      <c r="I427" s="17">
        <v>3.6287635833184266</v>
      </c>
      <c r="J427" s="15">
        <f t="shared" si="74"/>
        <v>1.9000000000000001E-5</v>
      </c>
      <c r="K427" s="30">
        <f t="shared" si="75"/>
        <v>2.13E-4</v>
      </c>
      <c r="L427" s="15">
        <f t="shared" si="76"/>
        <v>1.1462999999999999E-2</v>
      </c>
      <c r="M427" s="10">
        <f t="shared" si="77"/>
        <v>3.6708812300039622</v>
      </c>
      <c r="N427" s="18">
        <f t="shared" si="78"/>
        <v>1.1606610824456036E-2</v>
      </c>
      <c r="O427" s="14">
        <f t="shared" si="79"/>
        <v>19584.504300000001</v>
      </c>
      <c r="P427" s="14">
        <f t="shared" ca="1" si="85"/>
        <v>19584</v>
      </c>
      <c r="Q427" s="14" t="str">
        <f t="shared" ca="1" si="80"/>
        <v>0100110010000000</v>
      </c>
      <c r="R427" s="14">
        <f t="shared" ca="1" si="81"/>
        <v>3.671887939453125</v>
      </c>
      <c r="S427" s="14">
        <f t="shared" ca="1" si="82"/>
        <v>64.062655273437514</v>
      </c>
      <c r="T427" s="19">
        <f t="shared" ca="1" si="84"/>
        <v>2.500248437500022E-2</v>
      </c>
      <c r="U427" s="14"/>
      <c r="V427" s="15">
        <f t="shared" ca="1" si="83"/>
        <v>1.5626549999999999</v>
      </c>
      <c r="W427" s="14"/>
      <c r="X427" s="2"/>
    </row>
    <row r="428" spans="8:24" x14ac:dyDescent="0.25">
      <c r="H428" s="14">
        <v>62.6</v>
      </c>
      <c r="I428" s="17">
        <v>3.6380592154316029</v>
      </c>
      <c r="J428" s="15">
        <f t="shared" si="74"/>
        <v>2.0000000000000002E-5</v>
      </c>
      <c r="K428" s="30">
        <f t="shared" si="75"/>
        <v>2.13E-4</v>
      </c>
      <c r="L428" s="15">
        <f t="shared" si="76"/>
        <v>1.1493E-2</v>
      </c>
      <c r="M428" s="10">
        <f t="shared" si="77"/>
        <v>3.6803953323927932</v>
      </c>
      <c r="N428" s="18">
        <f t="shared" si="78"/>
        <v>1.1637006011780282E-2</v>
      </c>
      <c r="O428" s="14">
        <f t="shared" si="79"/>
        <v>19635.262999999999</v>
      </c>
      <c r="P428" s="14">
        <f t="shared" ca="1" si="85"/>
        <v>19639</v>
      </c>
      <c r="Q428" s="14" t="str">
        <f t="shared" ca="1" si="80"/>
        <v>0100110010110111</v>
      </c>
      <c r="R428" s="14">
        <f t="shared" ca="1" si="81"/>
        <v>3.6822001247406009</v>
      </c>
      <c r="S428" s="14">
        <f t="shared" ca="1" si="82"/>
        <v>64.186401496887214</v>
      </c>
      <c r="T428" s="19">
        <f t="shared" ca="1" si="84"/>
        <v>2.5341876947080073E-2</v>
      </c>
      <c r="U428" s="14"/>
      <c r="V428" s="15">
        <f t="shared" ca="1" si="83"/>
        <v>1.586401</v>
      </c>
      <c r="W428" s="14"/>
      <c r="X428" s="2"/>
    </row>
    <row r="429" spans="8:24" x14ac:dyDescent="0.25">
      <c r="H429" s="14">
        <v>62.7</v>
      </c>
      <c r="I429" s="17">
        <v>3.646829647040255</v>
      </c>
      <c r="J429" s="15">
        <f t="shared" si="74"/>
        <v>2.0999999999999999E-5</v>
      </c>
      <c r="K429" s="30">
        <f t="shared" si="75"/>
        <v>2.14E-4</v>
      </c>
      <c r="L429" s="15">
        <f t="shared" si="76"/>
        <v>1.1524E-2</v>
      </c>
      <c r="M429" s="10">
        <f t="shared" si="77"/>
        <v>3.6893824216756452</v>
      </c>
      <c r="N429" s="18">
        <f t="shared" si="78"/>
        <v>1.1668429500107245E-2</v>
      </c>
      <c r="O429" s="14">
        <f t="shared" si="79"/>
        <v>19683.209900000002</v>
      </c>
      <c r="P429" s="14">
        <f t="shared" ca="1" si="85"/>
        <v>19684</v>
      </c>
      <c r="Q429" s="14" t="str">
        <f t="shared" ca="1" si="80"/>
        <v>0100110011100100</v>
      </c>
      <c r="R429" s="14">
        <f t="shared" ca="1" si="81"/>
        <v>3.6906373672485353</v>
      </c>
      <c r="S429" s="14">
        <f t="shared" ca="1" si="82"/>
        <v>64.287648406982427</v>
      </c>
      <c r="T429" s="19">
        <f t="shared" ca="1" si="84"/>
        <v>2.5321346203866415E-2</v>
      </c>
      <c r="U429" s="14"/>
      <c r="V429" s="15">
        <f t="shared" ca="1" si="83"/>
        <v>1.5876479999999999</v>
      </c>
      <c r="W429" s="14"/>
      <c r="X429" s="2"/>
    </row>
    <row r="430" spans="8:24" x14ac:dyDescent="0.25">
      <c r="H430" s="14">
        <v>62.800000000000004</v>
      </c>
      <c r="I430" s="17">
        <v>3.6556131283799989</v>
      </c>
      <c r="J430" s="15">
        <f t="shared" si="74"/>
        <v>2.0999999999999999E-5</v>
      </c>
      <c r="K430" s="30">
        <f t="shared" si="75"/>
        <v>2.14E-4</v>
      </c>
      <c r="L430" s="15">
        <f t="shared" si="76"/>
        <v>1.1554E-2</v>
      </c>
      <c r="M430" s="10">
        <f t="shared" si="77"/>
        <v>3.6983805470890658</v>
      </c>
      <c r="N430" s="18">
        <f t="shared" si="78"/>
        <v>1.1699109617767333E-2</v>
      </c>
      <c r="O430" s="14">
        <f t="shared" si="79"/>
        <v>19731.215800000002</v>
      </c>
      <c r="P430" s="14">
        <f t="shared" ca="1" si="85"/>
        <v>19733</v>
      </c>
      <c r="Q430" s="14" t="str">
        <f t="shared" ca="1" si="80"/>
        <v>0100110100010101</v>
      </c>
      <c r="R430" s="14">
        <f t="shared" ca="1" si="81"/>
        <v>3.6998245868682864</v>
      </c>
      <c r="S430" s="14">
        <f t="shared" ca="1" si="82"/>
        <v>64.397895042419435</v>
      </c>
      <c r="T430" s="19">
        <f t="shared" ca="1" si="84"/>
        <v>2.5444188573557815E-2</v>
      </c>
      <c r="U430" s="14"/>
      <c r="V430" s="15">
        <f t="shared" ca="1" si="83"/>
        <v>1.5978950000000001</v>
      </c>
      <c r="W430" s="14"/>
      <c r="X430" s="2"/>
    </row>
    <row r="431" spans="8:24" x14ac:dyDescent="0.25">
      <c r="H431" s="14">
        <v>62.900000000000006</v>
      </c>
      <c r="I431" s="17">
        <v>3.6638753407248594</v>
      </c>
      <c r="J431" s="15">
        <f t="shared" si="74"/>
        <v>2.1999999999999999E-5</v>
      </c>
      <c r="K431" s="30">
        <f t="shared" si="75"/>
        <v>2.1499999999999999E-4</v>
      </c>
      <c r="L431" s="15">
        <f t="shared" si="76"/>
        <v>1.1585E-2</v>
      </c>
      <c r="M431" s="10">
        <f t="shared" si="77"/>
        <v>3.7068545790936596</v>
      </c>
      <c r="N431" s="18">
        <f t="shared" si="78"/>
        <v>1.1730540581191591E-2</v>
      </c>
      <c r="O431" s="14">
        <f t="shared" si="79"/>
        <v>19776.425599999999</v>
      </c>
      <c r="P431" s="14">
        <f t="shared" ca="1" si="85"/>
        <v>19775</v>
      </c>
      <c r="Q431" s="14" t="str">
        <f t="shared" ca="1" si="80"/>
        <v>0100110100111111</v>
      </c>
      <c r="R431" s="14">
        <f t="shared" ca="1" si="81"/>
        <v>3.7076993465423587</v>
      </c>
      <c r="S431" s="14">
        <f t="shared" ca="1" si="82"/>
        <v>64.492392158508309</v>
      </c>
      <c r="T431" s="19">
        <f t="shared" ca="1" si="84"/>
        <v>2.5316250532723426E-2</v>
      </c>
      <c r="U431" s="14"/>
      <c r="V431" s="15">
        <f t="shared" ca="1" si="83"/>
        <v>1.592392</v>
      </c>
      <c r="W431" s="14"/>
      <c r="X431" s="2"/>
    </row>
    <row r="432" spans="8:24" x14ac:dyDescent="0.25">
      <c r="H432" s="14">
        <v>63</v>
      </c>
      <c r="I432" s="17">
        <v>3.6726856088528499</v>
      </c>
      <c r="J432" s="15">
        <f t="shared" si="74"/>
        <v>2.1999999999999999E-5</v>
      </c>
      <c r="K432" s="30">
        <f t="shared" si="75"/>
        <v>2.1499999999999999E-4</v>
      </c>
      <c r="L432" s="15">
        <f t="shared" si="76"/>
        <v>1.1615E-2</v>
      </c>
      <c r="M432" s="10">
        <f t="shared" si="77"/>
        <v>3.7158808917404151</v>
      </c>
      <c r="N432" s="18">
        <f t="shared" si="78"/>
        <v>1.1761225296127957E-2</v>
      </c>
      <c r="O432" s="14">
        <f t="shared" si="79"/>
        <v>19824.5818</v>
      </c>
      <c r="P432" s="14">
        <f t="shared" ca="1" si="85"/>
        <v>19823</v>
      </c>
      <c r="Q432" s="14" t="str">
        <f t="shared" ca="1" si="80"/>
        <v>0100110101101111</v>
      </c>
      <c r="R432" s="14">
        <f t="shared" ca="1" si="81"/>
        <v>3.7166990718841553</v>
      </c>
      <c r="S432" s="14">
        <f t="shared" ca="1" si="82"/>
        <v>64.600388862609861</v>
      </c>
      <c r="T432" s="19">
        <f t="shared" ca="1" si="84"/>
        <v>2.5402997819204149E-2</v>
      </c>
      <c r="U432" s="14"/>
      <c r="V432" s="15">
        <f t="shared" ca="1" si="83"/>
        <v>1.6003890000000001</v>
      </c>
      <c r="W432" s="14"/>
      <c r="X432" s="2"/>
    </row>
    <row r="433" spans="8:24" x14ac:dyDescent="0.25">
      <c r="H433" s="14">
        <v>63.1</v>
      </c>
      <c r="I433" s="17">
        <v>3.6815085742834954</v>
      </c>
      <c r="J433" s="15">
        <f t="shared" si="74"/>
        <v>2.3E-5</v>
      </c>
      <c r="K433" s="30">
        <f t="shared" si="75"/>
        <v>2.1599999999999999E-4</v>
      </c>
      <c r="L433" s="15">
        <f t="shared" si="76"/>
        <v>1.1646E-2</v>
      </c>
      <c r="M433" s="10">
        <f t="shared" si="77"/>
        <v>3.7249233562220576</v>
      </c>
      <c r="N433" s="18">
        <f t="shared" si="78"/>
        <v>1.1792660824377322E-2</v>
      </c>
      <c r="O433" s="14">
        <f t="shared" si="79"/>
        <v>19872.824199999999</v>
      </c>
      <c r="P433" s="14">
        <f t="shared" ca="1" si="85"/>
        <v>19874</v>
      </c>
      <c r="Q433" s="14" t="str">
        <f t="shared" ca="1" si="80"/>
        <v>0100110110100010</v>
      </c>
      <c r="R433" s="14">
        <f t="shared" ca="1" si="81"/>
        <v>3.7262612800598145</v>
      </c>
      <c r="S433" s="14">
        <f t="shared" ca="1" si="82"/>
        <v>64.715135360717781</v>
      </c>
      <c r="T433" s="19">
        <f t="shared" ca="1" si="84"/>
        <v>2.5596439947983829E-2</v>
      </c>
      <c r="U433" s="14"/>
      <c r="V433" s="15">
        <f t="shared" ca="1" si="83"/>
        <v>1.615135</v>
      </c>
      <c r="W433" s="14"/>
      <c r="X433" s="2"/>
    </row>
    <row r="434" spans="8:24" x14ac:dyDescent="0.25">
      <c r="H434" s="14">
        <v>63.2</v>
      </c>
      <c r="I434" s="17">
        <v>3.6892819516350079</v>
      </c>
      <c r="J434" s="15">
        <f t="shared" si="74"/>
        <v>2.3E-5</v>
      </c>
      <c r="K434" s="30">
        <f t="shared" si="75"/>
        <v>2.1599999999999999E-4</v>
      </c>
      <c r="L434" s="15">
        <f t="shared" si="76"/>
        <v>1.1676000000000001E-2</v>
      </c>
      <c r="M434" s="10">
        <f t="shared" si="77"/>
        <v>3.7329016339044765</v>
      </c>
      <c r="N434" s="18">
        <f t="shared" si="78"/>
        <v>1.1823352847872545E-2</v>
      </c>
      <c r="O434" s="14">
        <f t="shared" si="79"/>
        <v>19915.3891</v>
      </c>
      <c r="P434" s="14">
        <f t="shared" ca="1" si="85"/>
        <v>19918</v>
      </c>
      <c r="Q434" s="14" t="str">
        <f t="shared" ca="1" si="80"/>
        <v>0100110111001110</v>
      </c>
      <c r="R434" s="14">
        <f t="shared" ca="1" si="81"/>
        <v>3.7345110282897949</v>
      </c>
      <c r="S434" s="14">
        <f t="shared" ca="1" si="82"/>
        <v>64.814132339477553</v>
      </c>
      <c r="T434" s="19">
        <f t="shared" ca="1" si="84"/>
        <v>2.5540068662619458E-2</v>
      </c>
      <c r="U434" s="14"/>
      <c r="V434" s="15">
        <f t="shared" ca="1" si="83"/>
        <v>1.6141319999999999</v>
      </c>
      <c r="W434" s="14"/>
      <c r="X434" s="2"/>
    </row>
    <row r="435" spans="8:24" x14ac:dyDescent="0.25">
      <c r="H435" s="14">
        <v>63.300000000000004</v>
      </c>
      <c r="I435" s="17">
        <v>3.6981320343796904</v>
      </c>
      <c r="J435" s="15">
        <f t="shared" si="74"/>
        <v>2.4000000000000001E-5</v>
      </c>
      <c r="K435" s="30">
        <f t="shared" si="75"/>
        <v>2.1699999999999999E-4</v>
      </c>
      <c r="L435" s="15">
        <f t="shared" si="76"/>
        <v>1.1707E-2</v>
      </c>
      <c r="M435" s="10">
        <f t="shared" si="77"/>
        <v>3.7419726289406996</v>
      </c>
      <c r="N435" s="18">
        <f t="shared" si="78"/>
        <v>1.1854794299782982E-2</v>
      </c>
      <c r="O435" s="14">
        <f t="shared" si="79"/>
        <v>19963.783800000001</v>
      </c>
      <c r="P435" s="14">
        <f t="shared" ca="1" si="85"/>
        <v>19964</v>
      </c>
      <c r="Q435" s="14" t="str">
        <f t="shared" ca="1" si="80"/>
        <v>0100110111111100</v>
      </c>
      <c r="R435" s="14">
        <f t="shared" ca="1" si="81"/>
        <v>3.7431357650756838</v>
      </c>
      <c r="S435" s="14">
        <f t="shared" ca="1" si="82"/>
        <v>64.917629180908207</v>
      </c>
      <c r="T435" s="19">
        <f t="shared" ca="1" si="84"/>
        <v>2.5554963363478719E-2</v>
      </c>
      <c r="U435" s="14"/>
      <c r="V435" s="15">
        <f t="shared" ca="1" si="83"/>
        <v>1.617629</v>
      </c>
      <c r="W435" s="14"/>
      <c r="X435" s="2"/>
    </row>
    <row r="436" spans="8:24" x14ac:dyDescent="0.25">
      <c r="H436" s="14">
        <v>63.400000000000006</v>
      </c>
      <c r="I436" s="17">
        <v>3.7075234757776308</v>
      </c>
      <c r="J436" s="15">
        <f t="shared" si="74"/>
        <v>2.5000000000000001E-5</v>
      </c>
      <c r="K436" s="30">
        <f t="shared" si="75"/>
        <v>2.1699999999999999E-4</v>
      </c>
      <c r="L436" s="15">
        <f t="shared" si="76"/>
        <v>1.1736999999999999E-2</v>
      </c>
      <c r="M436" s="10">
        <f t="shared" si="77"/>
        <v>3.7515881855656144</v>
      </c>
      <c r="N436" s="18">
        <f t="shared" si="78"/>
        <v>1.1885213964489138E-2</v>
      </c>
      <c r="O436" s="14">
        <f t="shared" si="79"/>
        <v>20015.083699999999</v>
      </c>
      <c r="P436" s="14">
        <f t="shared" ca="1" si="85"/>
        <v>20019</v>
      </c>
      <c r="Q436" s="14" t="str">
        <f t="shared" ca="1" si="80"/>
        <v>0100111000110011</v>
      </c>
      <c r="R436" s="14">
        <f t="shared" ca="1" si="81"/>
        <v>3.7534479503631593</v>
      </c>
      <c r="S436" s="14">
        <f t="shared" ca="1" si="82"/>
        <v>65.041375404357922</v>
      </c>
      <c r="T436" s="19">
        <f t="shared" ca="1" si="84"/>
        <v>2.5889201961481322E-2</v>
      </c>
      <c r="U436" s="14"/>
      <c r="V436" s="15">
        <f t="shared" ca="1" si="83"/>
        <v>1.641375</v>
      </c>
      <c r="W436" s="14"/>
      <c r="X436" s="2"/>
    </row>
    <row r="437" spans="8:24" x14ac:dyDescent="0.25">
      <c r="H437" s="14">
        <v>63.5</v>
      </c>
      <c r="I437" s="17">
        <v>3.7158691214430664</v>
      </c>
      <c r="J437" s="15">
        <f t="shared" si="74"/>
        <v>2.5000000000000001E-5</v>
      </c>
      <c r="K437" s="30">
        <f t="shared" si="75"/>
        <v>2.1800000000000001E-4</v>
      </c>
      <c r="L437" s="15">
        <f t="shared" si="76"/>
        <v>1.1768000000000001E-2</v>
      </c>
      <c r="M437" s="10">
        <f t="shared" si="77"/>
        <v>3.7601508946270377</v>
      </c>
      <c r="N437" s="18">
        <f t="shared" si="78"/>
        <v>1.1916935644594064E-2</v>
      </c>
      <c r="O437" s="14">
        <f t="shared" si="79"/>
        <v>20060.766599999999</v>
      </c>
      <c r="P437" s="14">
        <f t="shared" ca="1" si="85"/>
        <v>20060</v>
      </c>
      <c r="Q437" s="14" t="str">
        <f t="shared" ca="1" si="80"/>
        <v>0100111001011100</v>
      </c>
      <c r="R437" s="14">
        <f t="shared" ca="1" si="81"/>
        <v>3.7611352157592775</v>
      </c>
      <c r="S437" s="14">
        <f t="shared" ca="1" si="82"/>
        <v>65.13362258911134</v>
      </c>
      <c r="T437" s="19">
        <f t="shared" ca="1" si="84"/>
        <v>2.5726339986005355E-2</v>
      </c>
      <c r="U437" s="14"/>
      <c r="V437" s="15">
        <f t="shared" ca="1" si="83"/>
        <v>1.633623</v>
      </c>
      <c r="W437" s="14"/>
      <c r="X437" s="2"/>
    </row>
    <row r="438" spans="8:24" x14ac:dyDescent="0.25">
      <c r="H438" s="14">
        <v>63.6</v>
      </c>
      <c r="I438" s="17">
        <v>3.7242289493039684</v>
      </c>
      <c r="J438" s="15">
        <f t="shared" si="74"/>
        <v>2.5999999999999998E-5</v>
      </c>
      <c r="K438" s="30">
        <f t="shared" si="75"/>
        <v>2.1800000000000001E-4</v>
      </c>
      <c r="L438" s="15">
        <f t="shared" si="76"/>
        <v>1.1797999999999999E-2</v>
      </c>
      <c r="M438" s="10">
        <f t="shared" si="77"/>
        <v>3.7687236668413626</v>
      </c>
      <c r="N438" s="18">
        <f t="shared" si="78"/>
        <v>1.1947363640387884E-2</v>
      </c>
      <c r="O438" s="14">
        <f t="shared" si="79"/>
        <v>20106.503100000002</v>
      </c>
      <c r="P438" s="14">
        <f t="shared" ca="1" si="85"/>
        <v>20111</v>
      </c>
      <c r="Q438" s="14" t="str">
        <f t="shared" ca="1" si="80"/>
        <v>0100111010001111</v>
      </c>
      <c r="R438" s="14">
        <f t="shared" ca="1" si="81"/>
        <v>3.7706974239349367</v>
      </c>
      <c r="S438" s="14">
        <f t="shared" ca="1" si="82"/>
        <v>65.248369087219245</v>
      </c>
      <c r="T438" s="19">
        <f t="shared" ca="1" si="84"/>
        <v>2.5917752943698805E-2</v>
      </c>
      <c r="U438" s="14"/>
      <c r="V438" s="15">
        <f t="shared" ca="1" si="83"/>
        <v>1.648369</v>
      </c>
      <c r="W438" s="14"/>
      <c r="X438" s="2"/>
    </row>
    <row r="439" spans="8:24" x14ac:dyDescent="0.25">
      <c r="H439" s="14">
        <v>63.7</v>
      </c>
      <c r="I439" s="17">
        <v>3.7331287517823077</v>
      </c>
      <c r="J439" s="15">
        <f t="shared" si="74"/>
        <v>2.5999999999999998E-5</v>
      </c>
      <c r="K439" s="30">
        <f t="shared" si="75"/>
        <v>2.1900000000000001E-4</v>
      </c>
      <c r="L439" s="15">
        <f t="shared" si="76"/>
        <v>1.1828999999999999E-2</v>
      </c>
      <c r="M439" s="10">
        <f t="shared" si="77"/>
        <v>3.7778482324418623</v>
      </c>
      <c r="N439" s="18">
        <f t="shared" si="78"/>
        <v>1.1979088757172957E-2</v>
      </c>
      <c r="O439" s="14">
        <f t="shared" si="79"/>
        <v>20155.1836</v>
      </c>
      <c r="P439" s="14">
        <f t="shared" ca="1" si="85"/>
        <v>20160</v>
      </c>
      <c r="Q439" s="14" t="str">
        <f t="shared" ca="1" si="80"/>
        <v>0100111011000000</v>
      </c>
      <c r="R439" s="14">
        <f t="shared" ca="1" si="81"/>
        <v>3.7798846435546878</v>
      </c>
      <c r="S439" s="14">
        <f t="shared" ca="1" si="82"/>
        <v>65.358615722656268</v>
      </c>
      <c r="T439" s="19">
        <f t="shared" ca="1" si="84"/>
        <v>2.6037923432594423E-2</v>
      </c>
      <c r="U439" s="14"/>
      <c r="V439" s="15">
        <f t="shared" ca="1" si="83"/>
        <v>1.6586160000000001</v>
      </c>
      <c r="W439" s="14"/>
      <c r="X439" s="2"/>
    </row>
    <row r="440" spans="8:24" x14ac:dyDescent="0.25">
      <c r="H440" s="14">
        <v>63.800000000000004</v>
      </c>
      <c r="I440" s="17">
        <v>3.7415155549136481</v>
      </c>
      <c r="J440" s="15">
        <f t="shared" si="74"/>
        <v>2.6999999999999999E-5</v>
      </c>
      <c r="K440" s="30">
        <f t="shared" si="75"/>
        <v>2.1900000000000001E-4</v>
      </c>
      <c r="L440" s="15">
        <f t="shared" si="76"/>
        <v>1.1859E-2</v>
      </c>
      <c r="M440" s="10">
        <f t="shared" si="77"/>
        <v>3.7864493701725239</v>
      </c>
      <c r="N440" s="18">
        <f t="shared" si="78"/>
        <v>1.2009522504821686E-2</v>
      </c>
      <c r="O440" s="14">
        <f t="shared" si="79"/>
        <v>20201.071400000001</v>
      </c>
      <c r="P440" s="14">
        <f t="shared" ca="1" si="85"/>
        <v>20201</v>
      </c>
      <c r="Q440" s="14" t="str">
        <f t="shared" ca="1" si="80"/>
        <v>0100111011101001</v>
      </c>
      <c r="R440" s="14">
        <f t="shared" ca="1" si="81"/>
        <v>3.7875719089508055</v>
      </c>
      <c r="S440" s="14">
        <f t="shared" ca="1" si="82"/>
        <v>65.450862907409672</v>
      </c>
      <c r="T440" s="19">
        <f t="shared" ca="1" si="84"/>
        <v>2.5875594160026133E-2</v>
      </c>
      <c r="U440" s="14"/>
      <c r="V440" s="15">
        <f t="shared" ca="1" si="83"/>
        <v>1.650863</v>
      </c>
      <c r="W440" s="14"/>
      <c r="X440" s="2"/>
    </row>
    <row r="441" spans="8:24" x14ac:dyDescent="0.25">
      <c r="H441" s="14">
        <v>63.900000000000006</v>
      </c>
      <c r="I441" s="17">
        <v>3.7504400346869233</v>
      </c>
      <c r="J441" s="15">
        <f t="shared" si="74"/>
        <v>2.6999999999999999E-5</v>
      </c>
      <c r="K441" s="30">
        <f t="shared" si="75"/>
        <v>2.2000000000000001E-4</v>
      </c>
      <c r="L441" s="15">
        <f t="shared" si="76"/>
        <v>1.189E-2</v>
      </c>
      <c r="M441" s="10">
        <f t="shared" si="77"/>
        <v>3.7956000294166876</v>
      </c>
      <c r="N441" s="18">
        <f t="shared" si="78"/>
        <v>1.2041252309619749E-2</v>
      </c>
      <c r="O441" s="14">
        <f t="shared" si="79"/>
        <v>20249.891100000001</v>
      </c>
      <c r="P441" s="14">
        <f t="shared" ca="1" si="85"/>
        <v>20254</v>
      </c>
      <c r="Q441" s="14" t="str">
        <f t="shared" ca="1" si="80"/>
        <v>0100111100011110</v>
      </c>
      <c r="R441" s="14">
        <f t="shared" ca="1" si="81"/>
        <v>3.7975091056823733</v>
      </c>
      <c r="S441" s="14">
        <f t="shared" ca="1" si="82"/>
        <v>65.570109268188489</v>
      </c>
      <c r="T441" s="19">
        <f t="shared" ca="1" si="84"/>
        <v>2.6136295276815068E-2</v>
      </c>
      <c r="U441" s="14"/>
      <c r="V441" s="15">
        <f t="shared" ca="1" si="83"/>
        <v>1.6701090000000001</v>
      </c>
      <c r="W441" s="14"/>
      <c r="X441" s="2"/>
    </row>
    <row r="442" spans="8:24" x14ac:dyDescent="0.25">
      <c r="H442" s="14">
        <v>64</v>
      </c>
      <c r="I442" s="17">
        <v>3.7588533434508244</v>
      </c>
      <c r="J442" s="15">
        <f t="shared" si="74"/>
        <v>2.8E-5</v>
      </c>
      <c r="K442" s="30">
        <f t="shared" si="75"/>
        <v>2.2000000000000001E-4</v>
      </c>
      <c r="L442" s="15">
        <f t="shared" si="76"/>
        <v>1.192E-2</v>
      </c>
      <c r="M442" s="10">
        <f t="shared" si="77"/>
        <v>3.8042290625160158</v>
      </c>
      <c r="N442" s="18">
        <f t="shared" si="78"/>
        <v>1.2071691795119105E-2</v>
      </c>
      <c r="O442" s="14">
        <f t="shared" si="79"/>
        <v>20295.927800000001</v>
      </c>
      <c r="P442" s="14">
        <f t="shared" ca="1" si="85"/>
        <v>20298</v>
      </c>
      <c r="Q442" s="14" t="str">
        <f t="shared" ca="1" si="80"/>
        <v>0100111101001010</v>
      </c>
      <c r="R442" s="14">
        <f t="shared" ca="1" si="81"/>
        <v>3.8057588539123537</v>
      </c>
      <c r="S442" s="14">
        <f t="shared" ca="1" si="82"/>
        <v>65.669106246948246</v>
      </c>
      <c r="T442" s="19">
        <f t="shared" ca="1" si="84"/>
        <v>2.6079785108566345E-2</v>
      </c>
      <c r="U442" s="14"/>
      <c r="V442" s="15">
        <f t="shared" ca="1" si="83"/>
        <v>1.669106</v>
      </c>
      <c r="W442" s="14"/>
      <c r="X442" s="2"/>
    </row>
    <row r="443" spans="8:24" x14ac:dyDescent="0.25">
      <c r="H443" s="14">
        <v>64.099999999999994</v>
      </c>
      <c r="I443" s="17">
        <v>3.7672802432056227</v>
      </c>
      <c r="J443" s="15">
        <f t="shared" si="74"/>
        <v>2.9E-5</v>
      </c>
      <c r="K443" s="30">
        <f t="shared" si="75"/>
        <v>2.2100000000000001E-4</v>
      </c>
      <c r="L443" s="15">
        <f t="shared" si="76"/>
        <v>1.1951E-2</v>
      </c>
      <c r="M443" s="10">
        <f t="shared" si="77"/>
        <v>3.8128762339191913</v>
      </c>
      <c r="N443" s="18">
        <f t="shared" si="78"/>
        <v>1.2103158716637022E-2</v>
      </c>
      <c r="O443" s="14">
        <f t="shared" si="79"/>
        <v>20342.061300000001</v>
      </c>
      <c r="P443" s="14">
        <f t="shared" ca="1" si="85"/>
        <v>20342</v>
      </c>
      <c r="Q443" s="14" t="str">
        <f t="shared" ca="1" si="80"/>
        <v>0100111101110110</v>
      </c>
      <c r="R443" s="14">
        <f t="shared" ca="1" si="81"/>
        <v>3.8140086021423341</v>
      </c>
      <c r="S443" s="14">
        <f t="shared" ca="1" si="82"/>
        <v>65.768103225708018</v>
      </c>
      <c r="T443" s="19">
        <f t="shared" ca="1" si="84"/>
        <v>2.6023451259095529E-2</v>
      </c>
      <c r="U443" s="14"/>
      <c r="V443" s="15">
        <f t="shared" ca="1" si="83"/>
        <v>1.6681029999999999</v>
      </c>
      <c r="W443" s="14"/>
      <c r="X443" s="2"/>
    </row>
    <row r="444" spans="8:24" x14ac:dyDescent="0.25">
      <c r="H444" s="14">
        <v>64.2</v>
      </c>
      <c r="I444" s="17">
        <v>3.7762413806007396</v>
      </c>
      <c r="J444" s="15">
        <f t="shared" si="74"/>
        <v>2.9E-5</v>
      </c>
      <c r="K444" s="30">
        <f t="shared" si="75"/>
        <v>2.2100000000000001E-4</v>
      </c>
      <c r="L444" s="15">
        <f t="shared" si="76"/>
        <v>1.1981E-2</v>
      </c>
      <c r="M444" s="10">
        <f t="shared" si="77"/>
        <v>3.8220618082271085</v>
      </c>
      <c r="N444" s="18">
        <f t="shared" si="78"/>
        <v>1.2133871489719139E-2</v>
      </c>
      <c r="O444" s="14">
        <f t="shared" si="79"/>
        <v>20391.067200000001</v>
      </c>
      <c r="P444" s="14">
        <f t="shared" ca="1" si="85"/>
        <v>20393</v>
      </c>
      <c r="Q444" s="14" t="str">
        <f t="shared" ca="1" si="80"/>
        <v>0100111110101001</v>
      </c>
      <c r="R444" s="14">
        <f t="shared" ca="1" si="81"/>
        <v>3.8235708103179933</v>
      </c>
      <c r="S444" s="14">
        <f t="shared" ca="1" si="82"/>
        <v>65.882849723815923</v>
      </c>
      <c r="T444" s="19">
        <f t="shared" ca="1" si="84"/>
        <v>2.6212612520497197E-2</v>
      </c>
      <c r="U444" s="14"/>
      <c r="V444" s="15">
        <f t="shared" ca="1" si="83"/>
        <v>1.68285</v>
      </c>
      <c r="W444" s="14"/>
      <c r="X444" s="2"/>
    </row>
    <row r="445" spans="8:24" x14ac:dyDescent="0.25">
      <c r="H445" s="14">
        <v>64.300000000000011</v>
      </c>
      <c r="I445" s="17">
        <v>3.7846940824041808</v>
      </c>
      <c r="J445" s="15">
        <f t="shared" si="74"/>
        <v>3.0000000000000001E-5</v>
      </c>
      <c r="K445" s="30">
        <f t="shared" si="75"/>
        <v>2.22E-4</v>
      </c>
      <c r="L445" s="15">
        <f t="shared" si="76"/>
        <v>1.2012E-2</v>
      </c>
      <c r="M445" s="10">
        <f t="shared" si="77"/>
        <v>3.8307361888081441</v>
      </c>
      <c r="N445" s="18">
        <f t="shared" si="78"/>
        <v>1.2165344252795102E-2</v>
      </c>
      <c r="O445" s="14">
        <f t="shared" si="79"/>
        <v>20437.3459</v>
      </c>
      <c r="P445" s="14">
        <f t="shared" ca="1" si="85"/>
        <v>20441</v>
      </c>
      <c r="Q445" s="14" t="str">
        <f t="shared" ca="1" si="80"/>
        <v>0100111111011001</v>
      </c>
      <c r="R445" s="14">
        <f t="shared" ca="1" si="81"/>
        <v>3.8325705356597903</v>
      </c>
      <c r="S445" s="14">
        <f t="shared" ca="1" si="82"/>
        <v>65.990846427917489</v>
      </c>
      <c r="T445" s="19">
        <f t="shared" ca="1" si="84"/>
        <v>2.6296211942729047E-2</v>
      </c>
      <c r="U445" s="14"/>
      <c r="V445" s="15">
        <f t="shared" ca="1" si="83"/>
        <v>1.6908460000000001</v>
      </c>
      <c r="W445" s="14"/>
      <c r="X445" s="2"/>
    </row>
    <row r="446" spans="8:24" x14ac:dyDescent="0.25">
      <c r="H446" s="14">
        <v>64.400000000000006</v>
      </c>
      <c r="I446" s="17">
        <v>3.793678735983999</v>
      </c>
      <c r="J446" s="15">
        <f t="shared" si="74"/>
        <v>3.0000000000000001E-5</v>
      </c>
      <c r="K446" s="30">
        <f t="shared" si="75"/>
        <v>2.22E-4</v>
      </c>
      <c r="L446" s="15">
        <f t="shared" si="76"/>
        <v>1.2042000000000001E-2</v>
      </c>
      <c r="M446" s="10">
        <f t="shared" si="77"/>
        <v>3.839946675413326</v>
      </c>
      <c r="N446" s="18">
        <f t="shared" si="78"/>
        <v>1.2196061566959793E-2</v>
      </c>
      <c r="O446" s="14">
        <f t="shared" si="79"/>
        <v>20486.484700000001</v>
      </c>
      <c r="P446" s="14">
        <f t="shared" ca="1" si="85"/>
        <v>20488</v>
      </c>
      <c r="Q446" s="14" t="str">
        <f t="shared" ca="1" si="80"/>
        <v>0101000000001000</v>
      </c>
      <c r="R446" s="14">
        <f t="shared" ca="1" si="81"/>
        <v>3.8413827667236329</v>
      </c>
      <c r="S446" s="14">
        <f t="shared" ca="1" si="82"/>
        <v>66.0965932006836</v>
      </c>
      <c r="T446" s="19">
        <f t="shared" ca="1" si="84"/>
        <v>2.6344614917447114E-2</v>
      </c>
      <c r="U446" s="14"/>
      <c r="V446" s="15">
        <f t="shared" ca="1" si="83"/>
        <v>1.696593</v>
      </c>
      <c r="W446" s="14"/>
      <c r="X446" s="2"/>
    </row>
    <row r="447" spans="8:24" x14ac:dyDescent="0.25">
      <c r="H447" s="14">
        <v>64.5</v>
      </c>
      <c r="I447" s="17">
        <v>3.802156773129707</v>
      </c>
      <c r="J447" s="15">
        <f t="shared" si="74"/>
        <v>3.1000000000000001E-5</v>
      </c>
      <c r="K447" s="30">
        <f t="shared" si="75"/>
        <v>2.23E-4</v>
      </c>
      <c r="L447" s="15">
        <f t="shared" si="76"/>
        <v>1.2073E-2</v>
      </c>
      <c r="M447" s="10">
        <f t="shared" si="77"/>
        <v>3.8486477977580402</v>
      </c>
      <c r="N447" s="18">
        <f t="shared" si="78"/>
        <v>1.2227540157441902E-2</v>
      </c>
      <c r="O447" s="14">
        <f t="shared" si="79"/>
        <v>20532.905999999999</v>
      </c>
      <c r="P447" s="14">
        <f t="shared" ca="1" si="85"/>
        <v>20537</v>
      </c>
      <c r="Q447" s="14" t="str">
        <f t="shared" ca="1" si="80"/>
        <v>0101000000111001</v>
      </c>
      <c r="R447" s="14">
        <f t="shared" ca="1" si="81"/>
        <v>3.850569986343384</v>
      </c>
      <c r="S447" s="14">
        <f t="shared" ca="1" si="82"/>
        <v>66.206839836120622</v>
      </c>
      <c r="T447" s="19">
        <f t="shared" ca="1" si="84"/>
        <v>2.6462633118149181E-2</v>
      </c>
      <c r="U447" s="14"/>
      <c r="V447" s="15">
        <f t="shared" ca="1" si="83"/>
        <v>1.7068399999999999</v>
      </c>
      <c r="W447" s="14"/>
      <c r="X447" s="2"/>
    </row>
    <row r="448" spans="8:24" x14ac:dyDescent="0.25">
      <c r="H448" s="14">
        <v>64.599999999999994</v>
      </c>
      <c r="I448" s="17">
        <v>3.8106478155683416</v>
      </c>
      <c r="J448" s="15">
        <f t="shared" si="74"/>
        <v>3.1000000000000001E-5</v>
      </c>
      <c r="K448" s="30">
        <f t="shared" si="75"/>
        <v>2.23E-4</v>
      </c>
      <c r="L448" s="15">
        <f t="shared" si="76"/>
        <v>1.2102999999999999E-2</v>
      </c>
      <c r="M448" s="10">
        <f t="shared" si="77"/>
        <v>3.8573597385095226</v>
      </c>
      <c r="N448" s="18">
        <f t="shared" si="78"/>
        <v>1.2258262952125924E-2</v>
      </c>
      <c r="O448" s="14">
        <f t="shared" si="79"/>
        <v>20579.3851</v>
      </c>
      <c r="P448" s="14">
        <f t="shared" ca="1" si="85"/>
        <v>20580</v>
      </c>
      <c r="Q448" s="14" t="str">
        <f t="shared" ca="1" si="80"/>
        <v>0101000001100100</v>
      </c>
      <c r="R448" s="14">
        <f t="shared" ca="1" si="81"/>
        <v>3.8586322402954103</v>
      </c>
      <c r="S448" s="14">
        <f t="shared" ca="1" si="82"/>
        <v>66.303586883544938</v>
      </c>
      <c r="T448" s="19">
        <f t="shared" ca="1" si="84"/>
        <v>2.6371313986763834E-2</v>
      </c>
      <c r="U448" s="14"/>
      <c r="V448" s="15">
        <f t="shared" ca="1" si="83"/>
        <v>1.703587</v>
      </c>
      <c r="W448" s="14"/>
      <c r="X448" s="2"/>
    </row>
    <row r="449" spans="8:24" x14ac:dyDescent="0.25">
      <c r="H449" s="14">
        <v>64.7</v>
      </c>
      <c r="I449" s="17">
        <v>3.8186361036937413</v>
      </c>
      <c r="J449" s="15">
        <f t="shared" si="74"/>
        <v>3.1999999999999999E-5</v>
      </c>
      <c r="K449" s="30">
        <f t="shared" si="75"/>
        <v>2.24E-4</v>
      </c>
      <c r="L449" s="15">
        <f t="shared" si="76"/>
        <v>1.2134000000000001E-2</v>
      </c>
      <c r="M449" s="10">
        <f t="shared" si="77"/>
        <v>3.8655661799492456</v>
      </c>
      <c r="N449" s="18">
        <f t="shared" si="78"/>
        <v>1.2289748219294612E-2</v>
      </c>
      <c r="O449" s="14">
        <f t="shared" si="79"/>
        <v>20623.1672</v>
      </c>
      <c r="P449" s="14">
        <f t="shared" ca="1" si="85"/>
        <v>20627</v>
      </c>
      <c r="Q449" s="14" t="str">
        <f t="shared" ca="1" si="80"/>
        <v>0101000010010011</v>
      </c>
      <c r="R449" s="14">
        <f t="shared" ca="1" si="81"/>
        <v>3.8674444713592528</v>
      </c>
      <c r="S449" s="14">
        <f t="shared" ca="1" si="82"/>
        <v>66.409333656311048</v>
      </c>
      <c r="T449" s="19">
        <f t="shared" ca="1" si="84"/>
        <v>2.6419376449938879E-2</v>
      </c>
      <c r="U449" s="14"/>
      <c r="V449" s="15">
        <f t="shared" ca="1" si="83"/>
        <v>1.7093339999999999</v>
      </c>
      <c r="W449" s="14"/>
      <c r="X449" s="2"/>
    </row>
    <row r="450" spans="8:24" x14ac:dyDescent="0.25">
      <c r="H450" s="14">
        <v>64.800000000000011</v>
      </c>
      <c r="I450" s="17">
        <v>3.8271538263751843</v>
      </c>
      <c r="J450" s="15">
        <f t="shared" si="74"/>
        <v>3.3000000000000003E-5</v>
      </c>
      <c r="K450" s="30">
        <f t="shared" si="75"/>
        <v>2.24E-4</v>
      </c>
      <c r="L450" s="15">
        <f t="shared" si="76"/>
        <v>1.2163999999999999E-2</v>
      </c>
      <c r="M450" s="10">
        <f t="shared" si="77"/>
        <v>3.8743051689381476</v>
      </c>
      <c r="N450" s="18">
        <f t="shared" si="78"/>
        <v>1.232021097192787E-2</v>
      </c>
      <c r="O450" s="14">
        <f t="shared" si="79"/>
        <v>20669.7906</v>
      </c>
      <c r="P450" s="14">
        <f t="shared" ca="1" si="85"/>
        <v>20669</v>
      </c>
      <c r="Q450" s="14" t="str">
        <f t="shared" ca="1" si="80"/>
        <v>0101000010111101</v>
      </c>
      <c r="R450" s="14">
        <f t="shared" ca="1" si="81"/>
        <v>3.8753192310333251</v>
      </c>
      <c r="S450" s="14">
        <f t="shared" ca="1" si="82"/>
        <v>66.503830772399908</v>
      </c>
      <c r="T450" s="19">
        <f t="shared" ca="1" si="84"/>
        <v>2.6293684759257665E-2</v>
      </c>
      <c r="U450" s="14"/>
      <c r="V450" s="15">
        <f t="shared" ca="1" si="83"/>
        <v>1.7038310000000001</v>
      </c>
      <c r="W450" s="14"/>
      <c r="X450" s="2"/>
    </row>
    <row r="451" spans="8:24" x14ac:dyDescent="0.25">
      <c r="H451" s="14">
        <v>64.900000000000006</v>
      </c>
      <c r="I451" s="17">
        <v>3.8356842021175015</v>
      </c>
      <c r="J451" s="15">
        <f t="shared" ref="J451:J514" si="86">ROUND(H451*0.00000575 -0.00034,6)</f>
        <v>3.3000000000000003E-5</v>
      </c>
      <c r="K451" s="30">
        <f t="shared" ref="K451:K514" si="87">ROUND(H451*0.000005-0.0001,6)</f>
        <v>2.2499999999999999E-4</v>
      </c>
      <c r="L451" s="15">
        <f t="shared" ref="L451:L514" si="88">ROUND(K451+($C$24*(H451-25)),6)</f>
        <v>1.2194999999999999E-2</v>
      </c>
      <c r="M451" s="10">
        <f t="shared" ref="M451:M514" si="89">(I451-J451)/(1-L451)+$C$26+$D$27</f>
        <v>3.8830624412788972</v>
      </c>
      <c r="N451" s="18">
        <f t="shared" ref="N451:N514" si="90">ABS(I451-M451)/I451</f>
        <v>1.2351965559427549E-2</v>
      </c>
      <c r="O451" s="14">
        <f t="shared" ref="O451:O514" si="91">ROUND((M451*(2^($C$12-1)))/$C$44,4)</f>
        <v>20716.511500000001</v>
      </c>
      <c r="P451" s="14">
        <f t="shared" ca="1" si="85"/>
        <v>20720</v>
      </c>
      <c r="Q451" s="14" t="str">
        <f t="shared" ref="Q451:Q514" ca="1" si="92">_xlfn.BASE(IF(P451&lt;0, P451+2^($C$12)-1, P451), 2, 16)</f>
        <v>0101000011110000</v>
      </c>
      <c r="R451" s="14">
        <f t="shared" ref="R451:R514" ca="1" si="93">($C$16/2^($C$12-1)) * P451</f>
        <v>3.8848814392089843</v>
      </c>
      <c r="S451" s="14">
        <f t="shared" ref="S451:S514" ca="1" si="94">(R451+5/3)/(1/12)</f>
        <v>66.618577270507814</v>
      </c>
      <c r="T451" s="19">
        <f t="shared" ca="1" si="84"/>
        <v>2.6480389376083324E-2</v>
      </c>
      <c r="U451" s="14"/>
      <c r="V451" s="15">
        <f t="shared" ref="V451:V514" ca="1" si="95">ROUND(ABS(H451-S451),6)</f>
        <v>1.718577</v>
      </c>
      <c r="W451" s="14"/>
      <c r="X451" s="2"/>
    </row>
    <row r="452" spans="8:24" x14ac:dyDescent="0.25">
      <c r="H452" s="14">
        <v>65</v>
      </c>
      <c r="I452" s="17">
        <v>3.8442271147878468</v>
      </c>
      <c r="J452" s="15">
        <f t="shared" si="86"/>
        <v>3.4E-5</v>
      </c>
      <c r="K452" s="30">
        <f t="shared" si="87"/>
        <v>2.2499999999999999E-4</v>
      </c>
      <c r="L452" s="15">
        <f t="shared" si="88"/>
        <v>1.2225E-2</v>
      </c>
      <c r="M452" s="10">
        <f t="shared" si="89"/>
        <v>3.8918280030754446</v>
      </c>
      <c r="N452" s="18">
        <f t="shared" si="90"/>
        <v>1.2382433936977409E-2</v>
      </c>
      <c r="O452" s="14">
        <f t="shared" si="91"/>
        <v>20763.276600000001</v>
      </c>
      <c r="P452" s="14">
        <f t="shared" ca="1" si="85"/>
        <v>20767</v>
      </c>
      <c r="Q452" s="14" t="str">
        <f t="shared" ca="1" si="92"/>
        <v>0101000100011111</v>
      </c>
      <c r="R452" s="14">
        <f t="shared" ca="1" si="93"/>
        <v>3.8936936702728273</v>
      </c>
      <c r="S452" s="14">
        <f t="shared" ca="1" si="94"/>
        <v>66.724324043273938</v>
      </c>
      <c r="T452" s="19">
        <f t="shared" ref="T452:T515" ca="1" si="96">ABS(H452-S452)/H452</f>
        <v>2.6528062204214439E-2</v>
      </c>
      <c r="U452" s="14"/>
      <c r="V452" s="15">
        <f t="shared" ca="1" si="95"/>
        <v>1.724324</v>
      </c>
      <c r="W452" s="14"/>
      <c r="X452" s="2"/>
    </row>
    <row r="453" spans="8:24" x14ac:dyDescent="0.25">
      <c r="H453" s="14">
        <v>65.099999999999994</v>
      </c>
      <c r="I453" s="17">
        <v>3.8527824476787114</v>
      </c>
      <c r="J453" s="15">
        <f t="shared" si="86"/>
        <v>3.4E-5</v>
      </c>
      <c r="K453" s="30">
        <f t="shared" si="87"/>
        <v>2.2599999999999999E-4</v>
      </c>
      <c r="L453" s="15">
        <f t="shared" si="88"/>
        <v>1.2256E-2</v>
      </c>
      <c r="M453" s="10">
        <f t="shared" si="89"/>
        <v>3.9006116330048188</v>
      </c>
      <c r="N453" s="18">
        <f t="shared" si="90"/>
        <v>1.2414193112545038E-2</v>
      </c>
      <c r="O453" s="14">
        <f t="shared" si="91"/>
        <v>20810.1381</v>
      </c>
      <c r="P453" s="14">
        <f t="shared" ca="1" si="85"/>
        <v>20810</v>
      </c>
      <c r="Q453" s="14" t="str">
        <f t="shared" ca="1" si="92"/>
        <v>0101000101001010</v>
      </c>
      <c r="R453" s="14">
        <f t="shared" ca="1" si="93"/>
        <v>3.9017559242248536</v>
      </c>
      <c r="S453" s="14">
        <f t="shared" ca="1" si="94"/>
        <v>66.821071090698254</v>
      </c>
      <c r="T453" s="19">
        <f t="shared" ca="1" si="96"/>
        <v>2.6437343943137633E-2</v>
      </c>
      <c r="U453" s="14"/>
      <c r="V453" s="15">
        <f t="shared" ca="1" si="95"/>
        <v>1.721071</v>
      </c>
      <c r="W453" s="14"/>
      <c r="X453" s="2"/>
    </row>
    <row r="454" spans="8:24" x14ac:dyDescent="0.25">
      <c r="H454" s="14">
        <v>65.2</v>
      </c>
      <c r="I454" s="17">
        <v>3.8613500845408568</v>
      </c>
      <c r="J454" s="15">
        <f t="shared" si="86"/>
        <v>3.4999999999999997E-5</v>
      </c>
      <c r="K454" s="30">
        <f t="shared" si="87"/>
        <v>2.2599999999999999E-4</v>
      </c>
      <c r="L454" s="15">
        <f t="shared" si="88"/>
        <v>1.2286E-2</v>
      </c>
      <c r="M454" s="10">
        <f t="shared" si="89"/>
        <v>3.9094033009078104</v>
      </c>
      <c r="N454" s="18">
        <f t="shared" si="90"/>
        <v>1.2444667102145821E-2</v>
      </c>
      <c r="O454" s="14">
        <f t="shared" si="91"/>
        <v>20857.0425</v>
      </c>
      <c r="P454" s="14">
        <f t="shared" ca="1" si="85"/>
        <v>20858</v>
      </c>
      <c r="Q454" s="14" t="str">
        <f t="shared" ca="1" si="92"/>
        <v>0101000101111010</v>
      </c>
      <c r="R454" s="14">
        <f t="shared" ca="1" si="93"/>
        <v>3.9107556495666507</v>
      </c>
      <c r="S454" s="14">
        <f t="shared" ca="1" si="94"/>
        <v>66.929067794799806</v>
      </c>
      <c r="T454" s="19">
        <f t="shared" ca="1" si="96"/>
        <v>2.6519444705518456E-2</v>
      </c>
      <c r="U454" s="14"/>
      <c r="V454" s="15">
        <f t="shared" ca="1" si="95"/>
        <v>1.729068</v>
      </c>
      <c r="W454" s="14"/>
      <c r="X454" s="2"/>
    </row>
    <row r="455" spans="8:24" x14ac:dyDescent="0.25">
      <c r="H455" s="14">
        <v>65.300000000000011</v>
      </c>
      <c r="I455" s="17">
        <v>3.8699299097942803</v>
      </c>
      <c r="J455" s="15">
        <f t="shared" si="86"/>
        <v>3.4999999999999997E-5</v>
      </c>
      <c r="K455" s="30">
        <f t="shared" si="87"/>
        <v>2.2699999999999999E-4</v>
      </c>
      <c r="L455" s="15">
        <f t="shared" si="88"/>
        <v>1.2317E-2</v>
      </c>
      <c r="M455" s="10">
        <f t="shared" si="89"/>
        <v>3.9182128227460433</v>
      </c>
      <c r="N455" s="18">
        <f t="shared" si="90"/>
        <v>1.2476430859785174E-2</v>
      </c>
      <c r="O455" s="14">
        <f t="shared" si="91"/>
        <v>20904.042099999999</v>
      </c>
      <c r="P455" s="14">
        <f t="shared" ca="1" si="85"/>
        <v>20903</v>
      </c>
      <c r="Q455" s="14" t="str">
        <f t="shared" ca="1" si="92"/>
        <v>0101000110100111</v>
      </c>
      <c r="R455" s="14">
        <f t="shared" ca="1" si="93"/>
        <v>3.9191928920745851</v>
      </c>
      <c r="S455" s="14">
        <f t="shared" ca="1" si="94"/>
        <v>67.030314704895019</v>
      </c>
      <c r="T455" s="19">
        <f t="shared" ca="1" si="96"/>
        <v>2.6497928099464132E-2</v>
      </c>
      <c r="U455" s="14"/>
      <c r="V455" s="15">
        <f t="shared" ca="1" si="95"/>
        <v>1.730315</v>
      </c>
      <c r="W455" s="14"/>
      <c r="X455" s="2"/>
    </row>
    <row r="456" spans="8:24" x14ac:dyDescent="0.25">
      <c r="H456" s="14">
        <v>65.400000000000006</v>
      </c>
      <c r="I456" s="17">
        <v>3.8780132925564601</v>
      </c>
      <c r="J456" s="15">
        <f t="shared" si="86"/>
        <v>3.6000000000000001E-5</v>
      </c>
      <c r="K456" s="30">
        <f t="shared" si="87"/>
        <v>2.2699999999999999E-4</v>
      </c>
      <c r="L456" s="15">
        <f t="shared" si="88"/>
        <v>1.2347E-2</v>
      </c>
      <c r="M456" s="10">
        <f t="shared" si="89"/>
        <v>3.9265152603500013</v>
      </c>
      <c r="N456" s="18">
        <f t="shared" si="90"/>
        <v>1.2506911177080518E-2</v>
      </c>
      <c r="O456" s="14">
        <f t="shared" si="91"/>
        <v>20948.3364</v>
      </c>
      <c r="P456" s="14">
        <f t="shared" ca="1" si="85"/>
        <v>20950</v>
      </c>
      <c r="Q456" s="14" t="str">
        <f t="shared" ca="1" si="92"/>
        <v>0101000111010110</v>
      </c>
      <c r="R456" s="14">
        <f t="shared" ca="1" si="93"/>
        <v>3.9280051231384276</v>
      </c>
      <c r="S456" s="14">
        <f t="shared" ca="1" si="94"/>
        <v>67.13606147766113</v>
      </c>
      <c r="T456" s="19">
        <f t="shared" ca="1" si="96"/>
        <v>2.6545282533044712E-2</v>
      </c>
      <c r="U456" s="14"/>
      <c r="V456" s="15">
        <f t="shared" ca="1" si="95"/>
        <v>1.7360610000000001</v>
      </c>
      <c r="W456" s="14"/>
      <c r="X456" s="2"/>
    </row>
    <row r="457" spans="8:24" x14ac:dyDescent="0.25">
      <c r="H457" s="14">
        <v>65.5</v>
      </c>
      <c r="I457" s="17">
        <v>3.8866181606996051</v>
      </c>
      <c r="J457" s="15">
        <f t="shared" si="86"/>
        <v>3.6999999999999998E-5</v>
      </c>
      <c r="K457" s="30">
        <f t="shared" si="87"/>
        <v>2.2800000000000001E-4</v>
      </c>
      <c r="L457" s="15">
        <f t="shared" si="88"/>
        <v>1.2378E-2</v>
      </c>
      <c r="M457" s="10">
        <f t="shared" si="89"/>
        <v>3.9353502076458455</v>
      </c>
      <c r="N457" s="18">
        <f t="shared" si="90"/>
        <v>1.2538418988262152E-2</v>
      </c>
      <c r="O457" s="14">
        <f t="shared" si="91"/>
        <v>20995.471699999998</v>
      </c>
      <c r="P457" s="14">
        <f t="shared" ca="1" si="85"/>
        <v>21000</v>
      </c>
      <c r="Q457" s="14" t="str">
        <f t="shared" ca="1" si="92"/>
        <v>0101001000001000</v>
      </c>
      <c r="R457" s="14">
        <f t="shared" ca="1" si="93"/>
        <v>3.9373798370361328</v>
      </c>
      <c r="S457" s="14">
        <f t="shared" ca="1" si="94"/>
        <v>67.248558044433608</v>
      </c>
      <c r="T457" s="19">
        <f t="shared" ca="1" si="96"/>
        <v>2.6695542663108519E-2</v>
      </c>
      <c r="U457" s="14"/>
      <c r="V457" s="15">
        <f t="shared" ca="1" si="95"/>
        <v>1.7485580000000001</v>
      </c>
      <c r="W457" s="14"/>
      <c r="X457" s="2"/>
    </row>
    <row r="458" spans="8:24" x14ac:dyDescent="0.25">
      <c r="H458" s="14">
        <v>65.599999999999994</v>
      </c>
      <c r="I458" s="17">
        <v>3.8952348690828171</v>
      </c>
      <c r="J458" s="15">
        <f t="shared" si="86"/>
        <v>3.6999999999999998E-5</v>
      </c>
      <c r="K458" s="30">
        <f t="shared" si="87"/>
        <v>2.2800000000000001E-4</v>
      </c>
      <c r="L458" s="15">
        <f t="shared" si="88"/>
        <v>1.2408000000000001E-2</v>
      </c>
      <c r="M458" s="10">
        <f t="shared" si="89"/>
        <v>3.9441947174732253</v>
      </c>
      <c r="N458" s="18">
        <f t="shared" si="90"/>
        <v>1.2569164642422793E-2</v>
      </c>
      <c r="O458" s="14">
        <f t="shared" si="91"/>
        <v>21042.657999999999</v>
      </c>
      <c r="P458" s="14">
        <f t="shared" ca="1" si="85"/>
        <v>21044</v>
      </c>
      <c r="Q458" s="14" t="str">
        <f t="shared" ca="1" si="92"/>
        <v>0101001000110100</v>
      </c>
      <c r="R458" s="14">
        <f t="shared" ca="1" si="93"/>
        <v>3.9456295852661132</v>
      </c>
      <c r="S458" s="14">
        <f t="shared" ca="1" si="94"/>
        <v>67.347555023193365</v>
      </c>
      <c r="T458" s="19">
        <f t="shared" ca="1" si="96"/>
        <v>2.6639558280386756E-2</v>
      </c>
      <c r="U458" s="14"/>
      <c r="V458" s="15">
        <f t="shared" ca="1" si="95"/>
        <v>1.747555</v>
      </c>
      <c r="W458" s="14"/>
      <c r="X458" s="2"/>
    </row>
    <row r="459" spans="8:24" x14ac:dyDescent="0.25">
      <c r="H459" s="14">
        <v>65.7</v>
      </c>
      <c r="I459" s="17">
        <v>3.9038633034790937</v>
      </c>
      <c r="J459" s="15">
        <f t="shared" si="86"/>
        <v>3.8000000000000002E-5</v>
      </c>
      <c r="K459" s="30">
        <f t="shared" si="87"/>
        <v>2.2900000000000001E-4</v>
      </c>
      <c r="L459" s="15">
        <f t="shared" si="88"/>
        <v>1.2439E-2</v>
      </c>
      <c r="M459" s="10">
        <f t="shared" si="89"/>
        <v>3.9530546285415218</v>
      </c>
      <c r="N459" s="18">
        <f t="shared" si="90"/>
        <v>1.2600678158630486E-2</v>
      </c>
      <c r="O459" s="14">
        <f t="shared" si="91"/>
        <v>21089.926500000001</v>
      </c>
      <c r="P459" s="14">
        <f t="shared" ca="1" si="85"/>
        <v>21090</v>
      </c>
      <c r="Q459" s="14" t="str">
        <f t="shared" ca="1" si="92"/>
        <v>0101001001100010</v>
      </c>
      <c r="R459" s="14">
        <f t="shared" ca="1" si="93"/>
        <v>3.9542543220520021</v>
      </c>
      <c r="S459" s="14">
        <f t="shared" ca="1" si="94"/>
        <v>67.451051864624034</v>
      </c>
      <c r="T459" s="19">
        <f t="shared" ca="1" si="96"/>
        <v>2.6652235382405347E-2</v>
      </c>
      <c r="U459" s="14"/>
      <c r="V459" s="15">
        <f t="shared" ca="1" si="95"/>
        <v>1.7510520000000001</v>
      </c>
      <c r="W459" s="14"/>
      <c r="X459" s="2"/>
    </row>
    <row r="460" spans="8:24" x14ac:dyDescent="0.25">
      <c r="H460" s="14">
        <v>65.800000000000011</v>
      </c>
      <c r="I460" s="17">
        <v>3.912503348104758</v>
      </c>
      <c r="J460" s="15">
        <f t="shared" si="86"/>
        <v>3.8000000000000002E-5</v>
      </c>
      <c r="K460" s="30">
        <f t="shared" si="87"/>
        <v>2.2900000000000001E-4</v>
      </c>
      <c r="L460" s="15">
        <f t="shared" si="88"/>
        <v>1.2468999999999999E-2</v>
      </c>
      <c r="M460" s="10">
        <f t="shared" si="89"/>
        <v>3.9619238534311916</v>
      </c>
      <c r="N460" s="18">
        <f t="shared" si="90"/>
        <v>1.2631428251779828E-2</v>
      </c>
      <c r="O460" s="14">
        <f t="shared" si="91"/>
        <v>21137.244699999999</v>
      </c>
      <c r="P460" s="14">
        <f t="shared" ca="1" si="85"/>
        <v>21138</v>
      </c>
      <c r="Q460" s="14" t="str">
        <f t="shared" ca="1" si="92"/>
        <v>0101001010010010</v>
      </c>
      <c r="R460" s="14">
        <f t="shared" ca="1" si="93"/>
        <v>3.9632540473937987</v>
      </c>
      <c r="S460" s="14">
        <f t="shared" ca="1" si="94"/>
        <v>67.559048568725586</v>
      </c>
      <c r="T460" s="19">
        <f t="shared" ca="1" si="96"/>
        <v>2.6733260922881075E-2</v>
      </c>
      <c r="U460" s="14"/>
      <c r="V460" s="15">
        <f t="shared" ca="1" si="95"/>
        <v>1.7590490000000001</v>
      </c>
      <c r="W460" s="14"/>
      <c r="X460" s="2"/>
    </row>
    <row r="461" spans="8:24" x14ac:dyDescent="0.25">
      <c r="H461" s="14">
        <v>65.900000000000006</v>
      </c>
      <c r="I461" s="17">
        <v>3.9206514305956071</v>
      </c>
      <c r="J461" s="15">
        <f t="shared" si="86"/>
        <v>3.8999999999999999E-5</v>
      </c>
      <c r="K461" s="30">
        <f t="shared" si="87"/>
        <v>2.3000000000000001E-4</v>
      </c>
      <c r="L461" s="15">
        <f t="shared" si="88"/>
        <v>1.2500000000000001E-2</v>
      </c>
      <c r="M461" s="10">
        <f t="shared" si="89"/>
        <v>3.9702984360461842</v>
      </c>
      <c r="N461" s="18">
        <f t="shared" si="90"/>
        <v>1.2662948066014366E-2</v>
      </c>
      <c r="O461" s="14">
        <f t="shared" si="91"/>
        <v>21181.923900000002</v>
      </c>
      <c r="P461" s="14">
        <f t="shared" ca="1" si="85"/>
        <v>21184</v>
      </c>
      <c r="Q461" s="14" t="str">
        <f t="shared" ca="1" si="92"/>
        <v>0101001011000000</v>
      </c>
      <c r="R461" s="14">
        <f t="shared" ca="1" si="93"/>
        <v>3.9718787841796876</v>
      </c>
      <c r="S461" s="14">
        <f t="shared" ca="1" si="94"/>
        <v>67.662545410156255</v>
      </c>
      <c r="T461" s="19">
        <f t="shared" ca="1" si="96"/>
        <v>2.6745757362006822E-2</v>
      </c>
      <c r="U461" s="14"/>
      <c r="V461" s="15">
        <f t="shared" ca="1" si="95"/>
        <v>1.762545</v>
      </c>
      <c r="W461" s="14"/>
      <c r="X461" s="2"/>
    </row>
    <row r="462" spans="8:24" x14ac:dyDescent="0.25">
      <c r="H462" s="14">
        <v>66</v>
      </c>
      <c r="I462" s="17">
        <v>3.9293153603469024</v>
      </c>
      <c r="J462" s="15">
        <f t="shared" si="86"/>
        <v>4.0000000000000003E-5</v>
      </c>
      <c r="K462" s="30">
        <f t="shared" si="87"/>
        <v>2.3000000000000001E-4</v>
      </c>
      <c r="L462" s="15">
        <f t="shared" si="88"/>
        <v>1.2529999999999999E-2</v>
      </c>
      <c r="M462" s="10">
        <f t="shared" si="89"/>
        <v>3.9791919082168601</v>
      </c>
      <c r="N462" s="18">
        <f t="shared" si="90"/>
        <v>1.2693444861487083E-2</v>
      </c>
      <c r="O462" s="14">
        <f t="shared" si="91"/>
        <v>21229.3714</v>
      </c>
      <c r="P462" s="14">
        <f t="shared" ca="1" si="85"/>
        <v>21232</v>
      </c>
      <c r="Q462" s="14" t="str">
        <f t="shared" ca="1" si="92"/>
        <v>0101001011110000</v>
      </c>
      <c r="R462" s="14">
        <f t="shared" ca="1" si="93"/>
        <v>3.9808785095214843</v>
      </c>
      <c r="S462" s="14">
        <f t="shared" ca="1" si="94"/>
        <v>67.770542114257822</v>
      </c>
      <c r="T462" s="19">
        <f t="shared" ca="1" si="96"/>
        <v>2.6826395670573055E-2</v>
      </c>
      <c r="U462" s="14"/>
      <c r="V462" s="15">
        <f t="shared" ca="1" si="95"/>
        <v>1.7705420000000001</v>
      </c>
      <c r="W462" s="14"/>
      <c r="X462" s="2"/>
    </row>
    <row r="463" spans="8:24" x14ac:dyDescent="0.25">
      <c r="H463" s="14">
        <v>66.099999999999994</v>
      </c>
      <c r="I463" s="17">
        <v>3.9374891134776955</v>
      </c>
      <c r="J463" s="15">
        <f t="shared" si="86"/>
        <v>4.0000000000000003E-5</v>
      </c>
      <c r="K463" s="30">
        <f t="shared" si="87"/>
        <v>2.31E-4</v>
      </c>
      <c r="L463" s="15">
        <f t="shared" si="88"/>
        <v>1.2560999999999999E-2</v>
      </c>
      <c r="M463" s="10">
        <f t="shared" si="89"/>
        <v>3.9875945602104998</v>
      </c>
      <c r="N463" s="18">
        <f t="shared" si="90"/>
        <v>1.2725228004135331E-2</v>
      </c>
      <c r="O463" s="14">
        <f t="shared" si="91"/>
        <v>21274.200400000002</v>
      </c>
      <c r="P463" s="14">
        <f t="shared" ref="P463:P526" ca="1" si="97">ROUND(O463+$C$47+$C$49+RANDBETWEEN($B$45,$D$45) + 1,0)</f>
        <v>21276</v>
      </c>
      <c r="Q463" s="14" t="str">
        <f t="shared" ca="1" si="92"/>
        <v>0101001100011100</v>
      </c>
      <c r="R463" s="14">
        <f t="shared" ca="1" si="93"/>
        <v>3.9891282577514651</v>
      </c>
      <c r="S463" s="14">
        <f t="shared" ca="1" si="94"/>
        <v>67.869539093017579</v>
      </c>
      <c r="T463" s="19">
        <f t="shared" ca="1" si="96"/>
        <v>2.6770636808132901E-2</v>
      </c>
      <c r="U463" s="14"/>
      <c r="V463" s="15">
        <f t="shared" ca="1" si="95"/>
        <v>1.769539</v>
      </c>
      <c r="W463" s="14"/>
      <c r="X463" s="2"/>
    </row>
    <row r="464" spans="8:24" x14ac:dyDescent="0.25">
      <c r="H464" s="14">
        <v>66.2</v>
      </c>
      <c r="I464" s="17">
        <v>3.9451755966770987</v>
      </c>
      <c r="J464" s="15">
        <f t="shared" si="86"/>
        <v>4.1E-5</v>
      </c>
      <c r="K464" s="30">
        <f t="shared" si="87"/>
        <v>2.31E-4</v>
      </c>
      <c r="L464" s="15">
        <f t="shared" si="88"/>
        <v>1.2591E-2</v>
      </c>
      <c r="M464" s="10">
        <f t="shared" si="89"/>
        <v>3.9954991967858295</v>
      </c>
      <c r="N464" s="18">
        <f t="shared" si="90"/>
        <v>1.2755731367474965E-2</v>
      </c>
      <c r="O464" s="14">
        <f t="shared" si="91"/>
        <v>21316.3724</v>
      </c>
      <c r="P464" s="14">
        <f t="shared" ca="1" si="97"/>
        <v>21319</v>
      </c>
      <c r="Q464" s="14" t="str">
        <f t="shared" ca="1" si="92"/>
        <v>0101001101000111</v>
      </c>
      <c r="R464" s="14">
        <f t="shared" ca="1" si="93"/>
        <v>3.9971905117034914</v>
      </c>
      <c r="S464" s="14">
        <f t="shared" ca="1" si="94"/>
        <v>67.966286140441895</v>
      </c>
      <c r="T464" s="19">
        <f t="shared" ca="1" si="96"/>
        <v>2.6681059523291417E-2</v>
      </c>
      <c r="U464" s="14"/>
      <c r="V464" s="15">
        <f t="shared" ca="1" si="95"/>
        <v>1.766286</v>
      </c>
      <c r="W464" s="14"/>
      <c r="X464" s="2"/>
    </row>
    <row r="465" spans="8:24" x14ac:dyDescent="0.25">
      <c r="H465" s="14">
        <v>66.300000000000011</v>
      </c>
      <c r="I465" s="17">
        <v>3.9538759947824289</v>
      </c>
      <c r="J465" s="15">
        <f t="shared" si="86"/>
        <v>4.1E-5</v>
      </c>
      <c r="K465" s="30">
        <f t="shared" si="87"/>
        <v>2.32E-4</v>
      </c>
      <c r="L465" s="15">
        <f t="shared" si="88"/>
        <v>1.2622E-2</v>
      </c>
      <c r="M465" s="10">
        <f t="shared" si="89"/>
        <v>4.0044362571441017</v>
      </c>
      <c r="N465" s="18">
        <f t="shared" si="90"/>
        <v>1.2787518482722412E-2</v>
      </c>
      <c r="O465" s="14">
        <f t="shared" si="91"/>
        <v>21364.0524</v>
      </c>
      <c r="P465" s="14">
        <f t="shared" ca="1" si="97"/>
        <v>21364</v>
      </c>
      <c r="Q465" s="14" t="str">
        <f t="shared" ca="1" si="92"/>
        <v>0101001101110100</v>
      </c>
      <c r="R465" s="14">
        <f t="shared" ca="1" si="93"/>
        <v>4.0056277542114263</v>
      </c>
      <c r="S465" s="14">
        <f t="shared" ca="1" si="94"/>
        <v>68.067533050537122</v>
      </c>
      <c r="T465" s="19">
        <f t="shared" ca="1" si="96"/>
        <v>2.665962368834254E-2</v>
      </c>
      <c r="U465" s="14"/>
      <c r="V465" s="15">
        <f t="shared" ca="1" si="95"/>
        <v>1.767533</v>
      </c>
      <c r="W465" s="14"/>
      <c r="X465" s="2"/>
    </row>
    <row r="466" spans="8:24" x14ac:dyDescent="0.25">
      <c r="H466" s="14">
        <v>66.400000000000006</v>
      </c>
      <c r="I466" s="17">
        <v>3.962587314823617</v>
      </c>
      <c r="J466" s="15">
        <f t="shared" si="86"/>
        <v>4.1999999999999998E-5</v>
      </c>
      <c r="K466" s="30">
        <f t="shared" si="87"/>
        <v>2.32E-4</v>
      </c>
      <c r="L466" s="15">
        <f t="shared" si="88"/>
        <v>1.2652E-2</v>
      </c>
      <c r="M466" s="10">
        <f t="shared" si="89"/>
        <v>4.0133798630347322</v>
      </c>
      <c r="N466" s="18">
        <f t="shared" si="90"/>
        <v>1.2818026247927864E-2</v>
      </c>
      <c r="O466" s="14">
        <f t="shared" si="91"/>
        <v>21411.767400000001</v>
      </c>
      <c r="P466" s="14">
        <f t="shared" ca="1" si="97"/>
        <v>21415</v>
      </c>
      <c r="Q466" s="14" t="str">
        <f t="shared" ca="1" si="92"/>
        <v>0101001110100111</v>
      </c>
      <c r="R466" s="14">
        <f t="shared" ca="1" si="93"/>
        <v>4.015189962387085</v>
      </c>
      <c r="S466" s="14">
        <f t="shared" ca="1" si="94"/>
        <v>68.182279548645027</v>
      </c>
      <c r="T466" s="19">
        <f t="shared" ca="1" si="96"/>
        <v>2.6841559467545507E-2</v>
      </c>
      <c r="U466" s="14"/>
      <c r="V466" s="15">
        <f t="shared" ca="1" si="95"/>
        <v>1.7822800000000001</v>
      </c>
      <c r="W466" s="14"/>
      <c r="X466" s="2"/>
    </row>
    <row r="467" spans="8:24" x14ac:dyDescent="0.25">
      <c r="H467" s="14">
        <v>66.5</v>
      </c>
      <c r="I467" s="17">
        <v>3.9708120185071025</v>
      </c>
      <c r="J467" s="15">
        <f t="shared" si="86"/>
        <v>4.1999999999999998E-5</v>
      </c>
      <c r="K467" s="30">
        <f t="shared" si="87"/>
        <v>2.33E-4</v>
      </c>
      <c r="L467" s="15">
        <f t="shared" si="88"/>
        <v>1.2683E-2</v>
      </c>
      <c r="M467" s="10">
        <f t="shared" si="89"/>
        <v>4.0218362318212924</v>
      </c>
      <c r="N467" s="18">
        <f t="shared" si="90"/>
        <v>1.2849818393914626E-2</v>
      </c>
      <c r="O467" s="14">
        <f t="shared" si="91"/>
        <v>21456.883000000002</v>
      </c>
      <c r="P467" s="14">
        <f t="shared" ca="1" si="97"/>
        <v>21458</v>
      </c>
      <c r="Q467" s="14" t="str">
        <f t="shared" ca="1" si="92"/>
        <v>0101001111010010</v>
      </c>
      <c r="R467" s="14">
        <f t="shared" ca="1" si="93"/>
        <v>4.0232522163391113</v>
      </c>
      <c r="S467" s="14">
        <f t="shared" ca="1" si="94"/>
        <v>68.279026596069343</v>
      </c>
      <c r="T467" s="19">
        <f t="shared" ca="1" si="96"/>
        <v>2.67522796401405E-2</v>
      </c>
      <c r="U467" s="14"/>
      <c r="V467" s="15">
        <f t="shared" ca="1" si="95"/>
        <v>1.7790269999999999</v>
      </c>
      <c r="W467" s="14"/>
      <c r="X467" s="2"/>
    </row>
    <row r="468" spans="8:24" x14ac:dyDescent="0.25">
      <c r="H468" s="14">
        <v>66.599999999999994</v>
      </c>
      <c r="I468" s="17">
        <v>3.9790494193622994</v>
      </c>
      <c r="J468" s="15">
        <f t="shared" si="86"/>
        <v>4.3000000000000002E-5</v>
      </c>
      <c r="K468" s="30">
        <f t="shared" si="87"/>
        <v>2.33E-4</v>
      </c>
      <c r="L468" s="15">
        <f t="shared" si="88"/>
        <v>1.2713E-2</v>
      </c>
      <c r="M468" s="10">
        <f t="shared" si="89"/>
        <v>4.0303008973158763</v>
      </c>
      <c r="N468" s="18">
        <f t="shared" si="90"/>
        <v>1.2880332097456249E-2</v>
      </c>
      <c r="O468" s="14">
        <f t="shared" si="91"/>
        <v>21502.042799999999</v>
      </c>
      <c r="P468" s="14">
        <f t="shared" ca="1" si="97"/>
        <v>21501</v>
      </c>
      <c r="Q468" s="14" t="str">
        <f t="shared" ca="1" si="92"/>
        <v>0101001111111101</v>
      </c>
      <c r="R468" s="14">
        <f t="shared" ca="1" si="93"/>
        <v>4.0313144702911377</v>
      </c>
      <c r="S468" s="14">
        <f t="shared" ca="1" si="94"/>
        <v>68.375773643493659</v>
      </c>
      <c r="T468" s="19">
        <f t="shared" ca="1" si="96"/>
        <v>2.6663267920325296E-2</v>
      </c>
      <c r="U468" s="14"/>
      <c r="V468" s="15">
        <f t="shared" ca="1" si="95"/>
        <v>1.775774</v>
      </c>
      <c r="W468" s="14"/>
      <c r="X468" s="2"/>
    </row>
    <row r="469" spans="8:24" x14ac:dyDescent="0.25">
      <c r="H469" s="14">
        <v>66.7</v>
      </c>
      <c r="I469" s="17">
        <v>3.9877948226005637</v>
      </c>
      <c r="J469" s="15">
        <f t="shared" si="86"/>
        <v>4.3999999999999999E-5</v>
      </c>
      <c r="K469" s="30">
        <f t="shared" si="87"/>
        <v>2.34E-4</v>
      </c>
      <c r="L469" s="15">
        <f t="shared" si="88"/>
        <v>1.2744E-2</v>
      </c>
      <c r="M469" s="10">
        <f t="shared" si="89"/>
        <v>4.0392847280224826</v>
      </c>
      <c r="N469" s="18">
        <f t="shared" si="90"/>
        <v>1.29118742845302E-2</v>
      </c>
      <c r="O469" s="14">
        <f t="shared" si="91"/>
        <v>21549.972399999999</v>
      </c>
      <c r="P469" s="14">
        <f t="shared" ca="1" si="97"/>
        <v>21549</v>
      </c>
      <c r="Q469" s="14" t="str">
        <f t="shared" ca="1" si="92"/>
        <v>0101010000101101</v>
      </c>
      <c r="R469" s="14">
        <f t="shared" ca="1" si="93"/>
        <v>4.0403141956329343</v>
      </c>
      <c r="S469" s="14">
        <f t="shared" ca="1" si="94"/>
        <v>68.483770347595225</v>
      </c>
      <c r="T469" s="19">
        <f t="shared" ca="1" si="96"/>
        <v>2.6743183622117278E-2</v>
      </c>
      <c r="U469" s="14"/>
      <c r="V469" s="15">
        <f t="shared" ca="1" si="95"/>
        <v>1.7837700000000001</v>
      </c>
      <c r="W469" s="14"/>
      <c r="X469" s="2"/>
    </row>
    <row r="470" spans="8:24" x14ac:dyDescent="0.25">
      <c r="H470" s="14">
        <v>66.800000000000011</v>
      </c>
      <c r="I470" s="17">
        <v>3.9960562697270805</v>
      </c>
      <c r="J470" s="15">
        <f t="shared" si="86"/>
        <v>4.3999999999999999E-5</v>
      </c>
      <c r="K470" s="30">
        <f t="shared" si="87"/>
        <v>2.34E-4</v>
      </c>
      <c r="L470" s="15">
        <f t="shared" si="88"/>
        <v>1.2774000000000001E-2</v>
      </c>
      <c r="M470" s="10">
        <f t="shared" si="89"/>
        <v>4.0477758171230098</v>
      </c>
      <c r="N470" s="18">
        <f t="shared" si="90"/>
        <v>1.2942647426599332E-2</v>
      </c>
      <c r="O470" s="14">
        <f t="shared" si="91"/>
        <v>21595.2732</v>
      </c>
      <c r="P470" s="14">
        <f t="shared" ca="1" si="97"/>
        <v>21597</v>
      </c>
      <c r="Q470" s="14" t="str">
        <f t="shared" ca="1" si="92"/>
        <v>0101010001011101</v>
      </c>
      <c r="R470" s="14">
        <f t="shared" ca="1" si="93"/>
        <v>4.0493139209747318</v>
      </c>
      <c r="S470" s="14">
        <f t="shared" ca="1" si="94"/>
        <v>68.591767051696792</v>
      </c>
      <c r="T470" s="19">
        <f t="shared" ca="1" si="96"/>
        <v>2.6822860055341017E-2</v>
      </c>
      <c r="U470" s="14"/>
      <c r="V470" s="15">
        <f t="shared" ca="1" si="95"/>
        <v>1.7917670000000001</v>
      </c>
      <c r="W470" s="14"/>
      <c r="X470" s="2"/>
    </row>
    <row r="471" spans="8:24" x14ac:dyDescent="0.25">
      <c r="H471" s="14">
        <v>66.900000000000006</v>
      </c>
      <c r="I471" s="17">
        <v>4.0043300668197448</v>
      </c>
      <c r="J471" s="15">
        <f t="shared" si="86"/>
        <v>4.5000000000000003E-5</v>
      </c>
      <c r="K471" s="30">
        <f t="shared" si="87"/>
        <v>2.3499999999999999E-4</v>
      </c>
      <c r="L471" s="15">
        <f t="shared" si="88"/>
        <v>1.2805E-2</v>
      </c>
      <c r="M471" s="10">
        <f t="shared" si="89"/>
        <v>4.0562830283072184</v>
      </c>
      <c r="N471" s="18">
        <f t="shared" si="90"/>
        <v>1.2974195588410845E-2</v>
      </c>
      <c r="O471" s="14">
        <f t="shared" si="91"/>
        <v>21640.66</v>
      </c>
      <c r="P471" s="14">
        <f t="shared" ca="1" si="97"/>
        <v>21644</v>
      </c>
      <c r="Q471" s="14" t="str">
        <f t="shared" ca="1" si="92"/>
        <v>0101010010001100</v>
      </c>
      <c r="R471" s="14">
        <f t="shared" ca="1" si="93"/>
        <v>4.0581261520385743</v>
      </c>
      <c r="S471" s="14">
        <f t="shared" ca="1" si="94"/>
        <v>68.697513824462902</v>
      </c>
      <c r="T471" s="19">
        <f t="shared" ca="1" si="96"/>
        <v>2.686866703233029E-2</v>
      </c>
      <c r="U471" s="14"/>
      <c r="V471" s="15">
        <f t="shared" ca="1" si="95"/>
        <v>1.7975140000000001</v>
      </c>
      <c r="W471" s="14"/>
      <c r="X471" s="2"/>
    </row>
    <row r="472" spans="8:24" x14ac:dyDescent="0.25">
      <c r="H472" s="14">
        <v>67</v>
      </c>
      <c r="I472" s="17">
        <v>4.013108525917664</v>
      </c>
      <c r="J472" s="15">
        <f t="shared" si="86"/>
        <v>4.5000000000000003E-5</v>
      </c>
      <c r="K472" s="30">
        <f t="shared" si="87"/>
        <v>2.3499999999999999E-4</v>
      </c>
      <c r="L472" s="15">
        <f t="shared" si="88"/>
        <v>1.2834999999999999E-2</v>
      </c>
      <c r="M472" s="10">
        <f t="shared" si="89"/>
        <v>4.0652988927764495</v>
      </c>
      <c r="N472" s="18">
        <f t="shared" si="90"/>
        <v>1.3004972709241979E-2</v>
      </c>
      <c r="O472" s="14">
        <f t="shared" si="91"/>
        <v>21688.7605</v>
      </c>
      <c r="P472" s="14">
        <f t="shared" ca="1" si="97"/>
        <v>21690</v>
      </c>
      <c r="Q472" s="14" t="str">
        <f t="shared" ca="1" si="92"/>
        <v>0101010010111010</v>
      </c>
      <c r="R472" s="14">
        <f t="shared" ca="1" si="93"/>
        <v>4.0667508888244628</v>
      </c>
      <c r="S472" s="14">
        <f t="shared" ca="1" si="94"/>
        <v>68.801010665893557</v>
      </c>
      <c r="T472" s="19">
        <f t="shared" ca="1" si="96"/>
        <v>2.6880756207366522E-2</v>
      </c>
      <c r="U472" s="14"/>
      <c r="V472" s="15">
        <f t="shared" ca="1" si="95"/>
        <v>1.8010109999999999</v>
      </c>
      <c r="W472" s="14"/>
      <c r="X472" s="2"/>
    </row>
    <row r="473" spans="8:24" x14ac:dyDescent="0.25">
      <c r="H473" s="14">
        <v>67.099999999999994</v>
      </c>
      <c r="I473" s="17">
        <v>4.0214056798206155</v>
      </c>
      <c r="J473" s="15">
        <f t="shared" si="86"/>
        <v>4.6E-5</v>
      </c>
      <c r="K473" s="30">
        <f t="shared" si="87"/>
        <v>2.3599999999999999E-4</v>
      </c>
      <c r="L473" s="15">
        <f t="shared" si="88"/>
        <v>1.2866000000000001E-2</v>
      </c>
      <c r="M473" s="10">
        <f t="shared" si="89"/>
        <v>4.073830841195436</v>
      </c>
      <c r="N473" s="18">
        <f t="shared" si="90"/>
        <v>1.3036526416096152E-2</v>
      </c>
      <c r="O473" s="14">
        <f t="shared" si="91"/>
        <v>21734.279200000001</v>
      </c>
      <c r="P473" s="14">
        <f t="shared" ca="1" si="97"/>
        <v>21733</v>
      </c>
      <c r="Q473" s="14" t="str">
        <f t="shared" ca="1" si="92"/>
        <v>0101010011100101</v>
      </c>
      <c r="R473" s="14">
        <f t="shared" ca="1" si="93"/>
        <v>4.0748131427764891</v>
      </c>
      <c r="S473" s="14">
        <f t="shared" ca="1" si="94"/>
        <v>68.897757713317873</v>
      </c>
      <c r="T473" s="19">
        <f t="shared" ca="1" si="96"/>
        <v>2.6792216293858102E-2</v>
      </c>
      <c r="U473" s="14"/>
      <c r="V473" s="15">
        <f t="shared" ca="1" si="95"/>
        <v>1.797758</v>
      </c>
      <c r="W473" s="14"/>
      <c r="X473" s="2"/>
    </row>
    <row r="474" spans="8:24" x14ac:dyDescent="0.25">
      <c r="H474" s="14">
        <v>67.2</v>
      </c>
      <c r="I474" s="17">
        <v>4.0297148385936792</v>
      </c>
      <c r="J474" s="15">
        <f t="shared" si="86"/>
        <v>4.6E-5</v>
      </c>
      <c r="K474" s="30">
        <f t="shared" si="87"/>
        <v>2.3599999999999999E-4</v>
      </c>
      <c r="L474" s="15">
        <f t="shared" si="88"/>
        <v>1.2895999999999999E-2</v>
      </c>
      <c r="M474" s="10">
        <f t="shared" si="89"/>
        <v>4.0823723646400776</v>
      </c>
      <c r="N474" s="18">
        <f t="shared" si="90"/>
        <v>1.3067308272556383E-2</v>
      </c>
      <c r="O474" s="14">
        <f t="shared" si="91"/>
        <v>21779.849099999999</v>
      </c>
      <c r="P474" s="14">
        <f t="shared" ca="1" si="97"/>
        <v>21781</v>
      </c>
      <c r="Q474" s="14" t="str">
        <f t="shared" ca="1" si="92"/>
        <v>0101010100010101</v>
      </c>
      <c r="R474" s="14">
        <f t="shared" ca="1" si="93"/>
        <v>4.0838128681182866</v>
      </c>
      <c r="S474" s="14">
        <f t="shared" ca="1" si="94"/>
        <v>69.005754417419453</v>
      </c>
      <c r="T474" s="19">
        <f t="shared" ca="1" si="96"/>
        <v>2.6871345497313247E-2</v>
      </c>
      <c r="U474" s="14"/>
      <c r="V474" s="15">
        <f t="shared" ca="1" si="95"/>
        <v>1.8057540000000001</v>
      </c>
      <c r="W474" s="14"/>
      <c r="X474" s="2"/>
    </row>
    <row r="475" spans="8:24" x14ac:dyDescent="0.25">
      <c r="H475" s="14">
        <v>67.300000000000011</v>
      </c>
      <c r="I475" s="17">
        <v>4.0380358866641162</v>
      </c>
      <c r="J475" s="15">
        <f t="shared" si="86"/>
        <v>4.6999999999999997E-5</v>
      </c>
      <c r="K475" s="30">
        <f t="shared" si="87"/>
        <v>2.3699999999999999E-4</v>
      </c>
      <c r="L475" s="15">
        <f t="shared" si="88"/>
        <v>1.2926999999999999E-2</v>
      </c>
      <c r="M475" s="10">
        <f t="shared" si="89"/>
        <v>4.0909295836256447</v>
      </c>
      <c r="N475" s="18">
        <f t="shared" si="90"/>
        <v>1.3098867480651557E-2</v>
      </c>
      <c r="O475" s="14">
        <f t="shared" si="91"/>
        <v>21825.502700000001</v>
      </c>
      <c r="P475" s="14">
        <f t="shared" ca="1" si="97"/>
        <v>21825</v>
      </c>
      <c r="Q475" s="14" t="str">
        <f t="shared" ca="1" si="92"/>
        <v>0101010101000001</v>
      </c>
      <c r="R475" s="14">
        <f t="shared" ca="1" si="93"/>
        <v>4.092062616348267</v>
      </c>
      <c r="S475" s="14">
        <f t="shared" ca="1" si="94"/>
        <v>69.104751396179211</v>
      </c>
      <c r="T475" s="19">
        <f t="shared" ca="1" si="96"/>
        <v>2.6816514059126283E-2</v>
      </c>
      <c r="U475" s="14"/>
      <c r="V475" s="15">
        <f t="shared" ca="1" si="95"/>
        <v>1.804751</v>
      </c>
      <c r="W475" s="14"/>
      <c r="X475" s="2"/>
    </row>
    <row r="476" spans="8:24" x14ac:dyDescent="0.25">
      <c r="H476" s="14">
        <v>67.400000000000006</v>
      </c>
      <c r="I476" s="17">
        <v>4.0458802580317847</v>
      </c>
      <c r="J476" s="15">
        <f t="shared" si="86"/>
        <v>4.8000000000000001E-5</v>
      </c>
      <c r="K476" s="30">
        <f t="shared" si="87"/>
        <v>2.3699999999999999E-4</v>
      </c>
      <c r="L476" s="15">
        <f t="shared" si="88"/>
        <v>1.2957E-2</v>
      </c>
      <c r="M476" s="10">
        <f t="shared" si="89"/>
        <v>4.0990002528013321</v>
      </c>
      <c r="N476" s="18">
        <f t="shared" si="90"/>
        <v>1.3129403586301096E-2</v>
      </c>
      <c r="O476" s="14">
        <f t="shared" si="91"/>
        <v>21868.5605</v>
      </c>
      <c r="P476" s="14">
        <f t="shared" ca="1" si="97"/>
        <v>21871</v>
      </c>
      <c r="Q476" s="14" t="str">
        <f t="shared" ca="1" si="92"/>
        <v>0101010101101111</v>
      </c>
      <c r="R476" s="14">
        <f t="shared" ca="1" si="93"/>
        <v>4.1006873531341554</v>
      </c>
      <c r="S476" s="14">
        <f t="shared" ca="1" si="94"/>
        <v>69.20824823760988</v>
      </c>
      <c r="T476" s="19">
        <f t="shared" ca="1" si="96"/>
        <v>2.6828608866615335E-2</v>
      </c>
      <c r="U476" s="14"/>
      <c r="V476" s="15">
        <f t="shared" ca="1" si="95"/>
        <v>1.8082480000000001</v>
      </c>
      <c r="W476" s="14"/>
      <c r="X476" s="2"/>
    </row>
    <row r="477" spans="8:24" x14ac:dyDescent="0.25">
      <c r="H477" s="14">
        <v>67.5</v>
      </c>
      <c r="I477" s="17">
        <v>4.0542257320948458</v>
      </c>
      <c r="J477" s="15">
        <f t="shared" si="86"/>
        <v>4.8000000000000001E-5</v>
      </c>
      <c r="K477" s="30">
        <f t="shared" si="87"/>
        <v>2.3800000000000001E-4</v>
      </c>
      <c r="L477" s="15">
        <f t="shared" si="88"/>
        <v>1.2988E-2</v>
      </c>
      <c r="M477" s="10">
        <f t="shared" si="89"/>
        <v>4.1075842834644831</v>
      </c>
      <c r="N477" s="18">
        <f t="shared" si="90"/>
        <v>1.3161218663092687E-2</v>
      </c>
      <c r="O477" s="14">
        <f t="shared" si="91"/>
        <v>21914.357100000001</v>
      </c>
      <c r="P477" s="14">
        <f t="shared" ca="1" si="97"/>
        <v>21919</v>
      </c>
      <c r="Q477" s="14" t="str">
        <f t="shared" ca="1" si="92"/>
        <v>0101010110011111</v>
      </c>
      <c r="R477" s="14">
        <f t="shared" ca="1" si="93"/>
        <v>4.109687078475952</v>
      </c>
      <c r="S477" s="14">
        <f t="shared" ca="1" si="94"/>
        <v>69.316244941711432</v>
      </c>
      <c r="T477" s="19">
        <f t="shared" ca="1" si="96"/>
        <v>2.6907332469798987E-2</v>
      </c>
      <c r="U477" s="14"/>
      <c r="V477" s="15">
        <f t="shared" ca="1" si="95"/>
        <v>1.8162450000000001</v>
      </c>
      <c r="W477" s="14"/>
      <c r="X477" s="2"/>
    </row>
    <row r="478" spans="8:24" x14ac:dyDescent="0.25">
      <c r="H478" s="14">
        <v>67.599999999999994</v>
      </c>
      <c r="I478" s="17">
        <v>4.0625827505156353</v>
      </c>
      <c r="J478" s="15">
        <f t="shared" si="86"/>
        <v>4.8999999999999998E-5</v>
      </c>
      <c r="K478" s="30">
        <f t="shared" si="87"/>
        <v>2.3800000000000001E-4</v>
      </c>
      <c r="L478" s="15">
        <f t="shared" si="88"/>
        <v>1.3018E-2</v>
      </c>
      <c r="M478" s="10">
        <f t="shared" si="89"/>
        <v>4.1161753663913174</v>
      </c>
      <c r="N478" s="18">
        <f t="shared" si="90"/>
        <v>1.3191759815570515E-2</v>
      </c>
      <c r="O478" s="14">
        <f t="shared" si="91"/>
        <v>21960.191299999999</v>
      </c>
      <c r="P478" s="14">
        <f t="shared" ca="1" si="97"/>
        <v>21960</v>
      </c>
      <c r="Q478" s="14" t="str">
        <f t="shared" ca="1" si="92"/>
        <v>0101010111001000</v>
      </c>
      <c r="R478" s="14">
        <f t="shared" ca="1" si="93"/>
        <v>4.1173743438720702</v>
      </c>
      <c r="S478" s="14">
        <f t="shared" ca="1" si="94"/>
        <v>69.40849212646485</v>
      </c>
      <c r="T478" s="19">
        <f t="shared" ca="1" si="96"/>
        <v>2.6752842107468283E-2</v>
      </c>
      <c r="U478" s="14"/>
      <c r="V478" s="15">
        <f t="shared" ca="1" si="95"/>
        <v>1.808492</v>
      </c>
      <c r="W478" s="14"/>
      <c r="X478" s="2"/>
    </row>
    <row r="479" spans="8:24" x14ac:dyDescent="0.25">
      <c r="H479" s="14">
        <v>67.7</v>
      </c>
      <c r="I479" s="17">
        <v>4.0714366819239096</v>
      </c>
      <c r="J479" s="15">
        <f t="shared" si="86"/>
        <v>4.8999999999999998E-5</v>
      </c>
      <c r="K479" s="30">
        <f t="shared" si="87"/>
        <v>2.3900000000000001E-4</v>
      </c>
      <c r="L479" s="15">
        <f t="shared" si="88"/>
        <v>1.3049E-2</v>
      </c>
      <c r="M479" s="10">
        <f t="shared" si="89"/>
        <v>4.1252756469996079</v>
      </c>
      <c r="N479" s="18">
        <f t="shared" si="90"/>
        <v>1.3223579115138622E-2</v>
      </c>
      <c r="O479" s="14">
        <f t="shared" si="91"/>
        <v>22008.742200000001</v>
      </c>
      <c r="P479" s="14">
        <f t="shared" ca="1" si="97"/>
        <v>22011</v>
      </c>
      <c r="Q479" s="14" t="str">
        <f t="shared" ca="1" si="92"/>
        <v>0101010111111011</v>
      </c>
      <c r="R479" s="14">
        <f t="shared" ca="1" si="93"/>
        <v>4.1269365520477299</v>
      </c>
      <c r="S479" s="14">
        <f t="shared" ca="1" si="94"/>
        <v>69.52323862457277</v>
      </c>
      <c r="T479" s="19">
        <f t="shared" ca="1" si="96"/>
        <v>2.6931146596348106E-2</v>
      </c>
      <c r="U479" s="14"/>
      <c r="V479" s="15">
        <f t="shared" ca="1" si="95"/>
        <v>1.8232390000000001</v>
      </c>
      <c r="W479" s="14"/>
      <c r="X479" s="2"/>
    </row>
    <row r="480" spans="8:24" x14ac:dyDescent="0.25">
      <c r="H480" s="14">
        <v>67.800000000000011</v>
      </c>
      <c r="I480" s="17">
        <v>4.0788464719702064</v>
      </c>
      <c r="J480" s="15">
        <f t="shared" si="86"/>
        <v>5.0000000000000002E-5</v>
      </c>
      <c r="K480" s="30">
        <f t="shared" si="87"/>
        <v>2.3900000000000001E-4</v>
      </c>
      <c r="L480" s="15">
        <f t="shared" si="88"/>
        <v>1.3079E-2</v>
      </c>
      <c r="M480" s="10">
        <f t="shared" si="89"/>
        <v>4.1329080173470887</v>
      </c>
      <c r="N480" s="18">
        <f t="shared" si="90"/>
        <v>1.3254126074220409E-2</v>
      </c>
      <c r="O480" s="14">
        <f t="shared" si="91"/>
        <v>22049.461599999999</v>
      </c>
      <c r="P480" s="14">
        <f t="shared" ca="1" si="97"/>
        <v>22051</v>
      </c>
      <c r="Q480" s="14" t="str">
        <f t="shared" ca="1" si="92"/>
        <v>0101011000100011</v>
      </c>
      <c r="R480" s="14">
        <f t="shared" ca="1" si="93"/>
        <v>4.134436323165894</v>
      </c>
      <c r="S480" s="14">
        <f t="shared" ca="1" si="94"/>
        <v>69.613235877990732</v>
      </c>
      <c r="T480" s="19">
        <f t="shared" ca="1" si="96"/>
        <v>2.6743892005762836E-2</v>
      </c>
      <c r="U480" s="14"/>
      <c r="V480" s="15">
        <f t="shared" ca="1" si="95"/>
        <v>1.8132360000000001</v>
      </c>
      <c r="W480" s="14"/>
      <c r="X480" s="2"/>
    </row>
    <row r="481" spans="8:24" x14ac:dyDescent="0.25">
      <c r="H481" s="14">
        <v>67.900000000000006</v>
      </c>
      <c r="I481" s="17">
        <v>4.0872384266898321</v>
      </c>
      <c r="J481" s="15">
        <f t="shared" si="86"/>
        <v>5.0000000000000002E-5</v>
      </c>
      <c r="K481" s="30">
        <f t="shared" si="87"/>
        <v>2.4000000000000001E-4</v>
      </c>
      <c r="L481" s="15">
        <f t="shared" si="88"/>
        <v>1.311E-2</v>
      </c>
      <c r="M481" s="10">
        <f t="shared" si="89"/>
        <v>4.1415412723908762</v>
      </c>
      <c r="N481" s="18">
        <f t="shared" si="90"/>
        <v>1.3285950079751741E-2</v>
      </c>
      <c r="O481" s="14">
        <f t="shared" si="91"/>
        <v>22095.5209</v>
      </c>
      <c r="P481" s="14">
        <f t="shared" ca="1" si="97"/>
        <v>22098</v>
      </c>
      <c r="Q481" s="14" t="str">
        <f t="shared" ca="1" si="92"/>
        <v>0101011001010010</v>
      </c>
      <c r="R481" s="14">
        <f t="shared" ca="1" si="93"/>
        <v>4.1432485542297366</v>
      </c>
      <c r="S481" s="14">
        <f t="shared" ca="1" si="94"/>
        <v>69.718982650756843</v>
      </c>
      <c r="T481" s="19">
        <f t="shared" ca="1" si="96"/>
        <v>2.6789140659158127E-2</v>
      </c>
      <c r="U481" s="14"/>
      <c r="V481" s="15">
        <f t="shared" ca="1" si="95"/>
        <v>1.818983</v>
      </c>
      <c r="W481" s="14"/>
      <c r="X481" s="2"/>
    </row>
    <row r="482" spans="8:24" x14ac:dyDescent="0.25">
      <c r="H482" s="14">
        <v>68</v>
      </c>
      <c r="I482" s="17">
        <v>4.0951589489212044</v>
      </c>
      <c r="J482" s="15">
        <f t="shared" si="86"/>
        <v>5.1E-5</v>
      </c>
      <c r="K482" s="30">
        <f t="shared" si="87"/>
        <v>2.4000000000000001E-4</v>
      </c>
      <c r="L482" s="15">
        <f t="shared" si="88"/>
        <v>1.3140000000000001E-2</v>
      </c>
      <c r="M482" s="10">
        <f t="shared" si="89"/>
        <v>4.1496921415410544</v>
      </c>
      <c r="N482" s="18">
        <f t="shared" si="90"/>
        <v>1.3316502069892988E-2</v>
      </c>
      <c r="O482" s="14">
        <f t="shared" si="91"/>
        <v>22139.006600000001</v>
      </c>
      <c r="P482" s="14">
        <f t="shared" ca="1" si="97"/>
        <v>22140</v>
      </c>
      <c r="Q482" s="14" t="str">
        <f t="shared" ca="1" si="92"/>
        <v>0101011001111100</v>
      </c>
      <c r="R482" s="14">
        <f t="shared" ca="1" si="93"/>
        <v>4.1511233139038088</v>
      </c>
      <c r="S482" s="14">
        <f t="shared" ca="1" si="94"/>
        <v>69.813479766845717</v>
      </c>
      <c r="T482" s="19">
        <f t="shared" ca="1" si="96"/>
        <v>2.6668820100672307E-2</v>
      </c>
      <c r="U482" s="14"/>
      <c r="V482" s="15">
        <f t="shared" ca="1" si="95"/>
        <v>1.81348</v>
      </c>
      <c r="W482" s="14"/>
      <c r="X482" s="2"/>
    </row>
    <row r="483" spans="8:24" x14ac:dyDescent="0.25">
      <c r="H483" s="14">
        <v>68.099999999999994</v>
      </c>
      <c r="I483" s="17">
        <v>4.103573950707764</v>
      </c>
      <c r="J483" s="15">
        <f t="shared" si="86"/>
        <v>5.1999999999999997E-5</v>
      </c>
      <c r="K483" s="30">
        <f t="shared" si="87"/>
        <v>2.41E-4</v>
      </c>
      <c r="L483" s="15">
        <f t="shared" si="88"/>
        <v>1.3171E-2</v>
      </c>
      <c r="M483" s="10">
        <f t="shared" si="89"/>
        <v>4.1583487988190093</v>
      </c>
      <c r="N483" s="18">
        <f t="shared" si="90"/>
        <v>1.334808358986635E-2</v>
      </c>
      <c r="O483" s="14">
        <f t="shared" si="91"/>
        <v>22185.190699999999</v>
      </c>
      <c r="P483" s="14">
        <f t="shared" ca="1" si="97"/>
        <v>22189</v>
      </c>
      <c r="Q483" s="14" t="str">
        <f t="shared" ca="1" si="92"/>
        <v>0101011010101101</v>
      </c>
      <c r="R483" s="14">
        <f t="shared" ca="1" si="93"/>
        <v>4.1603105335235595</v>
      </c>
      <c r="S483" s="14">
        <f t="shared" ca="1" si="94"/>
        <v>69.923726402282725</v>
      </c>
      <c r="T483" s="19">
        <f t="shared" ca="1" si="96"/>
        <v>2.6780123381537894E-2</v>
      </c>
      <c r="U483" s="14"/>
      <c r="V483" s="15">
        <f t="shared" ca="1" si="95"/>
        <v>1.823726</v>
      </c>
      <c r="W483" s="14"/>
      <c r="X483" s="2"/>
    </row>
    <row r="484" spans="8:24" x14ac:dyDescent="0.25">
      <c r="H484" s="14">
        <v>68.2</v>
      </c>
      <c r="I484" s="17">
        <v>4.1115192600529031</v>
      </c>
      <c r="J484" s="15">
        <f t="shared" si="86"/>
        <v>5.1999999999999997E-5</v>
      </c>
      <c r="K484" s="30">
        <f t="shared" si="87"/>
        <v>2.41E-4</v>
      </c>
      <c r="L484" s="15">
        <f t="shared" si="88"/>
        <v>1.3200999999999999E-2</v>
      </c>
      <c r="M484" s="10">
        <f t="shared" si="89"/>
        <v>4.1665268148781092</v>
      </c>
      <c r="N484" s="18">
        <f t="shared" si="90"/>
        <v>1.3378887789643541E-2</v>
      </c>
      <c r="O484" s="14">
        <f t="shared" si="91"/>
        <v>22228.821199999998</v>
      </c>
      <c r="P484" s="14">
        <f t="shared" ca="1" si="97"/>
        <v>22231</v>
      </c>
      <c r="Q484" s="14" t="str">
        <f t="shared" ca="1" si="92"/>
        <v>0101011011010111</v>
      </c>
      <c r="R484" s="14">
        <f t="shared" ca="1" si="93"/>
        <v>4.1681852931976318</v>
      </c>
      <c r="S484" s="14">
        <f t="shared" ca="1" si="94"/>
        <v>70.018223518371585</v>
      </c>
      <c r="T484" s="19">
        <f t="shared" ca="1" si="96"/>
        <v>2.666016889107891E-2</v>
      </c>
      <c r="U484" s="14"/>
      <c r="V484" s="15">
        <f t="shared" ca="1" si="95"/>
        <v>1.8182240000000001</v>
      </c>
      <c r="W484" s="14"/>
      <c r="X484" s="2"/>
    </row>
    <row r="485" spans="8:24" x14ac:dyDescent="0.25">
      <c r="H485" s="14">
        <v>68.300000000000011</v>
      </c>
      <c r="I485" s="17">
        <v>4.1204364250899737</v>
      </c>
      <c r="J485" s="15">
        <f t="shared" si="86"/>
        <v>5.3000000000000001E-5</v>
      </c>
      <c r="K485" s="30">
        <f t="shared" si="87"/>
        <v>2.42E-4</v>
      </c>
      <c r="L485" s="15">
        <f t="shared" si="88"/>
        <v>1.3232000000000001E-2</v>
      </c>
      <c r="M485" s="10">
        <f t="shared" si="89"/>
        <v>4.1756934331412996</v>
      </c>
      <c r="N485" s="18">
        <f t="shared" si="90"/>
        <v>1.3410474607703563E-2</v>
      </c>
      <c r="O485" s="14">
        <f t="shared" si="91"/>
        <v>22277.725900000001</v>
      </c>
      <c r="P485" s="14">
        <f t="shared" ca="1" si="97"/>
        <v>22279</v>
      </c>
      <c r="Q485" s="14" t="str">
        <f t="shared" ca="1" si="92"/>
        <v>0101011100000111</v>
      </c>
      <c r="R485" s="14">
        <f t="shared" ca="1" si="93"/>
        <v>4.1771850185394284</v>
      </c>
      <c r="S485" s="14">
        <f t="shared" ca="1" si="94"/>
        <v>70.126220222473151</v>
      </c>
      <c r="T485" s="19">
        <f t="shared" ca="1" si="96"/>
        <v>2.6738217020104531E-2</v>
      </c>
      <c r="U485" s="14"/>
      <c r="V485" s="15">
        <f t="shared" ca="1" si="95"/>
        <v>1.82622</v>
      </c>
      <c r="W485" s="14"/>
      <c r="X485" s="2"/>
    </row>
    <row r="486" spans="8:24" x14ac:dyDescent="0.25">
      <c r="H486" s="14">
        <v>68.400000000000006</v>
      </c>
      <c r="I486" s="17">
        <v>4.1284050795775551</v>
      </c>
      <c r="J486" s="15">
        <f t="shared" si="86"/>
        <v>5.3000000000000001E-5</v>
      </c>
      <c r="K486" s="30">
        <f t="shared" si="87"/>
        <v>2.42E-4</v>
      </c>
      <c r="L486" s="15">
        <f t="shared" si="88"/>
        <v>1.3261999999999999E-2</v>
      </c>
      <c r="M486" s="10">
        <f t="shared" si="89"/>
        <v>4.1838961410035438</v>
      </c>
      <c r="N486" s="18">
        <f t="shared" si="90"/>
        <v>1.3441283099977898E-2</v>
      </c>
      <c r="O486" s="14">
        <f t="shared" si="91"/>
        <v>22321.4882</v>
      </c>
      <c r="P486" s="14">
        <f t="shared" ca="1" si="97"/>
        <v>22326</v>
      </c>
      <c r="Q486" s="14" t="str">
        <f t="shared" ca="1" si="92"/>
        <v>0101011100110110</v>
      </c>
      <c r="R486" s="14">
        <f t="shared" ca="1" si="93"/>
        <v>4.1859972496032718</v>
      </c>
      <c r="S486" s="14">
        <f t="shared" ca="1" si="94"/>
        <v>70.231966995239276</v>
      </c>
      <c r="T486" s="19">
        <f t="shared" ca="1" si="96"/>
        <v>2.6783143205252484E-2</v>
      </c>
      <c r="U486" s="14"/>
      <c r="V486" s="15">
        <f t="shared" ca="1" si="95"/>
        <v>1.8319669999999999</v>
      </c>
      <c r="W486" s="14"/>
      <c r="X486" s="2"/>
    </row>
    <row r="487" spans="8:24" x14ac:dyDescent="0.25">
      <c r="H487" s="14">
        <v>68.5</v>
      </c>
      <c r="I487" s="17">
        <v>4.1368638297236204</v>
      </c>
      <c r="J487" s="15">
        <f t="shared" si="86"/>
        <v>5.3999999999999998E-5</v>
      </c>
      <c r="K487" s="30">
        <f t="shared" si="87"/>
        <v>2.43E-4</v>
      </c>
      <c r="L487" s="15">
        <f t="shared" si="88"/>
        <v>1.3292999999999999E-2</v>
      </c>
      <c r="M487" s="10">
        <f t="shared" si="89"/>
        <v>4.1925992809715753</v>
      </c>
      <c r="N487" s="18">
        <f t="shared" si="90"/>
        <v>1.3472875478156239E-2</v>
      </c>
      <c r="O487" s="14">
        <f t="shared" si="91"/>
        <v>22367.920300000002</v>
      </c>
      <c r="P487" s="14">
        <f t="shared" ca="1" si="97"/>
        <v>22372</v>
      </c>
      <c r="Q487" s="14" t="str">
        <f t="shared" ca="1" si="92"/>
        <v>0101011101100100</v>
      </c>
      <c r="R487" s="14">
        <f t="shared" ca="1" si="93"/>
        <v>4.1946219863891603</v>
      </c>
      <c r="S487" s="14">
        <f t="shared" ca="1" si="94"/>
        <v>70.335463836669931</v>
      </c>
      <c r="T487" s="19">
        <f t="shared" ca="1" si="96"/>
        <v>2.6795092506130373E-2</v>
      </c>
      <c r="U487" s="14"/>
      <c r="V487" s="15">
        <f t="shared" ca="1" si="95"/>
        <v>1.835464</v>
      </c>
      <c r="W487" s="14"/>
      <c r="X487" s="2"/>
    </row>
    <row r="488" spans="8:24" x14ac:dyDescent="0.25">
      <c r="H488" s="14">
        <v>68.599999999999994</v>
      </c>
      <c r="I488" s="17">
        <v>4.1448563549047961</v>
      </c>
      <c r="J488" s="15">
        <f t="shared" si="86"/>
        <v>5.3999999999999998E-5</v>
      </c>
      <c r="K488" s="30">
        <f t="shared" si="87"/>
        <v>2.43E-4</v>
      </c>
      <c r="L488" s="15">
        <f t="shared" si="88"/>
        <v>1.3323E-2</v>
      </c>
      <c r="M488" s="10">
        <f t="shared" si="89"/>
        <v>4.2008272029963152</v>
      </c>
      <c r="N488" s="18">
        <f t="shared" si="90"/>
        <v>1.350368825816756E-2</v>
      </c>
      <c r="O488" s="14">
        <f t="shared" si="91"/>
        <v>22411.816999999999</v>
      </c>
      <c r="P488" s="14">
        <f t="shared" ca="1" si="97"/>
        <v>22416</v>
      </c>
      <c r="Q488" s="14" t="str">
        <f t="shared" ca="1" si="92"/>
        <v>0101011110010000</v>
      </c>
      <c r="R488" s="14">
        <f t="shared" ca="1" si="93"/>
        <v>4.2028717346191407</v>
      </c>
      <c r="S488" s="14">
        <f t="shared" ca="1" si="94"/>
        <v>70.434460815429702</v>
      </c>
      <c r="T488" s="19">
        <f t="shared" ca="1" si="96"/>
        <v>2.6741411303640057E-2</v>
      </c>
      <c r="U488" s="14"/>
      <c r="V488" s="15">
        <f t="shared" ca="1" si="95"/>
        <v>1.8344609999999999</v>
      </c>
      <c r="W488" s="14"/>
      <c r="X488" s="2"/>
    </row>
    <row r="489" spans="8:24" x14ac:dyDescent="0.25">
      <c r="H489" s="14">
        <v>68.7</v>
      </c>
      <c r="I489" s="17">
        <v>4.1528611327485789</v>
      </c>
      <c r="J489" s="15">
        <f t="shared" si="86"/>
        <v>5.5000000000000002E-5</v>
      </c>
      <c r="K489" s="30">
        <f t="shared" si="87"/>
        <v>2.4399999999999999E-4</v>
      </c>
      <c r="L489" s="15">
        <f t="shared" si="88"/>
        <v>1.3354E-2</v>
      </c>
      <c r="M489" s="10">
        <f t="shared" si="89"/>
        <v>4.209071296307469</v>
      </c>
      <c r="N489" s="18">
        <f t="shared" si="90"/>
        <v>1.3535286098451185E-2</v>
      </c>
      <c r="O489" s="14">
        <f t="shared" si="91"/>
        <v>22455.8001</v>
      </c>
      <c r="P489" s="14">
        <f t="shared" ca="1" si="97"/>
        <v>22458</v>
      </c>
      <c r="Q489" s="14" t="str">
        <f t="shared" ca="1" si="92"/>
        <v>0101011110111010</v>
      </c>
      <c r="R489" s="14">
        <f t="shared" ca="1" si="93"/>
        <v>4.2107464942932129</v>
      </c>
      <c r="S489" s="14">
        <f t="shared" ca="1" si="94"/>
        <v>70.528957931518562</v>
      </c>
      <c r="T489" s="19">
        <f t="shared" ca="1" si="96"/>
        <v>2.6622386193865488E-2</v>
      </c>
      <c r="U489" s="14"/>
      <c r="V489" s="15">
        <f t="shared" ca="1" si="95"/>
        <v>1.8289580000000001</v>
      </c>
      <c r="W489" s="14"/>
      <c r="X489" s="2"/>
    </row>
    <row r="490" spans="8:24" x14ac:dyDescent="0.25">
      <c r="H490" s="14">
        <v>68.800000000000011</v>
      </c>
      <c r="I490" s="17">
        <v>4.1608780482932666</v>
      </c>
      <c r="J490" s="15">
        <f t="shared" si="86"/>
        <v>5.5999999999999999E-5</v>
      </c>
      <c r="K490" s="30">
        <f t="shared" si="87"/>
        <v>2.4399999999999999E-4</v>
      </c>
      <c r="L490" s="15">
        <f t="shared" si="88"/>
        <v>1.3384E-2</v>
      </c>
      <c r="M490" s="10">
        <f t="shared" si="89"/>
        <v>4.2173239355750027</v>
      </c>
      <c r="N490" s="18">
        <f t="shared" si="90"/>
        <v>1.3565859567763461E-2</v>
      </c>
      <c r="O490" s="14">
        <f t="shared" si="91"/>
        <v>22499.828699999998</v>
      </c>
      <c r="P490" s="14">
        <f t="shared" ca="1" si="97"/>
        <v>22498</v>
      </c>
      <c r="Q490" s="14" t="str">
        <f t="shared" ca="1" si="92"/>
        <v>0101011111100010</v>
      </c>
      <c r="R490" s="14">
        <f t="shared" ca="1" si="93"/>
        <v>4.218246265411377</v>
      </c>
      <c r="S490" s="14">
        <f t="shared" ca="1" si="94"/>
        <v>70.618955184936539</v>
      </c>
      <c r="T490" s="19">
        <f t="shared" ca="1" si="96"/>
        <v>2.6438302106635565E-2</v>
      </c>
      <c r="U490" s="14"/>
      <c r="V490" s="15">
        <f t="shared" ca="1" si="95"/>
        <v>1.8189550000000001</v>
      </c>
      <c r="W490" s="14"/>
      <c r="X490" s="2"/>
    </row>
    <row r="491" spans="8:24" x14ac:dyDescent="0.25">
      <c r="H491" s="14">
        <v>68.900000000000006</v>
      </c>
      <c r="I491" s="17">
        <v>4.1693806934833866</v>
      </c>
      <c r="J491" s="15">
        <f t="shared" si="86"/>
        <v>5.5999999999999999E-5</v>
      </c>
      <c r="K491" s="30">
        <f t="shared" si="87"/>
        <v>2.4499999999999999E-4</v>
      </c>
      <c r="L491" s="15">
        <f t="shared" si="88"/>
        <v>1.3415E-2</v>
      </c>
      <c r="M491" s="10">
        <f t="shared" si="89"/>
        <v>4.2260747076160561</v>
      </c>
      <c r="N491" s="18">
        <f t="shared" si="90"/>
        <v>1.3597706302348571E-2</v>
      </c>
      <c r="O491" s="14">
        <f t="shared" si="91"/>
        <v>22546.514899999998</v>
      </c>
      <c r="P491" s="14">
        <f t="shared" ca="1" si="97"/>
        <v>22550</v>
      </c>
      <c r="Q491" s="14" t="str">
        <f t="shared" ca="1" si="92"/>
        <v>0101100000010110</v>
      </c>
      <c r="R491" s="14">
        <f t="shared" ca="1" si="93"/>
        <v>4.2279959678649899</v>
      </c>
      <c r="S491" s="14">
        <f t="shared" ca="1" si="94"/>
        <v>70.735951614379886</v>
      </c>
      <c r="T491" s="19">
        <f t="shared" ca="1" si="96"/>
        <v>2.6646612690564293E-2</v>
      </c>
      <c r="U491" s="14"/>
      <c r="V491" s="15">
        <f t="shared" ca="1" si="95"/>
        <v>1.835952</v>
      </c>
      <c r="W491" s="14"/>
      <c r="X491" s="2"/>
    </row>
    <row r="492" spans="8:24" x14ac:dyDescent="0.25">
      <c r="H492" s="14">
        <v>69</v>
      </c>
      <c r="I492" s="17">
        <v>4.1778933009403412</v>
      </c>
      <c r="J492" s="15">
        <f t="shared" si="86"/>
        <v>5.7000000000000003E-5</v>
      </c>
      <c r="K492" s="30">
        <f t="shared" si="87"/>
        <v>2.4499999999999999E-4</v>
      </c>
      <c r="L492" s="15">
        <f t="shared" si="88"/>
        <v>1.3445E-2</v>
      </c>
      <c r="M492" s="10">
        <f t="shared" si="89"/>
        <v>4.2348308215257555</v>
      </c>
      <c r="N492" s="18">
        <f t="shared" si="90"/>
        <v>1.3628284995358573E-2</v>
      </c>
      <c r="O492" s="14">
        <f t="shared" si="91"/>
        <v>22593.229599999999</v>
      </c>
      <c r="P492" s="14">
        <f t="shared" ca="1" si="97"/>
        <v>22592</v>
      </c>
      <c r="Q492" s="14" t="str">
        <f t="shared" ca="1" si="92"/>
        <v>0101100001000000</v>
      </c>
      <c r="R492" s="14">
        <f t="shared" ca="1" si="93"/>
        <v>4.235870727539063</v>
      </c>
      <c r="S492" s="14">
        <f t="shared" ca="1" si="94"/>
        <v>70.83044873046876</v>
      </c>
      <c r="T492" s="19">
        <f t="shared" ca="1" si="96"/>
        <v>2.6528242470561736E-2</v>
      </c>
      <c r="U492" s="14"/>
      <c r="V492" s="15">
        <f t="shared" ca="1" si="95"/>
        <v>1.830449</v>
      </c>
      <c r="W492" s="14"/>
      <c r="X492" s="2"/>
    </row>
    <row r="493" spans="8:24" x14ac:dyDescent="0.25">
      <c r="H493" s="14">
        <v>69.099999999999994</v>
      </c>
      <c r="I493" s="17">
        <v>4.1859439958163076</v>
      </c>
      <c r="J493" s="15">
        <f t="shared" si="86"/>
        <v>5.7000000000000003E-5</v>
      </c>
      <c r="K493" s="30">
        <f t="shared" si="87"/>
        <v>2.4600000000000002E-4</v>
      </c>
      <c r="L493" s="15">
        <f t="shared" si="88"/>
        <v>1.3476E-2</v>
      </c>
      <c r="M493" s="10">
        <f t="shared" si="89"/>
        <v>4.2431245607895072</v>
      </c>
      <c r="N493" s="18">
        <f t="shared" si="90"/>
        <v>1.3660136167695834E-2</v>
      </c>
      <c r="O493" s="14">
        <f t="shared" si="91"/>
        <v>22637.477500000001</v>
      </c>
      <c r="P493" s="14">
        <f t="shared" ca="1" si="97"/>
        <v>22636</v>
      </c>
      <c r="Q493" s="14" t="str">
        <f t="shared" ca="1" si="92"/>
        <v>0101100001101100</v>
      </c>
      <c r="R493" s="14">
        <f t="shared" ca="1" si="93"/>
        <v>4.2441204757690434</v>
      </c>
      <c r="S493" s="14">
        <f t="shared" ca="1" si="94"/>
        <v>70.929445709228531</v>
      </c>
      <c r="T493" s="19">
        <f t="shared" ca="1" si="96"/>
        <v>2.647533587885003E-2</v>
      </c>
      <c r="U493" s="14"/>
      <c r="V493" s="15">
        <f t="shared" ca="1" si="95"/>
        <v>1.8294459999999999</v>
      </c>
      <c r="W493" s="14"/>
      <c r="X493" s="2"/>
    </row>
    <row r="494" spans="8:24" x14ac:dyDescent="0.25">
      <c r="H494" s="14">
        <v>69.2</v>
      </c>
      <c r="I494" s="17">
        <v>4.1940063726999801</v>
      </c>
      <c r="J494" s="15">
        <f t="shared" si="86"/>
        <v>5.8E-5</v>
      </c>
      <c r="K494" s="30">
        <f t="shared" si="87"/>
        <v>2.4600000000000002E-4</v>
      </c>
      <c r="L494" s="15">
        <f t="shared" si="88"/>
        <v>1.3506000000000001E-2</v>
      </c>
      <c r="M494" s="10">
        <f t="shared" si="89"/>
        <v>4.2514253399939381</v>
      </c>
      <c r="N494" s="18">
        <f t="shared" si="90"/>
        <v>1.3690720087531326E-2</v>
      </c>
      <c r="O494" s="14">
        <f t="shared" si="91"/>
        <v>22681.762999999999</v>
      </c>
      <c r="P494" s="14">
        <f t="shared" ca="1" si="97"/>
        <v>22683</v>
      </c>
      <c r="Q494" s="14" t="str">
        <f t="shared" ca="1" si="92"/>
        <v>0101100010011011</v>
      </c>
      <c r="R494" s="14">
        <f t="shared" ca="1" si="93"/>
        <v>4.2529327068328859</v>
      </c>
      <c r="S494" s="14">
        <f t="shared" ca="1" si="94"/>
        <v>71.035192481994642</v>
      </c>
      <c r="T494" s="19">
        <f t="shared" ca="1" si="96"/>
        <v>2.6520122572176865E-2</v>
      </c>
      <c r="U494" s="14"/>
      <c r="V494" s="15">
        <f t="shared" ca="1" si="95"/>
        <v>1.8351919999999999</v>
      </c>
      <c r="W494" s="14"/>
      <c r="X494" s="2"/>
    </row>
    <row r="495" spans="8:24" x14ac:dyDescent="0.25">
      <c r="H495" s="14">
        <v>69.300000000000011</v>
      </c>
      <c r="I495" s="17">
        <v>4.2016104952927673</v>
      </c>
      <c r="J495" s="15">
        <f t="shared" si="86"/>
        <v>5.8E-5</v>
      </c>
      <c r="K495" s="30">
        <f t="shared" si="87"/>
        <v>2.4699999999999999E-4</v>
      </c>
      <c r="L495" s="15">
        <f t="shared" si="88"/>
        <v>1.3537E-2</v>
      </c>
      <c r="M495" s="10">
        <f t="shared" si="89"/>
        <v>4.259267413118148</v>
      </c>
      <c r="N495" s="18">
        <f t="shared" si="90"/>
        <v>1.372257563855005E-2</v>
      </c>
      <c r="O495" s="14">
        <f t="shared" si="91"/>
        <v>22723.601200000001</v>
      </c>
      <c r="P495" s="14">
        <f t="shared" ca="1" si="97"/>
        <v>22725</v>
      </c>
      <c r="Q495" s="14" t="str">
        <f t="shared" ca="1" si="92"/>
        <v>0101100011000101</v>
      </c>
      <c r="R495" s="14">
        <f t="shared" ca="1" si="93"/>
        <v>4.2608074665069582</v>
      </c>
      <c r="S495" s="14">
        <f t="shared" ca="1" si="94"/>
        <v>71.129689598083502</v>
      </c>
      <c r="T495" s="19">
        <f t="shared" ca="1" si="96"/>
        <v>2.6402447302792065E-2</v>
      </c>
      <c r="U495" s="14"/>
      <c r="V495" s="15">
        <f t="shared" ca="1" si="95"/>
        <v>1.82969</v>
      </c>
      <c r="W495" s="14"/>
      <c r="X495" s="2"/>
    </row>
    <row r="496" spans="8:24" x14ac:dyDescent="0.25">
      <c r="H496" s="14">
        <v>69.400000000000006</v>
      </c>
      <c r="I496" s="17">
        <v>4.2096968627381814</v>
      </c>
      <c r="J496" s="15">
        <f t="shared" si="86"/>
        <v>5.8999999999999998E-5</v>
      </c>
      <c r="K496" s="30">
        <f t="shared" si="87"/>
        <v>2.4699999999999999E-4</v>
      </c>
      <c r="L496" s="15">
        <f t="shared" si="88"/>
        <v>1.3566999999999999E-2</v>
      </c>
      <c r="M496" s="10">
        <f t="shared" si="89"/>
        <v>4.2675935170986588</v>
      </c>
      <c r="N496" s="18">
        <f t="shared" si="90"/>
        <v>1.3753164716667663E-2</v>
      </c>
      <c r="O496" s="14">
        <f t="shared" si="91"/>
        <v>22768.021700000001</v>
      </c>
      <c r="P496" s="14">
        <f t="shared" ca="1" si="97"/>
        <v>22770</v>
      </c>
      <c r="Q496" s="14" t="str">
        <f t="shared" ca="1" si="92"/>
        <v>0101100011110010</v>
      </c>
      <c r="R496" s="14">
        <f t="shared" ca="1" si="93"/>
        <v>4.2692447090148926</v>
      </c>
      <c r="S496" s="14">
        <f t="shared" ca="1" si="94"/>
        <v>71.230936508178715</v>
      </c>
      <c r="T496" s="19">
        <f t="shared" ca="1" si="96"/>
        <v>2.6382370434851716E-2</v>
      </c>
      <c r="U496" s="14"/>
      <c r="V496" s="15">
        <f t="shared" ca="1" si="95"/>
        <v>1.830937</v>
      </c>
      <c r="W496" s="14"/>
      <c r="X496" s="2"/>
    </row>
    <row r="497" spans="8:24" x14ac:dyDescent="0.25">
      <c r="H497" s="14">
        <v>69.5</v>
      </c>
      <c r="I497" s="17">
        <v>4.2177945701176851</v>
      </c>
      <c r="J497" s="15">
        <f t="shared" si="86"/>
        <v>6.0000000000000002E-5</v>
      </c>
      <c r="K497" s="30">
        <f t="shared" si="87"/>
        <v>2.4800000000000001E-4</v>
      </c>
      <c r="L497" s="15">
        <f t="shared" si="88"/>
        <v>1.3598000000000001E-2</v>
      </c>
      <c r="M497" s="10">
        <f t="shared" si="89"/>
        <v>4.2759359585987102</v>
      </c>
      <c r="N497" s="18">
        <f t="shared" si="90"/>
        <v>1.3784784326137264E-2</v>
      </c>
      <c r="O497" s="14">
        <f t="shared" si="91"/>
        <v>22812.529500000001</v>
      </c>
      <c r="P497" s="14">
        <f t="shared" ca="1" si="97"/>
        <v>22813</v>
      </c>
      <c r="Q497" s="14" t="str">
        <f t="shared" ca="1" si="92"/>
        <v>0101100100011101</v>
      </c>
      <c r="R497" s="14">
        <f t="shared" ca="1" si="93"/>
        <v>4.2773069629669189</v>
      </c>
      <c r="S497" s="14">
        <f t="shared" ca="1" si="94"/>
        <v>71.327683555603031</v>
      </c>
      <c r="T497" s="19">
        <f t="shared" ca="1" si="96"/>
        <v>2.6297605116590368E-2</v>
      </c>
      <c r="U497" s="14"/>
      <c r="V497" s="15">
        <f t="shared" ca="1" si="95"/>
        <v>1.8276840000000001</v>
      </c>
      <c r="W497" s="14"/>
      <c r="X497" s="2"/>
    </row>
    <row r="498" spans="8:24" x14ac:dyDescent="0.25">
      <c r="H498" s="14">
        <v>69.599999999999994</v>
      </c>
      <c r="I498" s="17">
        <v>4.2259035039753483</v>
      </c>
      <c r="J498" s="15">
        <f t="shared" si="86"/>
        <v>6.0000000000000002E-5</v>
      </c>
      <c r="K498" s="30">
        <f t="shared" si="87"/>
        <v>2.4800000000000001E-4</v>
      </c>
      <c r="L498" s="15">
        <f t="shared" si="88"/>
        <v>1.3627999999999999E-2</v>
      </c>
      <c r="M498" s="10">
        <f t="shared" si="89"/>
        <v>4.2842869764666354</v>
      </c>
      <c r="N498" s="18">
        <f t="shared" si="90"/>
        <v>1.3815618940746082E-2</v>
      </c>
      <c r="O498" s="14">
        <f t="shared" si="91"/>
        <v>22857.082900000001</v>
      </c>
      <c r="P498" s="14">
        <f t="shared" ca="1" si="97"/>
        <v>22861</v>
      </c>
      <c r="Q498" s="14" t="str">
        <f t="shared" ca="1" si="92"/>
        <v>0101100101001101</v>
      </c>
      <c r="R498" s="14">
        <f t="shared" ca="1" si="93"/>
        <v>4.2863066883087155</v>
      </c>
      <c r="S498" s="14">
        <f t="shared" ca="1" si="94"/>
        <v>71.435680259704597</v>
      </c>
      <c r="T498" s="19">
        <f t="shared" ca="1" si="96"/>
        <v>2.6374716375066134E-2</v>
      </c>
      <c r="U498" s="14"/>
      <c r="V498" s="15">
        <f t="shared" ca="1" si="95"/>
        <v>1.83568</v>
      </c>
      <c r="W498" s="14"/>
      <c r="X498" s="2"/>
    </row>
    <row r="499" spans="8:24" x14ac:dyDescent="0.25">
      <c r="H499" s="14">
        <v>69.7</v>
      </c>
      <c r="I499" s="17">
        <v>4.234023551677228</v>
      </c>
      <c r="J499" s="15">
        <f t="shared" si="86"/>
        <v>6.0999999999999999E-5</v>
      </c>
      <c r="K499" s="30">
        <f t="shared" si="87"/>
        <v>2.4899999999999998E-4</v>
      </c>
      <c r="L499" s="15">
        <f t="shared" si="88"/>
        <v>1.3658999999999999E-2</v>
      </c>
      <c r="M499" s="10">
        <f t="shared" si="89"/>
        <v>4.2926531082609651</v>
      </c>
      <c r="N499" s="18">
        <f t="shared" si="90"/>
        <v>1.3847243849296057E-2</v>
      </c>
      <c r="O499" s="14">
        <f t="shared" si="91"/>
        <v>22901.717100000002</v>
      </c>
      <c r="P499" s="14">
        <f t="shared" ca="1" si="97"/>
        <v>22905</v>
      </c>
      <c r="Q499" s="14" t="str">
        <f t="shared" ca="1" si="92"/>
        <v>0101100101111001</v>
      </c>
      <c r="R499" s="14">
        <f t="shared" ca="1" si="93"/>
        <v>4.2945564365386968</v>
      </c>
      <c r="S499" s="14">
        <f t="shared" ca="1" si="94"/>
        <v>71.534677238464369</v>
      </c>
      <c r="T499" s="19">
        <f t="shared" ca="1" si="96"/>
        <v>2.6322485487293625E-2</v>
      </c>
      <c r="U499" s="14"/>
      <c r="V499" s="15">
        <f t="shared" ca="1" si="95"/>
        <v>1.8346769999999999</v>
      </c>
      <c r="W499" s="14"/>
      <c r="X499" s="2"/>
    </row>
    <row r="500" spans="8:24" x14ac:dyDescent="0.25">
      <c r="H500" s="14">
        <v>69.800000000000011</v>
      </c>
      <c r="I500" s="17">
        <v>4.2421546003747839</v>
      </c>
      <c r="J500" s="15">
        <f t="shared" si="86"/>
        <v>6.0999999999999999E-5</v>
      </c>
      <c r="K500" s="30">
        <f t="shared" si="87"/>
        <v>2.4899999999999998E-4</v>
      </c>
      <c r="L500" s="15">
        <f t="shared" si="88"/>
        <v>1.3689E-2</v>
      </c>
      <c r="M500" s="10">
        <f t="shared" si="89"/>
        <v>4.3010275728576319</v>
      </c>
      <c r="N500" s="18">
        <f t="shared" si="90"/>
        <v>1.387808272655758E-2</v>
      </c>
      <c r="O500" s="14">
        <f t="shared" si="91"/>
        <v>22946.3956</v>
      </c>
      <c r="P500" s="14">
        <f t="shared" ca="1" si="97"/>
        <v>22951</v>
      </c>
      <c r="Q500" s="14" t="str">
        <f t="shared" ca="1" si="92"/>
        <v>0101100110100111</v>
      </c>
      <c r="R500" s="14">
        <f t="shared" ca="1" si="93"/>
        <v>4.3031811733245853</v>
      </c>
      <c r="S500" s="14">
        <f t="shared" ca="1" si="94"/>
        <v>71.638174079895037</v>
      </c>
      <c r="T500" s="19">
        <f t="shared" ca="1" si="96"/>
        <v>2.6334872204799797E-2</v>
      </c>
      <c r="U500" s="14"/>
      <c r="V500" s="15">
        <f t="shared" ca="1" si="95"/>
        <v>1.838174</v>
      </c>
      <c r="W500" s="14"/>
      <c r="X500" s="2"/>
    </row>
    <row r="501" spans="8:24" x14ac:dyDescent="0.25">
      <c r="H501" s="14">
        <v>69.900000000000006</v>
      </c>
      <c r="I501" s="17">
        <v>4.2498325085038147</v>
      </c>
      <c r="J501" s="15">
        <f t="shared" si="86"/>
        <v>6.2000000000000003E-5</v>
      </c>
      <c r="K501" s="30">
        <f t="shared" si="87"/>
        <v>2.5000000000000001E-4</v>
      </c>
      <c r="L501" s="15">
        <f t="shared" si="88"/>
        <v>1.372E-2</v>
      </c>
      <c r="M501" s="10">
        <f t="shared" si="89"/>
        <v>4.3089464581496273</v>
      </c>
      <c r="N501" s="18">
        <f t="shared" si="90"/>
        <v>1.3909712801040277E-2</v>
      </c>
      <c r="O501" s="14">
        <f t="shared" si="91"/>
        <v>22988.643599999999</v>
      </c>
      <c r="P501" s="14">
        <f t="shared" ca="1" si="97"/>
        <v>22988</v>
      </c>
      <c r="Q501" s="14" t="str">
        <f t="shared" ca="1" si="92"/>
        <v>0101100111001100</v>
      </c>
      <c r="R501" s="14">
        <f t="shared" ca="1" si="93"/>
        <v>4.3101184616088872</v>
      </c>
      <c r="S501" s="14">
        <f t="shared" ca="1" si="94"/>
        <v>71.721421539306661</v>
      </c>
      <c r="T501" s="19">
        <f t="shared" ca="1" si="96"/>
        <v>2.6057532751168171E-2</v>
      </c>
      <c r="U501" s="14"/>
      <c r="V501" s="15">
        <f t="shared" ca="1" si="95"/>
        <v>1.8214220000000001</v>
      </c>
      <c r="W501" s="14"/>
      <c r="X501" s="2"/>
    </row>
    <row r="502" spans="8:24" x14ac:dyDescent="0.25">
      <c r="H502" s="14">
        <v>70</v>
      </c>
      <c r="I502" s="17">
        <v>4.2584492527489077</v>
      </c>
      <c r="J502" s="15">
        <f t="shared" si="86"/>
        <v>6.3E-5</v>
      </c>
      <c r="K502" s="30">
        <f t="shared" si="87"/>
        <v>2.5000000000000001E-4</v>
      </c>
      <c r="L502" s="15">
        <f t="shared" si="88"/>
        <v>1.375E-2</v>
      </c>
      <c r="M502" s="10">
        <f t="shared" si="89"/>
        <v>4.317813389352505</v>
      </c>
      <c r="N502" s="18">
        <f t="shared" si="90"/>
        <v>1.3940317960881334E-2</v>
      </c>
      <c r="O502" s="14">
        <f t="shared" si="91"/>
        <v>23035.9496</v>
      </c>
      <c r="P502" s="14">
        <f t="shared" ca="1" si="97"/>
        <v>23035</v>
      </c>
      <c r="Q502" s="14" t="str">
        <f t="shared" ca="1" si="92"/>
        <v>0101100111111011</v>
      </c>
      <c r="R502" s="14">
        <f t="shared" ca="1" si="93"/>
        <v>4.3189306926727298</v>
      </c>
      <c r="S502" s="14">
        <f t="shared" ca="1" si="94"/>
        <v>71.827168312072772</v>
      </c>
      <c r="T502" s="19">
        <f t="shared" ca="1" si="96"/>
        <v>2.610240445818245E-2</v>
      </c>
      <c r="U502" s="14"/>
      <c r="V502" s="15">
        <f t="shared" ca="1" si="95"/>
        <v>1.8271679999999999</v>
      </c>
      <c r="W502" s="14"/>
      <c r="X502" s="2"/>
    </row>
    <row r="503" spans="8:24" x14ac:dyDescent="0.25">
      <c r="H503" s="14">
        <v>70.099999999999994</v>
      </c>
      <c r="I503" s="17">
        <v>4.2666126326087968</v>
      </c>
      <c r="J503" s="15">
        <f t="shared" si="86"/>
        <v>6.3E-5</v>
      </c>
      <c r="K503" s="30">
        <f t="shared" si="87"/>
        <v>2.5099999999999998E-4</v>
      </c>
      <c r="L503" s="15">
        <f t="shared" si="88"/>
        <v>1.3781E-2</v>
      </c>
      <c r="M503" s="10">
        <f t="shared" si="89"/>
        <v>4.326226561555595</v>
      </c>
      <c r="N503" s="18">
        <f t="shared" si="90"/>
        <v>1.3972191543985487E-2</v>
      </c>
      <c r="O503" s="14">
        <f t="shared" si="91"/>
        <v>23080.834699999999</v>
      </c>
      <c r="P503" s="14">
        <f t="shared" ca="1" si="97"/>
        <v>23079</v>
      </c>
      <c r="Q503" s="14" t="str">
        <f t="shared" ca="1" si="92"/>
        <v>0101101000100111</v>
      </c>
      <c r="R503" s="14">
        <f t="shared" ca="1" si="93"/>
        <v>4.3271804409027101</v>
      </c>
      <c r="S503" s="14">
        <f t="shared" ca="1" si="94"/>
        <v>71.926165290832529</v>
      </c>
      <c r="T503" s="19">
        <f t="shared" ca="1" si="96"/>
        <v>2.6050860068937726E-2</v>
      </c>
      <c r="U503" s="14"/>
      <c r="V503" s="15">
        <f t="shared" ca="1" si="95"/>
        <v>1.826165</v>
      </c>
      <c r="W503" s="14"/>
      <c r="X503" s="2"/>
    </row>
    <row r="504" spans="8:24" x14ac:dyDescent="0.25">
      <c r="H504" s="14">
        <v>70.2</v>
      </c>
      <c r="I504" s="17">
        <v>4.2743254133836475</v>
      </c>
      <c r="J504" s="15">
        <f t="shared" si="86"/>
        <v>6.3999999999999997E-5</v>
      </c>
      <c r="K504" s="30">
        <f t="shared" si="87"/>
        <v>2.5099999999999998E-4</v>
      </c>
      <c r="L504" s="15">
        <f t="shared" si="88"/>
        <v>1.3811E-2</v>
      </c>
      <c r="M504" s="10">
        <f t="shared" si="89"/>
        <v>4.3341779439292543</v>
      </c>
      <c r="N504" s="18">
        <f t="shared" si="90"/>
        <v>1.4002801555117501E-2</v>
      </c>
      <c r="O504" s="14">
        <f t="shared" si="91"/>
        <v>23123.256099999999</v>
      </c>
      <c r="P504" s="14">
        <f t="shared" ca="1" si="97"/>
        <v>23126</v>
      </c>
      <c r="Q504" s="14" t="str">
        <f t="shared" ca="1" si="92"/>
        <v>0101101001010110</v>
      </c>
      <c r="R504" s="14">
        <f t="shared" ca="1" si="93"/>
        <v>4.3359926719665527</v>
      </c>
      <c r="S504" s="14">
        <f t="shared" ca="1" si="94"/>
        <v>72.031912063598639</v>
      </c>
      <c r="T504" s="19">
        <f t="shared" ca="1" si="96"/>
        <v>2.6095613441576019E-2</v>
      </c>
      <c r="U504" s="14"/>
      <c r="V504" s="15">
        <f t="shared" ca="1" si="95"/>
        <v>1.831912</v>
      </c>
      <c r="W504" s="14"/>
      <c r="X504" s="2"/>
    </row>
    <row r="505" spans="8:24" x14ac:dyDescent="0.25">
      <c r="H505" s="14">
        <v>70.300000000000011</v>
      </c>
      <c r="I505" s="17">
        <v>4.28251074566474</v>
      </c>
      <c r="J505" s="15">
        <f t="shared" si="86"/>
        <v>6.3999999999999997E-5</v>
      </c>
      <c r="K505" s="30">
        <f t="shared" si="87"/>
        <v>2.52E-4</v>
      </c>
      <c r="L505" s="15">
        <f t="shared" si="88"/>
        <v>1.3842E-2</v>
      </c>
      <c r="M505" s="10">
        <f t="shared" si="89"/>
        <v>4.3426144115129013</v>
      </c>
      <c r="N505" s="18">
        <f t="shared" si="90"/>
        <v>1.4034679518085338E-2</v>
      </c>
      <c r="O505" s="14">
        <f t="shared" si="91"/>
        <v>23168.2654</v>
      </c>
      <c r="P505" s="14">
        <f t="shared" ca="1" si="97"/>
        <v>23167</v>
      </c>
      <c r="Q505" s="14" t="str">
        <f t="shared" ca="1" si="92"/>
        <v>0101101001111111</v>
      </c>
      <c r="R505" s="14">
        <f t="shared" ca="1" si="93"/>
        <v>4.3436799373626709</v>
      </c>
      <c r="S505" s="14">
        <f t="shared" ca="1" si="94"/>
        <v>72.124159248352058</v>
      </c>
      <c r="T505" s="19">
        <f t="shared" ca="1" si="96"/>
        <v>2.5948211214111609E-2</v>
      </c>
      <c r="U505" s="14"/>
      <c r="V505" s="15">
        <f t="shared" ca="1" si="95"/>
        <v>1.8241590000000001</v>
      </c>
      <c r="W505" s="14"/>
      <c r="X505" s="2"/>
    </row>
    <row r="506" spans="8:24" x14ac:dyDescent="0.25">
      <c r="H506" s="14">
        <v>70.400000000000006</v>
      </c>
      <c r="I506" s="17">
        <v>4.2902471687482793</v>
      </c>
      <c r="J506" s="15">
        <f t="shared" si="86"/>
        <v>6.4999999999999994E-5</v>
      </c>
      <c r="K506" s="30">
        <f t="shared" si="87"/>
        <v>2.52E-4</v>
      </c>
      <c r="L506" s="15">
        <f t="shared" si="88"/>
        <v>1.3872000000000001E-2</v>
      </c>
      <c r="M506" s="10">
        <f t="shared" si="89"/>
        <v>4.3505907591836754</v>
      </c>
      <c r="N506" s="18">
        <f t="shared" si="90"/>
        <v>1.4065294623340311E-2</v>
      </c>
      <c r="O506" s="14">
        <f t="shared" si="91"/>
        <v>23210.82</v>
      </c>
      <c r="P506" s="14">
        <f t="shared" ca="1" si="97"/>
        <v>23212</v>
      </c>
      <c r="Q506" s="14" t="str">
        <f t="shared" ca="1" si="92"/>
        <v>0101101010101100</v>
      </c>
      <c r="R506" s="14">
        <f t="shared" ca="1" si="93"/>
        <v>4.3521171798706053</v>
      </c>
      <c r="S506" s="14">
        <f t="shared" ca="1" si="94"/>
        <v>72.225406158447271</v>
      </c>
      <c r="T506" s="19">
        <f t="shared" ca="1" si="96"/>
        <v>2.5929064750671377E-2</v>
      </c>
      <c r="U506" s="14"/>
      <c r="V506" s="15">
        <f t="shared" ca="1" si="95"/>
        <v>1.8254060000000001</v>
      </c>
      <c r="W506" s="14"/>
      <c r="X506" s="2"/>
    </row>
    <row r="507" spans="8:24" x14ac:dyDescent="0.25">
      <c r="H507" s="14">
        <v>70.5</v>
      </c>
      <c r="I507" s="17">
        <v>4.2984540044932977</v>
      </c>
      <c r="J507" s="15">
        <f t="shared" si="86"/>
        <v>6.4999999999999994E-5</v>
      </c>
      <c r="K507" s="30">
        <f t="shared" si="87"/>
        <v>2.5300000000000002E-4</v>
      </c>
      <c r="L507" s="15">
        <f t="shared" si="88"/>
        <v>1.3903E-2</v>
      </c>
      <c r="M507" s="10">
        <f t="shared" si="89"/>
        <v>4.3590500712600262</v>
      </c>
      <c r="N507" s="18">
        <f t="shared" si="90"/>
        <v>1.4097176962551106E-2</v>
      </c>
      <c r="O507" s="14">
        <f t="shared" si="91"/>
        <v>23255.9512</v>
      </c>
      <c r="P507" s="14">
        <f t="shared" ca="1" si="97"/>
        <v>23256</v>
      </c>
      <c r="Q507" s="14" t="str">
        <f t="shared" ca="1" si="92"/>
        <v>0101101011011000</v>
      </c>
      <c r="R507" s="14">
        <f t="shared" ca="1" si="93"/>
        <v>4.3603669281005857</v>
      </c>
      <c r="S507" s="14">
        <f t="shared" ca="1" si="94"/>
        <v>72.324403137207042</v>
      </c>
      <c r="T507" s="19">
        <f t="shared" ca="1" si="96"/>
        <v>2.5878058683787834E-2</v>
      </c>
      <c r="U507" s="14"/>
      <c r="V507" s="15">
        <f t="shared" ca="1" si="95"/>
        <v>1.824403</v>
      </c>
      <c r="W507" s="14"/>
      <c r="X507" s="2"/>
    </row>
    <row r="508" spans="8:24" x14ac:dyDescent="0.25">
      <c r="H508" s="14">
        <v>70.599999999999994</v>
      </c>
      <c r="I508" s="17">
        <v>4.3066709479203569</v>
      </c>
      <c r="J508" s="15">
        <f t="shared" si="86"/>
        <v>6.6000000000000005E-5</v>
      </c>
      <c r="K508" s="30">
        <f t="shared" si="87"/>
        <v>2.5300000000000002E-4</v>
      </c>
      <c r="L508" s="15">
        <f t="shared" si="88"/>
        <v>1.3932999999999999E-2</v>
      </c>
      <c r="M508" s="10">
        <f t="shared" si="89"/>
        <v>4.3675147224340298</v>
      </c>
      <c r="N508" s="18">
        <f t="shared" si="90"/>
        <v>1.4127797375152084E-2</v>
      </c>
      <c r="O508" s="14">
        <f t="shared" si="91"/>
        <v>23301.111000000001</v>
      </c>
      <c r="P508" s="14">
        <f t="shared" ca="1" si="97"/>
        <v>23305</v>
      </c>
      <c r="Q508" s="14" t="str">
        <f t="shared" ca="1" si="92"/>
        <v>0101101100001001</v>
      </c>
      <c r="R508" s="14">
        <f t="shared" ca="1" si="93"/>
        <v>4.3695541477203372</v>
      </c>
      <c r="S508" s="14">
        <f t="shared" ca="1" si="94"/>
        <v>72.43464977264405</v>
      </c>
      <c r="T508" s="19">
        <f t="shared" ca="1" si="96"/>
        <v>2.5986540689009293E-2</v>
      </c>
      <c r="U508" s="14"/>
      <c r="V508" s="15">
        <f t="shared" ca="1" si="95"/>
        <v>1.8346499999999999</v>
      </c>
      <c r="W508" s="14"/>
      <c r="X508" s="2"/>
    </row>
    <row r="509" spans="8:24" x14ac:dyDescent="0.25">
      <c r="H509" s="14">
        <v>70.7</v>
      </c>
      <c r="I509" s="17">
        <v>4.3144415088048582</v>
      </c>
      <c r="J509" s="15">
        <f t="shared" si="86"/>
        <v>6.7000000000000002E-5</v>
      </c>
      <c r="K509" s="30">
        <f t="shared" si="87"/>
        <v>2.5399999999999999E-4</v>
      </c>
      <c r="L509" s="15">
        <f t="shared" si="88"/>
        <v>1.3964000000000001E-2</v>
      </c>
      <c r="M509" s="10">
        <f t="shared" si="89"/>
        <v>4.3755316224690164</v>
      </c>
      <c r="N509" s="18">
        <f t="shared" si="90"/>
        <v>1.4159448804552393E-2</v>
      </c>
      <c r="O509" s="14">
        <f t="shared" si="91"/>
        <v>23343.8819</v>
      </c>
      <c r="P509" s="14">
        <f t="shared" ca="1" si="97"/>
        <v>23347</v>
      </c>
      <c r="Q509" s="14" t="str">
        <f t="shared" ca="1" si="92"/>
        <v>0101101100110011</v>
      </c>
      <c r="R509" s="14">
        <f t="shared" ca="1" si="93"/>
        <v>4.3774289073944095</v>
      </c>
      <c r="S509" s="14">
        <f t="shared" ca="1" si="94"/>
        <v>72.529146888732924</v>
      </c>
      <c r="T509" s="19">
        <f t="shared" ca="1" si="96"/>
        <v>2.5871950335684887E-2</v>
      </c>
      <c r="U509" s="14"/>
      <c r="V509" s="15">
        <f t="shared" ca="1" si="95"/>
        <v>1.8291470000000001</v>
      </c>
      <c r="W509" s="14"/>
      <c r="X509" s="2"/>
    </row>
    <row r="510" spans="8:24" x14ac:dyDescent="0.25">
      <c r="H510" s="14">
        <v>70.800000000000011</v>
      </c>
      <c r="I510" s="17">
        <v>4.3217684309262321</v>
      </c>
      <c r="J510" s="15">
        <f t="shared" si="86"/>
        <v>6.7000000000000002E-5</v>
      </c>
      <c r="K510" s="30">
        <f t="shared" si="87"/>
        <v>2.5399999999999999E-4</v>
      </c>
      <c r="L510" s="15">
        <f t="shared" si="88"/>
        <v>1.3993999999999999E-2</v>
      </c>
      <c r="M510" s="10">
        <f t="shared" si="89"/>
        <v>4.3830956599394248</v>
      </c>
      <c r="N510" s="18">
        <f t="shared" si="90"/>
        <v>1.4190308896316605E-2</v>
      </c>
      <c r="O510" s="14">
        <f t="shared" si="91"/>
        <v>23384.236799999999</v>
      </c>
      <c r="P510" s="14">
        <f t="shared" ca="1" si="97"/>
        <v>23388</v>
      </c>
      <c r="Q510" s="14" t="str">
        <f t="shared" ca="1" si="92"/>
        <v>0101101101011100</v>
      </c>
      <c r="R510" s="14">
        <f t="shared" ca="1" si="93"/>
        <v>4.3851161727905277</v>
      </c>
      <c r="S510" s="14">
        <f t="shared" ca="1" si="94"/>
        <v>72.621394073486343</v>
      </c>
      <c r="T510" s="19">
        <f t="shared" ca="1" si="96"/>
        <v>2.572590499274479E-2</v>
      </c>
      <c r="U510" s="14"/>
      <c r="V510" s="15">
        <f t="shared" ca="1" si="95"/>
        <v>1.821394</v>
      </c>
      <c r="W510" s="14"/>
      <c r="X510" s="2"/>
    </row>
    <row r="511" spans="8:24" x14ac:dyDescent="0.25">
      <c r="H511" s="14">
        <v>70.900000000000006</v>
      </c>
      <c r="I511" s="17">
        <v>4.3300178838393677</v>
      </c>
      <c r="J511" s="15">
        <f t="shared" si="86"/>
        <v>6.7999999999999999E-5</v>
      </c>
      <c r="K511" s="30">
        <f t="shared" si="87"/>
        <v>2.5500000000000002E-4</v>
      </c>
      <c r="L511" s="15">
        <f t="shared" si="88"/>
        <v>1.4024999999999999E-2</v>
      </c>
      <c r="M511" s="10">
        <f t="shared" si="89"/>
        <v>4.3915992498687775</v>
      </c>
      <c r="N511" s="18">
        <f t="shared" si="90"/>
        <v>1.4221965747357705E-2</v>
      </c>
      <c r="O511" s="14">
        <f t="shared" si="91"/>
        <v>23429.604200000002</v>
      </c>
      <c r="P511" s="14">
        <f t="shared" ca="1" si="97"/>
        <v>23432</v>
      </c>
      <c r="Q511" s="14" t="str">
        <f t="shared" ca="1" si="92"/>
        <v>0101101110001000</v>
      </c>
      <c r="R511" s="14">
        <f t="shared" ca="1" si="93"/>
        <v>4.393365921020508</v>
      </c>
      <c r="S511" s="14">
        <f t="shared" ca="1" si="94"/>
        <v>72.7203910522461</v>
      </c>
      <c r="T511" s="19">
        <f t="shared" ca="1" si="96"/>
        <v>2.5675473233372274E-2</v>
      </c>
      <c r="U511" s="14"/>
      <c r="V511" s="15">
        <f t="shared" ca="1" si="95"/>
        <v>1.8203910000000001</v>
      </c>
      <c r="W511" s="14"/>
      <c r="X511" s="2"/>
    </row>
    <row r="512" spans="8:24" x14ac:dyDescent="0.25">
      <c r="H512" s="14">
        <v>71</v>
      </c>
      <c r="I512" s="17">
        <v>4.3382770016821643</v>
      </c>
      <c r="J512" s="15">
        <f t="shared" si="86"/>
        <v>6.7999999999999999E-5</v>
      </c>
      <c r="K512" s="30">
        <f t="shared" si="87"/>
        <v>2.5500000000000002E-4</v>
      </c>
      <c r="L512" s="15">
        <f t="shared" si="88"/>
        <v>1.4055E-2</v>
      </c>
      <c r="M512" s="10">
        <f t="shared" si="89"/>
        <v>4.4001097287294577</v>
      </c>
      <c r="N512" s="18">
        <f t="shared" si="90"/>
        <v>1.425283056460382E-2</v>
      </c>
      <c r="O512" s="14">
        <f t="shared" si="91"/>
        <v>23475.0085</v>
      </c>
      <c r="P512" s="14">
        <f t="shared" ca="1" si="97"/>
        <v>23477</v>
      </c>
      <c r="Q512" s="14" t="str">
        <f t="shared" ca="1" si="92"/>
        <v>0101101110110101</v>
      </c>
      <c r="R512" s="14">
        <f t="shared" ca="1" si="93"/>
        <v>4.4018031635284425</v>
      </c>
      <c r="S512" s="14">
        <f t="shared" ca="1" si="94"/>
        <v>72.821637962341313</v>
      </c>
      <c r="T512" s="19">
        <f t="shared" ca="1" si="96"/>
        <v>2.565687270903258E-2</v>
      </c>
      <c r="U512" s="14"/>
      <c r="V512" s="15">
        <f t="shared" ca="1" si="95"/>
        <v>1.8216380000000001</v>
      </c>
      <c r="W512" s="14"/>
      <c r="X512" s="2"/>
    </row>
    <row r="513" spans="8:24" x14ac:dyDescent="0.25">
      <c r="H513" s="14">
        <v>71.099999999999994</v>
      </c>
      <c r="I513" s="17">
        <v>4.3460930907956961</v>
      </c>
      <c r="J513" s="15">
        <f t="shared" si="86"/>
        <v>6.8999999999999997E-5</v>
      </c>
      <c r="K513" s="30">
        <f t="shared" si="87"/>
        <v>2.5599999999999999E-4</v>
      </c>
      <c r="L513" s="15">
        <f t="shared" si="88"/>
        <v>1.4086E-2</v>
      </c>
      <c r="M513" s="10">
        <f t="shared" si="89"/>
        <v>4.4081748243839689</v>
      </c>
      <c r="N513" s="18">
        <f t="shared" si="90"/>
        <v>1.4284492368502565E-2</v>
      </c>
      <c r="O513" s="14">
        <f t="shared" si="91"/>
        <v>23518.036499999998</v>
      </c>
      <c r="P513" s="14">
        <f t="shared" ca="1" si="97"/>
        <v>23518</v>
      </c>
      <c r="Q513" s="14" t="str">
        <f t="shared" ca="1" si="92"/>
        <v>0101101111011110</v>
      </c>
      <c r="R513" s="14">
        <f t="shared" ca="1" si="93"/>
        <v>4.4094904289245607</v>
      </c>
      <c r="S513" s="14">
        <f t="shared" ca="1" si="94"/>
        <v>72.913885147094732</v>
      </c>
      <c r="T513" s="19">
        <f t="shared" ca="1" si="96"/>
        <v>2.5511746091346519E-2</v>
      </c>
      <c r="U513" s="14"/>
      <c r="V513" s="15">
        <f t="shared" ca="1" si="95"/>
        <v>1.813885</v>
      </c>
      <c r="W513" s="14"/>
      <c r="X513" s="2"/>
    </row>
    <row r="514" spans="8:24" x14ac:dyDescent="0.25">
      <c r="H514" s="14">
        <v>71.2</v>
      </c>
      <c r="I514" s="17">
        <v>4.3539205175592155</v>
      </c>
      <c r="J514" s="15">
        <f t="shared" si="86"/>
        <v>6.8999999999999997E-5</v>
      </c>
      <c r="K514" s="30">
        <f t="shared" si="87"/>
        <v>2.5599999999999999E-4</v>
      </c>
      <c r="L514" s="15">
        <f t="shared" si="88"/>
        <v>1.4116E-2</v>
      </c>
      <c r="M514" s="10">
        <f t="shared" si="89"/>
        <v>4.416248462122538</v>
      </c>
      <c r="N514" s="18">
        <f t="shared" si="90"/>
        <v>1.431536113531608E-2</v>
      </c>
      <c r="O514" s="14">
        <f t="shared" si="91"/>
        <v>23561.110199999999</v>
      </c>
      <c r="P514" s="14">
        <f t="shared" ca="1" si="97"/>
        <v>23564</v>
      </c>
      <c r="Q514" s="14" t="str">
        <f t="shared" ca="1" si="92"/>
        <v>0101110000001100</v>
      </c>
      <c r="R514" s="14">
        <f t="shared" ca="1" si="93"/>
        <v>4.4181151657104492</v>
      </c>
      <c r="S514" s="14">
        <f t="shared" ca="1" si="94"/>
        <v>73.017381988525401</v>
      </c>
      <c r="T514" s="19">
        <f t="shared" ca="1" si="96"/>
        <v>2.5525027928727493E-2</v>
      </c>
      <c r="U514" s="14"/>
      <c r="V514" s="15">
        <f t="shared" ca="1" si="95"/>
        <v>1.8173820000000001</v>
      </c>
      <c r="W514" s="14"/>
      <c r="X514" s="2"/>
    </row>
    <row r="515" spans="8:24" x14ac:dyDescent="0.25">
      <c r="H515" s="14">
        <v>71.300000000000011</v>
      </c>
      <c r="I515" s="17">
        <v>4.3617591697134053</v>
      </c>
      <c r="J515" s="15">
        <f t="shared" ref="J515:J578" si="98">ROUND(H515*0.00000575 -0.00034,6)</f>
        <v>6.9999999999999994E-5</v>
      </c>
      <c r="K515" s="30">
        <f t="shared" ref="K515:K578" si="99">ROUND(H515*0.000005-0.0001,6)</f>
        <v>2.5700000000000001E-4</v>
      </c>
      <c r="L515" s="15">
        <f t="shared" ref="L515:L578" si="100">ROUND(K515+($C$24*(H515-25)),6)</f>
        <v>1.4147E-2</v>
      </c>
      <c r="M515" s="10">
        <f t="shared" ref="M515:M578" si="101">(I515-J515)/(1-L515)+$C$26+$D$27</f>
        <v>4.4243374511082338</v>
      </c>
      <c r="N515" s="18">
        <f t="shared" ref="N515:N578" si="102">ABS(I515-M515)/I515</f>
        <v>1.4347028104933256E-2</v>
      </c>
      <c r="O515" s="14">
        <f t="shared" ref="O515:O578" si="103">ROUND((M515*(2^($C$12-1)))/$C$44,4)</f>
        <v>23604.2657</v>
      </c>
      <c r="P515" s="14">
        <f t="shared" ca="1" si="97"/>
        <v>23605</v>
      </c>
      <c r="Q515" s="14" t="str">
        <f t="shared" ref="Q515:Q578" ca="1" si="104">_xlfn.BASE(IF(P515&lt;0, P515+2^($C$12)-1, P515), 2, 16)</f>
        <v>0101110000110101</v>
      </c>
      <c r="R515" s="14">
        <f t="shared" ref="R515:R578" ca="1" si="105">($C$16/2^($C$12-1)) * P515</f>
        <v>4.4258024311065673</v>
      </c>
      <c r="S515" s="14">
        <f t="shared" ref="S515:S578" ca="1" si="106">(R515+5/3)/(1/12)</f>
        <v>73.109629173278819</v>
      </c>
      <c r="T515" s="19">
        <f t="shared" ca="1" si="96"/>
        <v>2.5380493313868262E-2</v>
      </c>
      <c r="U515" s="14"/>
      <c r="V515" s="15">
        <f t="shared" ref="V515:V578" ca="1" si="107">ROUND(ABS(H515-S515),6)</f>
        <v>1.8096289999999999</v>
      </c>
      <c r="W515" s="14"/>
      <c r="X515" s="2"/>
    </row>
    <row r="516" spans="8:24" x14ac:dyDescent="0.25">
      <c r="H516" s="14">
        <v>71.400000000000006</v>
      </c>
      <c r="I516" s="17">
        <v>4.3696089348789062</v>
      </c>
      <c r="J516" s="15">
        <f t="shared" si="98"/>
        <v>7.1000000000000005E-5</v>
      </c>
      <c r="K516" s="30">
        <f t="shared" si="99"/>
        <v>2.5700000000000001E-4</v>
      </c>
      <c r="L516" s="15">
        <f t="shared" si="100"/>
        <v>1.4177E-2</v>
      </c>
      <c r="M516" s="10">
        <f t="shared" si="101"/>
        <v>4.4324337255398847</v>
      </c>
      <c r="N516" s="18">
        <f t="shared" si="102"/>
        <v>1.4377668939547677E-2</v>
      </c>
      <c r="O516" s="14">
        <f t="shared" si="103"/>
        <v>23647.4601</v>
      </c>
      <c r="P516" s="14">
        <f t="shared" ca="1" si="97"/>
        <v>23649</v>
      </c>
      <c r="Q516" s="14" t="str">
        <f t="shared" ca="1" si="104"/>
        <v>0101110001100001</v>
      </c>
      <c r="R516" s="14">
        <f t="shared" ca="1" si="105"/>
        <v>4.4340521793365477</v>
      </c>
      <c r="S516" s="14">
        <f t="shared" ca="1" si="106"/>
        <v>73.208626152038576</v>
      </c>
      <c r="T516" s="19">
        <f t="shared" ref="T516:T579" ca="1" si="108">ABS(H516-S516)/H516</f>
        <v>2.5330898487935159E-2</v>
      </c>
      <c r="U516" s="14"/>
      <c r="V516" s="15">
        <f t="shared" ca="1" si="107"/>
        <v>1.8086260000000001</v>
      </c>
      <c r="W516" s="14"/>
      <c r="X516" s="2"/>
    </row>
    <row r="517" spans="8:24" x14ac:dyDescent="0.25">
      <c r="H517" s="14">
        <v>71.5</v>
      </c>
      <c r="I517" s="17">
        <v>4.3779185112428358</v>
      </c>
      <c r="J517" s="15">
        <f t="shared" si="98"/>
        <v>7.1000000000000005E-5</v>
      </c>
      <c r="K517" s="30">
        <f t="shared" si="99"/>
        <v>2.5799999999999998E-4</v>
      </c>
      <c r="L517" s="15">
        <f t="shared" si="100"/>
        <v>1.4208E-2</v>
      </c>
      <c r="M517" s="10">
        <f t="shared" si="101"/>
        <v>4.441002449988269</v>
      </c>
      <c r="N517" s="18">
        <f t="shared" si="102"/>
        <v>1.440957354126823E-2</v>
      </c>
      <c r="O517" s="14">
        <f t="shared" si="103"/>
        <v>23693.1751</v>
      </c>
      <c r="P517" s="14">
        <f t="shared" ca="1" si="97"/>
        <v>23696</v>
      </c>
      <c r="Q517" s="14" t="str">
        <f t="shared" ca="1" si="104"/>
        <v>0101110010010000</v>
      </c>
      <c r="R517" s="14">
        <f t="shared" ca="1" si="105"/>
        <v>4.4428644104003912</v>
      </c>
      <c r="S517" s="14">
        <f t="shared" ca="1" si="106"/>
        <v>73.314372924804701</v>
      </c>
      <c r="T517" s="19">
        <f t="shared" ca="1" si="108"/>
        <v>2.537584510216365E-2</v>
      </c>
      <c r="U517" s="14"/>
      <c r="V517" s="15">
        <f t="shared" ca="1" si="107"/>
        <v>1.814373</v>
      </c>
      <c r="W517" s="14"/>
      <c r="X517" s="2"/>
    </row>
    <row r="518" spans="8:24" x14ac:dyDescent="0.25">
      <c r="H518" s="14">
        <v>71.599999999999994</v>
      </c>
      <c r="I518" s="17">
        <v>4.3857892268427765</v>
      </c>
      <c r="J518" s="15">
        <f t="shared" si="98"/>
        <v>7.2000000000000002E-5</v>
      </c>
      <c r="K518" s="30">
        <f t="shared" si="99"/>
        <v>2.5799999999999998E-4</v>
      </c>
      <c r="L518" s="15">
        <f t="shared" si="100"/>
        <v>1.4238000000000001E-2</v>
      </c>
      <c r="M518" s="10">
        <f t="shared" si="101"/>
        <v>4.4491209856322076</v>
      </c>
      <c r="N518" s="18">
        <f t="shared" si="102"/>
        <v>1.4440219425460647E-2</v>
      </c>
      <c r="O518" s="14">
        <f t="shared" si="103"/>
        <v>23736.4882</v>
      </c>
      <c r="P518" s="14">
        <f t="shared" ca="1" si="97"/>
        <v>23737</v>
      </c>
      <c r="Q518" s="14" t="str">
        <f t="shared" ca="1" si="104"/>
        <v>0101110010111001</v>
      </c>
      <c r="R518" s="14">
        <f t="shared" ca="1" si="105"/>
        <v>4.4505516757965085</v>
      </c>
      <c r="S518" s="14">
        <f t="shared" ca="1" si="106"/>
        <v>73.406620109558105</v>
      </c>
      <c r="T518" s="19">
        <f t="shared" ca="1" si="108"/>
        <v>2.5232124435169145E-2</v>
      </c>
      <c r="U518" s="14"/>
      <c r="V518" s="15">
        <f t="shared" ca="1" si="107"/>
        <v>1.8066199999999999</v>
      </c>
      <c r="W518" s="14"/>
      <c r="X518" s="2"/>
    </row>
    <row r="519" spans="8:24" x14ac:dyDescent="0.25">
      <c r="H519" s="14">
        <v>71.7</v>
      </c>
      <c r="I519" s="17">
        <v>4.3932237916366752</v>
      </c>
      <c r="J519" s="15">
        <f t="shared" si="98"/>
        <v>7.2000000000000002E-5</v>
      </c>
      <c r="K519" s="30">
        <f t="shared" si="99"/>
        <v>2.5900000000000001E-4</v>
      </c>
      <c r="L519" s="15">
        <f t="shared" si="100"/>
        <v>1.4269E-2</v>
      </c>
      <c r="M519" s="10">
        <f t="shared" si="101"/>
        <v>4.4568030872871756</v>
      </c>
      <c r="N519" s="18">
        <f t="shared" si="102"/>
        <v>1.4472127682531324E-2</v>
      </c>
      <c r="O519" s="14">
        <f t="shared" si="103"/>
        <v>23777.473000000002</v>
      </c>
      <c r="P519" s="14">
        <f t="shared" ca="1" si="97"/>
        <v>23780</v>
      </c>
      <c r="Q519" s="14" t="str">
        <f t="shared" ca="1" si="104"/>
        <v>0101110011100100</v>
      </c>
      <c r="R519" s="14">
        <f t="shared" ca="1" si="105"/>
        <v>4.4586139297485357</v>
      </c>
      <c r="S519" s="14">
        <f t="shared" ca="1" si="106"/>
        <v>73.503367156982435</v>
      </c>
      <c r="T519" s="19">
        <f t="shared" ca="1" si="108"/>
        <v>2.5151564253590403E-2</v>
      </c>
      <c r="U519" s="14"/>
      <c r="V519" s="15">
        <f t="shared" ca="1" si="107"/>
        <v>1.8033669999999999</v>
      </c>
      <c r="W519" s="14"/>
      <c r="X519" s="2"/>
    </row>
    <row r="520" spans="8:24" x14ac:dyDescent="0.25">
      <c r="H520" s="14">
        <v>71.800000000000011</v>
      </c>
      <c r="I520" s="17">
        <v>4.4011168931974085</v>
      </c>
      <c r="J520" s="15">
        <f t="shared" si="98"/>
        <v>7.2999999999999999E-5</v>
      </c>
      <c r="K520" s="30">
        <f t="shared" si="99"/>
        <v>2.5900000000000001E-4</v>
      </c>
      <c r="L520" s="15">
        <f t="shared" si="100"/>
        <v>1.4298999999999999E-2</v>
      </c>
      <c r="M520" s="10">
        <f t="shared" si="101"/>
        <v>4.4649453169423667</v>
      </c>
      <c r="N520" s="18">
        <f t="shared" si="102"/>
        <v>1.4502778565962359E-2</v>
      </c>
      <c r="O520" s="14">
        <f t="shared" si="103"/>
        <v>23820.9126</v>
      </c>
      <c r="P520" s="14">
        <f t="shared" ca="1" si="97"/>
        <v>23820</v>
      </c>
      <c r="Q520" s="14" t="str">
        <f t="shared" ca="1" si="104"/>
        <v>0101110100001100</v>
      </c>
      <c r="R520" s="14">
        <f t="shared" ca="1" si="105"/>
        <v>4.4661137008666989</v>
      </c>
      <c r="S520" s="14">
        <f t="shared" ca="1" si="106"/>
        <v>73.593364410400397</v>
      </c>
      <c r="T520" s="19">
        <f t="shared" ca="1" si="108"/>
        <v>2.4977220200562478E-2</v>
      </c>
      <c r="U520" s="14"/>
      <c r="V520" s="15">
        <f t="shared" ca="1" si="107"/>
        <v>1.793364</v>
      </c>
      <c r="W520" s="14"/>
      <c r="X520" s="2"/>
    </row>
    <row r="521" spans="8:24" x14ac:dyDescent="0.25">
      <c r="H521" s="14">
        <v>71.900000000000006</v>
      </c>
      <c r="I521" s="17">
        <v>4.4090205515720555</v>
      </c>
      <c r="J521" s="15">
        <f t="shared" si="98"/>
        <v>7.2999999999999999E-5</v>
      </c>
      <c r="K521" s="30">
        <f t="shared" si="99"/>
        <v>2.5999999999999998E-4</v>
      </c>
      <c r="L521" s="15">
        <f t="shared" si="100"/>
        <v>1.4330000000000001E-2</v>
      </c>
      <c r="M521" s="10">
        <f t="shared" si="101"/>
        <v>4.4731043051244885</v>
      </c>
      <c r="N521" s="18">
        <f t="shared" si="102"/>
        <v>1.4534691504121854E-2</v>
      </c>
      <c r="O521" s="14">
        <f t="shared" si="103"/>
        <v>23864.441500000001</v>
      </c>
      <c r="P521" s="14">
        <f t="shared" ca="1" si="97"/>
        <v>23867</v>
      </c>
      <c r="Q521" s="14" t="str">
        <f t="shared" ca="1" si="104"/>
        <v>0101110100111011</v>
      </c>
      <c r="R521" s="14">
        <f t="shared" ca="1" si="105"/>
        <v>4.4749259319305423</v>
      </c>
      <c r="S521" s="14">
        <f t="shared" ca="1" si="106"/>
        <v>73.699111183166522</v>
      </c>
      <c r="T521" s="19">
        <f t="shared" ca="1" si="108"/>
        <v>2.5022408667128182E-2</v>
      </c>
      <c r="U521" s="14"/>
      <c r="V521" s="15">
        <f t="shared" ca="1" si="107"/>
        <v>1.7991109999999999</v>
      </c>
      <c r="W521" s="14"/>
      <c r="X521" s="2"/>
    </row>
    <row r="522" spans="8:24" x14ac:dyDescent="0.25">
      <c r="H522" s="14">
        <v>72</v>
      </c>
      <c r="I522" s="17">
        <v>4.417378777763532</v>
      </c>
      <c r="J522" s="15">
        <f t="shared" si="98"/>
        <v>7.3999999999999996E-5</v>
      </c>
      <c r="K522" s="30">
        <f t="shared" si="99"/>
        <v>2.5999999999999998E-4</v>
      </c>
      <c r="L522" s="15">
        <f t="shared" si="100"/>
        <v>1.436E-2</v>
      </c>
      <c r="M522" s="10">
        <f t="shared" si="101"/>
        <v>4.4817194359842665</v>
      </c>
      <c r="N522" s="18">
        <f t="shared" si="102"/>
        <v>1.4565347790553148E-2</v>
      </c>
      <c r="O522" s="14">
        <f t="shared" si="103"/>
        <v>23910.4041</v>
      </c>
      <c r="P522" s="14">
        <f t="shared" ca="1" si="97"/>
        <v>23913</v>
      </c>
      <c r="Q522" s="14" t="str">
        <f t="shared" ca="1" si="104"/>
        <v>0101110101101001</v>
      </c>
      <c r="R522" s="14">
        <f t="shared" ca="1" si="105"/>
        <v>4.4835506687164308</v>
      </c>
      <c r="S522" s="14">
        <f t="shared" ca="1" si="106"/>
        <v>73.802608024597177</v>
      </c>
      <c r="T522" s="19">
        <f t="shared" ca="1" si="108"/>
        <v>2.5036222563849679E-2</v>
      </c>
      <c r="U522" s="14"/>
      <c r="V522" s="15">
        <f t="shared" ca="1" si="107"/>
        <v>1.802608</v>
      </c>
      <c r="W522" s="14"/>
      <c r="X522" s="2"/>
    </row>
    <row r="523" spans="8:24" x14ac:dyDescent="0.25">
      <c r="H523" s="14">
        <v>72.099999999999994</v>
      </c>
      <c r="I523" s="17">
        <v>4.4248590963307617</v>
      </c>
      <c r="J523" s="15">
        <f t="shared" si="98"/>
        <v>7.4999999999999993E-5</v>
      </c>
      <c r="K523" s="30">
        <f t="shared" si="99"/>
        <v>2.61E-4</v>
      </c>
      <c r="L523" s="15">
        <f t="shared" si="100"/>
        <v>1.4390999999999999E-2</v>
      </c>
      <c r="M523" s="10">
        <f t="shared" si="101"/>
        <v>4.489448921075966</v>
      </c>
      <c r="N523" s="18">
        <f t="shared" si="102"/>
        <v>1.4597035371988311E-2</v>
      </c>
      <c r="O523" s="14">
        <f t="shared" si="103"/>
        <v>23951.641599999999</v>
      </c>
      <c r="P523" s="14">
        <f t="shared" ca="1" si="97"/>
        <v>23953</v>
      </c>
      <c r="Q523" s="14" t="str">
        <f t="shared" ca="1" si="104"/>
        <v>0101110110010001</v>
      </c>
      <c r="R523" s="14">
        <f t="shared" ca="1" si="105"/>
        <v>4.491050439834595</v>
      </c>
      <c r="S523" s="14">
        <f t="shared" ca="1" si="106"/>
        <v>73.892605278015154</v>
      </c>
      <c r="T523" s="19">
        <f t="shared" ca="1" si="108"/>
        <v>2.4862763911444652E-2</v>
      </c>
      <c r="U523" s="14"/>
      <c r="V523" s="15">
        <f t="shared" ca="1" si="107"/>
        <v>1.792605</v>
      </c>
      <c r="W523" s="14"/>
      <c r="X523" s="2"/>
    </row>
    <row r="524" spans="8:24" x14ac:dyDescent="0.25">
      <c r="H524" s="14">
        <v>72.2</v>
      </c>
      <c r="I524" s="17">
        <v>4.4327937628516647</v>
      </c>
      <c r="J524" s="15">
        <f t="shared" si="98"/>
        <v>7.4999999999999993E-5</v>
      </c>
      <c r="K524" s="30">
        <f t="shared" si="99"/>
        <v>2.61E-4</v>
      </c>
      <c r="L524" s="15">
        <f t="shared" si="100"/>
        <v>1.4421E-2</v>
      </c>
      <c r="M524" s="10">
        <f t="shared" si="101"/>
        <v>4.4976363400941626</v>
      </c>
      <c r="N524" s="18">
        <f t="shared" si="102"/>
        <v>1.4627925572784584E-2</v>
      </c>
      <c r="O524" s="14">
        <f t="shared" si="103"/>
        <v>23995.3223</v>
      </c>
      <c r="P524" s="14">
        <f t="shared" ca="1" si="97"/>
        <v>24000</v>
      </c>
      <c r="Q524" s="14" t="str">
        <f t="shared" ca="1" si="104"/>
        <v>0101110111000000</v>
      </c>
      <c r="R524" s="14">
        <f t="shared" ca="1" si="105"/>
        <v>4.4998626708984375</v>
      </c>
      <c r="S524" s="14">
        <f t="shared" ca="1" si="106"/>
        <v>73.998352050781264</v>
      </c>
      <c r="T524" s="19">
        <f t="shared" ca="1" si="108"/>
        <v>2.4907923141014698E-2</v>
      </c>
      <c r="U524" s="14"/>
      <c r="V524" s="15">
        <f t="shared" ca="1" si="107"/>
        <v>1.798352</v>
      </c>
      <c r="W524" s="14"/>
      <c r="X524" s="2"/>
    </row>
    <row r="525" spans="8:24" x14ac:dyDescent="0.25">
      <c r="H525" s="14">
        <v>72.300000000000011</v>
      </c>
      <c r="I525" s="17">
        <v>4.4402972218613002</v>
      </c>
      <c r="J525" s="15">
        <f t="shared" si="98"/>
        <v>7.6000000000000004E-5</v>
      </c>
      <c r="K525" s="30">
        <f t="shared" si="99"/>
        <v>2.6200000000000003E-4</v>
      </c>
      <c r="L525" s="15">
        <f t="shared" si="100"/>
        <v>1.4452E-2</v>
      </c>
      <c r="M525" s="10">
        <f t="shared" si="101"/>
        <v>4.5053902840301037</v>
      </c>
      <c r="N525" s="18">
        <f t="shared" si="102"/>
        <v>1.4659618245446541E-2</v>
      </c>
      <c r="O525" s="14">
        <f t="shared" si="103"/>
        <v>24036.690299999998</v>
      </c>
      <c r="P525" s="14">
        <f t="shared" ca="1" si="97"/>
        <v>24037</v>
      </c>
      <c r="Q525" s="14" t="str">
        <f t="shared" ca="1" si="104"/>
        <v>0101110111100101</v>
      </c>
      <c r="R525" s="14">
        <f t="shared" ca="1" si="105"/>
        <v>4.5067999591827395</v>
      </c>
      <c r="S525" s="14">
        <f t="shared" ca="1" si="106"/>
        <v>74.081599510192888</v>
      </c>
      <c r="T525" s="19">
        <f t="shared" ca="1" si="108"/>
        <v>2.4641763626457484E-2</v>
      </c>
      <c r="U525" s="14"/>
      <c r="V525" s="15">
        <f t="shared" ca="1" si="107"/>
        <v>1.7816000000000001</v>
      </c>
      <c r="W525" s="14"/>
      <c r="X525" s="2"/>
    </row>
    <row r="526" spans="8:24" x14ac:dyDescent="0.25">
      <c r="H526" s="14">
        <v>72.400000000000006</v>
      </c>
      <c r="I526" s="17">
        <v>4.4482529418777315</v>
      </c>
      <c r="J526" s="15">
        <f t="shared" si="98"/>
        <v>7.6000000000000004E-5</v>
      </c>
      <c r="K526" s="30">
        <f t="shared" si="99"/>
        <v>2.6200000000000003E-4</v>
      </c>
      <c r="L526" s="15">
        <f t="shared" si="100"/>
        <v>1.4482E-2</v>
      </c>
      <c r="M526" s="10">
        <f t="shared" si="101"/>
        <v>4.5136000579611242</v>
      </c>
      <c r="N526" s="18">
        <f t="shared" si="102"/>
        <v>1.4690512643331807E-2</v>
      </c>
      <c r="O526" s="14">
        <f t="shared" si="103"/>
        <v>24080.490300000001</v>
      </c>
      <c r="P526" s="14">
        <f t="shared" ca="1" si="97"/>
        <v>24081</v>
      </c>
      <c r="Q526" s="14" t="str">
        <f t="shared" ca="1" si="104"/>
        <v>0101111000010001</v>
      </c>
      <c r="R526" s="14">
        <f t="shared" ca="1" si="105"/>
        <v>4.5150497074127198</v>
      </c>
      <c r="S526" s="14">
        <f t="shared" ca="1" si="106"/>
        <v>74.180596488952645</v>
      </c>
      <c r="T526" s="19">
        <f t="shared" ca="1" si="108"/>
        <v>2.4593874156804408E-2</v>
      </c>
      <c r="U526" s="14"/>
      <c r="V526" s="15">
        <f t="shared" ca="1" si="107"/>
        <v>1.7805960000000001</v>
      </c>
      <c r="W526" s="14"/>
      <c r="X526" s="2"/>
    </row>
    <row r="527" spans="8:24" x14ac:dyDescent="0.25">
      <c r="H527" s="14">
        <v>72.5</v>
      </c>
      <c r="I527" s="17">
        <v>4.4557790931799062</v>
      </c>
      <c r="J527" s="15">
        <f t="shared" si="98"/>
        <v>7.7000000000000001E-5</v>
      </c>
      <c r="K527" s="30">
        <f t="shared" si="99"/>
        <v>2.63E-4</v>
      </c>
      <c r="L527" s="15">
        <f t="shared" si="100"/>
        <v>1.4513E-2</v>
      </c>
      <c r="M527" s="10">
        <f t="shared" si="101"/>
        <v>4.521378010492179</v>
      </c>
      <c r="N527" s="18">
        <f t="shared" si="102"/>
        <v>1.4722210401471588E-2</v>
      </c>
      <c r="O527" s="14">
        <f t="shared" si="103"/>
        <v>24121.986400000002</v>
      </c>
      <c r="P527" s="14">
        <f t="shared" ref="P527:P590" ca="1" si="109">ROUND(O527+$C$47+$C$49+RANDBETWEEN($B$45,$D$45) + 1,0)</f>
        <v>24126</v>
      </c>
      <c r="Q527" s="14" t="str">
        <f t="shared" ca="1" si="104"/>
        <v>0101111000111110</v>
      </c>
      <c r="R527" s="14">
        <f t="shared" ca="1" si="105"/>
        <v>4.5234869499206543</v>
      </c>
      <c r="S527" s="14">
        <f t="shared" ca="1" si="106"/>
        <v>74.281843399047858</v>
      </c>
      <c r="T527" s="19">
        <f t="shared" ca="1" si="108"/>
        <v>2.4577150331694594E-2</v>
      </c>
      <c r="U527" s="14"/>
      <c r="V527" s="15">
        <f t="shared" ca="1" si="107"/>
        <v>1.7818430000000001</v>
      </c>
      <c r="W527" s="14"/>
      <c r="X527" s="2"/>
    </row>
    <row r="528" spans="8:24" x14ac:dyDescent="0.25">
      <c r="H528" s="14">
        <v>72.599999999999994</v>
      </c>
      <c r="I528" s="17">
        <v>4.4637554252142779</v>
      </c>
      <c r="J528" s="15">
        <f t="shared" si="98"/>
        <v>7.7000000000000001E-5</v>
      </c>
      <c r="K528" s="30">
        <f t="shared" si="99"/>
        <v>2.63E-4</v>
      </c>
      <c r="L528" s="15">
        <f t="shared" si="100"/>
        <v>1.4543E-2</v>
      </c>
      <c r="M528" s="10">
        <f t="shared" si="101"/>
        <v>4.5296096955222582</v>
      </c>
      <c r="N528" s="18">
        <f t="shared" si="102"/>
        <v>1.475310899338062E-2</v>
      </c>
      <c r="O528" s="14">
        <f t="shared" si="103"/>
        <v>24165.903200000001</v>
      </c>
      <c r="P528" s="14">
        <f t="shared" ca="1" si="109"/>
        <v>24168</v>
      </c>
      <c r="Q528" s="14" t="str">
        <f t="shared" ca="1" si="104"/>
        <v>0101111001101000</v>
      </c>
      <c r="R528" s="14">
        <f t="shared" ca="1" si="105"/>
        <v>4.5313617095947265</v>
      </c>
      <c r="S528" s="14">
        <f t="shared" ca="1" si="106"/>
        <v>74.376340515136732</v>
      </c>
      <c r="T528" s="19">
        <f t="shared" ca="1" si="108"/>
        <v>2.4467500208495016E-2</v>
      </c>
      <c r="U528" s="14"/>
      <c r="V528" s="15">
        <f t="shared" ca="1" si="107"/>
        <v>1.7763409999999999</v>
      </c>
      <c r="W528" s="14"/>
      <c r="X528" s="2"/>
    </row>
    <row r="529" spans="8:24" x14ac:dyDescent="0.25">
      <c r="H529" s="14">
        <v>72.7</v>
      </c>
      <c r="I529" s="17">
        <v>4.4713038231887667</v>
      </c>
      <c r="J529" s="15">
        <f t="shared" si="98"/>
        <v>7.7999999999999999E-5</v>
      </c>
      <c r="K529" s="30">
        <f t="shared" si="99"/>
        <v>2.6400000000000002E-4</v>
      </c>
      <c r="L529" s="15">
        <f t="shared" si="100"/>
        <v>1.4574E-2</v>
      </c>
      <c r="M529" s="10">
        <f t="shared" si="101"/>
        <v>4.5374112088546132</v>
      </c>
      <c r="N529" s="18">
        <f t="shared" si="102"/>
        <v>1.4784811831172142E-2</v>
      </c>
      <c r="O529" s="14">
        <f t="shared" si="103"/>
        <v>24207.525099999999</v>
      </c>
      <c r="P529" s="14">
        <f t="shared" ca="1" si="109"/>
        <v>24210</v>
      </c>
      <c r="Q529" s="14" t="str">
        <f t="shared" ca="1" si="104"/>
        <v>0101111010010010</v>
      </c>
      <c r="R529" s="14">
        <f t="shared" ca="1" si="105"/>
        <v>4.5392364692687988</v>
      </c>
      <c r="S529" s="14">
        <f t="shared" ca="1" si="106"/>
        <v>74.470837631225592</v>
      </c>
      <c r="T529" s="19">
        <f t="shared" ca="1" si="108"/>
        <v>2.4358151736252949E-2</v>
      </c>
      <c r="U529" s="14"/>
      <c r="V529" s="15">
        <f t="shared" ca="1" si="107"/>
        <v>1.7708379999999999</v>
      </c>
      <c r="W529" s="14"/>
      <c r="X529" s="2"/>
    </row>
    <row r="530" spans="8:24" x14ac:dyDescent="0.25">
      <c r="H530" s="14">
        <v>72.800000000000011</v>
      </c>
      <c r="I530" s="17">
        <v>4.4788636407681919</v>
      </c>
      <c r="J530" s="15">
        <f t="shared" si="98"/>
        <v>7.8999999999999996E-5</v>
      </c>
      <c r="K530" s="30">
        <f t="shared" si="99"/>
        <v>2.6400000000000002E-4</v>
      </c>
      <c r="L530" s="15">
        <f t="shared" si="100"/>
        <v>1.4604000000000001E-2</v>
      </c>
      <c r="M530" s="10">
        <f t="shared" si="101"/>
        <v>4.5452201893819248</v>
      </c>
      <c r="N530" s="18">
        <f t="shared" si="102"/>
        <v>1.4815487573618525E-2</v>
      </c>
      <c r="O530" s="14">
        <f t="shared" si="103"/>
        <v>24249.186699999998</v>
      </c>
      <c r="P530" s="14">
        <f t="shared" ca="1" si="109"/>
        <v>24248</v>
      </c>
      <c r="Q530" s="14" t="str">
        <f t="shared" ca="1" si="104"/>
        <v>0101111010111000</v>
      </c>
      <c r="R530" s="14">
        <f t="shared" ca="1" si="105"/>
        <v>4.5463612518310548</v>
      </c>
      <c r="S530" s="14">
        <f t="shared" ca="1" si="106"/>
        <v>74.556335021972671</v>
      </c>
      <c r="T530" s="19">
        <f t="shared" ca="1" si="108"/>
        <v>2.4125481071053018E-2</v>
      </c>
      <c r="U530" s="14"/>
      <c r="V530" s="15">
        <f t="shared" ca="1" si="107"/>
        <v>1.756335</v>
      </c>
      <c r="W530" s="14"/>
      <c r="X530" s="2"/>
    </row>
    <row r="531" spans="8:24" x14ac:dyDescent="0.25">
      <c r="H531" s="14">
        <v>72.900000000000006</v>
      </c>
      <c r="I531" s="17">
        <v>4.4868705295237499</v>
      </c>
      <c r="J531" s="15">
        <f t="shared" si="98"/>
        <v>7.8999999999999996E-5</v>
      </c>
      <c r="K531" s="30">
        <f t="shared" si="99"/>
        <v>2.6499999999999999E-4</v>
      </c>
      <c r="L531" s="15">
        <f t="shared" si="100"/>
        <v>1.4635E-2</v>
      </c>
      <c r="M531" s="10">
        <f t="shared" si="101"/>
        <v>4.5534889920930306</v>
      </c>
      <c r="N531" s="18">
        <f t="shared" si="102"/>
        <v>1.4847422525550744E-2</v>
      </c>
      <c r="O531" s="14">
        <f t="shared" si="103"/>
        <v>24293.301599999999</v>
      </c>
      <c r="P531" s="14">
        <f t="shared" ca="1" si="109"/>
        <v>24292</v>
      </c>
      <c r="Q531" s="14" t="str">
        <f t="shared" ca="1" si="104"/>
        <v>0101111011100100</v>
      </c>
      <c r="R531" s="14">
        <f t="shared" ca="1" si="105"/>
        <v>4.5546110000610351</v>
      </c>
      <c r="S531" s="14">
        <f t="shared" ca="1" si="106"/>
        <v>74.655332000732429</v>
      </c>
      <c r="T531" s="19">
        <f t="shared" ca="1" si="108"/>
        <v>2.4078628267934471E-2</v>
      </c>
      <c r="U531" s="14"/>
      <c r="V531" s="15">
        <f t="shared" ca="1" si="107"/>
        <v>1.7553319999999999</v>
      </c>
      <c r="W531" s="14"/>
      <c r="X531" s="2"/>
    </row>
    <row r="532" spans="8:24" x14ac:dyDescent="0.25">
      <c r="H532" s="14">
        <v>73</v>
      </c>
      <c r="I532" s="17">
        <v>4.4948867709269136</v>
      </c>
      <c r="J532" s="15">
        <f t="shared" si="98"/>
        <v>8.0000000000000007E-5</v>
      </c>
      <c r="K532" s="30">
        <f t="shared" si="99"/>
        <v>2.6499999999999999E-4</v>
      </c>
      <c r="L532" s="15">
        <f t="shared" si="100"/>
        <v>1.4664999999999999E-2</v>
      </c>
      <c r="M532" s="10">
        <f t="shared" si="101"/>
        <v>4.5617621624695301</v>
      </c>
      <c r="N532" s="18">
        <f t="shared" si="102"/>
        <v>1.4878103710013111E-2</v>
      </c>
      <c r="O532" s="14">
        <f t="shared" si="103"/>
        <v>24337.439699999999</v>
      </c>
      <c r="P532" s="14">
        <f t="shared" ca="1" si="109"/>
        <v>24336</v>
      </c>
      <c r="Q532" s="14" t="str">
        <f t="shared" ca="1" si="104"/>
        <v>0101111100010000</v>
      </c>
      <c r="R532" s="14">
        <f t="shared" ca="1" si="105"/>
        <v>4.5628607482910155</v>
      </c>
      <c r="S532" s="14">
        <f t="shared" ca="1" si="106"/>
        <v>74.7543289794922</v>
      </c>
      <c r="T532" s="19">
        <f t="shared" ca="1" si="108"/>
        <v>2.403190382866028E-2</v>
      </c>
      <c r="U532" s="14"/>
      <c r="V532" s="15">
        <f t="shared" ca="1" si="107"/>
        <v>1.754329</v>
      </c>
      <c r="W532" s="14"/>
      <c r="X532" s="2"/>
    </row>
    <row r="533" spans="8:24" x14ac:dyDescent="0.25">
      <c r="H533" s="14">
        <v>73.099999999999994</v>
      </c>
      <c r="I533" s="17">
        <v>4.5024783346726478</v>
      </c>
      <c r="J533" s="15">
        <f t="shared" si="98"/>
        <v>8.0000000000000007E-5</v>
      </c>
      <c r="K533" s="30">
        <f t="shared" si="99"/>
        <v>2.6600000000000001E-4</v>
      </c>
      <c r="L533" s="15">
        <f t="shared" si="100"/>
        <v>1.4696000000000001E-2</v>
      </c>
      <c r="M533" s="10">
        <f t="shared" si="101"/>
        <v>4.5696104778876858</v>
      </c>
      <c r="N533" s="18">
        <f t="shared" si="102"/>
        <v>1.4910042475511179E-2</v>
      </c>
      <c r="O533" s="14">
        <f t="shared" si="103"/>
        <v>24379.311300000001</v>
      </c>
      <c r="P533" s="14">
        <f t="shared" ca="1" si="109"/>
        <v>24379</v>
      </c>
      <c r="Q533" s="14" t="str">
        <f t="shared" ca="1" si="104"/>
        <v>0101111100111011</v>
      </c>
      <c r="R533" s="14">
        <f t="shared" ca="1" si="105"/>
        <v>4.5709230022430418</v>
      </c>
      <c r="S533" s="14">
        <f t="shared" ca="1" si="106"/>
        <v>74.851076026916516</v>
      </c>
      <c r="T533" s="19">
        <f t="shared" ca="1" si="108"/>
        <v>2.3954528411990722E-2</v>
      </c>
      <c r="U533" s="14"/>
      <c r="V533" s="15">
        <f t="shared" ca="1" si="107"/>
        <v>1.7510760000000001</v>
      </c>
      <c r="W533" s="14"/>
      <c r="X533" s="2"/>
    </row>
    <row r="534" spans="8:24" x14ac:dyDescent="0.25">
      <c r="H534" s="14">
        <v>73.2</v>
      </c>
      <c r="I534" s="17">
        <v>4.5100808746053458</v>
      </c>
      <c r="J534" s="15">
        <f t="shared" si="98"/>
        <v>8.1000000000000004E-5</v>
      </c>
      <c r="K534" s="30">
        <f t="shared" si="99"/>
        <v>2.6600000000000001E-4</v>
      </c>
      <c r="L534" s="15">
        <f t="shared" si="100"/>
        <v>1.4726E-2</v>
      </c>
      <c r="M534" s="10">
        <f t="shared" si="101"/>
        <v>4.5774647666510493</v>
      </c>
      <c r="N534" s="18">
        <f t="shared" si="102"/>
        <v>1.4940728097608652E-2</v>
      </c>
      <c r="O534" s="14">
        <f t="shared" si="103"/>
        <v>24421.214599999999</v>
      </c>
      <c r="P534" s="14">
        <f t="shared" ca="1" si="109"/>
        <v>24425</v>
      </c>
      <c r="Q534" s="14" t="str">
        <f t="shared" ca="1" si="104"/>
        <v>0101111101101001</v>
      </c>
      <c r="R534" s="14">
        <f t="shared" ca="1" si="105"/>
        <v>4.5795477390289312</v>
      </c>
      <c r="S534" s="14">
        <f t="shared" ca="1" si="106"/>
        <v>74.954572868347185</v>
      </c>
      <c r="T534" s="19">
        <f t="shared" ca="1" si="108"/>
        <v>2.3969574704196476E-2</v>
      </c>
      <c r="U534" s="14"/>
      <c r="V534" s="15">
        <f t="shared" ca="1" si="107"/>
        <v>1.7545729999999999</v>
      </c>
      <c r="W534" s="14"/>
      <c r="X534" s="2"/>
    </row>
    <row r="535" spans="8:24" x14ac:dyDescent="0.25">
      <c r="H535" s="14">
        <v>73.300000000000011</v>
      </c>
      <c r="I535" s="17">
        <v>4.518126365922396</v>
      </c>
      <c r="J535" s="15">
        <f t="shared" si="98"/>
        <v>8.1000000000000004E-5</v>
      </c>
      <c r="K535" s="30">
        <f t="shared" si="99"/>
        <v>2.6699999999999998E-4</v>
      </c>
      <c r="L535" s="15">
        <f t="shared" si="100"/>
        <v>1.4756999999999999E-2</v>
      </c>
      <c r="M535" s="10">
        <f t="shared" si="101"/>
        <v>4.585774788571344</v>
      </c>
      <c r="N535" s="18">
        <f t="shared" si="102"/>
        <v>1.4972671671863976E-2</v>
      </c>
      <c r="O535" s="14">
        <f t="shared" si="103"/>
        <v>24465.5494</v>
      </c>
      <c r="P535" s="14">
        <f t="shared" ca="1" si="109"/>
        <v>24468</v>
      </c>
      <c r="Q535" s="14" t="str">
        <f t="shared" ca="1" si="104"/>
        <v>0101111110010100</v>
      </c>
      <c r="R535" s="14">
        <f t="shared" ca="1" si="105"/>
        <v>4.5876099929809575</v>
      </c>
      <c r="S535" s="14">
        <f t="shared" ca="1" si="106"/>
        <v>75.051319915771501</v>
      </c>
      <c r="T535" s="19">
        <f t="shared" ca="1" si="108"/>
        <v>2.3892495440265882E-2</v>
      </c>
      <c r="U535" s="14"/>
      <c r="V535" s="15">
        <f t="shared" ca="1" si="107"/>
        <v>1.75132</v>
      </c>
      <c r="W535" s="14"/>
      <c r="X535" s="2"/>
    </row>
    <row r="536" spans="8:24" x14ac:dyDescent="0.25">
      <c r="H536" s="14">
        <v>73.400000000000006</v>
      </c>
      <c r="I536" s="17">
        <v>4.5257496099846071</v>
      </c>
      <c r="J536" s="15">
        <f t="shared" si="98"/>
        <v>8.2000000000000001E-5</v>
      </c>
      <c r="K536" s="30">
        <f t="shared" si="99"/>
        <v>2.6699999999999998E-4</v>
      </c>
      <c r="L536" s="15">
        <f t="shared" si="100"/>
        <v>1.4787E-2</v>
      </c>
      <c r="M536" s="10">
        <f t="shared" si="101"/>
        <v>4.5936510707213642</v>
      </c>
      <c r="N536" s="18">
        <f t="shared" si="102"/>
        <v>1.500336222466981E-2</v>
      </c>
      <c r="O536" s="14">
        <f t="shared" si="103"/>
        <v>24507.570100000001</v>
      </c>
      <c r="P536" s="14">
        <f t="shared" ca="1" si="109"/>
        <v>24511</v>
      </c>
      <c r="Q536" s="14" t="str">
        <f t="shared" ca="1" si="104"/>
        <v>0101111110111111</v>
      </c>
      <c r="R536" s="14">
        <f t="shared" ca="1" si="105"/>
        <v>4.5956722469329838</v>
      </c>
      <c r="S536" s="14">
        <f t="shared" ca="1" si="106"/>
        <v>75.148066963195816</v>
      </c>
      <c r="T536" s="19">
        <f t="shared" ca="1" si="108"/>
        <v>2.3815626201577803E-2</v>
      </c>
      <c r="U536" s="14"/>
      <c r="V536" s="15">
        <f t="shared" ca="1" si="107"/>
        <v>1.748067</v>
      </c>
      <c r="W536" s="14"/>
      <c r="X536" s="2"/>
    </row>
    <row r="537" spans="8:24" x14ac:dyDescent="0.25">
      <c r="H537" s="14">
        <v>73.5</v>
      </c>
      <c r="I537" s="17">
        <v>4.5333835006500003</v>
      </c>
      <c r="J537" s="15">
        <f t="shared" si="98"/>
        <v>8.2999999999999998E-5</v>
      </c>
      <c r="K537" s="30">
        <f t="shared" si="99"/>
        <v>2.6800000000000001E-4</v>
      </c>
      <c r="L537" s="15">
        <f t="shared" si="100"/>
        <v>1.4818E-2</v>
      </c>
      <c r="M537" s="10">
        <f t="shared" si="101"/>
        <v>4.6015433099731826</v>
      </c>
      <c r="N537" s="18">
        <f t="shared" si="102"/>
        <v>1.5035085673517258E-2</v>
      </c>
      <c r="O537" s="14">
        <f t="shared" si="103"/>
        <v>24549.675999999999</v>
      </c>
      <c r="P537" s="14">
        <f t="shared" ca="1" si="109"/>
        <v>24552</v>
      </c>
      <c r="Q537" s="14" t="str">
        <f t="shared" ca="1" si="104"/>
        <v>0101111111101000</v>
      </c>
      <c r="R537" s="14">
        <f t="shared" ca="1" si="105"/>
        <v>4.603359512329102</v>
      </c>
      <c r="S537" s="14">
        <f t="shared" ca="1" si="106"/>
        <v>75.240314147949235</v>
      </c>
      <c r="T537" s="19">
        <f t="shared" ca="1" si="108"/>
        <v>2.3677743509513398E-2</v>
      </c>
      <c r="U537" s="14"/>
      <c r="V537" s="15">
        <f t="shared" ca="1" si="107"/>
        <v>1.7403139999999999</v>
      </c>
      <c r="W537" s="14"/>
      <c r="X537" s="2"/>
    </row>
    <row r="538" spans="8:24" x14ac:dyDescent="0.25">
      <c r="H538" s="14">
        <v>73.599999999999994</v>
      </c>
      <c r="I538" s="17">
        <v>4.5410279276778551</v>
      </c>
      <c r="J538" s="15">
        <f t="shared" si="98"/>
        <v>8.2999999999999998E-5</v>
      </c>
      <c r="K538" s="30">
        <f t="shared" si="99"/>
        <v>2.6800000000000001E-4</v>
      </c>
      <c r="L538" s="15">
        <f t="shared" si="100"/>
        <v>1.4848E-2</v>
      </c>
      <c r="M538" s="10">
        <f t="shared" si="101"/>
        <v>4.6094430773056896</v>
      </c>
      <c r="N538" s="18">
        <f t="shared" si="102"/>
        <v>1.5066005036181291E-2</v>
      </c>
      <c r="O538" s="14">
        <f t="shared" si="103"/>
        <v>24591.822</v>
      </c>
      <c r="P538" s="14">
        <f t="shared" ca="1" si="109"/>
        <v>24591</v>
      </c>
      <c r="Q538" s="14" t="str">
        <f t="shared" ca="1" si="104"/>
        <v>0110000000001111</v>
      </c>
      <c r="R538" s="14">
        <f t="shared" ca="1" si="105"/>
        <v>4.6106717891693112</v>
      </c>
      <c r="S538" s="14">
        <f t="shared" ca="1" si="106"/>
        <v>75.328061470031741</v>
      </c>
      <c r="T538" s="19">
        <f t="shared" ca="1" si="108"/>
        <v>2.3479096060213957E-2</v>
      </c>
      <c r="U538" s="14"/>
      <c r="V538" s="15">
        <f t="shared" ca="1" si="107"/>
        <v>1.7280610000000001</v>
      </c>
      <c r="W538" s="14"/>
      <c r="X538" s="2"/>
    </row>
    <row r="539" spans="8:24" x14ac:dyDescent="0.25">
      <c r="H539" s="14">
        <v>73.7</v>
      </c>
      <c r="I539" s="17">
        <v>4.5482543544104681</v>
      </c>
      <c r="J539" s="15">
        <f t="shared" si="98"/>
        <v>8.3999999999999995E-5</v>
      </c>
      <c r="K539" s="30">
        <f t="shared" si="99"/>
        <v>2.6899999999999998E-4</v>
      </c>
      <c r="L539" s="15">
        <f t="shared" si="100"/>
        <v>1.4879E-2</v>
      </c>
      <c r="M539" s="10">
        <f t="shared" si="101"/>
        <v>4.616922684044364</v>
      </c>
      <c r="N539" s="18">
        <f t="shared" si="102"/>
        <v>1.5097732950512725E-2</v>
      </c>
      <c r="O539" s="14">
        <f t="shared" si="103"/>
        <v>24631.7264</v>
      </c>
      <c r="P539" s="14">
        <f t="shared" ca="1" si="109"/>
        <v>24632</v>
      </c>
      <c r="Q539" s="14" t="str">
        <f t="shared" ca="1" si="104"/>
        <v>0110000000111000</v>
      </c>
      <c r="R539" s="14">
        <f t="shared" ca="1" si="105"/>
        <v>4.6183590545654294</v>
      </c>
      <c r="S539" s="14">
        <f t="shared" ca="1" si="106"/>
        <v>75.42030865478516</v>
      </c>
      <c r="T539" s="19">
        <f t="shared" ca="1" si="108"/>
        <v>2.3342044162620854E-2</v>
      </c>
      <c r="U539" s="14"/>
      <c r="V539" s="15">
        <f t="shared" ca="1" si="107"/>
        <v>1.7203090000000001</v>
      </c>
      <c r="W539" s="14"/>
      <c r="X539" s="2"/>
    </row>
    <row r="540" spans="8:24" x14ac:dyDescent="0.25">
      <c r="H540" s="14">
        <v>73.800000000000011</v>
      </c>
      <c r="I540" s="17">
        <v>4.5563479539842797</v>
      </c>
      <c r="J540" s="15">
        <f t="shared" si="98"/>
        <v>8.3999999999999995E-5</v>
      </c>
      <c r="K540" s="30">
        <f t="shared" si="99"/>
        <v>2.6899999999999998E-4</v>
      </c>
      <c r="L540" s="15">
        <f t="shared" si="100"/>
        <v>1.4909E-2</v>
      </c>
      <c r="M540" s="10">
        <f t="shared" si="101"/>
        <v>4.625279379531718</v>
      </c>
      <c r="N540" s="18">
        <f t="shared" si="102"/>
        <v>1.5128657039276698E-2</v>
      </c>
      <c r="O540" s="14">
        <f t="shared" si="103"/>
        <v>24676.3102</v>
      </c>
      <c r="P540" s="14">
        <f t="shared" ca="1" si="109"/>
        <v>24676</v>
      </c>
      <c r="Q540" s="14" t="str">
        <f t="shared" ca="1" si="104"/>
        <v>0110000001100100</v>
      </c>
      <c r="R540" s="14">
        <f t="shared" ca="1" si="105"/>
        <v>4.6266088027954106</v>
      </c>
      <c r="S540" s="14">
        <f t="shared" ca="1" si="106"/>
        <v>75.519305633544931</v>
      </c>
      <c r="T540" s="19">
        <f t="shared" ca="1" si="108"/>
        <v>2.329682430277669E-2</v>
      </c>
      <c r="U540" s="14"/>
      <c r="V540" s="15">
        <f t="shared" ca="1" si="107"/>
        <v>1.719306</v>
      </c>
      <c r="W540" s="14"/>
      <c r="X540" s="2"/>
    </row>
    <row r="541" spans="8:24" x14ac:dyDescent="0.25">
      <c r="H541" s="14">
        <v>73.900000000000006</v>
      </c>
      <c r="I541" s="17">
        <v>4.5640233351164223</v>
      </c>
      <c r="J541" s="15">
        <f t="shared" si="98"/>
        <v>8.5000000000000006E-5</v>
      </c>
      <c r="K541" s="30">
        <f t="shared" si="99"/>
        <v>2.7E-4</v>
      </c>
      <c r="L541" s="15">
        <f t="shared" si="100"/>
        <v>1.494E-2</v>
      </c>
      <c r="M541" s="10">
        <f t="shared" si="101"/>
        <v>4.6332157113235963</v>
      </c>
      <c r="N541" s="18">
        <f t="shared" si="102"/>
        <v>1.5160390542878106E-2</v>
      </c>
      <c r="O541" s="14">
        <f t="shared" si="103"/>
        <v>24718.651300000001</v>
      </c>
      <c r="P541" s="14">
        <f t="shared" ca="1" si="109"/>
        <v>24719</v>
      </c>
      <c r="Q541" s="14" t="str">
        <f t="shared" ca="1" si="104"/>
        <v>0110000010001111</v>
      </c>
      <c r="R541" s="14">
        <f t="shared" ca="1" si="105"/>
        <v>4.634671056747437</v>
      </c>
      <c r="S541" s="14">
        <f t="shared" ca="1" si="106"/>
        <v>75.616052680969247</v>
      </c>
      <c r="T541" s="19">
        <f t="shared" ca="1" si="108"/>
        <v>2.3221281203913955E-2</v>
      </c>
      <c r="U541" s="14"/>
      <c r="V541" s="15">
        <f t="shared" ca="1" si="107"/>
        <v>1.7160530000000001</v>
      </c>
      <c r="W541" s="14"/>
      <c r="X541" s="2"/>
    </row>
    <row r="542" spans="8:24" x14ac:dyDescent="0.25">
      <c r="H542" s="14">
        <v>74</v>
      </c>
      <c r="I542" s="17">
        <v>4.5708574205386405</v>
      </c>
      <c r="J542" s="15">
        <f t="shared" si="98"/>
        <v>8.6000000000000003E-5</v>
      </c>
      <c r="K542" s="30">
        <f t="shared" si="99"/>
        <v>2.7E-4</v>
      </c>
      <c r="L542" s="15">
        <f t="shared" si="100"/>
        <v>1.4970000000000001E-2</v>
      </c>
      <c r="M542" s="10">
        <f t="shared" si="101"/>
        <v>4.6402937497118275</v>
      </c>
      <c r="N542" s="18">
        <f t="shared" si="102"/>
        <v>1.5191094970755934E-2</v>
      </c>
      <c r="O542" s="14">
        <f t="shared" si="103"/>
        <v>24756.4133</v>
      </c>
      <c r="P542" s="14">
        <f t="shared" ca="1" si="109"/>
        <v>24756</v>
      </c>
      <c r="Q542" s="14" t="str">
        <f t="shared" ca="1" si="104"/>
        <v>0110000010110100</v>
      </c>
      <c r="R542" s="14">
        <f t="shared" ca="1" si="105"/>
        <v>4.641608345031738</v>
      </c>
      <c r="S542" s="14">
        <f t="shared" ca="1" si="106"/>
        <v>75.699300140380871</v>
      </c>
      <c r="T542" s="19">
        <f t="shared" ca="1" si="108"/>
        <v>2.2963515410552304E-2</v>
      </c>
      <c r="U542" s="14"/>
      <c r="V542" s="15">
        <f t="shared" ca="1" si="107"/>
        <v>1.6993</v>
      </c>
      <c r="W542" s="14"/>
      <c r="X542" s="2"/>
    </row>
    <row r="543" spans="8:24" x14ac:dyDescent="0.25">
      <c r="H543" s="14">
        <v>74.099999999999994</v>
      </c>
      <c r="I543" s="17">
        <v>4.5785547074970081</v>
      </c>
      <c r="J543" s="15">
        <f t="shared" si="98"/>
        <v>8.6000000000000003E-5</v>
      </c>
      <c r="K543" s="30">
        <f t="shared" si="99"/>
        <v>2.7099999999999997E-4</v>
      </c>
      <c r="L543" s="15">
        <f t="shared" si="100"/>
        <v>1.5001E-2</v>
      </c>
      <c r="M543" s="10">
        <f t="shared" si="101"/>
        <v>4.6482543001962524</v>
      </c>
      <c r="N543" s="18">
        <f t="shared" si="102"/>
        <v>1.5223055560549913E-2</v>
      </c>
      <c r="O543" s="14">
        <f t="shared" si="103"/>
        <v>24798.883600000001</v>
      </c>
      <c r="P543" s="14">
        <f t="shared" ca="1" si="109"/>
        <v>24802</v>
      </c>
      <c r="Q543" s="14" t="str">
        <f t="shared" ca="1" si="104"/>
        <v>0110000011100010</v>
      </c>
      <c r="R543" s="14">
        <f t="shared" ca="1" si="105"/>
        <v>4.6502330818176274</v>
      </c>
      <c r="S543" s="14">
        <f t="shared" ca="1" si="106"/>
        <v>75.802796981811539</v>
      </c>
      <c r="T543" s="19">
        <f t="shared" ca="1" si="108"/>
        <v>2.2979716353732055E-2</v>
      </c>
      <c r="U543" s="14"/>
      <c r="V543" s="15">
        <f t="shared" ca="1" si="107"/>
        <v>1.7027969999999999</v>
      </c>
      <c r="W543" s="14"/>
      <c r="X543" s="2"/>
    </row>
    <row r="544" spans="8:24" x14ac:dyDescent="0.25">
      <c r="H544" s="14">
        <v>74.2</v>
      </c>
      <c r="I544" s="17">
        <v>4.5866857613701626</v>
      </c>
      <c r="J544" s="15">
        <f t="shared" si="98"/>
        <v>8.7000000000000001E-5</v>
      </c>
      <c r="K544" s="30">
        <f t="shared" si="99"/>
        <v>2.7099999999999997E-4</v>
      </c>
      <c r="L544" s="15">
        <f t="shared" si="100"/>
        <v>1.5030999999999999E-2</v>
      </c>
      <c r="M544" s="10">
        <f t="shared" si="101"/>
        <v>4.6566499956568812</v>
      </c>
      <c r="N544" s="18">
        <f t="shared" si="102"/>
        <v>1.5253766646926008E-2</v>
      </c>
      <c r="O544" s="14">
        <f t="shared" si="103"/>
        <v>24843.675500000001</v>
      </c>
      <c r="P544" s="14">
        <f t="shared" ca="1" si="109"/>
        <v>24842</v>
      </c>
      <c r="Q544" s="14" t="str">
        <f t="shared" ca="1" si="104"/>
        <v>0110000100001010</v>
      </c>
      <c r="R544" s="14">
        <f t="shared" ca="1" si="105"/>
        <v>4.6577328529357915</v>
      </c>
      <c r="S544" s="14">
        <f t="shared" ca="1" si="106"/>
        <v>75.892794235229502</v>
      </c>
      <c r="T544" s="19">
        <f t="shared" ca="1" si="108"/>
        <v>2.2813938480181928E-2</v>
      </c>
      <c r="U544" s="14"/>
      <c r="V544" s="15">
        <f t="shared" ca="1" si="107"/>
        <v>1.6927939999999999</v>
      </c>
      <c r="W544" s="14"/>
      <c r="X544" s="2"/>
    </row>
    <row r="545" spans="8:24" x14ac:dyDescent="0.25">
      <c r="H545" s="14">
        <v>74.300000000000011</v>
      </c>
      <c r="I545" s="17">
        <v>4.5939788179735421</v>
      </c>
      <c r="J545" s="15">
        <f t="shared" si="98"/>
        <v>8.7000000000000001E-5</v>
      </c>
      <c r="K545" s="30">
        <f t="shared" si="99"/>
        <v>2.72E-4</v>
      </c>
      <c r="L545" s="15">
        <f t="shared" si="100"/>
        <v>1.5062000000000001E-2</v>
      </c>
      <c r="M545" s="10">
        <f t="shared" si="101"/>
        <v>4.6642011419780154</v>
      </c>
      <c r="N545" s="18">
        <f t="shared" si="102"/>
        <v>1.5285730907102691E-2</v>
      </c>
      <c r="O545" s="14">
        <f t="shared" si="103"/>
        <v>24883.961500000001</v>
      </c>
      <c r="P545" s="14">
        <f t="shared" ca="1" si="109"/>
        <v>24888</v>
      </c>
      <c r="Q545" s="14" t="str">
        <f t="shared" ca="1" si="104"/>
        <v>0110000100111000</v>
      </c>
      <c r="R545" s="14">
        <f t="shared" ca="1" si="105"/>
        <v>4.66635758972168</v>
      </c>
      <c r="S545" s="14">
        <f t="shared" ca="1" si="106"/>
        <v>75.996291076660171</v>
      </c>
      <c r="T545" s="19">
        <f t="shared" ca="1" si="108"/>
        <v>2.2830297128669706E-2</v>
      </c>
      <c r="U545" s="14"/>
      <c r="V545" s="15">
        <f t="shared" ca="1" si="107"/>
        <v>1.696291</v>
      </c>
      <c r="W545" s="14"/>
      <c r="X545" s="2"/>
    </row>
    <row r="546" spans="8:24" x14ac:dyDescent="0.25">
      <c r="H546" s="14">
        <v>74.400000000000006</v>
      </c>
      <c r="I546" s="17">
        <v>4.6017054263967943</v>
      </c>
      <c r="J546" s="15">
        <f t="shared" si="98"/>
        <v>8.7999999999999998E-5</v>
      </c>
      <c r="K546" s="30">
        <f t="shared" si="99"/>
        <v>2.72E-4</v>
      </c>
      <c r="L546" s="15">
        <f t="shared" si="100"/>
        <v>1.5092E-2</v>
      </c>
      <c r="M546" s="10">
        <f t="shared" si="101"/>
        <v>4.6721872002875342</v>
      </c>
      <c r="N546" s="18">
        <f t="shared" si="102"/>
        <v>1.5316446264994467E-2</v>
      </c>
      <c r="O546" s="14">
        <f t="shared" si="103"/>
        <v>24926.567899999998</v>
      </c>
      <c r="P546" s="14">
        <f t="shared" ca="1" si="109"/>
        <v>24927</v>
      </c>
      <c r="Q546" s="14" t="str">
        <f t="shared" ca="1" si="104"/>
        <v>0110000101011111</v>
      </c>
      <c r="R546" s="14">
        <f t="shared" ca="1" si="105"/>
        <v>4.6736698665618901</v>
      </c>
      <c r="S546" s="14">
        <f t="shared" ca="1" si="106"/>
        <v>76.084038398742692</v>
      </c>
      <c r="T546" s="19">
        <f t="shared" ca="1" si="108"/>
        <v>2.2634924714283414E-2</v>
      </c>
      <c r="U546" s="14"/>
      <c r="V546" s="15">
        <f t="shared" ca="1" si="107"/>
        <v>1.6840379999999999</v>
      </c>
      <c r="W546" s="14"/>
      <c r="X546" s="2"/>
    </row>
    <row r="547" spans="8:24" x14ac:dyDescent="0.25">
      <c r="H547" s="14">
        <v>74.5</v>
      </c>
      <c r="I547" s="17">
        <v>4.6090204172722142</v>
      </c>
      <c r="J547" s="15">
        <f t="shared" si="98"/>
        <v>8.7999999999999998E-5</v>
      </c>
      <c r="K547" s="30">
        <f t="shared" si="99"/>
        <v>2.7300000000000002E-4</v>
      </c>
      <c r="L547" s="15">
        <f t="shared" si="100"/>
        <v>1.5122999999999999E-2</v>
      </c>
      <c r="M547" s="10">
        <f t="shared" si="101"/>
        <v>4.6797615744282934</v>
      </c>
      <c r="N547" s="18">
        <f t="shared" si="102"/>
        <v>1.5348414793516231E-2</v>
      </c>
      <c r="O547" s="14">
        <f t="shared" si="103"/>
        <v>24966.977900000002</v>
      </c>
      <c r="P547" s="14">
        <f t="shared" ca="1" si="109"/>
        <v>24972</v>
      </c>
      <c r="Q547" s="14" t="str">
        <f t="shared" ca="1" si="104"/>
        <v>0110000110001100</v>
      </c>
      <c r="R547" s="14">
        <f t="shared" ca="1" si="105"/>
        <v>4.6821071090698245</v>
      </c>
      <c r="S547" s="14">
        <f t="shared" ca="1" si="106"/>
        <v>76.185285308837905</v>
      </c>
      <c r="T547" s="19">
        <f t="shared" ca="1" si="108"/>
        <v>2.2621279313260471E-2</v>
      </c>
      <c r="U547" s="14"/>
      <c r="V547" s="15">
        <f t="shared" ca="1" si="107"/>
        <v>1.6852849999999999</v>
      </c>
      <c r="W547" s="14"/>
      <c r="X547" s="2"/>
    </row>
    <row r="548" spans="8:24" x14ac:dyDescent="0.25">
      <c r="H548" s="14">
        <v>74.599999999999994</v>
      </c>
      <c r="I548" s="17">
        <v>4.6167669372719544</v>
      </c>
      <c r="J548" s="15">
        <f t="shared" si="98"/>
        <v>8.8999999999999995E-5</v>
      </c>
      <c r="K548" s="30">
        <f t="shared" si="99"/>
        <v>2.7300000000000002E-4</v>
      </c>
      <c r="L548" s="15">
        <f t="shared" si="100"/>
        <v>1.5153E-2</v>
      </c>
      <c r="M548" s="10">
        <f t="shared" si="101"/>
        <v>4.6877688193170659</v>
      </c>
      <c r="N548" s="18">
        <f t="shared" si="102"/>
        <v>1.5379135011538285E-2</v>
      </c>
      <c r="O548" s="14">
        <f t="shared" si="103"/>
        <v>25009.697400000001</v>
      </c>
      <c r="P548" s="14">
        <f t="shared" ca="1" si="109"/>
        <v>25014</v>
      </c>
      <c r="Q548" s="14" t="str">
        <f t="shared" ca="1" si="104"/>
        <v>0110000110110110</v>
      </c>
      <c r="R548" s="14">
        <f t="shared" ca="1" si="105"/>
        <v>4.6899818687438968</v>
      </c>
      <c r="S548" s="14">
        <f t="shared" ca="1" si="106"/>
        <v>76.279782424926765</v>
      </c>
      <c r="T548" s="19">
        <f t="shared" ca="1" si="108"/>
        <v>2.2517190682664487E-2</v>
      </c>
      <c r="U548" s="14"/>
      <c r="V548" s="15">
        <f t="shared" ca="1" si="107"/>
        <v>1.6797820000000001</v>
      </c>
      <c r="W548" s="14"/>
      <c r="X548" s="2"/>
    </row>
    <row r="549" spans="8:24" x14ac:dyDescent="0.25">
      <c r="H549" s="14">
        <v>74.7</v>
      </c>
      <c r="I549" s="17">
        <v>4.6245228020358695</v>
      </c>
      <c r="J549" s="15">
        <f t="shared" si="98"/>
        <v>9.0000000000000006E-5</v>
      </c>
      <c r="K549" s="30">
        <f t="shared" si="99"/>
        <v>2.7399999999999999E-4</v>
      </c>
      <c r="L549" s="15">
        <f t="shared" si="100"/>
        <v>1.5184E-2</v>
      </c>
      <c r="M549" s="10">
        <f t="shared" si="101"/>
        <v>4.6957908090078444</v>
      </c>
      <c r="N549" s="18">
        <f t="shared" si="102"/>
        <v>1.5410888868490458E-2</v>
      </c>
      <c r="O549" s="14">
        <f t="shared" si="103"/>
        <v>25052.495500000001</v>
      </c>
      <c r="P549" s="14">
        <f t="shared" ca="1" si="109"/>
        <v>25055</v>
      </c>
      <c r="Q549" s="14" t="str">
        <f t="shared" ca="1" si="104"/>
        <v>0110000111011111</v>
      </c>
      <c r="R549" s="14">
        <f t="shared" ca="1" si="105"/>
        <v>4.697669134140015</v>
      </c>
      <c r="S549" s="14">
        <f t="shared" ca="1" si="106"/>
        <v>76.372029609680183</v>
      </c>
      <c r="T549" s="19">
        <f t="shared" ca="1" si="108"/>
        <v>2.2383261173764126E-2</v>
      </c>
      <c r="U549" s="14"/>
      <c r="V549" s="15">
        <f t="shared" ca="1" si="107"/>
        <v>1.6720299999999999</v>
      </c>
      <c r="W549" s="14"/>
      <c r="X549" s="2"/>
    </row>
    <row r="550" spans="8:24" x14ac:dyDescent="0.25">
      <c r="H550" s="14">
        <v>74.800000000000011</v>
      </c>
      <c r="I550" s="17">
        <v>4.6318694243886807</v>
      </c>
      <c r="J550" s="15">
        <f t="shared" si="98"/>
        <v>9.0000000000000006E-5</v>
      </c>
      <c r="K550" s="30">
        <f t="shared" si="99"/>
        <v>2.7399999999999999E-4</v>
      </c>
      <c r="L550" s="15">
        <f t="shared" si="100"/>
        <v>1.5214E-2</v>
      </c>
      <c r="M550" s="10">
        <f t="shared" si="101"/>
        <v>4.7033939779573233</v>
      </c>
      <c r="N550" s="18">
        <f t="shared" si="102"/>
        <v>1.5441832878974673E-2</v>
      </c>
      <c r="O550" s="14">
        <f t="shared" si="103"/>
        <v>25093.059099999999</v>
      </c>
      <c r="P550" s="14">
        <f t="shared" ca="1" si="109"/>
        <v>25095</v>
      </c>
      <c r="Q550" s="14" t="str">
        <f t="shared" ca="1" si="104"/>
        <v>0110001000000111</v>
      </c>
      <c r="R550" s="14">
        <f t="shared" ca="1" si="105"/>
        <v>4.7051689052581791</v>
      </c>
      <c r="S550" s="14">
        <f t="shared" ca="1" si="106"/>
        <v>76.46202686309816</v>
      </c>
      <c r="T550" s="19">
        <f t="shared" ca="1" si="108"/>
        <v>2.2219610469226582E-2</v>
      </c>
      <c r="U550" s="14"/>
      <c r="V550" s="15">
        <f t="shared" ca="1" si="107"/>
        <v>1.6620269999999999</v>
      </c>
      <c r="W550" s="14"/>
      <c r="X550" s="2"/>
    </row>
    <row r="551" spans="8:24" x14ac:dyDescent="0.25">
      <c r="H551" s="14">
        <v>74.900000000000006</v>
      </c>
      <c r="I551" s="17">
        <v>4.6392269714706584</v>
      </c>
      <c r="J551" s="15">
        <f t="shared" si="98"/>
        <v>9.1000000000000003E-5</v>
      </c>
      <c r="K551" s="30">
        <f t="shared" si="99"/>
        <v>2.7500000000000002E-4</v>
      </c>
      <c r="L551" s="15">
        <f t="shared" si="100"/>
        <v>1.5245E-2</v>
      </c>
      <c r="M551" s="10">
        <f t="shared" si="101"/>
        <v>4.7110124724024329</v>
      </c>
      <c r="N551" s="18">
        <f t="shared" si="102"/>
        <v>1.5473591047220982E-2</v>
      </c>
      <c r="O551" s="14">
        <f t="shared" si="103"/>
        <v>25133.7045</v>
      </c>
      <c r="P551" s="14">
        <f t="shared" ca="1" si="109"/>
        <v>25137</v>
      </c>
      <c r="Q551" s="14" t="str">
        <f t="shared" ca="1" si="104"/>
        <v>0110001000110001</v>
      </c>
      <c r="R551" s="14">
        <f t="shared" ca="1" si="105"/>
        <v>4.7130436649322514</v>
      </c>
      <c r="S551" s="14">
        <f t="shared" ca="1" si="106"/>
        <v>76.55652397918702</v>
      </c>
      <c r="T551" s="19">
        <f t="shared" ca="1" si="108"/>
        <v>2.2116475022523552E-2</v>
      </c>
      <c r="U551" s="14"/>
      <c r="V551" s="15">
        <f t="shared" ca="1" si="107"/>
        <v>1.6565240000000001</v>
      </c>
      <c r="W551" s="14"/>
      <c r="X551" s="2"/>
    </row>
    <row r="552" spans="8:24" x14ac:dyDescent="0.25">
      <c r="H552" s="14">
        <v>75</v>
      </c>
      <c r="I552" s="17">
        <v>4.6470120232337786</v>
      </c>
      <c r="J552" s="15">
        <f t="shared" si="98"/>
        <v>9.1000000000000003E-5</v>
      </c>
      <c r="K552" s="30">
        <f t="shared" si="99"/>
        <v>2.7500000000000002E-4</v>
      </c>
      <c r="L552" s="15">
        <f t="shared" si="100"/>
        <v>1.5275E-2</v>
      </c>
      <c r="M552" s="10">
        <f t="shared" si="101"/>
        <v>4.7190618063761747</v>
      </c>
      <c r="N552" s="18">
        <f t="shared" si="102"/>
        <v>1.550453985962744E-2</v>
      </c>
      <c r="O552" s="14">
        <f t="shared" si="103"/>
        <v>25176.648499999999</v>
      </c>
      <c r="P552" s="14">
        <f t="shared" ca="1" si="109"/>
        <v>25179</v>
      </c>
      <c r="Q552" s="14" t="str">
        <f t="shared" ca="1" si="104"/>
        <v>0110001001011011</v>
      </c>
      <c r="R552" s="14">
        <f t="shared" ca="1" si="105"/>
        <v>4.7209184246063236</v>
      </c>
      <c r="S552" s="14">
        <f t="shared" ca="1" si="106"/>
        <v>76.651021095275894</v>
      </c>
      <c r="T552" s="19">
        <f t="shared" ca="1" si="108"/>
        <v>2.2013614603678587E-2</v>
      </c>
      <c r="U552" s="14"/>
      <c r="V552" s="15">
        <f t="shared" ca="1" si="107"/>
        <v>1.6510210000000001</v>
      </c>
      <c r="W552" s="14"/>
      <c r="X552" s="2"/>
    </row>
    <row r="553" spans="8:24" x14ac:dyDescent="0.25">
      <c r="H553" s="14">
        <v>75.099999999999994</v>
      </c>
      <c r="I553" s="17">
        <v>4.6543901973967783</v>
      </c>
      <c r="J553" s="15">
        <f t="shared" si="98"/>
        <v>9.2E-5</v>
      </c>
      <c r="K553" s="30">
        <f t="shared" si="99"/>
        <v>2.7599999999999999E-4</v>
      </c>
      <c r="L553" s="15">
        <f t="shared" si="100"/>
        <v>1.5306E-2</v>
      </c>
      <c r="M553" s="10">
        <f t="shared" si="101"/>
        <v>4.726702213732163</v>
      </c>
      <c r="N553" s="18">
        <f t="shared" si="102"/>
        <v>1.5536302988913391E-2</v>
      </c>
      <c r="O553" s="14">
        <f t="shared" si="103"/>
        <v>25217.410800000001</v>
      </c>
      <c r="P553" s="14">
        <f t="shared" ca="1" si="109"/>
        <v>25222</v>
      </c>
      <c r="Q553" s="14" t="str">
        <f t="shared" ca="1" si="104"/>
        <v>0110001010000110</v>
      </c>
      <c r="R553" s="14">
        <f t="shared" ca="1" si="105"/>
        <v>4.7289806785583499</v>
      </c>
      <c r="S553" s="14">
        <f t="shared" ca="1" si="106"/>
        <v>76.74776814270021</v>
      </c>
      <c r="T553" s="19">
        <f t="shared" ca="1" si="108"/>
        <v>2.1940987252998874E-2</v>
      </c>
      <c r="U553" s="14"/>
      <c r="V553" s="15">
        <f t="shared" ca="1" si="107"/>
        <v>1.6477679999999999</v>
      </c>
      <c r="W553" s="14"/>
      <c r="X553" s="2"/>
    </row>
    <row r="554" spans="8:24" x14ac:dyDescent="0.25">
      <c r="H554" s="14">
        <v>75.2</v>
      </c>
      <c r="I554" s="17">
        <v>4.6617789695857583</v>
      </c>
      <c r="J554" s="15">
        <f t="shared" si="98"/>
        <v>9.2E-5</v>
      </c>
      <c r="K554" s="30">
        <f t="shared" si="99"/>
        <v>2.7599999999999999E-4</v>
      </c>
      <c r="L554" s="15">
        <f t="shared" si="100"/>
        <v>1.5336000000000001E-2</v>
      </c>
      <c r="M554" s="10">
        <f t="shared" si="101"/>
        <v>4.7343500728144408</v>
      </c>
      <c r="N554" s="18">
        <f t="shared" si="102"/>
        <v>1.5567255269318578E-2</v>
      </c>
      <c r="O554" s="14">
        <f t="shared" si="103"/>
        <v>25258.212800000001</v>
      </c>
      <c r="P554" s="14">
        <f t="shared" ca="1" si="109"/>
        <v>25262</v>
      </c>
      <c r="Q554" s="14" t="str">
        <f t="shared" ca="1" si="104"/>
        <v>0110001010101110</v>
      </c>
      <c r="R554" s="14">
        <f t="shared" ca="1" si="105"/>
        <v>4.736480449676514</v>
      </c>
      <c r="S554" s="14">
        <f t="shared" ca="1" si="106"/>
        <v>76.837765396118172</v>
      </c>
      <c r="T554" s="19">
        <f t="shared" ca="1" si="108"/>
        <v>2.1778795161145868E-2</v>
      </c>
      <c r="U554" s="14"/>
      <c r="V554" s="15">
        <f t="shared" ca="1" si="107"/>
        <v>1.6377649999999999</v>
      </c>
      <c r="W554" s="14"/>
      <c r="X554" s="2"/>
    </row>
    <row r="555" spans="8:24" x14ac:dyDescent="0.25">
      <c r="H555" s="14">
        <v>75.300000000000011</v>
      </c>
      <c r="I555" s="17">
        <v>4.6691782309002496</v>
      </c>
      <c r="J555" s="15">
        <f t="shared" si="98"/>
        <v>9.2999999999999997E-5</v>
      </c>
      <c r="K555" s="30">
        <f t="shared" si="99"/>
        <v>2.7700000000000001E-4</v>
      </c>
      <c r="L555" s="15">
        <f t="shared" si="100"/>
        <v>1.5367E-2</v>
      </c>
      <c r="M555" s="10">
        <f t="shared" si="101"/>
        <v>4.7420128510970585</v>
      </c>
      <c r="N555" s="18">
        <f t="shared" si="102"/>
        <v>1.5599023338795497E-2</v>
      </c>
      <c r="O555" s="14">
        <f t="shared" si="103"/>
        <v>25299.094499999999</v>
      </c>
      <c r="P555" s="14">
        <f t="shared" ca="1" si="109"/>
        <v>25300</v>
      </c>
      <c r="Q555" s="14" t="str">
        <f t="shared" ca="1" si="104"/>
        <v>0110001011010100</v>
      </c>
      <c r="R555" s="14">
        <f t="shared" ca="1" si="105"/>
        <v>4.7436052322387701</v>
      </c>
      <c r="S555" s="14">
        <f t="shared" ca="1" si="106"/>
        <v>76.923262786865251</v>
      </c>
      <c r="T555" s="19">
        <f t="shared" ca="1" si="108"/>
        <v>2.1557274725966E-2</v>
      </c>
      <c r="U555" s="14"/>
      <c r="V555" s="15">
        <f t="shared" ca="1" si="107"/>
        <v>1.6232629999999999</v>
      </c>
      <c r="W555" s="14"/>
      <c r="X555" s="2"/>
    </row>
    <row r="556" spans="8:24" x14ac:dyDescent="0.25">
      <c r="H556" s="14">
        <v>75.400000000000006</v>
      </c>
      <c r="I556" s="17">
        <v>4.6770009980452079</v>
      </c>
      <c r="J556" s="15">
        <f t="shared" si="98"/>
        <v>9.3999999999999994E-5</v>
      </c>
      <c r="K556" s="30">
        <f t="shared" si="99"/>
        <v>2.7700000000000001E-4</v>
      </c>
      <c r="L556" s="15">
        <f t="shared" si="100"/>
        <v>1.5396999999999999E-2</v>
      </c>
      <c r="M556" s="10">
        <f t="shared" si="101"/>
        <v>4.750101416529513</v>
      </c>
      <c r="N556" s="18">
        <f t="shared" si="102"/>
        <v>1.5629763285245842E-2</v>
      </c>
      <c r="O556" s="14">
        <f t="shared" si="103"/>
        <v>25342.247800000001</v>
      </c>
      <c r="P556" s="14">
        <f t="shared" ca="1" si="109"/>
        <v>25346</v>
      </c>
      <c r="Q556" s="14" t="str">
        <f t="shared" ca="1" si="104"/>
        <v>0110001100000010</v>
      </c>
      <c r="R556" s="14">
        <f t="shared" ca="1" si="105"/>
        <v>4.7522299690246586</v>
      </c>
      <c r="S556" s="14">
        <f t="shared" ca="1" si="106"/>
        <v>77.026759628295906</v>
      </c>
      <c r="T556" s="19">
        <f t="shared" ca="1" si="108"/>
        <v>2.1575061383234753E-2</v>
      </c>
      <c r="U556" s="14"/>
      <c r="V556" s="15">
        <f t="shared" ca="1" si="107"/>
        <v>1.62676</v>
      </c>
      <c r="W556" s="14"/>
      <c r="X556" s="2"/>
    </row>
    <row r="557" spans="8:24" x14ac:dyDescent="0.25">
      <c r="H557" s="14">
        <v>75.5</v>
      </c>
      <c r="I557" s="17">
        <v>4.6844200248908603</v>
      </c>
      <c r="J557" s="15">
        <f t="shared" si="98"/>
        <v>9.3999999999999994E-5</v>
      </c>
      <c r="K557" s="30">
        <f t="shared" si="99"/>
        <v>2.7799999999999998E-4</v>
      </c>
      <c r="L557" s="15">
        <f t="shared" si="100"/>
        <v>1.5428000000000001E-2</v>
      </c>
      <c r="M557" s="10">
        <f t="shared" si="101"/>
        <v>4.7577862564310793</v>
      </c>
      <c r="N557" s="18">
        <f t="shared" si="102"/>
        <v>1.5661753461556505E-2</v>
      </c>
      <c r="O557" s="14">
        <f t="shared" si="103"/>
        <v>25383.247100000001</v>
      </c>
      <c r="P557" s="14">
        <f t="shared" ca="1" si="109"/>
        <v>25385</v>
      </c>
      <c r="Q557" s="14" t="str">
        <f t="shared" ca="1" si="104"/>
        <v>0110001100101001</v>
      </c>
      <c r="R557" s="14">
        <f t="shared" ca="1" si="105"/>
        <v>4.7595422458648686</v>
      </c>
      <c r="S557" s="14">
        <f t="shared" ca="1" si="106"/>
        <v>77.114506950378427</v>
      </c>
      <c r="T557" s="19">
        <f t="shared" ca="1" si="108"/>
        <v>2.1384198018257312E-2</v>
      </c>
      <c r="U557" s="14"/>
      <c r="V557" s="15">
        <f t="shared" ca="1" si="107"/>
        <v>1.6145069999999999</v>
      </c>
      <c r="W557" s="14"/>
      <c r="X557" s="2"/>
    </row>
    <row r="558" spans="8:24" x14ac:dyDescent="0.25">
      <c r="H558" s="14">
        <v>75.599999999999994</v>
      </c>
      <c r="I558" s="17">
        <v>4.6918492179696241</v>
      </c>
      <c r="J558" s="15">
        <f t="shared" si="98"/>
        <v>9.5000000000000005E-5</v>
      </c>
      <c r="K558" s="30">
        <f t="shared" si="99"/>
        <v>2.7799999999999998E-4</v>
      </c>
      <c r="L558" s="15">
        <f t="shared" si="100"/>
        <v>1.5458E-2</v>
      </c>
      <c r="M558" s="10">
        <f t="shared" si="101"/>
        <v>4.7654760501894531</v>
      </c>
      <c r="N558" s="18">
        <f t="shared" si="102"/>
        <v>1.5692497520559855E-2</v>
      </c>
      <c r="O558" s="14">
        <f t="shared" si="103"/>
        <v>25424.2729</v>
      </c>
      <c r="P558" s="14">
        <f t="shared" ca="1" si="109"/>
        <v>25426</v>
      </c>
      <c r="Q558" s="14" t="str">
        <f t="shared" ca="1" si="104"/>
        <v>0110001101010010</v>
      </c>
      <c r="R558" s="14">
        <f t="shared" ca="1" si="105"/>
        <v>4.7672295112609868</v>
      </c>
      <c r="S558" s="14">
        <f t="shared" ca="1" si="106"/>
        <v>77.206754135131845</v>
      </c>
      <c r="T558" s="19">
        <f t="shared" ca="1" si="108"/>
        <v>2.1253361575818138E-2</v>
      </c>
      <c r="U558" s="14"/>
      <c r="V558" s="15">
        <f t="shared" ca="1" si="107"/>
        <v>1.606754</v>
      </c>
      <c r="W558" s="14"/>
      <c r="X558" s="2"/>
    </row>
    <row r="559" spans="8:24" x14ac:dyDescent="0.25">
      <c r="H559" s="14">
        <v>75.7</v>
      </c>
      <c r="I559" s="17">
        <v>4.6988780038281339</v>
      </c>
      <c r="J559" s="15">
        <f t="shared" si="98"/>
        <v>9.5000000000000005E-5</v>
      </c>
      <c r="K559" s="30">
        <f t="shared" si="99"/>
        <v>2.7900000000000001E-4</v>
      </c>
      <c r="L559" s="15">
        <f t="shared" si="100"/>
        <v>1.5488999999999999E-2</v>
      </c>
      <c r="M559" s="10">
        <f t="shared" si="101"/>
        <v>4.7727654698283049</v>
      </c>
      <c r="N559" s="18">
        <f t="shared" si="102"/>
        <v>1.5724491238115881E-2</v>
      </c>
      <c r="O559" s="14">
        <f t="shared" si="103"/>
        <v>25463.162700000001</v>
      </c>
      <c r="P559" s="14">
        <f t="shared" ca="1" si="109"/>
        <v>25464</v>
      </c>
      <c r="Q559" s="14" t="str">
        <f t="shared" ca="1" si="104"/>
        <v>0110001101111000</v>
      </c>
      <c r="R559" s="14">
        <f t="shared" ca="1" si="105"/>
        <v>4.7743542938232419</v>
      </c>
      <c r="S559" s="14">
        <f t="shared" ca="1" si="106"/>
        <v>77.29225152587891</v>
      </c>
      <c r="T559" s="19">
        <f t="shared" ca="1" si="108"/>
        <v>2.1033705757977642E-2</v>
      </c>
      <c r="U559" s="14"/>
      <c r="V559" s="15">
        <f t="shared" ca="1" si="107"/>
        <v>1.592252</v>
      </c>
      <c r="W559" s="14"/>
      <c r="X559" s="2"/>
    </row>
    <row r="560" spans="8:24" x14ac:dyDescent="0.25">
      <c r="H560" s="14">
        <v>75.800000000000011</v>
      </c>
      <c r="I560" s="17">
        <v>4.7063280906270082</v>
      </c>
      <c r="J560" s="15">
        <f t="shared" si="98"/>
        <v>9.6000000000000002E-5</v>
      </c>
      <c r="K560" s="30">
        <f t="shared" si="99"/>
        <v>2.7900000000000001E-4</v>
      </c>
      <c r="L560" s="15">
        <f t="shared" si="100"/>
        <v>1.5519E-2</v>
      </c>
      <c r="M560" s="10">
        <f t="shared" si="101"/>
        <v>4.7804774195997766</v>
      </c>
      <c r="N560" s="18">
        <f t="shared" si="102"/>
        <v>1.5755240082059328E-2</v>
      </c>
      <c r="O560" s="14">
        <f t="shared" si="103"/>
        <v>25504.306700000001</v>
      </c>
      <c r="P560" s="14">
        <f t="shared" ca="1" si="109"/>
        <v>25504</v>
      </c>
      <c r="Q560" s="14" t="str">
        <f t="shared" ca="1" si="104"/>
        <v>0110001110100000</v>
      </c>
      <c r="R560" s="14">
        <f t="shared" ca="1" si="105"/>
        <v>4.7818540649414061</v>
      </c>
      <c r="S560" s="14">
        <f t="shared" ca="1" si="106"/>
        <v>77.382248779296887</v>
      </c>
      <c r="T560" s="19">
        <f t="shared" ca="1" si="108"/>
        <v>2.0873994449826853E-2</v>
      </c>
      <c r="U560" s="14"/>
      <c r="V560" s="15">
        <f t="shared" ca="1" si="107"/>
        <v>1.582249</v>
      </c>
      <c r="W560" s="14"/>
      <c r="X560" s="2"/>
    </row>
    <row r="561" spans="8:24" x14ac:dyDescent="0.25">
      <c r="H561" s="14">
        <v>75.900000000000006</v>
      </c>
      <c r="I561" s="17">
        <v>4.7137880206501963</v>
      </c>
      <c r="J561" s="15">
        <f t="shared" si="98"/>
        <v>9.6000000000000002E-5</v>
      </c>
      <c r="K561" s="30">
        <f t="shared" si="99"/>
        <v>2.7999999999999998E-4</v>
      </c>
      <c r="L561" s="15">
        <f t="shared" si="100"/>
        <v>1.555E-2</v>
      </c>
      <c r="M561" s="10">
        <f t="shared" si="101"/>
        <v>4.7882057176598058</v>
      </c>
      <c r="N561" s="18">
        <f t="shared" si="102"/>
        <v>1.5787238773487471E-2</v>
      </c>
      <c r="O561" s="14">
        <f t="shared" si="103"/>
        <v>25545.537899999999</v>
      </c>
      <c r="P561" s="14">
        <f t="shared" ca="1" si="109"/>
        <v>25546</v>
      </c>
      <c r="Q561" s="14" t="str">
        <f t="shared" ca="1" si="104"/>
        <v>0110001111001010</v>
      </c>
      <c r="R561" s="14">
        <f t="shared" ca="1" si="105"/>
        <v>4.7897288246154783</v>
      </c>
      <c r="S561" s="14">
        <f t="shared" ca="1" si="106"/>
        <v>77.476745895385747</v>
      </c>
      <c r="T561" s="19">
        <f t="shared" ca="1" si="108"/>
        <v>2.077399071654468E-2</v>
      </c>
      <c r="U561" s="14"/>
      <c r="V561" s="15">
        <f t="shared" ca="1" si="107"/>
        <v>1.576746</v>
      </c>
      <c r="W561" s="14"/>
      <c r="X561" s="2"/>
    </row>
    <row r="562" spans="8:24" x14ac:dyDescent="0.25">
      <c r="H562" s="14">
        <v>76</v>
      </c>
      <c r="I562" s="17">
        <v>4.7208498690560932</v>
      </c>
      <c r="J562" s="15">
        <f t="shared" si="98"/>
        <v>9.7E-5</v>
      </c>
      <c r="K562" s="30">
        <f t="shared" si="99"/>
        <v>2.7999999999999998E-4</v>
      </c>
      <c r="L562" s="15">
        <f t="shared" si="100"/>
        <v>1.558E-2</v>
      </c>
      <c r="M562" s="10">
        <f t="shared" si="101"/>
        <v>4.7955242329656986</v>
      </c>
      <c r="N562" s="18">
        <f t="shared" si="102"/>
        <v>1.5817991671176822E-2</v>
      </c>
      <c r="O562" s="14">
        <f t="shared" si="103"/>
        <v>25584.582900000001</v>
      </c>
      <c r="P562" s="14">
        <f t="shared" ca="1" si="109"/>
        <v>25588</v>
      </c>
      <c r="Q562" s="14" t="str">
        <f t="shared" ca="1" si="104"/>
        <v>0110001111110100</v>
      </c>
      <c r="R562" s="14">
        <f t="shared" ca="1" si="105"/>
        <v>4.7976035842895506</v>
      </c>
      <c r="S562" s="14">
        <f t="shared" ca="1" si="106"/>
        <v>77.571243011474621</v>
      </c>
      <c r="T562" s="19">
        <f t="shared" ca="1" si="108"/>
        <v>2.0674250150981857E-2</v>
      </c>
      <c r="U562" s="14"/>
      <c r="V562" s="15">
        <f t="shared" ca="1" si="107"/>
        <v>1.5712429999999999</v>
      </c>
      <c r="W562" s="14"/>
      <c r="X562" s="2"/>
    </row>
    <row r="563" spans="8:24" x14ac:dyDescent="0.25">
      <c r="H563" s="14">
        <v>76.099999999999994</v>
      </c>
      <c r="I563" s="17">
        <v>4.7287369848233602</v>
      </c>
      <c r="J563" s="15">
        <f t="shared" si="98"/>
        <v>9.7999999999999997E-5</v>
      </c>
      <c r="K563" s="30">
        <f t="shared" si="99"/>
        <v>2.81E-4</v>
      </c>
      <c r="L563" s="15">
        <f t="shared" si="100"/>
        <v>1.5611E-2</v>
      </c>
      <c r="M563" s="10">
        <f t="shared" si="101"/>
        <v>4.8036864282162437</v>
      </c>
      <c r="N563" s="18">
        <f t="shared" si="102"/>
        <v>1.5849780529860271E-2</v>
      </c>
      <c r="O563" s="14">
        <f t="shared" si="103"/>
        <v>25628.129000000001</v>
      </c>
      <c r="P563" s="14">
        <f t="shared" ca="1" si="109"/>
        <v>25632</v>
      </c>
      <c r="Q563" s="14" t="str">
        <f t="shared" ca="1" si="104"/>
        <v>0110010000100000</v>
      </c>
      <c r="R563" s="14">
        <f t="shared" ca="1" si="105"/>
        <v>4.805853332519531</v>
      </c>
      <c r="S563" s="14">
        <f t="shared" ca="1" si="106"/>
        <v>77.670239990234379</v>
      </c>
      <c r="T563" s="19">
        <f t="shared" ca="1" si="108"/>
        <v>2.0633902631200844E-2</v>
      </c>
      <c r="U563" s="14"/>
      <c r="V563" s="15">
        <f t="shared" ca="1" si="107"/>
        <v>1.5702400000000001</v>
      </c>
      <c r="W563" s="14"/>
      <c r="X563" s="2"/>
    </row>
    <row r="564" spans="8:24" x14ac:dyDescent="0.25">
      <c r="H564" s="14">
        <v>76.2</v>
      </c>
      <c r="I564" s="17">
        <v>4.7362258067890339</v>
      </c>
      <c r="J564" s="15">
        <f t="shared" si="98"/>
        <v>9.7999999999999997E-5</v>
      </c>
      <c r="K564" s="30">
        <f t="shared" si="99"/>
        <v>2.81E-4</v>
      </c>
      <c r="L564" s="15">
        <f t="shared" si="100"/>
        <v>1.5640999999999999E-2</v>
      </c>
      <c r="M564" s="10">
        <f t="shared" si="101"/>
        <v>4.8114406427035599</v>
      </c>
      <c r="N564" s="18">
        <f t="shared" si="102"/>
        <v>1.5880753786424406E-2</v>
      </c>
      <c r="O564" s="14">
        <f t="shared" si="103"/>
        <v>25669.4984</v>
      </c>
      <c r="P564" s="14">
        <f t="shared" ca="1" si="109"/>
        <v>25672</v>
      </c>
      <c r="Q564" s="14" t="str">
        <f t="shared" ca="1" si="104"/>
        <v>0110010001001000</v>
      </c>
      <c r="R564" s="14">
        <f t="shared" ca="1" si="105"/>
        <v>4.8133531036376951</v>
      </c>
      <c r="S564" s="14">
        <f t="shared" ca="1" si="106"/>
        <v>77.760237243652355</v>
      </c>
      <c r="T564" s="19">
        <f t="shared" ca="1" si="108"/>
        <v>2.0475554378639793E-2</v>
      </c>
      <c r="U564" s="14"/>
      <c r="V564" s="15">
        <f t="shared" ca="1" si="107"/>
        <v>1.5602370000000001</v>
      </c>
      <c r="W564" s="14"/>
      <c r="X564" s="2"/>
    </row>
    <row r="565" spans="8:24" x14ac:dyDescent="0.25">
      <c r="H565" s="14">
        <v>76.300000000000011</v>
      </c>
      <c r="I565" s="17">
        <v>4.7433188623282527</v>
      </c>
      <c r="J565" s="15">
        <f t="shared" si="98"/>
        <v>9.8999999999999994E-5</v>
      </c>
      <c r="K565" s="30">
        <f t="shared" si="99"/>
        <v>2.8200000000000002E-4</v>
      </c>
      <c r="L565" s="15">
        <f t="shared" si="100"/>
        <v>1.5671999999999998E-2</v>
      </c>
      <c r="M565" s="10">
        <f t="shared" si="101"/>
        <v>4.818797142164251</v>
      </c>
      <c r="N565" s="18">
        <f t="shared" si="102"/>
        <v>1.5912546051974646E-2</v>
      </c>
      <c r="O565" s="14">
        <f t="shared" si="103"/>
        <v>25708.7461</v>
      </c>
      <c r="P565" s="14">
        <f t="shared" ca="1" si="109"/>
        <v>25709</v>
      </c>
      <c r="Q565" s="14" t="str">
        <f t="shared" ca="1" si="104"/>
        <v>0110010001101101</v>
      </c>
      <c r="R565" s="14">
        <f t="shared" ca="1" si="105"/>
        <v>4.820290391921997</v>
      </c>
      <c r="S565" s="14">
        <f t="shared" ca="1" si="106"/>
        <v>77.843484703063979</v>
      </c>
      <c r="T565" s="19">
        <f t="shared" ca="1" si="108"/>
        <v>2.0229157314075586E-2</v>
      </c>
      <c r="U565" s="14"/>
      <c r="V565" s="15">
        <f t="shared" ca="1" si="107"/>
        <v>1.543485</v>
      </c>
      <c r="W565" s="14"/>
      <c r="X565" s="2"/>
    </row>
    <row r="566" spans="8:24" x14ac:dyDescent="0.25">
      <c r="H566" s="14">
        <v>76.400000000000006</v>
      </c>
      <c r="I566" s="17">
        <v>4.7504229825898188</v>
      </c>
      <c r="J566" s="15">
        <f t="shared" si="98"/>
        <v>9.8999999999999994E-5</v>
      </c>
      <c r="K566" s="30">
        <f t="shared" si="99"/>
        <v>2.8200000000000002E-4</v>
      </c>
      <c r="L566" s="15">
        <f t="shared" si="100"/>
        <v>1.5702000000000001E-2</v>
      </c>
      <c r="M566" s="10">
        <f t="shared" si="101"/>
        <v>4.8261614591046813</v>
      </c>
      <c r="N566" s="18">
        <f t="shared" si="102"/>
        <v>1.5943522669969002E-2</v>
      </c>
      <c r="O566" s="14">
        <f t="shared" si="103"/>
        <v>25748.035400000001</v>
      </c>
      <c r="P566" s="14">
        <f t="shared" ca="1" si="109"/>
        <v>25753</v>
      </c>
      <c r="Q566" s="14" t="str">
        <f t="shared" ca="1" si="104"/>
        <v>0110010010011001</v>
      </c>
      <c r="R566" s="14">
        <f t="shared" ca="1" si="105"/>
        <v>4.8285401401519774</v>
      </c>
      <c r="S566" s="14">
        <f t="shared" ca="1" si="106"/>
        <v>77.942481681823736</v>
      </c>
      <c r="T566" s="19">
        <f t="shared" ca="1" si="108"/>
        <v>2.0189550809211129E-2</v>
      </c>
      <c r="U566" s="14"/>
      <c r="V566" s="15">
        <f t="shared" ca="1" si="107"/>
        <v>1.5424819999999999</v>
      </c>
      <c r="W566" s="14"/>
      <c r="X566" s="2"/>
    </row>
    <row r="567" spans="8:24" x14ac:dyDescent="0.25">
      <c r="H567" s="14">
        <v>76.5</v>
      </c>
      <c r="I567" s="17">
        <v>4.758344929670824</v>
      </c>
      <c r="J567" s="15">
        <f t="shared" si="98"/>
        <v>1E-4</v>
      </c>
      <c r="K567" s="30">
        <f t="shared" si="99"/>
        <v>2.8299999999999999E-4</v>
      </c>
      <c r="L567" s="15">
        <f t="shared" si="100"/>
        <v>1.5733E-2</v>
      </c>
      <c r="M567" s="10">
        <f t="shared" si="101"/>
        <v>4.8343610190698501</v>
      </c>
      <c r="N567" s="18">
        <f t="shared" si="102"/>
        <v>1.5975321361220599E-2</v>
      </c>
      <c r="O567" s="14">
        <f t="shared" si="103"/>
        <v>25791.7808</v>
      </c>
      <c r="P567" s="14">
        <f t="shared" ca="1" si="109"/>
        <v>25794</v>
      </c>
      <c r="Q567" s="14" t="str">
        <f t="shared" ca="1" si="104"/>
        <v>0110010011000010</v>
      </c>
      <c r="R567" s="14">
        <f t="shared" ca="1" si="105"/>
        <v>4.8362274055480956</v>
      </c>
      <c r="S567" s="14">
        <f t="shared" ca="1" si="106"/>
        <v>78.034728866577154</v>
      </c>
      <c r="T567" s="19">
        <f t="shared" ca="1" si="108"/>
        <v>2.0061815249374566E-2</v>
      </c>
      <c r="U567" s="14"/>
      <c r="V567" s="15">
        <f t="shared" ca="1" si="107"/>
        <v>1.534729</v>
      </c>
      <c r="W567" s="14"/>
      <c r="X567" s="2"/>
    </row>
    <row r="568" spans="8:24" x14ac:dyDescent="0.25">
      <c r="H568" s="14">
        <v>76.599999999999994</v>
      </c>
      <c r="I568" s="17">
        <v>4.7654691055465204</v>
      </c>
      <c r="J568" s="15">
        <f t="shared" si="98"/>
        <v>1E-4</v>
      </c>
      <c r="K568" s="30">
        <f t="shared" si="99"/>
        <v>2.8299999999999999E-4</v>
      </c>
      <c r="L568" s="15">
        <f t="shared" si="100"/>
        <v>1.5762999999999999E-2</v>
      </c>
      <c r="M568" s="10">
        <f t="shared" si="101"/>
        <v>4.8417466436361574</v>
      </c>
      <c r="N568" s="18">
        <f t="shared" si="102"/>
        <v>1.6006302086998679E-2</v>
      </c>
      <c r="O568" s="14">
        <f t="shared" si="103"/>
        <v>25831.1839</v>
      </c>
      <c r="P568" s="14">
        <f t="shared" ca="1" si="109"/>
        <v>25832</v>
      </c>
      <c r="Q568" s="14" t="str">
        <f t="shared" ca="1" si="104"/>
        <v>0110010011101000</v>
      </c>
      <c r="R568" s="14">
        <f t="shared" ca="1" si="105"/>
        <v>4.8433521881103516</v>
      </c>
      <c r="S568" s="14">
        <f t="shared" ca="1" si="106"/>
        <v>78.120226257324234</v>
      </c>
      <c r="T568" s="19">
        <f t="shared" ca="1" si="108"/>
        <v>1.9846295787522707E-2</v>
      </c>
      <c r="U568" s="14"/>
      <c r="V568" s="15">
        <f t="shared" ca="1" si="107"/>
        <v>1.5202260000000001</v>
      </c>
      <c r="W568" s="14"/>
      <c r="X568" s="2"/>
    </row>
    <row r="569" spans="8:24" x14ac:dyDescent="0.25">
      <c r="H569" s="14">
        <v>76.7</v>
      </c>
      <c r="I569" s="17">
        <v>4.7726040222064894</v>
      </c>
      <c r="J569" s="15">
        <f t="shared" si="98"/>
        <v>1.01E-4</v>
      </c>
      <c r="K569" s="30">
        <f t="shared" si="99"/>
        <v>2.8400000000000002E-4</v>
      </c>
      <c r="L569" s="15">
        <f t="shared" si="100"/>
        <v>1.5793999999999999E-2</v>
      </c>
      <c r="M569" s="10">
        <f t="shared" si="101"/>
        <v>4.8491475424397832</v>
      </c>
      <c r="N569" s="18">
        <f t="shared" si="102"/>
        <v>1.6038104120338459E-2</v>
      </c>
      <c r="O569" s="14">
        <f t="shared" si="103"/>
        <v>25870.668399999999</v>
      </c>
      <c r="P569" s="14">
        <f t="shared" ca="1" si="109"/>
        <v>25872</v>
      </c>
      <c r="Q569" s="14" t="str">
        <f t="shared" ca="1" si="104"/>
        <v>0110010100010000</v>
      </c>
      <c r="R569" s="14">
        <f t="shared" ca="1" si="105"/>
        <v>4.8508519592285158</v>
      </c>
      <c r="S569" s="14">
        <f t="shared" ca="1" si="106"/>
        <v>78.210223510742196</v>
      </c>
      <c r="T569" s="19">
        <f t="shared" ca="1" si="108"/>
        <v>1.9690006658959494E-2</v>
      </c>
      <c r="U569" s="14"/>
      <c r="V569" s="15">
        <f t="shared" ca="1" si="107"/>
        <v>1.510224</v>
      </c>
      <c r="W569" s="14"/>
      <c r="X569" s="2"/>
    </row>
    <row r="570" spans="8:24" x14ac:dyDescent="0.25">
      <c r="H570" s="14">
        <v>76.800000000000011</v>
      </c>
      <c r="I570" s="17">
        <v>4.7801503943729688</v>
      </c>
      <c r="J570" s="15">
        <f t="shared" si="98"/>
        <v>1.02E-4</v>
      </c>
      <c r="K570" s="30">
        <f t="shared" si="99"/>
        <v>2.8400000000000002E-4</v>
      </c>
      <c r="L570" s="15">
        <f t="shared" si="100"/>
        <v>1.5824000000000001E-2</v>
      </c>
      <c r="M570" s="10">
        <f t="shared" si="101"/>
        <v>4.8569620439646659</v>
      </c>
      <c r="N570" s="18">
        <f t="shared" si="102"/>
        <v>1.6068877180541671E-2</v>
      </c>
      <c r="O570" s="14">
        <f t="shared" si="103"/>
        <v>25912.359499999999</v>
      </c>
      <c r="P570" s="14">
        <f t="shared" ca="1" si="109"/>
        <v>25911</v>
      </c>
      <c r="Q570" s="14" t="str">
        <f t="shared" ca="1" si="104"/>
        <v>0110010100110111</v>
      </c>
      <c r="R570" s="14">
        <f t="shared" ca="1" si="105"/>
        <v>4.8581642360687258</v>
      </c>
      <c r="S570" s="14">
        <f t="shared" ca="1" si="106"/>
        <v>78.297970832824717</v>
      </c>
      <c r="T570" s="19">
        <f t="shared" ca="1" si="108"/>
        <v>1.9504828552405019E-2</v>
      </c>
      <c r="U570" s="14"/>
      <c r="V570" s="15">
        <f t="shared" ca="1" si="107"/>
        <v>1.4979709999999999</v>
      </c>
      <c r="W570" s="14"/>
      <c r="X570" s="2"/>
    </row>
    <row r="571" spans="8:24" x14ac:dyDescent="0.25">
      <c r="H571" s="14">
        <v>76.900000000000006</v>
      </c>
      <c r="I571" s="17">
        <v>4.7873055994001321</v>
      </c>
      <c r="J571" s="15">
        <f t="shared" si="98"/>
        <v>1.02E-4</v>
      </c>
      <c r="K571" s="30">
        <f t="shared" si="99"/>
        <v>2.8499999999999999E-4</v>
      </c>
      <c r="L571" s="15">
        <f t="shared" si="100"/>
        <v>1.5855000000000001E-2</v>
      </c>
      <c r="M571" s="10">
        <f t="shared" si="101"/>
        <v>4.8643855121045494</v>
      </c>
      <c r="N571" s="18">
        <f t="shared" si="102"/>
        <v>1.6100896653448587E-2</v>
      </c>
      <c r="O571" s="14">
        <f t="shared" si="103"/>
        <v>25951.964400000001</v>
      </c>
      <c r="P571" s="14">
        <f t="shared" ca="1" si="109"/>
        <v>25953</v>
      </c>
      <c r="Q571" s="14" t="str">
        <f t="shared" ca="1" si="104"/>
        <v>0110010101100001</v>
      </c>
      <c r="R571" s="14">
        <f t="shared" ca="1" si="105"/>
        <v>4.8660389957427981</v>
      </c>
      <c r="S571" s="14">
        <f t="shared" ca="1" si="106"/>
        <v>78.392467948913591</v>
      </c>
      <c r="T571" s="19">
        <f t="shared" ca="1" si="108"/>
        <v>1.9407905707588886E-2</v>
      </c>
      <c r="U571" s="14"/>
      <c r="V571" s="15">
        <f t="shared" ca="1" si="107"/>
        <v>1.4924679999999999</v>
      </c>
      <c r="W571" s="14"/>
      <c r="X571" s="2"/>
    </row>
    <row r="572" spans="8:24" x14ac:dyDescent="0.25">
      <c r="H572" s="14">
        <v>77</v>
      </c>
      <c r="I572" s="17">
        <v>4.7944712228992694</v>
      </c>
      <c r="J572" s="15">
        <f t="shared" si="98"/>
        <v>1.03E-4</v>
      </c>
      <c r="K572" s="30">
        <f t="shared" si="99"/>
        <v>2.8499999999999999E-4</v>
      </c>
      <c r="L572" s="15">
        <f t="shared" si="100"/>
        <v>1.5885E-2</v>
      </c>
      <c r="M572" s="10">
        <f t="shared" si="101"/>
        <v>4.8718140680400861</v>
      </c>
      <c r="N572" s="18">
        <f t="shared" si="102"/>
        <v>1.6131673660155294E-2</v>
      </c>
      <c r="O572" s="14">
        <f t="shared" si="103"/>
        <v>25991.5965</v>
      </c>
      <c r="P572" s="14">
        <f t="shared" ca="1" si="109"/>
        <v>25995</v>
      </c>
      <c r="Q572" s="14" t="str">
        <f t="shared" ca="1" si="104"/>
        <v>0110010110001011</v>
      </c>
      <c r="R572" s="14">
        <f t="shared" ca="1" si="105"/>
        <v>4.8739137554168703</v>
      </c>
      <c r="S572" s="14">
        <f t="shared" ca="1" si="106"/>
        <v>78.486965065002451</v>
      </c>
      <c r="T572" s="19">
        <f t="shared" ca="1" si="108"/>
        <v>1.9311234610421443E-2</v>
      </c>
      <c r="U572" s="14"/>
      <c r="V572" s="15">
        <f t="shared" ca="1" si="107"/>
        <v>1.4869650000000001</v>
      </c>
      <c r="W572" s="14"/>
      <c r="X572" s="2"/>
    </row>
    <row r="573" spans="8:24" x14ac:dyDescent="0.25">
      <c r="H573" s="14">
        <v>77.099999999999994</v>
      </c>
      <c r="I573" s="17">
        <v>4.8016471574234059</v>
      </c>
      <c r="J573" s="15">
        <f t="shared" si="98"/>
        <v>1.03E-4</v>
      </c>
      <c r="K573" s="30">
        <f t="shared" si="99"/>
        <v>2.8600000000000001E-4</v>
      </c>
      <c r="L573" s="15">
        <f t="shared" si="100"/>
        <v>1.5916E-2</v>
      </c>
      <c r="M573" s="10">
        <f t="shared" si="101"/>
        <v>4.8792595289583067</v>
      </c>
      <c r="N573" s="18">
        <f t="shared" si="102"/>
        <v>1.6163697370997196E-2</v>
      </c>
      <c r="O573" s="14">
        <f t="shared" si="103"/>
        <v>26031.3187</v>
      </c>
      <c r="P573" s="14">
        <f t="shared" ca="1" si="109"/>
        <v>26034</v>
      </c>
      <c r="Q573" s="14" t="str">
        <f t="shared" ca="1" si="104"/>
        <v>0110010110110010</v>
      </c>
      <c r="R573" s="14">
        <f t="shared" ca="1" si="105"/>
        <v>4.8812260322570804</v>
      </c>
      <c r="S573" s="14">
        <f t="shared" ca="1" si="106"/>
        <v>78.574712387084972</v>
      </c>
      <c r="T573" s="19">
        <f t="shared" ca="1" si="108"/>
        <v>1.9127268314980257E-2</v>
      </c>
      <c r="U573" s="14"/>
      <c r="V573" s="15">
        <f t="shared" ca="1" si="107"/>
        <v>1.474712</v>
      </c>
      <c r="W573" s="14"/>
      <c r="X573" s="2"/>
    </row>
    <row r="574" spans="8:24" x14ac:dyDescent="0.25">
      <c r="H574" s="14">
        <v>77.2</v>
      </c>
      <c r="I574" s="17">
        <v>4.8092306547737316</v>
      </c>
      <c r="J574" s="15">
        <f t="shared" si="98"/>
        <v>1.0399999999999999E-4</v>
      </c>
      <c r="K574" s="30">
        <f t="shared" si="99"/>
        <v>2.8600000000000001E-4</v>
      </c>
      <c r="L574" s="15">
        <f t="shared" si="100"/>
        <v>1.5945999999999998E-2</v>
      </c>
      <c r="M574" s="10">
        <f t="shared" si="101"/>
        <v>4.8871136440741374</v>
      </c>
      <c r="N574" s="18">
        <f t="shared" si="102"/>
        <v>1.6194479926450966E-2</v>
      </c>
      <c r="O574" s="14">
        <f t="shared" si="103"/>
        <v>26073.2212</v>
      </c>
      <c r="P574" s="14">
        <f t="shared" ca="1" si="109"/>
        <v>26072</v>
      </c>
      <c r="Q574" s="14" t="str">
        <f t="shared" ca="1" si="104"/>
        <v>0110010111011000</v>
      </c>
      <c r="R574" s="14">
        <f t="shared" ca="1" si="105"/>
        <v>4.8883508148193364</v>
      </c>
      <c r="S574" s="14">
        <f t="shared" ca="1" si="106"/>
        <v>78.660209777832051</v>
      </c>
      <c r="T574" s="19">
        <f t="shared" ca="1" si="108"/>
        <v>1.8914634427876276E-2</v>
      </c>
      <c r="U574" s="14"/>
      <c r="V574" s="15">
        <f t="shared" ca="1" si="107"/>
        <v>1.46021</v>
      </c>
      <c r="W574" s="14"/>
      <c r="X574" s="2"/>
    </row>
    <row r="575" spans="8:24" x14ac:dyDescent="0.25">
      <c r="H575" s="14">
        <v>77.300000000000011</v>
      </c>
      <c r="I575" s="17">
        <v>4.8164260282163109</v>
      </c>
      <c r="J575" s="15">
        <f t="shared" si="98"/>
        <v>1.0399999999999999E-4</v>
      </c>
      <c r="K575" s="30">
        <f t="shared" si="99"/>
        <v>2.8699999999999998E-4</v>
      </c>
      <c r="L575" s="15">
        <f t="shared" si="100"/>
        <v>1.5977000000000002E-2</v>
      </c>
      <c r="M575" s="10">
        <f t="shared" si="101"/>
        <v>4.8945798030638619</v>
      </c>
      <c r="N575" s="18">
        <f t="shared" si="102"/>
        <v>1.6226507869050357E-2</v>
      </c>
      <c r="O575" s="14">
        <f t="shared" si="103"/>
        <v>26113.053899999999</v>
      </c>
      <c r="P575" s="14">
        <f t="shared" ca="1" si="109"/>
        <v>26117</v>
      </c>
      <c r="Q575" s="14" t="str">
        <f t="shared" ca="1" si="104"/>
        <v>0110011000000101</v>
      </c>
      <c r="R575" s="14">
        <f t="shared" ca="1" si="105"/>
        <v>4.8967880573272708</v>
      </c>
      <c r="S575" s="14">
        <f t="shared" ca="1" si="106"/>
        <v>78.761456687927264</v>
      </c>
      <c r="T575" s="19">
        <f t="shared" ca="1" si="108"/>
        <v>1.8906296092202495E-2</v>
      </c>
      <c r="U575" s="14"/>
      <c r="V575" s="15">
        <f t="shared" ca="1" si="107"/>
        <v>1.461457</v>
      </c>
      <c r="W575" s="14"/>
      <c r="X575" s="2"/>
    </row>
    <row r="576" spans="8:24" x14ac:dyDescent="0.25">
      <c r="H576" s="14">
        <v>77.400000000000006</v>
      </c>
      <c r="I576" s="17">
        <v>4.8232357598133957</v>
      </c>
      <c r="J576" s="15">
        <f t="shared" si="98"/>
        <v>1.05E-4</v>
      </c>
      <c r="K576" s="30">
        <f t="shared" si="99"/>
        <v>2.8699999999999998E-4</v>
      </c>
      <c r="L576" s="15">
        <f t="shared" si="100"/>
        <v>1.6007E-2</v>
      </c>
      <c r="M576" s="10">
        <f t="shared" si="101"/>
        <v>4.9016485192551125</v>
      </c>
      <c r="N576" s="18">
        <f t="shared" si="102"/>
        <v>1.6257293515494764E-2</v>
      </c>
      <c r="O576" s="14">
        <f t="shared" si="103"/>
        <v>26150.766100000001</v>
      </c>
      <c r="P576" s="14">
        <f t="shared" ca="1" si="109"/>
        <v>26154</v>
      </c>
      <c r="Q576" s="14" t="str">
        <f t="shared" ca="1" si="104"/>
        <v>0110011000101010</v>
      </c>
      <c r="R576" s="14">
        <f t="shared" ca="1" si="105"/>
        <v>4.9037253456115728</v>
      </c>
      <c r="S576" s="14">
        <f t="shared" ca="1" si="106"/>
        <v>78.844704147338888</v>
      </c>
      <c r="T576" s="19">
        <f t="shared" ca="1" si="108"/>
        <v>1.8665428260192275E-2</v>
      </c>
      <c r="U576" s="14"/>
      <c r="V576" s="15">
        <f t="shared" ca="1" si="107"/>
        <v>1.444704</v>
      </c>
      <c r="W576" s="14"/>
      <c r="X576" s="2"/>
    </row>
    <row r="577" spans="8:24" x14ac:dyDescent="0.25">
      <c r="H577" s="14">
        <v>77.5</v>
      </c>
      <c r="I577" s="17">
        <v>4.830846647530425</v>
      </c>
      <c r="J577" s="15">
        <f t="shared" si="98"/>
        <v>1.06E-4</v>
      </c>
      <c r="K577" s="30">
        <f t="shared" si="99"/>
        <v>2.8800000000000001E-4</v>
      </c>
      <c r="L577" s="15">
        <f t="shared" si="100"/>
        <v>1.6038E-2</v>
      </c>
      <c r="M577" s="10">
        <f t="shared" si="101"/>
        <v>4.9095368696417392</v>
      </c>
      <c r="N577" s="18">
        <f t="shared" si="102"/>
        <v>1.6289116143138459E-2</v>
      </c>
      <c r="O577" s="14">
        <f t="shared" si="103"/>
        <v>26192.851200000001</v>
      </c>
      <c r="P577" s="14">
        <f t="shared" ca="1" si="109"/>
        <v>26192</v>
      </c>
      <c r="Q577" s="14" t="str">
        <f t="shared" ca="1" si="104"/>
        <v>0110011001010000</v>
      </c>
      <c r="R577" s="14">
        <f t="shared" ca="1" si="105"/>
        <v>4.9108501281738279</v>
      </c>
      <c r="S577" s="14">
        <f t="shared" ca="1" si="106"/>
        <v>78.930201538085939</v>
      </c>
      <c r="T577" s="19">
        <f t="shared" ca="1" si="108"/>
        <v>1.8454213394657273E-2</v>
      </c>
      <c r="U577" s="14"/>
      <c r="V577" s="15">
        <f t="shared" ca="1" si="107"/>
        <v>1.430202</v>
      </c>
      <c r="W577" s="14"/>
      <c r="X577" s="2"/>
    </row>
    <row r="578" spans="8:24" x14ac:dyDescent="0.25">
      <c r="H578" s="14">
        <v>77.599999999999994</v>
      </c>
      <c r="I578" s="17">
        <v>4.8380716817654843</v>
      </c>
      <c r="J578" s="15">
        <f t="shared" si="98"/>
        <v>1.06E-4</v>
      </c>
      <c r="K578" s="30">
        <f t="shared" si="99"/>
        <v>2.8800000000000001E-4</v>
      </c>
      <c r="L578" s="15">
        <f t="shared" si="100"/>
        <v>1.6067999999999999E-2</v>
      </c>
      <c r="M578" s="10">
        <f t="shared" si="101"/>
        <v>4.9170295811310991</v>
      </c>
      <c r="N578" s="18">
        <f t="shared" si="102"/>
        <v>1.6320117716156265E-2</v>
      </c>
      <c r="O578" s="14">
        <f t="shared" si="103"/>
        <v>26232.8256</v>
      </c>
      <c r="P578" s="14">
        <f t="shared" ca="1" si="109"/>
        <v>26237</v>
      </c>
      <c r="Q578" s="14" t="str">
        <f t="shared" ca="1" si="104"/>
        <v>0110011001111101</v>
      </c>
      <c r="R578" s="14">
        <f t="shared" ca="1" si="105"/>
        <v>4.9192873706817624</v>
      </c>
      <c r="S578" s="14">
        <f t="shared" ca="1" si="106"/>
        <v>79.031448448181152</v>
      </c>
      <c r="T578" s="19">
        <f t="shared" ca="1" si="108"/>
        <v>1.8446500620891208E-2</v>
      </c>
      <c r="U578" s="14"/>
      <c r="V578" s="15">
        <f t="shared" ca="1" si="107"/>
        <v>1.4314480000000001</v>
      </c>
      <c r="W578" s="14"/>
      <c r="X578" s="2"/>
    </row>
    <row r="579" spans="8:24" x14ac:dyDescent="0.25">
      <c r="H579" s="14">
        <v>77.7</v>
      </c>
      <c r="I579" s="17">
        <v>4.8449133320441602</v>
      </c>
      <c r="J579" s="15">
        <f t="shared" ref="J579:J602" si="110">ROUND(H579*0.00000575 -0.00034,6)</f>
        <v>1.07E-4</v>
      </c>
      <c r="K579" s="30">
        <f t="shared" ref="K579:K602" si="111">ROUND(H579*0.000005-0.0001,6)</f>
        <v>2.8899999999999998E-4</v>
      </c>
      <c r="L579" s="15">
        <f t="shared" ref="L579:L602" si="112">ROUND(K579+($C$24*(H579-25)),6)</f>
        <v>1.6098999999999999E-2</v>
      </c>
      <c r="M579" s="10">
        <f t="shared" ref="M579:M602" si="113">(I579-J579)/(1-L579)+$C$26+$D$27</f>
        <v>4.9241370811719474</v>
      </c>
      <c r="N579" s="18">
        <f t="shared" ref="N579:N602" si="114">ABS(I579-M579)/I579</f>
        <v>1.6351943512343738E-2</v>
      </c>
      <c r="O579" s="14">
        <f t="shared" ref="O579:O602" si="115">ROUND((M579*(2^($C$12-1)))/$C$44,4)</f>
        <v>26270.7448</v>
      </c>
      <c r="P579" s="14">
        <f t="shared" ca="1" si="109"/>
        <v>26269</v>
      </c>
      <c r="Q579" s="14" t="str">
        <f t="shared" ref="Q579:Q602" ca="1" si="116">_xlfn.BASE(IF(P579&lt;0, P579+2^($C$12)-1, P579), 2, 16)</f>
        <v>0110011010011101</v>
      </c>
      <c r="R579" s="14">
        <f t="shared" ref="R579:R602" ca="1" si="117">($C$16/2^($C$12-1)) * P579</f>
        <v>4.925287187576294</v>
      </c>
      <c r="S579" s="14">
        <f t="shared" ref="S579:S602" ca="1" si="118">(R579+5/3)/(1/12)</f>
        <v>79.103446250915539</v>
      </c>
      <c r="T579" s="19">
        <f t="shared" ca="1" si="108"/>
        <v>1.8062371311654262E-2</v>
      </c>
      <c r="U579" s="14"/>
      <c r="V579" s="15">
        <f t="shared" ref="V579:V602" ca="1" si="119">ROUND(ABS(H579-S579),6)</f>
        <v>1.403446</v>
      </c>
      <c r="W579" s="14"/>
      <c r="X579" s="2"/>
    </row>
    <row r="580" spans="8:24" x14ac:dyDescent="0.25">
      <c r="H580" s="14">
        <v>77.800000000000011</v>
      </c>
      <c r="I580" s="17">
        <v>4.8521584684919743</v>
      </c>
      <c r="J580" s="15">
        <f t="shared" si="110"/>
        <v>1.07E-4</v>
      </c>
      <c r="K580" s="30">
        <f t="shared" si="111"/>
        <v>2.8899999999999998E-4</v>
      </c>
      <c r="L580" s="15">
        <f t="shared" si="112"/>
        <v>1.6129000000000001E-2</v>
      </c>
      <c r="M580" s="10">
        <f t="shared" si="113"/>
        <v>4.9316511341527232</v>
      </c>
      <c r="N580" s="18">
        <f t="shared" si="114"/>
        <v>1.6382949191981928E-2</v>
      </c>
      <c r="O580" s="14">
        <f t="shared" si="115"/>
        <v>26310.832999999999</v>
      </c>
      <c r="P580" s="14">
        <f t="shared" ca="1" si="109"/>
        <v>26312</v>
      </c>
      <c r="Q580" s="14" t="str">
        <f t="shared" ca="1" si="116"/>
        <v>0110011011001000</v>
      </c>
      <c r="R580" s="14">
        <f t="shared" ca="1" si="117"/>
        <v>4.9333494415283203</v>
      </c>
      <c r="S580" s="14">
        <f t="shared" ca="1" si="118"/>
        <v>79.200193298339855</v>
      </c>
      <c r="T580" s="19">
        <f t="shared" ref="T580:T602" ca="1" si="120">ABS(H580-S580)/H580</f>
        <v>1.7997343166321889E-2</v>
      </c>
      <c r="U580" s="14"/>
      <c r="V580" s="15">
        <f t="shared" ca="1" si="119"/>
        <v>1.400193</v>
      </c>
      <c r="W580" s="14"/>
      <c r="X580" s="2"/>
    </row>
    <row r="581" spans="8:24" x14ac:dyDescent="0.25">
      <c r="H581" s="14">
        <v>77.900000000000006</v>
      </c>
      <c r="I581" s="17">
        <v>4.8594130698894524</v>
      </c>
      <c r="J581" s="15">
        <f t="shared" si="110"/>
        <v>1.08E-4</v>
      </c>
      <c r="K581" s="30">
        <f t="shared" si="111"/>
        <v>2.9E-4</v>
      </c>
      <c r="L581" s="15">
        <f t="shared" si="112"/>
        <v>1.6160000000000001E-2</v>
      </c>
      <c r="M581" s="10">
        <f t="shared" si="113"/>
        <v>4.9391792696062904</v>
      </c>
      <c r="N581" s="18">
        <f t="shared" si="114"/>
        <v>1.6414780667874478E-2</v>
      </c>
      <c r="O581" s="14">
        <f t="shared" si="115"/>
        <v>26350.996299999999</v>
      </c>
      <c r="P581" s="14">
        <f t="shared" ca="1" si="109"/>
        <v>26356</v>
      </c>
      <c r="Q581" s="14" t="str">
        <f t="shared" ca="1" si="116"/>
        <v>0110011011110100</v>
      </c>
      <c r="R581" s="14">
        <f t="shared" ca="1" si="117"/>
        <v>4.9415991897583007</v>
      </c>
      <c r="S581" s="14">
        <f t="shared" ca="1" si="118"/>
        <v>79.299190277099612</v>
      </c>
      <c r="T581" s="19">
        <f t="shared" ca="1" si="120"/>
        <v>1.7961364275989811E-2</v>
      </c>
      <c r="U581" s="14"/>
      <c r="V581" s="15">
        <f t="shared" ca="1" si="119"/>
        <v>1.3991899999999999</v>
      </c>
      <c r="W581" s="14"/>
      <c r="X581" s="2"/>
    </row>
    <row r="582" spans="8:24" x14ac:dyDescent="0.25">
      <c r="H582" s="14">
        <v>78</v>
      </c>
      <c r="I582" s="17">
        <v>4.8666770319611752</v>
      </c>
      <c r="J582" s="15">
        <f t="shared" si="110"/>
        <v>1.0900000000000001E-4</v>
      </c>
      <c r="K582" s="30">
        <f t="shared" si="111"/>
        <v>2.9E-4</v>
      </c>
      <c r="L582" s="15">
        <f t="shared" si="112"/>
        <v>1.619E-2</v>
      </c>
      <c r="M582" s="10">
        <f t="shared" si="113"/>
        <v>4.9467123661491295</v>
      </c>
      <c r="N582" s="18">
        <f t="shared" si="114"/>
        <v>1.6445581587258444E-2</v>
      </c>
      <c r="O582" s="14">
        <f t="shared" si="115"/>
        <v>26391.186099999999</v>
      </c>
      <c r="P582" s="14">
        <f t="shared" ca="1" si="109"/>
        <v>26396</v>
      </c>
      <c r="Q582" s="14" t="str">
        <f t="shared" ca="1" si="116"/>
        <v>0110011100011100</v>
      </c>
      <c r="R582" s="14">
        <f t="shared" ca="1" si="117"/>
        <v>4.9490989608764648</v>
      </c>
      <c r="S582" s="14">
        <f t="shared" ca="1" si="118"/>
        <v>79.389187530517589</v>
      </c>
      <c r="T582" s="19">
        <f t="shared" ca="1" si="120"/>
        <v>1.7810096545097291E-2</v>
      </c>
      <c r="U582" s="14"/>
      <c r="V582" s="15">
        <f t="shared" ca="1" si="119"/>
        <v>1.3891880000000001</v>
      </c>
      <c r="W582" s="14"/>
      <c r="X582" s="2"/>
    </row>
    <row r="583" spans="8:24" x14ac:dyDescent="0.25">
      <c r="H583" s="14">
        <v>78.099999999999994</v>
      </c>
      <c r="I583" s="17">
        <v>4.873560604442182</v>
      </c>
      <c r="J583" s="15">
        <f t="shared" si="110"/>
        <v>1.0900000000000001E-4</v>
      </c>
      <c r="K583" s="30">
        <f t="shared" si="111"/>
        <v>2.9100000000000003E-4</v>
      </c>
      <c r="L583" s="15">
        <f t="shared" si="112"/>
        <v>1.6220999999999999E-2</v>
      </c>
      <c r="M583" s="10">
        <f t="shared" si="113"/>
        <v>4.9538653128641519</v>
      </c>
      <c r="N583" s="18">
        <f t="shared" si="114"/>
        <v>1.6477625896100131E-2</v>
      </c>
      <c r="O583" s="14">
        <f t="shared" si="115"/>
        <v>26429.347699999998</v>
      </c>
      <c r="P583" s="14">
        <f t="shared" ca="1" si="109"/>
        <v>26433</v>
      </c>
      <c r="Q583" s="14" t="str">
        <f t="shared" ca="1" si="116"/>
        <v>0110011101000001</v>
      </c>
      <c r="R583" s="14">
        <f t="shared" ca="1" si="117"/>
        <v>4.9560362491607668</v>
      </c>
      <c r="S583" s="14">
        <f t="shared" ca="1" si="118"/>
        <v>79.472434989929212</v>
      </c>
      <c r="T583" s="19">
        <f t="shared" ca="1" si="120"/>
        <v>1.7572791164266556E-2</v>
      </c>
      <c r="U583" s="14"/>
      <c r="V583" s="15">
        <f t="shared" ca="1" si="119"/>
        <v>1.3724350000000001</v>
      </c>
      <c r="W583" s="14"/>
      <c r="X583" s="2"/>
    </row>
    <row r="584" spans="8:24" x14ac:dyDescent="0.25">
      <c r="H584" s="14">
        <v>78.2</v>
      </c>
      <c r="I584" s="17">
        <v>4.8812326229407175</v>
      </c>
      <c r="J584" s="15">
        <f t="shared" si="110"/>
        <v>1.1E-4</v>
      </c>
      <c r="K584" s="30">
        <f t="shared" si="111"/>
        <v>2.9100000000000003E-4</v>
      </c>
      <c r="L584" s="15">
        <f t="shared" si="112"/>
        <v>1.6251000000000002E-2</v>
      </c>
      <c r="M584" s="10">
        <f t="shared" si="113"/>
        <v>4.9618141216740419</v>
      </c>
      <c r="N584" s="18">
        <f t="shared" si="114"/>
        <v>1.6508432389517588E-2</v>
      </c>
      <c r="O584" s="14">
        <f t="shared" si="115"/>
        <v>26471.755399999998</v>
      </c>
      <c r="P584" s="14">
        <f t="shared" ca="1" si="109"/>
        <v>26472</v>
      </c>
      <c r="Q584" s="14" t="str">
        <f t="shared" ca="1" si="116"/>
        <v>0110011101101000</v>
      </c>
      <c r="R584" s="14">
        <f t="shared" ca="1" si="117"/>
        <v>4.9633485260009769</v>
      </c>
      <c r="S584" s="14">
        <f t="shared" ca="1" si="118"/>
        <v>79.560182312011733</v>
      </c>
      <c r="T584" s="19">
        <f t="shared" ca="1" si="120"/>
        <v>1.7393635703474811E-2</v>
      </c>
      <c r="U584" s="14"/>
      <c r="V584" s="15">
        <f t="shared" ca="1" si="119"/>
        <v>1.360182</v>
      </c>
      <c r="W584" s="14"/>
      <c r="X584" s="2"/>
    </row>
    <row r="585" spans="8:24" x14ac:dyDescent="0.25">
      <c r="H585" s="14">
        <v>78.300000000000011</v>
      </c>
      <c r="I585" s="17">
        <v>4.8881360958303626</v>
      </c>
      <c r="J585" s="15">
        <f t="shared" si="110"/>
        <v>1.1E-4</v>
      </c>
      <c r="K585" s="30">
        <f t="shared" si="111"/>
        <v>2.92E-4</v>
      </c>
      <c r="L585" s="15">
        <f t="shared" si="112"/>
        <v>1.6282000000000001E-2</v>
      </c>
      <c r="M585" s="10">
        <f t="shared" si="113"/>
        <v>4.9689882176338775</v>
      </c>
      <c r="N585" s="18">
        <f t="shared" si="114"/>
        <v>1.6540480915104384E-2</v>
      </c>
      <c r="O585" s="14">
        <f t="shared" si="115"/>
        <v>26510.029900000001</v>
      </c>
      <c r="P585" s="14">
        <f t="shared" ca="1" si="109"/>
        <v>26515</v>
      </c>
      <c r="Q585" s="14" t="str">
        <f t="shared" ca="1" si="116"/>
        <v>0110011110010011</v>
      </c>
      <c r="R585" s="14">
        <f t="shared" ca="1" si="117"/>
        <v>4.9714107799530032</v>
      </c>
      <c r="S585" s="14">
        <f t="shared" ca="1" si="118"/>
        <v>79.656929359436049</v>
      </c>
      <c r="T585" s="19">
        <f t="shared" ca="1" si="120"/>
        <v>1.7329876876577742E-2</v>
      </c>
      <c r="U585" s="14"/>
      <c r="V585" s="15">
        <f t="shared" ca="1" si="119"/>
        <v>1.3569290000000001</v>
      </c>
      <c r="W585" s="14"/>
      <c r="X585" s="2"/>
    </row>
    <row r="586" spans="8:24" x14ac:dyDescent="0.25">
      <c r="H586" s="14">
        <v>78.400000000000006</v>
      </c>
      <c r="I586" s="17">
        <v>4.8950502098802611</v>
      </c>
      <c r="J586" s="15">
        <f t="shared" si="110"/>
        <v>1.11E-4</v>
      </c>
      <c r="K586" s="30">
        <f t="shared" si="111"/>
        <v>2.92E-4</v>
      </c>
      <c r="L586" s="15">
        <f t="shared" si="112"/>
        <v>1.6312E-2</v>
      </c>
      <c r="M586" s="10">
        <f t="shared" si="113"/>
        <v>4.9761675081776549</v>
      </c>
      <c r="N586" s="18">
        <f t="shared" si="114"/>
        <v>1.6571290348292057E-2</v>
      </c>
      <c r="O586" s="14">
        <f t="shared" si="115"/>
        <v>26548.3321</v>
      </c>
      <c r="P586" s="14">
        <f t="shared" ca="1" si="109"/>
        <v>26548</v>
      </c>
      <c r="Q586" s="14" t="str">
        <f t="shared" ca="1" si="116"/>
        <v>0110011110110100</v>
      </c>
      <c r="R586" s="14">
        <f t="shared" ca="1" si="117"/>
        <v>4.977598091125488</v>
      </c>
      <c r="S586" s="14">
        <f t="shared" ca="1" si="118"/>
        <v>79.731177093505863</v>
      </c>
      <c r="T586" s="19">
        <f t="shared" ca="1" si="120"/>
        <v>1.6979299662064507E-2</v>
      </c>
      <c r="U586" s="14"/>
      <c r="V586" s="15">
        <f t="shared" ca="1" si="119"/>
        <v>1.3311770000000001</v>
      </c>
      <c r="W586" s="14"/>
      <c r="X586" s="2"/>
    </row>
    <row r="587" spans="8:24" x14ac:dyDescent="0.25">
      <c r="H587" s="14">
        <v>78.5</v>
      </c>
      <c r="I587" s="17">
        <v>4.9023611135115335</v>
      </c>
      <c r="J587" s="15">
        <f t="shared" si="110"/>
        <v>1.11E-4</v>
      </c>
      <c r="K587" s="30">
        <f t="shared" si="111"/>
        <v>2.9300000000000002E-4</v>
      </c>
      <c r="L587" s="15">
        <f t="shared" si="112"/>
        <v>1.6343E-2</v>
      </c>
      <c r="M587" s="10">
        <f t="shared" si="113"/>
        <v>4.9837567013883222</v>
      </c>
      <c r="N587" s="18">
        <f t="shared" si="114"/>
        <v>1.6603343978976181E-2</v>
      </c>
      <c r="O587" s="14">
        <f t="shared" si="115"/>
        <v>26588.821199999998</v>
      </c>
      <c r="P587" s="14">
        <f t="shared" ca="1" si="109"/>
        <v>26592</v>
      </c>
      <c r="Q587" s="14" t="str">
        <f t="shared" ca="1" si="116"/>
        <v>0110011111100000</v>
      </c>
      <c r="R587" s="14">
        <f t="shared" ca="1" si="117"/>
        <v>4.9858478393554693</v>
      </c>
      <c r="S587" s="14">
        <f t="shared" ca="1" si="118"/>
        <v>79.830174072265635</v>
      </c>
      <c r="T587" s="19">
        <f t="shared" ca="1" si="120"/>
        <v>1.6944892640326559E-2</v>
      </c>
      <c r="U587" s="14"/>
      <c r="V587" s="15">
        <f t="shared" ca="1" si="119"/>
        <v>1.330174</v>
      </c>
      <c r="W587" s="14"/>
      <c r="X587" s="2"/>
    </row>
    <row r="588" spans="8:24" x14ac:dyDescent="0.25">
      <c r="H588" s="14">
        <v>78.599999999999994</v>
      </c>
      <c r="I588" s="17">
        <v>4.9096807565813689</v>
      </c>
      <c r="J588" s="15">
        <f t="shared" si="110"/>
        <v>1.12E-4</v>
      </c>
      <c r="K588" s="30">
        <f t="shared" si="111"/>
        <v>2.9300000000000002E-4</v>
      </c>
      <c r="L588" s="15">
        <f t="shared" si="112"/>
        <v>1.6372999999999999E-2</v>
      </c>
      <c r="M588" s="10">
        <f t="shared" si="113"/>
        <v>4.9913491668563079</v>
      </c>
      <c r="N588" s="18">
        <f t="shared" si="114"/>
        <v>1.663415898588996E-2</v>
      </c>
      <c r="O588" s="14">
        <f t="shared" si="115"/>
        <v>26629.327700000002</v>
      </c>
      <c r="P588" s="14">
        <f t="shared" ca="1" si="109"/>
        <v>26633</v>
      </c>
      <c r="Q588" s="14" t="str">
        <f t="shared" ca="1" si="116"/>
        <v>0110100000001001</v>
      </c>
      <c r="R588" s="14">
        <f t="shared" ca="1" si="117"/>
        <v>4.9935351047515866</v>
      </c>
      <c r="S588" s="14">
        <f t="shared" ca="1" si="118"/>
        <v>79.922421257019053</v>
      </c>
      <c r="T588" s="19">
        <f t="shared" ca="1" si="120"/>
        <v>1.6824697926451131E-2</v>
      </c>
      <c r="U588" s="14"/>
      <c r="V588" s="15">
        <f t="shared" ca="1" si="119"/>
        <v>1.3224210000000001</v>
      </c>
      <c r="W588" s="14"/>
      <c r="X588" s="2"/>
    </row>
    <row r="589" spans="8:24" x14ac:dyDescent="0.25">
      <c r="H589" s="14">
        <v>78.7</v>
      </c>
      <c r="I589" s="17">
        <v>4.9166244669968755</v>
      </c>
      <c r="J589" s="15">
        <f t="shared" si="110"/>
        <v>1.13E-4</v>
      </c>
      <c r="K589" s="30">
        <f t="shared" si="111"/>
        <v>2.9399999999999999E-4</v>
      </c>
      <c r="L589" s="15">
        <f t="shared" si="112"/>
        <v>1.6403999999999998E-2</v>
      </c>
      <c r="M589" s="10">
        <f t="shared" si="113"/>
        <v>4.9985649754216928</v>
      </c>
      <c r="N589" s="18">
        <f t="shared" si="114"/>
        <v>1.666600916438659E-2</v>
      </c>
      <c r="O589" s="14">
        <f t="shared" si="115"/>
        <v>26667.824700000001</v>
      </c>
      <c r="P589" s="14">
        <f t="shared" ca="1" si="109"/>
        <v>26670</v>
      </c>
      <c r="Q589" s="14" t="str">
        <f t="shared" ca="1" si="116"/>
        <v>0110100000101110</v>
      </c>
      <c r="R589" s="14">
        <f t="shared" ca="1" si="117"/>
        <v>5.0004723930358885</v>
      </c>
      <c r="S589" s="14">
        <f t="shared" ca="1" si="118"/>
        <v>80.005668716430677</v>
      </c>
      <c r="T589" s="19">
        <f t="shared" ca="1" si="120"/>
        <v>1.659045383012292E-2</v>
      </c>
      <c r="U589" s="14"/>
      <c r="V589" s="15">
        <f t="shared" ca="1" si="119"/>
        <v>1.305669</v>
      </c>
      <c r="W589" s="14"/>
      <c r="X589" s="2"/>
    </row>
    <row r="590" spans="8:24" x14ac:dyDescent="0.25">
      <c r="H590" s="14">
        <v>78.800000000000011</v>
      </c>
      <c r="I590" s="17">
        <v>4.9239621241694103</v>
      </c>
      <c r="J590" s="15">
        <f t="shared" si="110"/>
        <v>1.13E-4</v>
      </c>
      <c r="K590" s="30">
        <f t="shared" si="111"/>
        <v>2.9399999999999999E-4</v>
      </c>
      <c r="L590" s="15">
        <f t="shared" si="112"/>
        <v>1.6434000000000001E-2</v>
      </c>
      <c r="M590" s="10">
        <f t="shared" si="113"/>
        <v>5.0061776952410009</v>
      </c>
      <c r="N590" s="18">
        <f t="shared" si="114"/>
        <v>1.6697035638847241E-2</v>
      </c>
      <c r="O590" s="14">
        <f t="shared" si="115"/>
        <v>26708.439299999998</v>
      </c>
      <c r="P590" s="14">
        <f t="shared" ca="1" si="109"/>
        <v>26713</v>
      </c>
      <c r="Q590" s="14" t="str">
        <f t="shared" ca="1" si="116"/>
        <v>0110100001011001</v>
      </c>
      <c r="R590" s="14">
        <f t="shared" ca="1" si="117"/>
        <v>5.0085346469879148</v>
      </c>
      <c r="S590" s="14">
        <f t="shared" ca="1" si="118"/>
        <v>80.102415763854992</v>
      </c>
      <c r="T590" s="19">
        <f t="shared" ca="1" si="120"/>
        <v>1.6528118830646962E-2</v>
      </c>
      <c r="U590" s="14"/>
      <c r="V590" s="15">
        <f t="shared" ca="1" si="119"/>
        <v>1.302416</v>
      </c>
      <c r="W590" s="14"/>
      <c r="X590" s="2"/>
    </row>
    <row r="591" spans="8:24" x14ac:dyDescent="0.25">
      <c r="H591" s="14">
        <v>78.900000000000006</v>
      </c>
      <c r="I591" s="17">
        <v>4.9309253252189968</v>
      </c>
      <c r="J591" s="15">
        <f t="shared" si="110"/>
        <v>1.1400000000000001E-4</v>
      </c>
      <c r="K591" s="30">
        <f t="shared" si="111"/>
        <v>2.9500000000000001E-4</v>
      </c>
      <c r="L591" s="15">
        <f t="shared" si="112"/>
        <v>1.6465E-2</v>
      </c>
      <c r="M591" s="10">
        <f t="shared" si="113"/>
        <v>5.0134142356387894</v>
      </c>
      <c r="N591" s="18">
        <f t="shared" si="114"/>
        <v>1.6728890619759889E-2</v>
      </c>
      <c r="O591" s="14">
        <f t="shared" si="115"/>
        <v>26747.046999999999</v>
      </c>
      <c r="P591" s="14">
        <f t="shared" ref="P591:P602" ca="1" si="121">ROUND(O591+$C$47+$C$49+RANDBETWEEN($B$45,$D$45) + 1,0)</f>
        <v>26746</v>
      </c>
      <c r="Q591" s="14" t="str">
        <f t="shared" ca="1" si="116"/>
        <v>0110100001111010</v>
      </c>
      <c r="R591" s="14">
        <f t="shared" ca="1" si="117"/>
        <v>5.0147219581604006</v>
      </c>
      <c r="S591" s="14">
        <f t="shared" ca="1" si="118"/>
        <v>80.176663497924821</v>
      </c>
      <c r="T591" s="19">
        <f t="shared" ca="1" si="120"/>
        <v>1.6180779441379151E-2</v>
      </c>
      <c r="U591" s="14"/>
      <c r="V591" s="15">
        <f t="shared" ca="1" si="119"/>
        <v>1.2766630000000001</v>
      </c>
      <c r="W591" s="14"/>
      <c r="X591" s="2"/>
    </row>
    <row r="592" spans="8:24" x14ac:dyDescent="0.25">
      <c r="H592" s="14">
        <v>79</v>
      </c>
      <c r="I592" s="17">
        <v>4.937898534937414</v>
      </c>
      <c r="J592" s="15">
        <f t="shared" si="110"/>
        <v>1.1400000000000001E-4</v>
      </c>
      <c r="K592" s="30">
        <f t="shared" si="111"/>
        <v>2.9500000000000001E-4</v>
      </c>
      <c r="L592" s="15">
        <f t="shared" si="112"/>
        <v>1.6494999999999999E-2</v>
      </c>
      <c r="M592" s="10">
        <f t="shared" si="113"/>
        <v>5.0206573207329033</v>
      </c>
      <c r="N592" s="18">
        <f t="shared" si="114"/>
        <v>1.6759920279839888E-2</v>
      </c>
      <c r="O592" s="14">
        <f t="shared" si="115"/>
        <v>26785.6895</v>
      </c>
      <c r="P592" s="14">
        <f t="shared" ca="1" si="121"/>
        <v>26789</v>
      </c>
      <c r="Q592" s="14" t="str">
        <f t="shared" ca="1" si="116"/>
        <v>0110100010100101</v>
      </c>
      <c r="R592" s="14">
        <f t="shared" ca="1" si="117"/>
        <v>5.0227842121124269</v>
      </c>
      <c r="S592" s="14">
        <f t="shared" ca="1" si="118"/>
        <v>80.273410545349137</v>
      </c>
      <c r="T592" s="19">
        <f t="shared" ca="1" si="120"/>
        <v>1.6119120827204261E-2</v>
      </c>
      <c r="U592" s="14"/>
      <c r="V592" s="15">
        <f t="shared" ca="1" si="119"/>
        <v>1.2734110000000001</v>
      </c>
      <c r="W592" s="14"/>
      <c r="X592" s="2"/>
    </row>
    <row r="593" spans="8:24" x14ac:dyDescent="0.25">
      <c r="H593" s="14">
        <v>79.099999999999994</v>
      </c>
      <c r="I593" s="17">
        <v>4.9445004359531568</v>
      </c>
      <c r="J593" s="15">
        <f t="shared" si="110"/>
        <v>1.15E-4</v>
      </c>
      <c r="K593" s="30">
        <f t="shared" si="111"/>
        <v>2.9599999999999998E-4</v>
      </c>
      <c r="L593" s="15">
        <f t="shared" si="112"/>
        <v>1.6525999999999999E-2</v>
      </c>
      <c r="M593" s="10">
        <f t="shared" si="113"/>
        <v>5.0275273951778665</v>
      </c>
      <c r="N593" s="18">
        <f t="shared" si="114"/>
        <v>1.6791779129190127E-2</v>
      </c>
      <c r="O593" s="14">
        <f t="shared" si="115"/>
        <v>26822.342000000001</v>
      </c>
      <c r="P593" s="14">
        <f t="shared" ca="1" si="121"/>
        <v>26823</v>
      </c>
      <c r="Q593" s="14" t="str">
        <f t="shared" ca="1" si="116"/>
        <v>0110100011000111</v>
      </c>
      <c r="R593" s="14">
        <f t="shared" ca="1" si="117"/>
        <v>5.0291590175628667</v>
      </c>
      <c r="S593" s="14">
        <f t="shared" ca="1" si="118"/>
        <v>80.349908210754407</v>
      </c>
      <c r="T593" s="19">
        <f t="shared" ca="1" si="120"/>
        <v>1.5801620869208756E-2</v>
      </c>
      <c r="U593" s="14"/>
      <c r="V593" s="15">
        <f t="shared" ca="1" si="119"/>
        <v>1.249908</v>
      </c>
      <c r="W593" s="14"/>
      <c r="X593" s="2"/>
    </row>
    <row r="594" spans="8:24" x14ac:dyDescent="0.25">
      <c r="H594" s="14">
        <v>79.2</v>
      </c>
      <c r="I594" s="17">
        <v>4.9514941843894169</v>
      </c>
      <c r="J594" s="15">
        <f t="shared" si="110"/>
        <v>1.15E-4</v>
      </c>
      <c r="K594" s="30">
        <f t="shared" si="111"/>
        <v>2.9599999999999998E-4</v>
      </c>
      <c r="L594" s="15">
        <f t="shared" si="112"/>
        <v>1.6556000000000001E-2</v>
      </c>
      <c r="M594" s="10">
        <f t="shared" si="113"/>
        <v>5.0347922445420554</v>
      </c>
      <c r="N594" s="18">
        <f t="shared" si="114"/>
        <v>1.6822812882473424E-2</v>
      </c>
      <c r="O594" s="14">
        <f t="shared" si="115"/>
        <v>26861.100699999999</v>
      </c>
      <c r="P594" s="14">
        <f t="shared" ca="1" si="121"/>
        <v>26865</v>
      </c>
      <c r="Q594" s="14" t="str">
        <f t="shared" ca="1" si="116"/>
        <v>0110100011110001</v>
      </c>
      <c r="R594" s="14">
        <f t="shared" ca="1" si="117"/>
        <v>5.0370337772369389</v>
      </c>
      <c r="S594" s="14">
        <f t="shared" ca="1" si="118"/>
        <v>80.444405326843281</v>
      </c>
      <c r="T594" s="19">
        <f t="shared" ca="1" si="120"/>
        <v>1.5712188470243412E-2</v>
      </c>
      <c r="U594" s="14"/>
      <c r="V594" s="15">
        <f t="shared" ca="1" si="119"/>
        <v>1.244405</v>
      </c>
      <c r="W594" s="14"/>
      <c r="X594" s="2"/>
    </row>
    <row r="595" spans="8:24" x14ac:dyDescent="0.25">
      <c r="H595" s="14">
        <v>79.300000000000011</v>
      </c>
      <c r="I595" s="17">
        <v>4.9584976262807077</v>
      </c>
      <c r="J595" s="15">
        <f t="shared" si="110"/>
        <v>1.16E-4</v>
      </c>
      <c r="K595" s="30">
        <f t="shared" si="111"/>
        <v>2.9700000000000001E-4</v>
      </c>
      <c r="L595" s="15">
        <f t="shared" si="112"/>
        <v>1.6587000000000001E-2</v>
      </c>
      <c r="M595" s="10">
        <f t="shared" si="113"/>
        <v>5.0420715042761355</v>
      </c>
      <c r="N595" s="18">
        <f t="shared" si="114"/>
        <v>1.6854677423353993E-2</v>
      </c>
      <c r="O595" s="14">
        <f t="shared" si="115"/>
        <v>26899.936300000001</v>
      </c>
      <c r="P595" s="14">
        <f t="shared" ca="1" si="121"/>
        <v>26900</v>
      </c>
      <c r="Q595" s="14" t="str">
        <f t="shared" ca="1" si="116"/>
        <v>0110100100010100</v>
      </c>
      <c r="R595" s="14">
        <f t="shared" ca="1" si="117"/>
        <v>5.0435960769653319</v>
      </c>
      <c r="S595" s="14">
        <f t="shared" ca="1" si="118"/>
        <v>80.523152923583993</v>
      </c>
      <c r="T595" s="19">
        <f t="shared" ca="1" si="120"/>
        <v>1.5424374824514267E-2</v>
      </c>
      <c r="U595" s="14"/>
      <c r="V595" s="15">
        <f t="shared" ca="1" si="119"/>
        <v>1.2231529999999999</v>
      </c>
      <c r="W595" s="14"/>
      <c r="X595" s="2"/>
    </row>
    <row r="596" spans="8:24" x14ac:dyDescent="0.25">
      <c r="H596" s="14">
        <v>79.400000000000006</v>
      </c>
      <c r="I596" s="17">
        <v>4.9658893678497913</v>
      </c>
      <c r="J596" s="15">
        <f t="shared" si="110"/>
        <v>1.17E-4</v>
      </c>
      <c r="K596" s="30">
        <f t="shared" si="111"/>
        <v>2.9700000000000001E-4</v>
      </c>
      <c r="L596" s="15">
        <f t="shared" si="112"/>
        <v>1.6617E-2</v>
      </c>
      <c r="M596" s="10">
        <f t="shared" si="113"/>
        <v>5.0497409494203085</v>
      </c>
      <c r="N596" s="18">
        <f t="shared" si="114"/>
        <v>1.688551140776311E-2</v>
      </c>
      <c r="O596" s="14">
        <f t="shared" si="115"/>
        <v>26940.853500000001</v>
      </c>
      <c r="P596" s="14">
        <f t="shared" ca="1" si="121"/>
        <v>26945</v>
      </c>
      <c r="Q596" s="14" t="str">
        <f t="shared" ca="1" si="116"/>
        <v>0110100101000001</v>
      </c>
      <c r="R596" s="14">
        <f t="shared" ca="1" si="117"/>
        <v>5.0520333194732663</v>
      </c>
      <c r="S596" s="14">
        <f t="shared" ca="1" si="118"/>
        <v>80.624399833679206</v>
      </c>
      <c r="T596" s="19">
        <f t="shared" ca="1" si="120"/>
        <v>1.5420652817118392E-2</v>
      </c>
      <c r="U596" s="14"/>
      <c r="V596" s="15">
        <f t="shared" ca="1" si="119"/>
        <v>1.2243999999999999</v>
      </c>
      <c r="W596" s="14"/>
      <c r="X596" s="2"/>
    </row>
    <row r="597" spans="8:24" x14ac:dyDescent="0.25">
      <c r="H597" s="14">
        <v>79.5</v>
      </c>
      <c r="I597" s="17">
        <v>4.9725331752448589</v>
      </c>
      <c r="J597" s="15">
        <f t="shared" si="110"/>
        <v>1.17E-4</v>
      </c>
      <c r="K597" s="30">
        <f t="shared" si="111"/>
        <v>2.9799999999999998E-4</v>
      </c>
      <c r="L597" s="15">
        <f t="shared" si="112"/>
        <v>1.6648E-2</v>
      </c>
      <c r="M597" s="10">
        <f t="shared" si="113"/>
        <v>5.056656425838213</v>
      </c>
      <c r="N597" s="18">
        <f t="shared" si="114"/>
        <v>1.6917584584885469E-2</v>
      </c>
      <c r="O597" s="14">
        <f t="shared" si="115"/>
        <v>26977.748200000002</v>
      </c>
      <c r="P597" s="14">
        <f t="shared" ca="1" si="121"/>
        <v>26976</v>
      </c>
      <c r="Q597" s="14" t="str">
        <f t="shared" ca="1" si="116"/>
        <v>0110100101100000</v>
      </c>
      <c r="R597" s="14">
        <f t="shared" ca="1" si="117"/>
        <v>5.0578456420898439</v>
      </c>
      <c r="S597" s="14">
        <f t="shared" ca="1" si="118"/>
        <v>80.694147705078137</v>
      </c>
      <c r="T597" s="19">
        <f t="shared" ca="1" si="120"/>
        <v>1.5020725850039463E-2</v>
      </c>
      <c r="U597" s="14"/>
      <c r="V597" s="15">
        <f t="shared" ca="1" si="119"/>
        <v>1.194148</v>
      </c>
      <c r="W597" s="14"/>
      <c r="X597" s="2"/>
    </row>
    <row r="598" spans="8:24" x14ac:dyDescent="0.25">
      <c r="H598" s="14">
        <v>79.599999999999994</v>
      </c>
      <c r="I598" s="17">
        <v>4.9795650755986109</v>
      </c>
      <c r="J598" s="15">
        <f t="shared" si="110"/>
        <v>1.18E-4</v>
      </c>
      <c r="K598" s="30">
        <f t="shared" si="111"/>
        <v>2.9799999999999998E-4</v>
      </c>
      <c r="L598" s="15">
        <f t="shared" si="112"/>
        <v>1.6677999999999998E-2</v>
      </c>
      <c r="M598" s="10">
        <f t="shared" si="113"/>
        <v>5.0639608472856414</v>
      </c>
      <c r="N598" s="18">
        <f t="shared" si="114"/>
        <v>1.6948422283021371E-2</v>
      </c>
      <c r="O598" s="14">
        <f t="shared" si="115"/>
        <v>27016.718000000001</v>
      </c>
      <c r="P598" s="14">
        <f t="shared" ca="1" si="121"/>
        <v>27018</v>
      </c>
      <c r="Q598" s="14" t="str">
        <f t="shared" ca="1" si="116"/>
        <v>0110100110001010</v>
      </c>
      <c r="R598" s="14">
        <f t="shared" ca="1" si="117"/>
        <v>5.0657204017639161</v>
      </c>
      <c r="S598" s="14">
        <f t="shared" ca="1" si="118"/>
        <v>80.788644821166997</v>
      </c>
      <c r="T598" s="19">
        <f t="shared" ca="1" si="120"/>
        <v>1.4932723884007576E-2</v>
      </c>
      <c r="U598" s="14"/>
      <c r="V598" s="15">
        <f t="shared" ca="1" si="119"/>
        <v>1.188645</v>
      </c>
      <c r="W598" s="14"/>
      <c r="X598" s="2"/>
    </row>
    <row r="599" spans="8:24" x14ac:dyDescent="0.25">
      <c r="H599" s="14">
        <v>79.7</v>
      </c>
      <c r="I599" s="17">
        <v>4.9866062559969251</v>
      </c>
      <c r="J599" s="15">
        <f t="shared" si="110"/>
        <v>1.18E-4</v>
      </c>
      <c r="K599" s="30">
        <f t="shared" si="111"/>
        <v>2.99E-4</v>
      </c>
      <c r="L599" s="15">
        <f t="shared" si="112"/>
        <v>1.6709000000000002E-2</v>
      </c>
      <c r="M599" s="10">
        <f t="shared" si="113"/>
        <v>5.071281326560424</v>
      </c>
      <c r="N599" s="18">
        <f t="shared" si="114"/>
        <v>1.6980500608338202E-2</v>
      </c>
      <c r="O599" s="14">
        <f t="shared" si="115"/>
        <v>27055.773499999999</v>
      </c>
      <c r="P599" s="14">
        <f t="shared" ca="1" si="121"/>
        <v>27059</v>
      </c>
      <c r="Q599" s="14" t="str">
        <f t="shared" ca="1" si="116"/>
        <v>0110100110110011</v>
      </c>
      <c r="R599" s="14">
        <f t="shared" ca="1" si="117"/>
        <v>5.0734076671600343</v>
      </c>
      <c r="S599" s="14">
        <f t="shared" ca="1" si="118"/>
        <v>80.880892005920415</v>
      </c>
      <c r="T599" s="19">
        <f t="shared" ca="1" si="120"/>
        <v>1.4816712746805679E-2</v>
      </c>
      <c r="U599" s="14"/>
      <c r="V599" s="15">
        <f t="shared" ca="1" si="119"/>
        <v>1.1808920000000001</v>
      </c>
      <c r="W599" s="14"/>
      <c r="X599" s="2"/>
    </row>
    <row r="600" spans="8:24" x14ac:dyDescent="0.25">
      <c r="H600" s="14">
        <v>79.800000000000011</v>
      </c>
      <c r="I600" s="17">
        <v>4.9936566138811109</v>
      </c>
      <c r="J600" s="15">
        <f t="shared" si="110"/>
        <v>1.1900000000000001E-4</v>
      </c>
      <c r="K600" s="30">
        <f t="shared" si="111"/>
        <v>2.99E-4</v>
      </c>
      <c r="L600" s="15">
        <f t="shared" si="112"/>
        <v>1.6739E-2</v>
      </c>
      <c r="M600" s="10">
        <f t="shared" si="113"/>
        <v>5.0786054191299268</v>
      </c>
      <c r="N600" s="18">
        <f t="shared" si="114"/>
        <v>1.7011342953113663E-2</v>
      </c>
      <c r="O600" s="14">
        <f t="shared" si="115"/>
        <v>27094.8482</v>
      </c>
      <c r="P600" s="14">
        <f t="shared" ca="1" si="121"/>
        <v>27095</v>
      </c>
      <c r="Q600" s="14" t="str">
        <f t="shared" ca="1" si="116"/>
        <v>0110100111010111</v>
      </c>
      <c r="R600" s="14">
        <f t="shared" ca="1" si="117"/>
        <v>5.0801574611663822</v>
      </c>
      <c r="S600" s="14">
        <f t="shared" ca="1" si="118"/>
        <v>80.961889533996597</v>
      </c>
      <c r="T600" s="19">
        <f t="shared" ca="1" si="120"/>
        <v>1.456001922301486E-2</v>
      </c>
      <c r="U600" s="14"/>
      <c r="V600" s="15">
        <f t="shared" ca="1" si="119"/>
        <v>1.1618900000000001</v>
      </c>
      <c r="W600" s="14"/>
      <c r="X600" s="2"/>
    </row>
    <row r="601" spans="8:24" x14ac:dyDescent="0.25">
      <c r="H601" s="14">
        <v>79.900000000000006</v>
      </c>
      <c r="I601" s="17">
        <v>5.0003414789903164</v>
      </c>
      <c r="J601" s="15">
        <f t="shared" si="110"/>
        <v>1.1900000000000001E-4</v>
      </c>
      <c r="K601" s="30">
        <f t="shared" si="111"/>
        <v>2.9999999999999997E-4</v>
      </c>
      <c r="L601" s="15">
        <f t="shared" si="112"/>
        <v>1.677E-2</v>
      </c>
      <c r="M601" s="10">
        <f t="shared" si="113"/>
        <v>5.085564421681922</v>
      </c>
      <c r="N601" s="18">
        <f t="shared" si="114"/>
        <v>1.7043424544040148E-2</v>
      </c>
      <c r="O601" s="14">
        <f t="shared" si="115"/>
        <v>27131.975200000001</v>
      </c>
      <c r="P601" s="14">
        <f t="shared" ca="1" si="121"/>
        <v>27131</v>
      </c>
      <c r="Q601" s="14" t="str">
        <f t="shared" ca="1" si="116"/>
        <v>0110100111111011</v>
      </c>
      <c r="R601" s="14">
        <f t="shared" ca="1" si="117"/>
        <v>5.0869072551727292</v>
      </c>
      <c r="S601" s="14">
        <f t="shared" ca="1" si="118"/>
        <v>81.042887062072765</v>
      </c>
      <c r="T601" s="19">
        <f t="shared" ca="1" si="120"/>
        <v>1.4303968236204747E-2</v>
      </c>
      <c r="U601" s="14"/>
      <c r="V601" s="15">
        <f t="shared" ca="1" si="119"/>
        <v>1.142887</v>
      </c>
      <c r="W601" s="14"/>
      <c r="X601" s="2"/>
    </row>
    <row r="602" spans="8:24" x14ac:dyDescent="0.25">
      <c r="H602" s="14">
        <v>80</v>
      </c>
      <c r="I602" s="17">
        <v>5.0113000000000003</v>
      </c>
      <c r="J602" s="15">
        <f t="shared" si="110"/>
        <v>1.2E-4</v>
      </c>
      <c r="K602" s="30">
        <f t="shared" si="111"/>
        <v>2.9999999999999997E-4</v>
      </c>
      <c r="L602" s="15">
        <f t="shared" si="112"/>
        <v>1.6799999999999999E-2</v>
      </c>
      <c r="M602" s="10">
        <f t="shared" si="113"/>
        <v>5.0968643466232715</v>
      </c>
      <c r="N602" s="18">
        <f t="shared" si="114"/>
        <v>1.707428144858044E-2</v>
      </c>
      <c r="O602" s="14">
        <f t="shared" si="115"/>
        <v>27192.261299999998</v>
      </c>
      <c r="P602" s="14">
        <f t="shared" ca="1" si="121"/>
        <v>27194</v>
      </c>
      <c r="Q602" s="14" t="str">
        <f t="shared" ca="1" si="116"/>
        <v>0110101000111010</v>
      </c>
      <c r="R602" s="14">
        <f t="shared" ca="1" si="117"/>
        <v>5.0987193946838376</v>
      </c>
      <c r="S602" s="14">
        <f t="shared" ca="1" si="118"/>
        <v>81.184632736206055</v>
      </c>
      <c r="T602" s="19">
        <f t="shared" ca="1" si="120"/>
        <v>1.4807909202575686E-2</v>
      </c>
      <c r="U602" s="14"/>
      <c r="V602" s="15">
        <f t="shared" ca="1" si="119"/>
        <v>1.184633</v>
      </c>
      <c r="W602" s="14"/>
      <c r="X602" s="2"/>
    </row>
  </sheetData>
  <mergeCells count="5">
    <mergeCell ref="A43:E43"/>
    <mergeCell ref="A2:E2"/>
    <mergeCell ref="A8:E8"/>
    <mergeCell ref="E23:E24"/>
    <mergeCell ref="A32:E3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Cal_NTC</vt:lpstr>
      <vt:lpstr>Cal_Error</vt:lpstr>
      <vt:lpstr>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cp:lastPrinted>2025-11-29T10:23:44Z</cp:lastPrinted>
  <dcterms:created xsi:type="dcterms:W3CDTF">2025-11-26T07:35:39Z</dcterms:created>
  <dcterms:modified xsi:type="dcterms:W3CDTF">2025-11-29T14:39:34Z</dcterms:modified>
</cp:coreProperties>
</file>